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FACTORES_DESARROLLO" sheetId="3" state="visible" r:id="rId3"/>
    <sheet xmlns:r="http://schemas.openxmlformats.org/officeDocument/2006/relationships" name="IBK_general" sheetId="4" state="visible" r:id="rId4"/>
    <sheet xmlns:r="http://schemas.openxmlformats.org/officeDocument/2006/relationships" name="IBK_N1" sheetId="5" state="visible" r:id="rId5"/>
    <sheet xmlns:r="http://schemas.openxmlformats.org/officeDocument/2006/relationships" name="IBK_N2" sheetId="6" state="visible" r:id="rId6"/>
    <sheet xmlns:r="http://schemas.openxmlformats.org/officeDocument/2006/relationships" name="IBK_N3" sheetId="7" state="visible" r:id="rId7"/>
    <sheet xmlns:r="http://schemas.openxmlformats.org/officeDocument/2006/relationships" name="SSFF_con_BCP" sheetId="8" state="visible" r:id="rId8"/>
    <sheet xmlns:r="http://schemas.openxmlformats.org/officeDocument/2006/relationships" name="SSFF_sin_BCP" sheetId="9" state="visible" r:id="rId9"/>
    <sheet xmlns:r="http://schemas.openxmlformats.org/officeDocument/2006/relationships" name="SISTEMA_5" sheetId="10" state="visible" r:id="rId10"/>
    <sheet xmlns:r="http://schemas.openxmlformats.org/officeDocument/2006/relationships" name="ENT_00001_BCP" sheetId="11" state="visible" r:id="rId11"/>
    <sheet xmlns:r="http://schemas.openxmlformats.org/officeDocument/2006/relationships" name="ENT_00006_BBVA" sheetId="12" state="visible" r:id="rId12"/>
    <sheet xmlns:r="http://schemas.openxmlformats.org/officeDocument/2006/relationships" name="ENT_00004_Scotiabank" sheetId="13" state="visible" r:id="rId13"/>
    <sheet xmlns:r="http://schemas.openxmlformats.org/officeDocument/2006/relationships" name="ENT_00142_Falabell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sz val="9"/>
    </font>
    <font>
      <name val="Arial"/>
      <b val="1"/>
      <color rgb="001F3864"/>
      <sz val="10"/>
    </font>
    <font>
      <name val="Consolas"/>
      <sz val="9"/>
    </font>
    <font>
      <name val="Arial"/>
      <b val="1"/>
      <color rgb="00FFFFFF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10" fontId="3" fillId="0" borderId="1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165" fontId="3" fillId="0" borderId="1" pivotButton="0" quotePrefix="0" xfId="0"/>
    <xf numFmtId="2" fontId="3" fillId="0" borderId="1" pivotButton="0" quotePrefix="0" xfId="0"/>
    <xf numFmtId="1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TCNB_calibracion_series.xlsx</t>
        </is>
      </c>
    </row>
    <row r="2">
      <c r="A2" s="2" t="inlineStr">
        <is>
          <t>Series mensuales de la calibracion de PD de TC No Bancarizado.</t>
        </is>
      </c>
    </row>
    <row r="3">
      <c r="A3" s="3" t="inlineStr"/>
    </row>
    <row r="4">
      <c r="A4" s="4" t="inlineStr">
        <is>
          <t>QUE HAY EN CADA HOJA</t>
        </is>
      </c>
    </row>
    <row r="5">
      <c r="A5" s="3" t="inlineStr">
        <is>
          <t>IBK_general / IBK_N1 / N2 / N3   Interbank, poblacion clean, total y por nodo de politica.</t>
        </is>
      </c>
    </row>
    <row r="6">
      <c r="A6" s="3" t="inlineStr">
        <is>
          <t>SSFF_con_BCP                     el sistema SIN Interbank: BCP, Scotiabank, BBVA y Falabella.</t>
        </is>
      </c>
    </row>
    <row r="7">
      <c r="A7" s="3" t="inlineStr">
        <is>
          <t>SSFF_sin_BCP                     lo mismo, sacando ademas a BCP.</t>
        </is>
      </c>
    </row>
    <row r="8">
      <c r="A8" s="3" t="inlineStr">
        <is>
          <t>SISTEMA_5                        las cinco entidades del alcance, Interbank incluido.</t>
        </is>
      </c>
    </row>
    <row r="9">
      <c r="A9" s="3" t="inlineStr">
        <is>
          <t>ENT_xxxxx                        cada entidad por separado.</t>
        </is>
      </c>
    </row>
    <row r="10">
      <c r="A10" s="3" t="inlineStr"/>
    </row>
    <row r="11">
      <c r="A11" s="4" t="inlineStr">
        <is>
          <t>POBLACION</t>
        </is>
      </c>
    </row>
    <row r="12">
      <c r="A12" s="3" t="inlineStr">
        <is>
          <t>flg_clean = 1 y pd_raw no nula, en cada entidad. Ventana 202303 a 202605.</t>
        </is>
      </c>
    </row>
    <row r="13">
      <c r="A13" s="3" t="inlineStr">
        <is>
          <t>Sobre IBK la fuente es full_calibrated.parquet, la salida del propio pipeline.</t>
        </is>
      </c>
    </row>
    <row r="14">
      <c r="A14" s="3" t="inlineStr"/>
    </row>
    <row r="15">
      <c r="A15" s="4" t="inlineStr">
        <is>
          <t>LA COLUMNA "PD cal NUEVA"</t>
        </is>
      </c>
    </row>
    <row r="16">
      <c r="A16" s="3" t="inlineStr">
        <is>
          <t>En IBK es pd_pit, tal cual la calcula el pipeline.</t>
        </is>
      </c>
    </row>
    <row r="17">
      <c r="A17" s="3" t="inlineStr">
        <is>
          <t>Fuera de IBK se EXTRAPOLA la calibracion de IBK: los mismos coeficientes, sin</t>
        </is>
      </c>
    </row>
    <row r="18">
      <c r="A18" s="3" t="inlineStr">
        <is>
          <t>reajustar nada. No se puede calibrar distinto por entidad, y produccion tampoco</t>
        </is>
      </c>
    </row>
    <row r="19">
      <c r="A19" s="3" t="inlineStr">
        <is>
          <t>podria.</t>
        </is>
      </c>
    </row>
    <row r="20">
      <c r="A20" s="3" t="inlineStr"/>
    </row>
    <row r="21">
      <c r="A21" s="3" t="inlineStr">
        <is>
          <t>El nodo se reconstruye replicando el CASE de 16_nodo.sql: sus cinco banderas si</t>
        </is>
      </c>
    </row>
    <row r="22">
      <c r="A22" s="3" t="inlineStr">
        <is>
          <t>existen para todas las entidades. La replica reproduce el nodo real de IBK en</t>
        </is>
      </c>
    </row>
    <row r="23">
      <c r="A23" s="3" t="inlineStr">
        <is>
          <t>1,690,263 filas sin una discrepancia, y la cadena reproduce el pd_pit del</t>
        </is>
      </c>
    </row>
    <row r="24">
      <c r="A24" s="3" t="inlineStr">
        <is>
          <t>pipeline con diferencia maxima 5.1e-09.</t>
        </is>
      </c>
    </row>
    <row r="25">
      <c r="A25" s="5" t="inlineStr">
        <is>
          <t xml:space="preserve">   nodo    a           b           m           probit_delta</t>
        </is>
      </c>
    </row>
    <row r="26">
      <c r="A26" s="5" t="inlineStr">
        <is>
          <t xml:space="preserve">   N1      1.825693   0.079454   1.469515   -0.160355</t>
        </is>
      </c>
    </row>
    <row r="27">
      <c r="A27" s="5" t="inlineStr">
        <is>
          <t xml:space="preserve">   N2      1.464358   0.000000   0.902603   -0.266690</t>
        </is>
      </c>
    </row>
    <row r="28">
      <c r="A28" s="5" t="inlineStr">
        <is>
          <t xml:space="preserve">   N3      1.327667   0.000000   0.949176   -0.274082</t>
        </is>
      </c>
    </row>
    <row r="29">
      <c r="A29" s="5" t="inlineStr">
        <is>
          <t xml:space="preserve">   delta_0 = +0.182368     driver {'seg_arq_salud=C': -0.03501742387469351}</t>
        </is>
      </c>
    </row>
    <row r="30">
      <c r="A30" s="5" t="inlineStr">
        <is>
          <t xml:space="preserve">   rho = 0.0332     lambda = 1.0     LRA = 6.9834%</t>
        </is>
      </c>
    </row>
    <row r="31">
      <c r="A31" s="3" t="inlineStr"/>
    </row>
    <row r="32">
      <c r="A32" s="3" t="inlineStr"/>
    </row>
    <row r="33">
      <c r="A33" s="4" t="inlineStr">
        <is>
          <t>LAS COLUMNAS "visible IBK"</t>
        </is>
      </c>
    </row>
    <row r="34">
      <c r="A34" s="3" t="inlineStr">
        <is>
          <t>Las tres fuentes del nodo -el 360, la cuenta sueldo y PLIN- son INTERNAS de</t>
        </is>
      </c>
    </row>
    <row r="35">
      <c r="A35" s="3" t="inlineStr">
        <is>
          <t>Interbank. A un cliente que IBK no ve, el nodo se lo arma desde la ausencia:</t>
        </is>
      </c>
    </row>
    <row r="36">
      <c r="A36" s="3" t="inlineStr">
        <is>
          <t>pasivo=0, cs=0, plin=0, que por el CASE cae en N3. Medido sobre la poblacion</t>
        </is>
      </c>
    </row>
    <row r="37">
      <c r="A37" s="3" t="inlineStr">
        <is>
          <t>de estas hojas, sin dato en NINGUNA de las tres fuentes:</t>
        </is>
      </c>
    </row>
    <row r="38">
      <c r="A38" s="5" t="inlineStr">
        <is>
          <t xml:space="preserve">   Interbank 9.7%   ·   BCP 62.2%   ·   Scotiabank 63.1%   ·   BBVA 61.2%</t>
        </is>
      </c>
    </row>
    <row r="39">
      <c r="A39" s="5" t="inlineStr">
        <is>
          <t xml:space="preserve">   Falabella 55.7%</t>
        </is>
      </c>
    </row>
    <row r="40">
      <c r="A40" s="3" t="inlineStr">
        <is>
          <t>Por eso el nodo se va a N3 en 88-93% fuera de IBK contra 55% adentro. No es que</t>
        </is>
      </c>
    </row>
    <row r="41">
      <c r="A41" s="3" t="inlineStr">
        <is>
          <t>esos clientes sean peores: es que IBK no los ve.</t>
        </is>
      </c>
    </row>
    <row r="42">
      <c r="A42" s="3" t="inlineStr"/>
    </row>
    <row r="43">
      <c r="A43" s="3" t="inlineStr">
        <is>
          <t>Las columnas "visible IBK" repiten el calculo solo sobre los clientes con dato</t>
        </is>
      </c>
    </row>
    <row r="44">
      <c r="A44" s="3" t="inlineStr">
        <is>
          <t>en el 360, donde el nodo si dice algo. Ahi el nodo se parece al de IBK y el</t>
        </is>
      </c>
    </row>
    <row r="45">
      <c r="A45" s="3" t="inlineStr">
        <is>
          <t>desvio se corta casi a la mitad:</t>
        </is>
      </c>
    </row>
    <row r="46">
      <c r="A46" s="5" t="inlineStr">
        <is>
          <t xml:space="preserve">   SSFF con BCP  EC +50.2% -&gt; +29.9%      SSFF sin BCP  +16.7% -&gt; +4.5%</t>
        </is>
      </c>
    </row>
    <row r="47">
      <c r="A47" s="5" t="inlineStr">
        <is>
          <t xml:space="preserve">   BBVA          EC +31.4% -&gt; +14.5%      BCP           +202.1% -&gt; +154.9%</t>
        </is>
      </c>
    </row>
    <row r="48">
      <c r="A48" s="5" t="inlineStr">
        <is>
          <t xml:space="preserve">   Interbank     EC  -9.3% -&gt;  -8.6%   (casi no se mueve: ya es 90% visible)</t>
        </is>
      </c>
    </row>
    <row r="49">
      <c r="A49" s="3" t="inlineStr">
        <is>
          <t>La mitad del desvio de SS.FF. no era riesgo, era ceguera. BCP sigue afuera de</t>
        </is>
      </c>
    </row>
    <row r="50">
      <c r="A50" s="3" t="inlineStr">
        <is>
          <t>rango en las dos lecturas, asi que ahi si hay una diferencia real.</t>
        </is>
      </c>
    </row>
    <row r="51">
      <c r="A51" s="3" t="inlineStr"/>
    </row>
    <row r="52">
      <c r="A52" s="4" t="inlineStr">
        <is>
          <t>PROYECCION DE LA MORA</t>
        </is>
      </c>
    </row>
    <row r="53">
      <c r="A53" s="3" t="inlineStr">
        <is>
          <t>Los meses sin mora 12m cerrada se proyectan por chain-ladder: se toma el ultimo</t>
        </is>
      </c>
    </row>
    <row r="54">
      <c r="A54" s="3" t="inlineStr">
        <is>
          <t>horizonte con dato y se multiplica por el factor h-&gt;12 de la propia hoja.</t>
        </is>
      </c>
    </row>
    <row r="55">
      <c r="A55" s="3" t="inlineStr">
        <is>
          <t>V1, V2 y V3 son el P25, la mediana y el P75 de los factores historicos, y solo</t>
        </is>
      </c>
    </row>
    <row r="56">
      <c r="A56" s="3" t="inlineStr">
        <is>
          <t>se calculan en las hojas de IBK.</t>
        </is>
      </c>
    </row>
    <row r="57">
      <c r="A57" s="3" t="inlineStr"/>
    </row>
    <row r="58">
      <c r="A58" s="4" t="inlineStr">
        <is>
          <t>COLUMNAS CALCULADAS</t>
        </is>
      </c>
    </row>
    <row r="59">
      <c r="A59" s="3" t="inlineStr">
        <is>
          <t>EC vigente        PD cal vigente / mora 12m  - 1</t>
        </is>
      </c>
    </row>
    <row r="60">
      <c r="A60" s="3" t="inlineStr">
        <is>
          <t>EC NUEVA          PD cal NUEVA   / mora 12m  - 1</t>
        </is>
      </c>
    </row>
    <row r="61">
      <c r="A61" s="3" t="inlineStr">
        <is>
          <t>EC NUEVA vs proy  PD cal NUEVA   / proy      - 1   (para los meses sin mora cerrada)</t>
        </is>
      </c>
    </row>
    <row r="62">
      <c r="A62" s="3" t="inlineStr">
        <is>
          <t>Son formulas vivas: si se edita una celda de entrada, el error se recalcula.</t>
        </is>
      </c>
    </row>
    <row r="63">
      <c r="A63" s="3" t="inlineStr"/>
    </row>
    <row r="64">
      <c r="A64" s="2" t="inlineStr">
        <is>
          <t>Generado por Programas/reportes/10_excel_series.py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RESUMEN</t>
        </is>
      </c>
    </row>
    <row r="2">
      <c r="A2" s="2" t="inlineStr">
        <is>
          <t>Ponderado por n sobre los meses con mora 12m cerrada. Todo formula viva.</t>
        </is>
      </c>
    </row>
    <row r="4" ht="30" customHeight="1">
      <c r="A4" s="6" t="inlineStr">
        <is>
          <t>poblacion</t>
        </is>
      </c>
      <c r="B4" s="6" t="inlineStr">
        <is>
          <t>n total</t>
        </is>
      </c>
      <c r="C4" s="6" t="inlineStr">
        <is>
          <t>PD sin calibrar</t>
        </is>
      </c>
      <c r="D4" s="6" t="inlineStr">
        <is>
          <t>PD cal vigente</t>
        </is>
      </c>
      <c r="E4" s="6" t="inlineStr">
        <is>
          <t>PD cal NUEVA</t>
        </is>
      </c>
      <c r="F4" s="6" t="inlineStr">
        <is>
          <t>mora 12m</t>
        </is>
      </c>
      <c r="G4" s="6" t="inlineStr">
        <is>
          <t>EC vigente</t>
        </is>
      </c>
      <c r="H4" s="6" t="inlineStr">
        <is>
          <t>EC NUEVA</t>
        </is>
      </c>
      <c r="I4" s="6" t="inlineStr">
        <is>
          <t>semaforo NUEVA</t>
        </is>
      </c>
      <c r="J4" s="6" t="inlineStr">
        <is>
          <t>n visible IBK</t>
        </is>
      </c>
      <c r="K4" s="6" t="inlineStr">
        <is>
          <t>% visible</t>
        </is>
      </c>
      <c r="L4" s="6" t="inlineStr">
        <is>
          <t>PD NUEVA visible</t>
        </is>
      </c>
      <c r="M4" s="6" t="inlineStr">
        <is>
          <t>mora 12m visible</t>
        </is>
      </c>
      <c r="N4" s="6" t="inlineStr">
        <is>
          <t>EC NUEVA visible</t>
        </is>
      </c>
      <c r="O4" s="6" t="inlineStr">
        <is>
          <t>semaforo visible</t>
        </is>
      </c>
    </row>
    <row r="5">
      <c r="A5" s="7" t="inlineStr">
        <is>
          <t>IBK_general</t>
        </is>
      </c>
      <c r="B5" s="8">
        <f>SUMPRODUCT(ISNUMBER('IBK_general'!$O$5:$O$43)*'IBK_general'!$B$5:$B$43)</f>
        <v/>
      </c>
      <c r="C5" s="9">
        <f>IFERROR(SUMPRODUCT(ISNUMBER('IBK_general'!$O$5:$O$43)*'IBK_general'!$B$5:$B$43*'IBK_general'!$C$5:$C$43)/SUMPRODUCT(ISNUMBER('IBK_general'!$O$5:$O$43)*'IBK_general'!$B$5:$B$43),"")</f>
        <v/>
      </c>
      <c r="D5" s="9">
        <f>IFERROR(SUMPRODUCT(ISNUMBER('IBK_general'!$O$5:$O$43)*'IBK_general'!$B$5:$B$43*'IBK_general'!$D$5:$D$43)/SUMPRODUCT(ISNUMBER('IBK_general'!$O$5:$O$43)*'IBK_general'!$B$5:$B$43),"")</f>
        <v/>
      </c>
      <c r="E5" s="9">
        <f>IFERROR(SUMPRODUCT(ISNUMBER('IBK_general'!$O$5:$O$43)*'IBK_general'!$B$5:$B$43*'IBK_general'!$E$5:$E$43)/SUMPRODUCT(ISNUMBER('IBK_general'!$O$5:$O$43)*'IBK_general'!$B$5:$B$43),"")</f>
        <v/>
      </c>
      <c r="F5" s="9">
        <f>IFERROR(SUMPRODUCT(ISNUMBER('IBK_general'!$O$5:$O$43)*'IBK_general'!$B$5:$B$43*'IBK_general'!$O$5:$O$43)/SUMPRODUCT(ISNUMBER('IBK_general'!$O$5:$O$43)*'IBK_general'!$B$5:$B$43),"")</f>
        <v/>
      </c>
      <c r="G5" s="10">
        <f>IFERROR(D5/F5-1,"")</f>
        <v/>
      </c>
      <c r="H5" s="10">
        <f>IFERROR(E5/F5-1,"")</f>
        <v/>
      </c>
      <c r="I5" s="7">
        <f>IF(H5="","",IF(OR(H5&lt;-0.25,H5&gt;0.3),"ROJO",IF(OR(H5&lt;-0.1,H5&gt;0.15),"AMBAR","VERDE")))</f>
        <v/>
      </c>
      <c r="J5" s="8">
        <f>SUMPRODUCT(ISNUMBER('IBK_general'!$AA$5:$AA$43)*'IBK_general'!$Y$5:$Y$43)</f>
        <v/>
      </c>
      <c r="K5" s="10">
        <f>IFERROR(J5/B5,"")</f>
        <v/>
      </c>
      <c r="L5" s="9">
        <f>IFERROR(SUMPRODUCT(ISNUMBER('IBK_general'!$AA$5:$AA$43)*'IBK_general'!$Y$5:$Y$43*'IBK_general'!$Z$5:$Z$43)/SUMPRODUCT(ISNUMBER('IBK_general'!$AA$5:$AA$43)*'IBK_general'!$Y$5:$Y$43),"")</f>
        <v/>
      </c>
      <c r="M5" s="9">
        <f>IFERROR(SUMPRODUCT(ISNUMBER('IBK_general'!$AA$5:$AA$43)*'IBK_general'!$Y$5:$Y$43*'IBK_general'!$AA$5:$AA$43)/SUMPRODUCT(ISNUMBER('IBK_general'!$AA$5:$AA$43)*'IBK_general'!$Y$5:$Y$43),"")</f>
        <v/>
      </c>
      <c r="N5" s="10">
        <f>IFERROR(L5/M5-1,"")</f>
        <v/>
      </c>
      <c r="O5" s="7">
        <f>IF(N5="","",IF(OR(N5&lt;-0.25,N5&gt;0.3),"ROJO",IF(OR(N5&lt;-0.1,N5&gt;0.15),"AMBAR","VERDE")))</f>
        <v/>
      </c>
    </row>
    <row r="6">
      <c r="A6" s="7" t="inlineStr">
        <is>
          <t>IBK_N1</t>
        </is>
      </c>
      <c r="B6" s="8">
        <f>SUMPRODUCT(ISNUMBER('IBK_N1'!$O$5:$O$43)*'IBK_N1'!$B$5:$B$43)</f>
        <v/>
      </c>
      <c r="C6" s="9">
        <f>IFERROR(SUMPRODUCT(ISNUMBER('IBK_N1'!$O$5:$O$43)*'IBK_N1'!$B$5:$B$43*'IBK_N1'!$C$5:$C$43)/SUMPRODUCT(ISNUMBER('IBK_N1'!$O$5:$O$43)*'IBK_N1'!$B$5:$B$43),"")</f>
        <v/>
      </c>
      <c r="D6" s="9">
        <f>IFERROR(SUMPRODUCT(ISNUMBER('IBK_N1'!$O$5:$O$43)*'IBK_N1'!$B$5:$B$43*'IBK_N1'!$D$5:$D$43)/SUMPRODUCT(ISNUMBER('IBK_N1'!$O$5:$O$43)*'IBK_N1'!$B$5:$B$43),"")</f>
        <v/>
      </c>
      <c r="E6" s="9">
        <f>IFERROR(SUMPRODUCT(ISNUMBER('IBK_N1'!$O$5:$O$43)*'IBK_N1'!$B$5:$B$43*'IBK_N1'!$E$5:$E$43)/SUMPRODUCT(ISNUMBER('IBK_N1'!$O$5:$O$43)*'IBK_N1'!$B$5:$B$43),"")</f>
        <v/>
      </c>
      <c r="F6" s="9">
        <f>IFERROR(SUMPRODUCT(ISNUMBER('IBK_N1'!$O$5:$O$43)*'IBK_N1'!$B$5:$B$43*'IBK_N1'!$O$5:$O$43)/SUMPRODUCT(ISNUMBER('IBK_N1'!$O$5:$O$43)*'IBK_N1'!$B$5:$B$43),"")</f>
        <v/>
      </c>
      <c r="G6" s="10">
        <f>IFERROR(D6/F6-1,"")</f>
        <v/>
      </c>
      <c r="H6" s="10">
        <f>IFERROR(E6/F6-1,"")</f>
        <v/>
      </c>
      <c r="I6" s="7">
        <f>IF(H6="","",IF(OR(H6&lt;-0.25,H6&gt;0.3),"ROJO",IF(OR(H6&lt;-0.1,H6&gt;0.15),"AMBAR","VERDE")))</f>
        <v/>
      </c>
      <c r="J6" s="8">
        <f>SUMPRODUCT(ISNUMBER('IBK_N1'!$AA$5:$AA$43)*'IBK_N1'!$Y$5:$Y$43)</f>
        <v/>
      </c>
      <c r="K6" s="10">
        <f>IFERROR(J6/B6,"")</f>
        <v/>
      </c>
      <c r="L6" s="9">
        <f>IFERROR(SUMPRODUCT(ISNUMBER('IBK_N1'!$AA$5:$AA$43)*'IBK_N1'!$Y$5:$Y$43*'IBK_N1'!$Z$5:$Z$43)/SUMPRODUCT(ISNUMBER('IBK_N1'!$AA$5:$AA$43)*'IBK_N1'!$Y$5:$Y$43),"")</f>
        <v/>
      </c>
      <c r="M6" s="9">
        <f>IFERROR(SUMPRODUCT(ISNUMBER('IBK_N1'!$AA$5:$AA$43)*'IBK_N1'!$Y$5:$Y$43*'IBK_N1'!$AA$5:$AA$43)/SUMPRODUCT(ISNUMBER('IBK_N1'!$AA$5:$AA$43)*'IBK_N1'!$Y$5:$Y$43),"")</f>
        <v/>
      </c>
      <c r="N6" s="10">
        <f>IFERROR(L6/M6-1,"")</f>
        <v/>
      </c>
      <c r="O6" s="7">
        <f>IF(N6="","",IF(OR(N6&lt;-0.25,N6&gt;0.3),"ROJO",IF(OR(N6&lt;-0.1,N6&gt;0.15),"AMBAR","VERDE")))</f>
        <v/>
      </c>
    </row>
    <row r="7">
      <c r="A7" s="7" t="inlineStr">
        <is>
          <t>IBK_N2</t>
        </is>
      </c>
      <c r="B7" s="8">
        <f>SUMPRODUCT(ISNUMBER('IBK_N2'!$O$5:$O$43)*'IBK_N2'!$B$5:$B$43)</f>
        <v/>
      </c>
      <c r="C7" s="9">
        <f>IFERROR(SUMPRODUCT(ISNUMBER('IBK_N2'!$O$5:$O$43)*'IBK_N2'!$B$5:$B$43*'IBK_N2'!$C$5:$C$43)/SUMPRODUCT(ISNUMBER('IBK_N2'!$O$5:$O$43)*'IBK_N2'!$B$5:$B$43),"")</f>
        <v/>
      </c>
      <c r="D7" s="9">
        <f>IFERROR(SUMPRODUCT(ISNUMBER('IBK_N2'!$O$5:$O$43)*'IBK_N2'!$B$5:$B$43*'IBK_N2'!$D$5:$D$43)/SUMPRODUCT(ISNUMBER('IBK_N2'!$O$5:$O$43)*'IBK_N2'!$B$5:$B$43),"")</f>
        <v/>
      </c>
      <c r="E7" s="9">
        <f>IFERROR(SUMPRODUCT(ISNUMBER('IBK_N2'!$O$5:$O$43)*'IBK_N2'!$B$5:$B$43*'IBK_N2'!$E$5:$E$43)/SUMPRODUCT(ISNUMBER('IBK_N2'!$O$5:$O$43)*'IBK_N2'!$B$5:$B$43),"")</f>
        <v/>
      </c>
      <c r="F7" s="9">
        <f>IFERROR(SUMPRODUCT(ISNUMBER('IBK_N2'!$O$5:$O$43)*'IBK_N2'!$B$5:$B$43*'IBK_N2'!$O$5:$O$43)/SUMPRODUCT(ISNUMBER('IBK_N2'!$O$5:$O$43)*'IBK_N2'!$B$5:$B$43),"")</f>
        <v/>
      </c>
      <c r="G7" s="10">
        <f>IFERROR(D7/F7-1,"")</f>
        <v/>
      </c>
      <c r="H7" s="10">
        <f>IFERROR(E7/F7-1,"")</f>
        <v/>
      </c>
      <c r="I7" s="7">
        <f>IF(H7="","",IF(OR(H7&lt;-0.25,H7&gt;0.3),"ROJO",IF(OR(H7&lt;-0.1,H7&gt;0.15),"AMBAR","VERDE")))</f>
        <v/>
      </c>
      <c r="J7" s="8">
        <f>SUMPRODUCT(ISNUMBER('IBK_N2'!$AA$5:$AA$43)*'IBK_N2'!$Y$5:$Y$43)</f>
        <v/>
      </c>
      <c r="K7" s="10">
        <f>IFERROR(J7/B7,"")</f>
        <v/>
      </c>
      <c r="L7" s="9">
        <f>IFERROR(SUMPRODUCT(ISNUMBER('IBK_N2'!$AA$5:$AA$43)*'IBK_N2'!$Y$5:$Y$43*'IBK_N2'!$Z$5:$Z$43)/SUMPRODUCT(ISNUMBER('IBK_N2'!$AA$5:$AA$43)*'IBK_N2'!$Y$5:$Y$43),"")</f>
        <v/>
      </c>
      <c r="M7" s="9">
        <f>IFERROR(SUMPRODUCT(ISNUMBER('IBK_N2'!$AA$5:$AA$43)*'IBK_N2'!$Y$5:$Y$43*'IBK_N2'!$AA$5:$AA$43)/SUMPRODUCT(ISNUMBER('IBK_N2'!$AA$5:$AA$43)*'IBK_N2'!$Y$5:$Y$43),"")</f>
        <v/>
      </c>
      <c r="N7" s="10">
        <f>IFERROR(L7/M7-1,"")</f>
        <v/>
      </c>
      <c r="O7" s="7">
        <f>IF(N7="","",IF(OR(N7&lt;-0.25,N7&gt;0.3),"ROJO",IF(OR(N7&lt;-0.1,N7&gt;0.15),"AMBAR","VERDE")))</f>
        <v/>
      </c>
    </row>
    <row r="8">
      <c r="A8" s="7" t="inlineStr">
        <is>
          <t>IBK_N3</t>
        </is>
      </c>
      <c r="B8" s="8">
        <f>SUMPRODUCT(ISNUMBER('IBK_N3'!$O$5:$O$43)*'IBK_N3'!$B$5:$B$43)</f>
        <v/>
      </c>
      <c r="C8" s="9">
        <f>IFERROR(SUMPRODUCT(ISNUMBER('IBK_N3'!$O$5:$O$43)*'IBK_N3'!$B$5:$B$43*'IBK_N3'!$C$5:$C$43)/SUMPRODUCT(ISNUMBER('IBK_N3'!$O$5:$O$43)*'IBK_N3'!$B$5:$B$43),"")</f>
        <v/>
      </c>
      <c r="D8" s="9">
        <f>IFERROR(SUMPRODUCT(ISNUMBER('IBK_N3'!$O$5:$O$43)*'IBK_N3'!$B$5:$B$43*'IBK_N3'!$D$5:$D$43)/SUMPRODUCT(ISNUMBER('IBK_N3'!$O$5:$O$43)*'IBK_N3'!$B$5:$B$43),"")</f>
        <v/>
      </c>
      <c r="E8" s="9">
        <f>IFERROR(SUMPRODUCT(ISNUMBER('IBK_N3'!$O$5:$O$43)*'IBK_N3'!$B$5:$B$43*'IBK_N3'!$E$5:$E$43)/SUMPRODUCT(ISNUMBER('IBK_N3'!$O$5:$O$43)*'IBK_N3'!$B$5:$B$43),"")</f>
        <v/>
      </c>
      <c r="F8" s="9">
        <f>IFERROR(SUMPRODUCT(ISNUMBER('IBK_N3'!$O$5:$O$43)*'IBK_N3'!$B$5:$B$43*'IBK_N3'!$O$5:$O$43)/SUMPRODUCT(ISNUMBER('IBK_N3'!$O$5:$O$43)*'IBK_N3'!$B$5:$B$43),"")</f>
        <v/>
      </c>
      <c r="G8" s="10">
        <f>IFERROR(D8/F8-1,"")</f>
        <v/>
      </c>
      <c r="H8" s="10">
        <f>IFERROR(E8/F8-1,"")</f>
        <v/>
      </c>
      <c r="I8" s="7">
        <f>IF(H8="","",IF(OR(H8&lt;-0.25,H8&gt;0.3),"ROJO",IF(OR(H8&lt;-0.1,H8&gt;0.15),"AMBAR","VERDE")))</f>
        <v/>
      </c>
      <c r="J8" s="8">
        <f>SUMPRODUCT(ISNUMBER('IBK_N3'!$AA$5:$AA$43)*'IBK_N3'!$Y$5:$Y$43)</f>
        <v/>
      </c>
      <c r="K8" s="10">
        <f>IFERROR(J8/B8,"")</f>
        <v/>
      </c>
      <c r="L8" s="9">
        <f>IFERROR(SUMPRODUCT(ISNUMBER('IBK_N3'!$AA$5:$AA$43)*'IBK_N3'!$Y$5:$Y$43*'IBK_N3'!$Z$5:$Z$43)/SUMPRODUCT(ISNUMBER('IBK_N3'!$AA$5:$AA$43)*'IBK_N3'!$Y$5:$Y$43),"")</f>
        <v/>
      </c>
      <c r="M8" s="9">
        <f>IFERROR(SUMPRODUCT(ISNUMBER('IBK_N3'!$AA$5:$AA$43)*'IBK_N3'!$Y$5:$Y$43*'IBK_N3'!$AA$5:$AA$43)/SUMPRODUCT(ISNUMBER('IBK_N3'!$AA$5:$AA$43)*'IBK_N3'!$Y$5:$Y$43),"")</f>
        <v/>
      </c>
      <c r="N8" s="10">
        <f>IFERROR(L8/M8-1,"")</f>
        <v/>
      </c>
      <c r="O8" s="7">
        <f>IF(N8="","",IF(OR(N8&lt;-0.25,N8&gt;0.3),"ROJO",IF(OR(N8&lt;-0.1,N8&gt;0.15),"AMBAR","VERDE")))</f>
        <v/>
      </c>
    </row>
    <row r="9">
      <c r="A9" s="7" t="inlineStr">
        <is>
          <t>SSFF_con_BCP</t>
        </is>
      </c>
      <c r="B9" s="8">
        <f>SUMPRODUCT(ISNUMBER('SSFF_con_BCP'!$O$5:$O$43)*'SSFF_con_BCP'!$B$5:$B$43)</f>
        <v/>
      </c>
      <c r="C9" s="9">
        <f>IFERROR(SUMPRODUCT(ISNUMBER('SSFF_con_BCP'!$O$5:$O$43)*'SSFF_con_BCP'!$B$5:$B$43*'SSFF_con_BCP'!$C$5:$C$43)/SUMPRODUCT(ISNUMBER('SSFF_con_BCP'!$O$5:$O$43)*'SSFF_con_BCP'!$B$5:$B$43),"")</f>
        <v/>
      </c>
      <c r="D9" s="9">
        <f>IFERROR(SUMPRODUCT(ISNUMBER('SSFF_con_BCP'!$O$5:$O$43)*'SSFF_con_BCP'!$B$5:$B$43*'SSFF_con_BCP'!$D$5:$D$43)/SUMPRODUCT(ISNUMBER('SSFF_con_BCP'!$O$5:$O$43)*'SSFF_con_BCP'!$B$5:$B$43),"")</f>
        <v/>
      </c>
      <c r="E9" s="9">
        <f>IFERROR(SUMPRODUCT(ISNUMBER('SSFF_con_BCP'!$O$5:$O$43)*'SSFF_con_BCP'!$B$5:$B$43*'SSFF_con_BCP'!$E$5:$E$43)/SUMPRODUCT(ISNUMBER('SSFF_con_BCP'!$O$5:$O$43)*'SSFF_con_BCP'!$B$5:$B$43),"")</f>
        <v/>
      </c>
      <c r="F9" s="9">
        <f>IFERROR(SUMPRODUCT(ISNUMBER('SSFF_con_BCP'!$O$5:$O$43)*'SSFF_con_BCP'!$B$5:$B$43*'SSFF_con_BCP'!$O$5:$O$43)/SUMPRODUCT(ISNUMBER('SSFF_con_BCP'!$O$5:$O$43)*'SSFF_con_BCP'!$B$5:$B$43),"")</f>
        <v/>
      </c>
      <c r="G9" s="10">
        <f>IFERROR(D9/F9-1,"")</f>
        <v/>
      </c>
      <c r="H9" s="10">
        <f>IFERROR(E9/F9-1,"")</f>
        <v/>
      </c>
      <c r="I9" s="7">
        <f>IF(H9="","",IF(OR(H9&lt;-0.25,H9&gt;0.3),"ROJO",IF(OR(H9&lt;-0.1,H9&gt;0.15),"AMBAR","VERDE")))</f>
        <v/>
      </c>
      <c r="J9" s="8">
        <f>SUMPRODUCT(ISNUMBER('SSFF_con_BCP'!$X$5:$X$43)*'SSFF_con_BCP'!$V$5:$V$43)</f>
        <v/>
      </c>
      <c r="K9" s="10">
        <f>IFERROR(J9/B9,"")</f>
        <v/>
      </c>
      <c r="L9" s="9">
        <f>IFERROR(SUMPRODUCT(ISNUMBER('SSFF_con_BCP'!$X$5:$X$43)*'SSFF_con_BCP'!$V$5:$V$43*'SSFF_con_BCP'!$W$5:$W$43)/SUMPRODUCT(ISNUMBER('SSFF_con_BCP'!$X$5:$X$43)*'SSFF_con_BCP'!$V$5:$V$43),"")</f>
        <v/>
      </c>
      <c r="M9" s="9">
        <f>IFERROR(SUMPRODUCT(ISNUMBER('SSFF_con_BCP'!$X$5:$X$43)*'SSFF_con_BCP'!$V$5:$V$43*'SSFF_con_BCP'!$X$5:$X$43)/SUMPRODUCT(ISNUMBER('SSFF_con_BCP'!$X$5:$X$43)*'SSFF_con_BCP'!$V$5:$V$43),"")</f>
        <v/>
      </c>
      <c r="N9" s="10">
        <f>IFERROR(L9/M9-1,"")</f>
        <v/>
      </c>
      <c r="O9" s="7">
        <f>IF(N9="","",IF(OR(N9&lt;-0.25,N9&gt;0.3),"ROJO",IF(OR(N9&lt;-0.1,N9&gt;0.15),"AMBAR","VERDE")))</f>
        <v/>
      </c>
    </row>
    <row r="10">
      <c r="A10" s="7" t="inlineStr">
        <is>
          <t>SSFF_sin_BCP</t>
        </is>
      </c>
      <c r="B10" s="8">
        <f>SUMPRODUCT(ISNUMBER('SSFF_sin_BCP'!$O$5:$O$43)*'SSFF_sin_BCP'!$B$5:$B$43)</f>
        <v/>
      </c>
      <c r="C10" s="9">
        <f>IFERROR(SUMPRODUCT(ISNUMBER('SSFF_sin_BCP'!$O$5:$O$43)*'SSFF_sin_BCP'!$B$5:$B$43*'SSFF_sin_BCP'!$C$5:$C$43)/SUMPRODUCT(ISNUMBER('SSFF_sin_BCP'!$O$5:$O$43)*'SSFF_sin_BCP'!$B$5:$B$43),"")</f>
        <v/>
      </c>
      <c r="D10" s="9">
        <f>IFERROR(SUMPRODUCT(ISNUMBER('SSFF_sin_BCP'!$O$5:$O$43)*'SSFF_sin_BCP'!$B$5:$B$43*'SSFF_sin_BCP'!$D$5:$D$43)/SUMPRODUCT(ISNUMBER('SSFF_sin_BCP'!$O$5:$O$43)*'SSFF_sin_BCP'!$B$5:$B$43),"")</f>
        <v/>
      </c>
      <c r="E10" s="9">
        <f>IFERROR(SUMPRODUCT(ISNUMBER('SSFF_sin_BCP'!$O$5:$O$43)*'SSFF_sin_BCP'!$B$5:$B$43*'SSFF_sin_BCP'!$E$5:$E$43)/SUMPRODUCT(ISNUMBER('SSFF_sin_BCP'!$O$5:$O$43)*'SSFF_sin_BCP'!$B$5:$B$43),"")</f>
        <v/>
      </c>
      <c r="F10" s="9">
        <f>IFERROR(SUMPRODUCT(ISNUMBER('SSFF_sin_BCP'!$O$5:$O$43)*'SSFF_sin_BCP'!$B$5:$B$43*'SSFF_sin_BCP'!$O$5:$O$43)/SUMPRODUCT(ISNUMBER('SSFF_sin_BCP'!$O$5:$O$43)*'SSFF_sin_BCP'!$B$5:$B$43),"")</f>
        <v/>
      </c>
      <c r="G10" s="10">
        <f>IFERROR(D10/F10-1,"")</f>
        <v/>
      </c>
      <c r="H10" s="10">
        <f>IFERROR(E10/F10-1,"")</f>
        <v/>
      </c>
      <c r="I10" s="7">
        <f>IF(H10="","",IF(OR(H10&lt;-0.25,H10&gt;0.3),"ROJO",IF(OR(H10&lt;-0.1,H10&gt;0.15),"AMBAR","VERDE")))</f>
        <v/>
      </c>
      <c r="J10" s="8">
        <f>SUMPRODUCT(ISNUMBER('SSFF_sin_BCP'!$X$5:$X$43)*'SSFF_sin_BCP'!$V$5:$V$43)</f>
        <v/>
      </c>
      <c r="K10" s="10">
        <f>IFERROR(J10/B10,"")</f>
        <v/>
      </c>
      <c r="L10" s="9">
        <f>IFERROR(SUMPRODUCT(ISNUMBER('SSFF_sin_BCP'!$X$5:$X$43)*'SSFF_sin_BCP'!$V$5:$V$43*'SSFF_sin_BCP'!$W$5:$W$43)/SUMPRODUCT(ISNUMBER('SSFF_sin_BCP'!$X$5:$X$43)*'SSFF_sin_BCP'!$V$5:$V$43),"")</f>
        <v/>
      </c>
      <c r="M10" s="9">
        <f>IFERROR(SUMPRODUCT(ISNUMBER('SSFF_sin_BCP'!$X$5:$X$43)*'SSFF_sin_BCP'!$V$5:$V$43*'SSFF_sin_BCP'!$X$5:$X$43)/SUMPRODUCT(ISNUMBER('SSFF_sin_BCP'!$X$5:$X$43)*'SSFF_sin_BCP'!$V$5:$V$43),"")</f>
        <v/>
      </c>
      <c r="N10" s="10">
        <f>IFERROR(L10/M10-1,"")</f>
        <v/>
      </c>
      <c r="O10" s="7">
        <f>IF(N10="","",IF(OR(N10&lt;-0.25,N10&gt;0.3),"ROJO",IF(OR(N10&lt;-0.1,N10&gt;0.15),"AMBAR","VERDE")))</f>
        <v/>
      </c>
    </row>
    <row r="11">
      <c r="A11" s="7" t="inlineStr">
        <is>
          <t>SISTEMA_5</t>
        </is>
      </c>
      <c r="B11" s="8">
        <f>SUMPRODUCT(ISNUMBER('SISTEMA_5'!$O$5:$O$43)*'SISTEMA_5'!$B$5:$B$43)</f>
        <v/>
      </c>
      <c r="C11" s="9">
        <f>IFERROR(SUMPRODUCT(ISNUMBER('SISTEMA_5'!$O$5:$O$43)*'SISTEMA_5'!$B$5:$B$43*'SISTEMA_5'!$C$5:$C$43)/SUMPRODUCT(ISNUMBER('SISTEMA_5'!$O$5:$O$43)*'SISTEMA_5'!$B$5:$B$43),"")</f>
        <v/>
      </c>
      <c r="D11" s="9">
        <f>IFERROR(SUMPRODUCT(ISNUMBER('SISTEMA_5'!$O$5:$O$43)*'SISTEMA_5'!$B$5:$B$43*'SISTEMA_5'!$D$5:$D$43)/SUMPRODUCT(ISNUMBER('SISTEMA_5'!$O$5:$O$43)*'SISTEMA_5'!$B$5:$B$43),"")</f>
        <v/>
      </c>
      <c r="E11" s="9">
        <f>IFERROR(SUMPRODUCT(ISNUMBER('SISTEMA_5'!$O$5:$O$43)*'SISTEMA_5'!$B$5:$B$43*'SISTEMA_5'!$E$5:$E$43)/SUMPRODUCT(ISNUMBER('SISTEMA_5'!$O$5:$O$43)*'SISTEMA_5'!$B$5:$B$43),"")</f>
        <v/>
      </c>
      <c r="F11" s="9">
        <f>IFERROR(SUMPRODUCT(ISNUMBER('SISTEMA_5'!$O$5:$O$43)*'SISTEMA_5'!$B$5:$B$43*'SISTEMA_5'!$O$5:$O$43)/SUMPRODUCT(ISNUMBER('SISTEMA_5'!$O$5:$O$43)*'SISTEMA_5'!$B$5:$B$43),"")</f>
        <v/>
      </c>
      <c r="G11" s="10">
        <f>IFERROR(D11/F11-1,"")</f>
        <v/>
      </c>
      <c r="H11" s="10">
        <f>IFERROR(E11/F11-1,"")</f>
        <v/>
      </c>
      <c r="I11" s="7">
        <f>IF(H11="","",IF(OR(H11&lt;-0.25,H11&gt;0.3),"ROJO",IF(OR(H11&lt;-0.1,H11&gt;0.15),"AMBAR","VERDE")))</f>
        <v/>
      </c>
      <c r="J11" s="8">
        <f>SUMPRODUCT(ISNUMBER('SISTEMA_5'!$X$5:$X$43)*'SISTEMA_5'!$V$5:$V$43)</f>
        <v/>
      </c>
      <c r="K11" s="10">
        <f>IFERROR(J11/B11,"")</f>
        <v/>
      </c>
      <c r="L11" s="9">
        <f>IFERROR(SUMPRODUCT(ISNUMBER('SISTEMA_5'!$X$5:$X$43)*'SISTEMA_5'!$V$5:$V$43*'SISTEMA_5'!$W$5:$W$43)/SUMPRODUCT(ISNUMBER('SISTEMA_5'!$X$5:$X$43)*'SISTEMA_5'!$V$5:$V$43),"")</f>
        <v/>
      </c>
      <c r="M11" s="9">
        <f>IFERROR(SUMPRODUCT(ISNUMBER('SISTEMA_5'!$X$5:$X$43)*'SISTEMA_5'!$V$5:$V$43*'SISTEMA_5'!$X$5:$X$43)/SUMPRODUCT(ISNUMBER('SISTEMA_5'!$X$5:$X$43)*'SISTEMA_5'!$V$5:$V$43),"")</f>
        <v/>
      </c>
      <c r="N11" s="10">
        <f>IFERROR(L11/M11-1,"")</f>
        <v/>
      </c>
      <c r="O11" s="7">
        <f>IF(N11="","",IF(OR(N11&lt;-0.25,N11&gt;0.3),"ROJO",IF(OR(N11&lt;-0.1,N11&gt;0.15),"AMBAR","VERDE")))</f>
        <v/>
      </c>
    </row>
    <row r="12">
      <c r="A12" s="7" t="inlineStr">
        <is>
          <t>ENT_00001_BCP</t>
        </is>
      </c>
      <c r="B12" s="8">
        <f>SUMPRODUCT(ISNUMBER('ENT_00001_BCP'!$O$5:$O$43)*'ENT_00001_BCP'!$B$5:$B$43)</f>
        <v/>
      </c>
      <c r="C12" s="9">
        <f>IFERROR(SUMPRODUCT(ISNUMBER('ENT_00001_BCP'!$O$5:$O$43)*'ENT_00001_BCP'!$B$5:$B$43*'ENT_00001_BCP'!$C$5:$C$43)/SUMPRODUCT(ISNUMBER('ENT_00001_BCP'!$O$5:$O$43)*'ENT_00001_BCP'!$B$5:$B$43),"")</f>
        <v/>
      </c>
      <c r="D12" s="9">
        <f>IFERROR(SUMPRODUCT(ISNUMBER('ENT_00001_BCP'!$O$5:$O$43)*'ENT_00001_BCP'!$B$5:$B$43*'ENT_00001_BCP'!$D$5:$D$43)/SUMPRODUCT(ISNUMBER('ENT_00001_BCP'!$O$5:$O$43)*'ENT_00001_BCP'!$B$5:$B$43),"")</f>
        <v/>
      </c>
      <c r="E12" s="9">
        <f>IFERROR(SUMPRODUCT(ISNUMBER('ENT_00001_BCP'!$O$5:$O$43)*'ENT_00001_BCP'!$B$5:$B$43*'ENT_00001_BCP'!$E$5:$E$43)/SUMPRODUCT(ISNUMBER('ENT_00001_BCP'!$O$5:$O$43)*'ENT_00001_BCP'!$B$5:$B$43),"")</f>
        <v/>
      </c>
      <c r="F12" s="9">
        <f>IFERROR(SUMPRODUCT(ISNUMBER('ENT_00001_BCP'!$O$5:$O$43)*'ENT_00001_BCP'!$B$5:$B$43*'ENT_00001_BCP'!$O$5:$O$43)/SUMPRODUCT(ISNUMBER('ENT_00001_BCP'!$O$5:$O$43)*'ENT_00001_BCP'!$B$5:$B$43),"")</f>
        <v/>
      </c>
      <c r="G12" s="10">
        <f>IFERROR(D12/F12-1,"")</f>
        <v/>
      </c>
      <c r="H12" s="10">
        <f>IFERROR(E12/F12-1,"")</f>
        <v/>
      </c>
      <c r="I12" s="7">
        <f>IF(H12="","",IF(OR(H12&lt;-0.25,H12&gt;0.3),"ROJO",IF(OR(H12&lt;-0.1,H12&gt;0.15),"AMBAR","VERDE")))</f>
        <v/>
      </c>
      <c r="J12" s="8">
        <f>SUMPRODUCT(ISNUMBER('ENT_00001_BCP'!$X$5:$X$43)*'ENT_00001_BCP'!$V$5:$V$43)</f>
        <v/>
      </c>
      <c r="K12" s="10">
        <f>IFERROR(J12/B12,"")</f>
        <v/>
      </c>
      <c r="L12" s="9">
        <f>IFERROR(SUMPRODUCT(ISNUMBER('ENT_00001_BCP'!$X$5:$X$43)*'ENT_00001_BCP'!$V$5:$V$43*'ENT_00001_BCP'!$W$5:$W$43)/SUMPRODUCT(ISNUMBER('ENT_00001_BCP'!$X$5:$X$43)*'ENT_00001_BCP'!$V$5:$V$43),"")</f>
        <v/>
      </c>
      <c r="M12" s="9">
        <f>IFERROR(SUMPRODUCT(ISNUMBER('ENT_00001_BCP'!$X$5:$X$43)*'ENT_00001_BCP'!$V$5:$V$43*'ENT_00001_BCP'!$X$5:$X$43)/SUMPRODUCT(ISNUMBER('ENT_00001_BCP'!$X$5:$X$43)*'ENT_00001_BCP'!$V$5:$V$43),"")</f>
        <v/>
      </c>
      <c r="N12" s="10">
        <f>IFERROR(L12/M12-1,"")</f>
        <v/>
      </c>
      <c r="O12" s="7">
        <f>IF(N12="","",IF(OR(N12&lt;-0.25,N12&gt;0.3),"ROJO",IF(OR(N12&lt;-0.1,N12&gt;0.15),"AMBAR","VERDE")))</f>
        <v/>
      </c>
    </row>
    <row r="13">
      <c r="A13" s="7" t="inlineStr">
        <is>
          <t>ENT_00006_BBVA</t>
        </is>
      </c>
      <c r="B13" s="8">
        <f>SUMPRODUCT(ISNUMBER('ENT_00006_BBVA'!$O$5:$O$43)*'ENT_00006_BBVA'!$B$5:$B$43)</f>
        <v/>
      </c>
      <c r="C13" s="9">
        <f>IFERROR(SUMPRODUCT(ISNUMBER('ENT_00006_BBVA'!$O$5:$O$43)*'ENT_00006_BBVA'!$B$5:$B$43*'ENT_00006_BBVA'!$C$5:$C$43)/SUMPRODUCT(ISNUMBER('ENT_00006_BBVA'!$O$5:$O$43)*'ENT_00006_BBVA'!$B$5:$B$43),"")</f>
        <v/>
      </c>
      <c r="D13" s="9">
        <f>IFERROR(SUMPRODUCT(ISNUMBER('ENT_00006_BBVA'!$O$5:$O$43)*'ENT_00006_BBVA'!$B$5:$B$43*'ENT_00006_BBVA'!$D$5:$D$43)/SUMPRODUCT(ISNUMBER('ENT_00006_BBVA'!$O$5:$O$43)*'ENT_00006_BBVA'!$B$5:$B$43),"")</f>
        <v/>
      </c>
      <c r="E13" s="9">
        <f>IFERROR(SUMPRODUCT(ISNUMBER('ENT_00006_BBVA'!$O$5:$O$43)*'ENT_00006_BBVA'!$B$5:$B$43*'ENT_00006_BBVA'!$E$5:$E$43)/SUMPRODUCT(ISNUMBER('ENT_00006_BBVA'!$O$5:$O$43)*'ENT_00006_BBVA'!$B$5:$B$43),"")</f>
        <v/>
      </c>
      <c r="F13" s="9">
        <f>IFERROR(SUMPRODUCT(ISNUMBER('ENT_00006_BBVA'!$O$5:$O$43)*'ENT_00006_BBVA'!$B$5:$B$43*'ENT_00006_BBVA'!$O$5:$O$43)/SUMPRODUCT(ISNUMBER('ENT_00006_BBVA'!$O$5:$O$43)*'ENT_00006_BBVA'!$B$5:$B$43),"")</f>
        <v/>
      </c>
      <c r="G13" s="10">
        <f>IFERROR(D13/F13-1,"")</f>
        <v/>
      </c>
      <c r="H13" s="10">
        <f>IFERROR(E13/F13-1,"")</f>
        <v/>
      </c>
      <c r="I13" s="7">
        <f>IF(H13="","",IF(OR(H13&lt;-0.25,H13&gt;0.3),"ROJO",IF(OR(H13&lt;-0.1,H13&gt;0.15),"AMBAR","VERDE")))</f>
        <v/>
      </c>
      <c r="J13" s="8">
        <f>SUMPRODUCT(ISNUMBER('ENT_00006_BBVA'!$X$5:$X$43)*'ENT_00006_BBVA'!$V$5:$V$43)</f>
        <v/>
      </c>
      <c r="K13" s="10">
        <f>IFERROR(J13/B13,"")</f>
        <v/>
      </c>
      <c r="L13" s="9">
        <f>IFERROR(SUMPRODUCT(ISNUMBER('ENT_00006_BBVA'!$X$5:$X$43)*'ENT_00006_BBVA'!$V$5:$V$43*'ENT_00006_BBVA'!$W$5:$W$43)/SUMPRODUCT(ISNUMBER('ENT_00006_BBVA'!$X$5:$X$43)*'ENT_00006_BBVA'!$V$5:$V$43),"")</f>
        <v/>
      </c>
      <c r="M13" s="9">
        <f>IFERROR(SUMPRODUCT(ISNUMBER('ENT_00006_BBVA'!$X$5:$X$43)*'ENT_00006_BBVA'!$V$5:$V$43*'ENT_00006_BBVA'!$X$5:$X$43)/SUMPRODUCT(ISNUMBER('ENT_00006_BBVA'!$X$5:$X$43)*'ENT_00006_BBVA'!$V$5:$V$43),"")</f>
        <v/>
      </c>
      <c r="N13" s="10">
        <f>IFERROR(L13/M13-1,"")</f>
        <v/>
      </c>
      <c r="O13" s="7">
        <f>IF(N13="","",IF(OR(N13&lt;-0.25,N13&gt;0.3),"ROJO",IF(OR(N13&lt;-0.1,N13&gt;0.15),"AMBAR","VERDE")))</f>
        <v/>
      </c>
    </row>
    <row r="14">
      <c r="A14" s="7" t="inlineStr">
        <is>
          <t>ENT_00004_Scotiabank</t>
        </is>
      </c>
      <c r="B14" s="8">
        <f>SUMPRODUCT(ISNUMBER('ENT_00004_Scotiabank'!$O$5:$O$43)*'ENT_00004_Scotiabank'!$B$5:$B$43)</f>
        <v/>
      </c>
      <c r="C14" s="9">
        <f>IFERROR(SUMPRODUCT(ISNUMBER('ENT_00004_Scotiabank'!$O$5:$O$43)*'ENT_00004_Scotiabank'!$B$5:$B$43*'ENT_00004_Scotiabank'!$C$5:$C$43)/SUMPRODUCT(ISNUMBER('ENT_00004_Scotiabank'!$O$5:$O$43)*'ENT_00004_Scotiabank'!$B$5:$B$43),"")</f>
        <v/>
      </c>
      <c r="D14" s="9">
        <f>IFERROR(SUMPRODUCT(ISNUMBER('ENT_00004_Scotiabank'!$O$5:$O$43)*'ENT_00004_Scotiabank'!$B$5:$B$43*'ENT_00004_Scotiabank'!$D$5:$D$43)/SUMPRODUCT(ISNUMBER('ENT_00004_Scotiabank'!$O$5:$O$43)*'ENT_00004_Scotiabank'!$B$5:$B$43),"")</f>
        <v/>
      </c>
      <c r="E14" s="9">
        <f>IFERROR(SUMPRODUCT(ISNUMBER('ENT_00004_Scotiabank'!$O$5:$O$43)*'ENT_00004_Scotiabank'!$B$5:$B$43*'ENT_00004_Scotiabank'!$E$5:$E$43)/SUMPRODUCT(ISNUMBER('ENT_00004_Scotiabank'!$O$5:$O$43)*'ENT_00004_Scotiabank'!$B$5:$B$43),"")</f>
        <v/>
      </c>
      <c r="F14" s="9">
        <f>IFERROR(SUMPRODUCT(ISNUMBER('ENT_00004_Scotiabank'!$O$5:$O$43)*'ENT_00004_Scotiabank'!$B$5:$B$43*'ENT_00004_Scotiabank'!$O$5:$O$43)/SUMPRODUCT(ISNUMBER('ENT_00004_Scotiabank'!$O$5:$O$43)*'ENT_00004_Scotiabank'!$B$5:$B$43),"")</f>
        <v/>
      </c>
      <c r="G14" s="10">
        <f>IFERROR(D14/F14-1,"")</f>
        <v/>
      </c>
      <c r="H14" s="10">
        <f>IFERROR(E14/F14-1,"")</f>
        <v/>
      </c>
      <c r="I14" s="7">
        <f>IF(H14="","",IF(OR(H14&lt;-0.25,H14&gt;0.3),"ROJO",IF(OR(H14&lt;-0.1,H14&gt;0.15),"AMBAR","VERDE")))</f>
        <v/>
      </c>
      <c r="J14" s="8">
        <f>SUMPRODUCT(ISNUMBER('ENT_00004_Scotiabank'!$X$5:$X$43)*'ENT_00004_Scotiabank'!$V$5:$V$43)</f>
        <v/>
      </c>
      <c r="K14" s="10">
        <f>IFERROR(J14/B14,"")</f>
        <v/>
      </c>
      <c r="L14" s="9">
        <f>IFERROR(SUMPRODUCT(ISNUMBER('ENT_00004_Scotiabank'!$X$5:$X$43)*'ENT_00004_Scotiabank'!$V$5:$V$43*'ENT_00004_Scotiabank'!$W$5:$W$43)/SUMPRODUCT(ISNUMBER('ENT_00004_Scotiabank'!$X$5:$X$43)*'ENT_00004_Scotiabank'!$V$5:$V$43),"")</f>
        <v/>
      </c>
      <c r="M14" s="9">
        <f>IFERROR(SUMPRODUCT(ISNUMBER('ENT_00004_Scotiabank'!$X$5:$X$43)*'ENT_00004_Scotiabank'!$V$5:$V$43*'ENT_00004_Scotiabank'!$X$5:$X$43)/SUMPRODUCT(ISNUMBER('ENT_00004_Scotiabank'!$X$5:$X$43)*'ENT_00004_Scotiabank'!$V$5:$V$43),"")</f>
        <v/>
      </c>
      <c r="N14" s="10">
        <f>IFERROR(L14/M14-1,"")</f>
        <v/>
      </c>
      <c r="O14" s="7">
        <f>IF(N14="","",IF(OR(N14&lt;-0.25,N14&gt;0.3),"ROJO",IF(OR(N14&lt;-0.1,N14&gt;0.15),"AMBAR","VERDE")))</f>
        <v/>
      </c>
    </row>
    <row r="15">
      <c r="A15" s="7" t="inlineStr">
        <is>
          <t>ENT_00142_Falabella</t>
        </is>
      </c>
      <c r="B15" s="8">
        <f>SUMPRODUCT(ISNUMBER('ENT_00142_Falabella'!$O$5:$O$43)*'ENT_00142_Falabella'!$B$5:$B$43)</f>
        <v/>
      </c>
      <c r="C15" s="9">
        <f>IFERROR(SUMPRODUCT(ISNUMBER('ENT_00142_Falabella'!$O$5:$O$43)*'ENT_00142_Falabella'!$B$5:$B$43*'ENT_00142_Falabella'!$C$5:$C$43)/SUMPRODUCT(ISNUMBER('ENT_00142_Falabella'!$O$5:$O$43)*'ENT_00142_Falabella'!$B$5:$B$43),"")</f>
        <v/>
      </c>
      <c r="D15" s="9">
        <f>IFERROR(SUMPRODUCT(ISNUMBER('ENT_00142_Falabella'!$O$5:$O$43)*'ENT_00142_Falabella'!$B$5:$B$43*'ENT_00142_Falabella'!$D$5:$D$43)/SUMPRODUCT(ISNUMBER('ENT_00142_Falabella'!$O$5:$O$43)*'ENT_00142_Falabella'!$B$5:$B$43),"")</f>
        <v/>
      </c>
      <c r="E15" s="9">
        <f>IFERROR(SUMPRODUCT(ISNUMBER('ENT_00142_Falabella'!$O$5:$O$43)*'ENT_00142_Falabella'!$B$5:$B$43*'ENT_00142_Falabella'!$E$5:$E$43)/SUMPRODUCT(ISNUMBER('ENT_00142_Falabella'!$O$5:$O$43)*'ENT_00142_Falabella'!$B$5:$B$43),"")</f>
        <v/>
      </c>
      <c r="F15" s="9">
        <f>IFERROR(SUMPRODUCT(ISNUMBER('ENT_00142_Falabella'!$O$5:$O$43)*'ENT_00142_Falabella'!$B$5:$B$43*'ENT_00142_Falabella'!$O$5:$O$43)/SUMPRODUCT(ISNUMBER('ENT_00142_Falabella'!$O$5:$O$43)*'ENT_00142_Falabella'!$B$5:$B$43),"")</f>
        <v/>
      </c>
      <c r="G15" s="10">
        <f>IFERROR(D15/F15-1,"")</f>
        <v/>
      </c>
      <c r="H15" s="10">
        <f>IFERROR(E15/F15-1,"")</f>
        <v/>
      </c>
      <c r="I15" s="7">
        <f>IF(H15="","",IF(OR(H15&lt;-0.25,H15&gt;0.3),"ROJO",IF(OR(H15&lt;-0.1,H15&gt;0.15),"AMBAR","VERDE")))</f>
        <v/>
      </c>
      <c r="J15" s="8">
        <f>SUMPRODUCT(ISNUMBER('ENT_00142_Falabella'!$X$5:$X$43)*'ENT_00142_Falabella'!$V$5:$V$43)</f>
        <v/>
      </c>
      <c r="K15" s="10">
        <f>IFERROR(J15/B15,"")</f>
        <v/>
      </c>
      <c r="L15" s="9">
        <f>IFERROR(SUMPRODUCT(ISNUMBER('ENT_00142_Falabella'!$X$5:$X$43)*'ENT_00142_Falabella'!$V$5:$V$43*'ENT_00142_Falabella'!$W$5:$W$43)/SUMPRODUCT(ISNUMBER('ENT_00142_Falabella'!$X$5:$X$43)*'ENT_00142_Falabella'!$V$5:$V$43),"")</f>
        <v/>
      </c>
      <c r="M15" s="9">
        <f>IFERROR(SUMPRODUCT(ISNUMBER('ENT_00142_Falabella'!$X$5:$X$43)*'ENT_00142_Falabella'!$V$5:$V$43*'ENT_00142_Falabella'!$X$5:$X$43)/SUMPRODUCT(ISNUMBER('ENT_00142_Falabella'!$X$5:$X$43)*'ENT_00142_Falabella'!$V$5:$V$43),"")</f>
        <v/>
      </c>
      <c r="N15" s="10">
        <f>IFERROR(L15/M15-1,"")</f>
        <v/>
      </c>
      <c r="O15" s="7">
        <f>IF(N15="","",IF(OR(N15&lt;-0.25,N15&gt;0.3),"ROJO",IF(OR(N15&lt;-0.1,N15&gt;0.15),"AMBAR","VERDE")))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FACTORES DE DESARROLLO  h -&gt; 12 meses</t>
        </is>
      </c>
    </row>
    <row r="2">
      <c r="A2" s="2" t="inlineStr">
        <is>
          <t>Chain-ladder ponderado por n. Deben decrecer con el horizonte.</t>
        </is>
      </c>
    </row>
    <row r="4">
      <c r="A4" s="11" t="inlineStr">
        <is>
          <t>poblacion</t>
        </is>
      </c>
      <c r="B4" s="11" t="inlineStr">
        <is>
          <t>3m</t>
        </is>
      </c>
      <c r="C4" s="11" t="inlineStr">
        <is>
          <t>4m</t>
        </is>
      </c>
      <c r="D4" s="11" t="inlineStr">
        <is>
          <t>5m</t>
        </is>
      </c>
      <c r="E4" s="11" t="inlineStr">
        <is>
          <t>6m</t>
        </is>
      </c>
      <c r="F4" s="11" t="inlineStr">
        <is>
          <t>7m</t>
        </is>
      </c>
      <c r="G4" s="11" t="inlineStr">
        <is>
          <t>8m</t>
        </is>
      </c>
      <c r="H4" s="11" t="inlineStr">
        <is>
          <t>9m</t>
        </is>
      </c>
      <c r="I4" s="11" t="inlineStr">
        <is>
          <t>10m</t>
        </is>
      </c>
      <c r="J4" s="11" t="inlineStr">
        <is>
          <t>11m</t>
        </is>
      </c>
      <c r="K4" s="11" t="inlineStr">
        <is>
          <t>12m</t>
        </is>
      </c>
    </row>
    <row r="5">
      <c r="A5" s="12" t="inlineStr">
        <is>
          <t>IBK_general</t>
        </is>
      </c>
      <c r="B5" s="13" t="n">
        <v>13.72481572481573</v>
      </c>
      <c r="C5" s="13" t="n">
        <v>4.173328352633545</v>
      </c>
      <c r="D5" s="13" t="n">
        <v>2.726873321942885</v>
      </c>
      <c r="E5" s="13" t="n">
        <v>2.088224299065421</v>
      </c>
      <c r="F5" s="13" t="n">
        <v>1.720092378752887</v>
      </c>
      <c r="G5" s="13" t="n">
        <v>1.456394211967149</v>
      </c>
      <c r="H5" s="13" t="n">
        <v>1.285171977453123</v>
      </c>
      <c r="I5" s="13" t="n">
        <v>1.162660006244146</v>
      </c>
      <c r="J5" s="13" t="n">
        <v>1.071140939597315</v>
      </c>
      <c r="K5" s="13" t="n">
        <v>1</v>
      </c>
    </row>
    <row r="6">
      <c r="A6" s="12" t="inlineStr">
        <is>
          <t>IBK_N1</t>
        </is>
      </c>
      <c r="B6" s="13" t="n">
        <v>19.02222222222222</v>
      </c>
      <c r="C6" s="13" t="n">
        <v>6.069620253164557</v>
      </c>
      <c r="D6" s="13" t="n">
        <v>3.686346863468635</v>
      </c>
      <c r="E6" s="13" t="n">
        <v>2.6015625</v>
      </c>
      <c r="F6" s="13" t="n">
        <v>2.068322981366459</v>
      </c>
      <c r="G6" s="13" t="n">
        <v>1.656716417910448</v>
      </c>
      <c r="H6" s="13" t="n">
        <v>1.421052631578947</v>
      </c>
      <c r="I6" s="13" t="n">
        <v>1.274234693877551</v>
      </c>
      <c r="J6" s="13" t="n">
        <v>1.095394736842105</v>
      </c>
      <c r="K6" s="13" t="n">
        <v>1</v>
      </c>
    </row>
    <row r="7">
      <c r="A7" s="12" t="inlineStr">
        <is>
          <t>IBK_N2</t>
        </is>
      </c>
      <c r="B7" s="13" t="n">
        <v>14.83030303030303</v>
      </c>
      <c r="C7" s="13" t="n">
        <v>5.01394422310757</v>
      </c>
      <c r="D7" s="13" t="n">
        <v>3.025240384615385</v>
      </c>
      <c r="E7" s="13" t="n">
        <v>2.304945054945055</v>
      </c>
      <c r="F7" s="13" t="n">
        <v>1.860310421286031</v>
      </c>
      <c r="G7" s="13" t="n">
        <v>1.548923076923077</v>
      </c>
      <c r="H7" s="13" t="n">
        <v>1.345269909139498</v>
      </c>
      <c r="I7" s="13" t="n">
        <v>1.190070921985816</v>
      </c>
      <c r="J7" s="13" t="n">
        <v>1.083046471600688</v>
      </c>
      <c r="K7" s="13" t="n">
        <v>1</v>
      </c>
    </row>
    <row r="8">
      <c r="A8" s="12" t="inlineStr">
        <is>
          <t>IBK_N3</t>
        </is>
      </c>
      <c r="B8" s="13" t="n">
        <v>12.67549668874172</v>
      </c>
      <c r="C8" s="13" t="n">
        <v>3.795736241943481</v>
      </c>
      <c r="D8" s="13" t="n">
        <v>2.557114228456914</v>
      </c>
      <c r="E8" s="13" t="n">
        <v>1.97625193598348</v>
      </c>
      <c r="F8" s="13" t="n">
        <v>1.643271088216355</v>
      </c>
      <c r="G8" s="13" t="n">
        <v>1.406577255190153</v>
      </c>
      <c r="H8" s="13" t="n">
        <v>1.251184834123223</v>
      </c>
      <c r="I8" s="13" t="n">
        <v>1.140983606557377</v>
      </c>
      <c r="J8" s="13" t="n">
        <v>1.064220183486239</v>
      </c>
      <c r="K8" s="13" t="n">
        <v>1</v>
      </c>
    </row>
    <row r="9">
      <c r="A9" s="12" t="inlineStr">
        <is>
          <t>SSFF_con_BCP</t>
        </is>
      </c>
      <c r="B9" s="13" t="n">
        <v>22.35154929577465</v>
      </c>
      <c r="C9" s="13" t="n">
        <v>5.244415069398546</v>
      </c>
      <c r="D9" s="13" t="n">
        <v>3.032716709983183</v>
      </c>
      <c r="E9" s="13" t="n">
        <v>2.228125351005279</v>
      </c>
      <c r="F9" s="13" t="n">
        <v>1.790100618147363</v>
      </c>
      <c r="G9" s="13" t="n">
        <v>1.521592390887474</v>
      </c>
      <c r="H9" s="13" t="n">
        <v>1.337536241655991</v>
      </c>
      <c r="I9" s="13" t="n">
        <v>1.198537852697722</v>
      </c>
      <c r="J9" s="13" t="n">
        <v>1.088300644630366</v>
      </c>
      <c r="K9" s="13" t="n">
        <v>1</v>
      </c>
    </row>
    <row r="10">
      <c r="A10" s="12" t="inlineStr">
        <is>
          <t>SSFF_sin_BCP</t>
        </is>
      </c>
      <c r="B10" s="13" t="n">
        <v>20.73899170389279</v>
      </c>
      <c r="C10" s="13" t="n">
        <v>4.90683980069455</v>
      </c>
      <c r="D10" s="13" t="n">
        <v>2.869833980925468</v>
      </c>
      <c r="E10" s="13" t="n">
        <v>2.12822527832351</v>
      </c>
      <c r="F10" s="13" t="n">
        <v>1.727330711172531</v>
      </c>
      <c r="G10" s="13" t="n">
        <v>1.480007286638127</v>
      </c>
      <c r="H10" s="13" t="n">
        <v>1.311355015737229</v>
      </c>
      <c r="I10" s="13" t="n">
        <v>1.184156828450663</v>
      </c>
      <c r="J10" s="13" t="n">
        <v>1.081536208732694</v>
      </c>
      <c r="K10" s="13" t="n">
        <v>1</v>
      </c>
    </row>
    <row r="11">
      <c r="A11" s="12" t="inlineStr">
        <is>
          <t>SISTEMA_5</t>
        </is>
      </c>
      <c r="B11" s="13" t="n">
        <v>19.63924295094631</v>
      </c>
      <c r="C11" s="13" t="n">
        <v>4.964460066393283</v>
      </c>
      <c r="D11" s="13" t="n">
        <v>2.959776471273066</v>
      </c>
      <c r="E11" s="13" t="n">
        <v>2.195802383831404</v>
      </c>
      <c r="F11" s="13" t="n">
        <v>1.77423407076558</v>
      </c>
      <c r="G11" s="13" t="n">
        <v>1.50677137353682</v>
      </c>
      <c r="H11" s="13" t="n">
        <v>1.325668100638769</v>
      </c>
      <c r="I11" s="13" t="n">
        <v>1.190466156259512</v>
      </c>
      <c r="J11" s="13" t="n">
        <v>1.084483310227152</v>
      </c>
      <c r="K11" s="13" t="n">
        <v>1</v>
      </c>
    </row>
    <row r="12">
      <c r="A12" s="12" t="inlineStr">
        <is>
          <t>ENT_00001_BCP</t>
        </is>
      </c>
      <c r="B12" s="13" t="n">
        <v>33.69711538461539</v>
      </c>
      <c r="C12" s="13" t="n">
        <v>7.617834394904459</v>
      </c>
      <c r="D12" s="13" t="n">
        <v>4.081911262798635</v>
      </c>
      <c r="E12" s="13" t="n">
        <v>2.829652996845426</v>
      </c>
      <c r="F12" s="13" t="n">
        <v>2.142729172887429</v>
      </c>
      <c r="G12" s="13" t="n">
        <v>1.743440233236152</v>
      </c>
      <c r="H12" s="13" t="n">
        <v>1.470491803278688</v>
      </c>
      <c r="I12" s="13" t="n">
        <v>1.268292682926829</v>
      </c>
      <c r="J12" s="13" t="n">
        <v>1.120024972686124</v>
      </c>
      <c r="K12" s="13" t="n">
        <v>1</v>
      </c>
    </row>
    <row r="13">
      <c r="A13" s="12" t="inlineStr">
        <is>
          <t>ENT_00006_BBVA</t>
        </is>
      </c>
      <c r="B13" s="13" t="n">
        <v>22.08561236623068</v>
      </c>
      <c r="C13" s="13" t="n">
        <v>5.059656769272678</v>
      </c>
      <c r="D13" s="13" t="n">
        <v>3.074147633234028</v>
      </c>
      <c r="E13" s="13" t="n">
        <v>2.24188292094146</v>
      </c>
      <c r="F13" s="13" t="n">
        <v>1.78270467415299</v>
      </c>
      <c r="G13" s="13" t="n">
        <v>1.515008156606852</v>
      </c>
      <c r="H13" s="13" t="n">
        <v>1.32965852960126</v>
      </c>
      <c r="I13" s="13" t="n">
        <v>1.195622787254586</v>
      </c>
      <c r="J13" s="13" t="n">
        <v>1.0884903891233</v>
      </c>
      <c r="K13" s="13" t="n">
        <v>1</v>
      </c>
    </row>
    <row r="14">
      <c r="A14" s="12" t="inlineStr">
        <is>
          <t>ENT_00004_Scotiabank</t>
        </is>
      </c>
      <c r="B14" s="13" t="n">
        <v>14.55844155844156</v>
      </c>
      <c r="C14" s="13" t="n">
        <v>4.25531914893617</v>
      </c>
      <c r="D14" s="13" t="n">
        <v>2.745995423340961</v>
      </c>
      <c r="E14" s="13" t="n">
        <v>2.105719237435009</v>
      </c>
      <c r="F14" s="13" t="n">
        <v>1.730769230769231</v>
      </c>
      <c r="G14" s="13" t="n">
        <v>1.49079754601227</v>
      </c>
      <c r="H14" s="13" t="n">
        <v>1.329321663019694</v>
      </c>
      <c r="I14" s="13" t="n">
        <v>1.199407699901283</v>
      </c>
      <c r="J14" s="13" t="n">
        <v>1.099547511312217</v>
      </c>
      <c r="K14" s="13" t="n">
        <v>1</v>
      </c>
    </row>
    <row r="15">
      <c r="A15" s="12" t="inlineStr">
        <is>
          <t>ENT_00142_Falabella</t>
        </is>
      </c>
      <c r="B15" s="13" t="n">
        <v>19.5824345146379</v>
      </c>
      <c r="C15" s="13" t="n">
        <v>4.759925093632959</v>
      </c>
      <c r="D15" s="13" t="n">
        <v>2.623116615067079</v>
      </c>
      <c r="E15" s="13" t="n">
        <v>1.983302122347066</v>
      </c>
      <c r="F15" s="13" t="n">
        <v>1.652021318081373</v>
      </c>
      <c r="G15" s="13" t="n">
        <v>1.430710345603963</v>
      </c>
      <c r="H15" s="13" t="n">
        <v>1.283867057278513</v>
      </c>
      <c r="I15" s="13" t="n">
        <v>1.166391336270191</v>
      </c>
      <c r="J15" s="13" t="n">
        <v>1.069871201279569</v>
      </c>
      <c r="K15" s="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</cols>
  <sheetData>
    <row r="1">
      <c r="A1" s="1" t="inlineStr">
        <is>
          <t>IBK general</t>
        </is>
      </c>
    </row>
    <row r="2">
      <c r="A2" s="2" t="inlineStr">
        <is>
          <t>Interbank, poblacion clean</t>
        </is>
      </c>
    </row>
    <row r="4" ht="30" customHeight="1">
      <c r="A4" s="6" t="inlineStr">
        <is>
          <t>codmes</t>
        </is>
      </c>
      <c r="B4" s="6" t="inlineStr">
        <is>
          <t>n</t>
        </is>
      </c>
      <c r="C4" s="6" t="inlineStr">
        <is>
          <t>PD sin calibrar</t>
        </is>
      </c>
      <c r="D4" s="6" t="inlineStr">
        <is>
          <t>PD cal vigente</t>
        </is>
      </c>
      <c r="E4" s="6" t="inlineStr">
        <is>
          <t>PD cal NUEVA</t>
        </is>
      </c>
      <c r="F4" s="6" t="inlineStr">
        <is>
          <t>mora 3m</t>
        </is>
      </c>
      <c r="G4" s="6" t="inlineStr">
        <is>
          <t>mora 4m</t>
        </is>
      </c>
      <c r="H4" s="6" t="inlineStr">
        <is>
          <t>mora 5m</t>
        </is>
      </c>
      <c r="I4" s="6" t="inlineStr">
        <is>
          <t>mora 6m</t>
        </is>
      </c>
      <c r="J4" s="6" t="inlineStr">
        <is>
          <t>mora 7m</t>
        </is>
      </c>
      <c r="K4" s="6" t="inlineStr">
        <is>
          <t>mora 8m</t>
        </is>
      </c>
      <c r="L4" s="6" t="inlineStr">
        <is>
          <t>mora 9m</t>
        </is>
      </c>
      <c r="M4" s="6" t="inlineStr">
        <is>
          <t>mora 10m</t>
        </is>
      </c>
      <c r="N4" s="6" t="inlineStr">
        <is>
          <t>mora 11m</t>
        </is>
      </c>
      <c r="O4" s="6" t="inlineStr">
        <is>
          <t>mora 12m</t>
        </is>
      </c>
      <c r="P4" s="6" t="inlineStr">
        <is>
          <t>ft ciclo</t>
        </is>
      </c>
      <c r="Q4" s="6" t="inlineStr">
        <is>
          <t>inflacion %</t>
        </is>
      </c>
      <c r="R4" s="6" t="inlineStr">
        <is>
          <t>madurez</t>
        </is>
      </c>
      <c r="S4" s="6" t="inlineStr">
        <is>
          <t>mora base</t>
        </is>
      </c>
      <c r="T4" s="6" t="inlineStr">
        <is>
          <t>factor h-&gt;12</t>
        </is>
      </c>
      <c r="U4" s="6" t="inlineStr">
        <is>
          <t>proy mediana</t>
        </is>
      </c>
      <c r="V4" s="6" t="inlineStr">
        <is>
          <t>proy V1</t>
        </is>
      </c>
      <c r="W4" s="6" t="inlineStr">
        <is>
          <t>proy V2</t>
        </is>
      </c>
      <c r="X4" s="6" t="inlineStr">
        <is>
          <t>proy V3</t>
        </is>
      </c>
      <c r="Y4" s="6" t="inlineStr">
        <is>
          <t>n visible IBK</t>
        </is>
      </c>
      <c r="Z4" s="6" t="inlineStr">
        <is>
          <t>PD cal NUEVA visible</t>
        </is>
      </c>
      <c r="AA4" s="6" t="inlineStr">
        <is>
          <t>mora 12m visible</t>
        </is>
      </c>
      <c r="AB4" s="6" t="inlineStr">
        <is>
          <t>EC vigente</t>
        </is>
      </c>
      <c r="AC4" s="6" t="inlineStr">
        <is>
          <t>EC NUEVA</t>
        </is>
      </c>
      <c r="AD4" s="6" t="inlineStr">
        <is>
          <t>EC NUEVA vs proy</t>
        </is>
      </c>
      <c r="AE4" s="6" t="inlineStr">
        <is>
          <t>EC NUEVA visible</t>
        </is>
      </c>
    </row>
    <row r="5">
      <c r="A5" s="7" t="inlineStr">
        <is>
          <t>202303</t>
        </is>
      </c>
      <c r="B5" s="8" t="n">
        <v>6747</v>
      </c>
      <c r="C5" s="9" t="n">
        <v>0.1237198007808606</v>
      </c>
      <c r="D5" s="9" t="n">
        <v>0.1557249788725502</v>
      </c>
      <c r="E5" s="9" t="n">
        <v>0.1313819284960485</v>
      </c>
      <c r="F5" s="9" t="n">
        <v>0.01185712168371128</v>
      </c>
      <c r="G5" s="9" t="n">
        <v>0.04120349785089669</v>
      </c>
      <c r="H5" s="9" t="n">
        <v>0.05780346820809248</v>
      </c>
      <c r="I5" s="9" t="n">
        <v>0.07692307692307693</v>
      </c>
      <c r="J5" s="9" t="n">
        <v>0.09619089965910775</v>
      </c>
      <c r="K5" s="9" t="n">
        <v>0.1178301467318808</v>
      </c>
      <c r="L5" s="9" t="n">
        <v>0.1332444049207055</v>
      </c>
      <c r="M5" s="9" t="n">
        <v>0.1467318808359271</v>
      </c>
      <c r="N5" s="9" t="n">
        <v>0.1553282940566177</v>
      </c>
      <c r="O5" s="9" t="n">
        <v>0.1643693493404476</v>
      </c>
      <c r="P5" s="13" t="n">
        <v>0.2313077929548288</v>
      </c>
      <c r="Q5" s="14" t="n">
        <v>8.666154897445178</v>
      </c>
      <c r="R5" s="15" t="n">
        <v>12</v>
      </c>
      <c r="S5" s="9" t="n">
        <v>0.1643693493404476</v>
      </c>
      <c r="T5" s="13" t="n">
        <v>1</v>
      </c>
      <c r="U5" s="9" t="n">
        <v>0.1643693493404476</v>
      </c>
      <c r="V5" s="9" t="n"/>
      <c r="W5" s="9" t="n"/>
      <c r="X5" s="9" t="n"/>
      <c r="Y5" s="8" t="n">
        <v>6405</v>
      </c>
      <c r="Z5" s="9" t="n">
        <v>0.1318232020783334</v>
      </c>
      <c r="AA5" s="9" t="n">
        <v>0.1629976580796253</v>
      </c>
      <c r="AB5" s="10">
        <f>IFERROR(D5/O5-1,"")</f>
        <v/>
      </c>
      <c r="AC5" s="10">
        <f>IFERROR(E5/O5-1,"")</f>
        <v/>
      </c>
      <c r="AD5" s="10">
        <f>IFERROR(E5/U5-1,"")</f>
        <v/>
      </c>
      <c r="AE5" s="10">
        <f>IFERROR(Z5/AA5-1,"")</f>
        <v/>
      </c>
    </row>
    <row r="6">
      <c r="A6" s="7" t="inlineStr">
        <is>
          <t>202304</t>
        </is>
      </c>
      <c r="B6" s="8" t="n">
        <v>5942</v>
      </c>
      <c r="C6" s="9" t="n">
        <v>0.114114843315195</v>
      </c>
      <c r="D6" s="9" t="n">
        <v>0.1438509421340008</v>
      </c>
      <c r="E6" s="9" t="n">
        <v>0.1176658053877783</v>
      </c>
      <c r="F6" s="9" t="n">
        <v>0.009761023224503534</v>
      </c>
      <c r="G6" s="9" t="n">
        <v>0.03365870077415012</v>
      </c>
      <c r="H6" s="9" t="n">
        <v>0.05048805116122518</v>
      </c>
      <c r="I6" s="9" t="n">
        <v>0.06866374957926624</v>
      </c>
      <c r="J6" s="9" t="n">
        <v>0.0848199259508583</v>
      </c>
      <c r="K6" s="9" t="n">
        <v>0.1029956243688994</v>
      </c>
      <c r="L6" s="9" t="n">
        <v>0.1181420397172669</v>
      </c>
      <c r="M6" s="9" t="n">
        <v>0.1305957590037025</v>
      </c>
      <c r="N6" s="9" t="n">
        <v>0.1401884887243352</v>
      </c>
      <c r="O6" s="9" t="n">
        <v>0.1469202288791653</v>
      </c>
      <c r="P6" s="13" t="n">
        <v>0.2039883111878369</v>
      </c>
      <c r="Q6" s="14" t="n">
        <v>8.042112610516504</v>
      </c>
      <c r="R6" s="15" t="n">
        <v>12</v>
      </c>
      <c r="S6" s="9" t="n">
        <v>0.1469202288791653</v>
      </c>
      <c r="T6" s="13" t="n">
        <v>1</v>
      </c>
      <c r="U6" s="9" t="n">
        <v>0.1469202288791653</v>
      </c>
      <c r="V6" s="9" t="n"/>
      <c r="W6" s="9" t="n"/>
      <c r="X6" s="9" t="n"/>
      <c r="Y6" s="8" t="n">
        <v>5708</v>
      </c>
      <c r="Z6" s="9" t="n">
        <v>0.1177508834124621</v>
      </c>
      <c r="AA6" s="9" t="n">
        <v>0.1471618780658725</v>
      </c>
      <c r="AB6" s="10">
        <f>IFERROR(D6/O6-1,"")</f>
        <v/>
      </c>
      <c r="AC6" s="10">
        <f>IFERROR(E6/O6-1,"")</f>
        <v/>
      </c>
      <c r="AD6" s="10">
        <f>IFERROR(E6/U6-1,"")</f>
        <v/>
      </c>
      <c r="AE6" s="10">
        <f>IFERROR(Z6/AA6-1,"")</f>
        <v/>
      </c>
    </row>
    <row r="7">
      <c r="A7" s="7" t="inlineStr">
        <is>
          <t>202305</t>
        </is>
      </c>
      <c r="B7" s="8" t="n">
        <v>7417</v>
      </c>
      <c r="C7" s="9" t="n">
        <v>0.116128839897081</v>
      </c>
      <c r="D7" s="9" t="n">
        <v>0.1463719731042566</v>
      </c>
      <c r="E7" s="9" t="n">
        <v>0.1211022382220763</v>
      </c>
      <c r="F7" s="9" t="n">
        <v>0.009437778077389779</v>
      </c>
      <c r="G7" s="9" t="n">
        <v>0.03667250910071457</v>
      </c>
      <c r="H7" s="9" t="n">
        <v>0.05770527167318323</v>
      </c>
      <c r="I7" s="9" t="n">
        <v>0.07590670082243495</v>
      </c>
      <c r="J7" s="9" t="n">
        <v>0.09370365376836996</v>
      </c>
      <c r="K7" s="9" t="n">
        <v>0.1137926385330996</v>
      </c>
      <c r="L7" s="9" t="n">
        <v>0.1295672104624511</v>
      </c>
      <c r="M7" s="9" t="n">
        <v>0.1430497505730079</v>
      </c>
      <c r="N7" s="9" t="n">
        <v>0.1512741000404476</v>
      </c>
      <c r="O7" s="9" t="n">
        <v>0.1577457192935149</v>
      </c>
      <c r="P7" s="13" t="n">
        <v>0.2015420225900039</v>
      </c>
      <c r="Q7" s="14" t="n">
        <v>7.986233529643028</v>
      </c>
      <c r="R7" s="15" t="n">
        <v>12</v>
      </c>
      <c r="S7" s="9" t="n">
        <v>0.1577457192935149</v>
      </c>
      <c r="T7" s="13" t="n">
        <v>1</v>
      </c>
      <c r="U7" s="9" t="n">
        <v>0.1577457192935149</v>
      </c>
      <c r="V7" s="9" t="n"/>
      <c r="W7" s="9" t="n"/>
      <c r="X7" s="9" t="n"/>
      <c r="Y7" s="8" t="n">
        <v>7070</v>
      </c>
      <c r="Z7" s="9" t="n">
        <v>0.1210407102205236</v>
      </c>
      <c r="AA7" s="9" t="n">
        <v>0.1574257425742574</v>
      </c>
      <c r="AB7" s="10">
        <f>IFERROR(D7/O7-1,"")</f>
        <v/>
      </c>
      <c r="AC7" s="10">
        <f>IFERROR(E7/O7-1,"")</f>
        <v/>
      </c>
      <c r="AD7" s="10">
        <f>IFERROR(E7/U7-1,"")</f>
        <v/>
      </c>
      <c r="AE7" s="10">
        <f>IFERROR(Z7/AA7-1,"")</f>
        <v/>
      </c>
    </row>
    <row r="8">
      <c r="A8" s="7" t="inlineStr">
        <is>
          <t>202306</t>
        </is>
      </c>
      <c r="B8" s="8" t="n">
        <v>5236</v>
      </c>
      <c r="C8" s="9" t="n">
        <v>0.1081961072996299</v>
      </c>
      <c r="D8" s="9" t="n">
        <v>0.1362500919617508</v>
      </c>
      <c r="E8" s="9" t="n">
        <v>0.1106894741619345</v>
      </c>
      <c r="F8" s="9" t="n">
        <v>0.01145912910618793</v>
      </c>
      <c r="G8" s="9" t="n">
        <v>0.03304048892284187</v>
      </c>
      <c r="H8" s="9" t="n">
        <v>0.05423987776928953</v>
      </c>
      <c r="I8" s="9" t="n">
        <v>0.0712375859434683</v>
      </c>
      <c r="J8" s="9" t="n">
        <v>0.08403361344537816</v>
      </c>
      <c r="K8" s="9" t="n">
        <v>0.1010313216195569</v>
      </c>
      <c r="L8" s="9" t="n">
        <v>0.1130634071810542</v>
      </c>
      <c r="M8" s="9" t="n">
        <v>0.1208938120702827</v>
      </c>
      <c r="N8" s="9" t="n">
        <v>0.1310160427807487</v>
      </c>
      <c r="O8" s="9" t="n">
        <v>0.1377005347593583</v>
      </c>
      <c r="P8" s="13" t="n">
        <v>0.145631156252523</v>
      </c>
      <c r="Q8" s="14" t="n">
        <v>6.709095654518293</v>
      </c>
      <c r="R8" s="15" t="n">
        <v>12</v>
      </c>
      <c r="S8" s="9" t="n">
        <v>0.1377005347593583</v>
      </c>
      <c r="T8" s="13" t="n">
        <v>1</v>
      </c>
      <c r="U8" s="9" t="n">
        <v>0.1377005347593583</v>
      </c>
      <c r="V8" s="9" t="n"/>
      <c r="W8" s="9" t="n"/>
      <c r="X8" s="9" t="n"/>
      <c r="Y8" s="8" t="n">
        <v>4949</v>
      </c>
      <c r="Z8" s="9" t="n">
        <v>0.1103423869882904</v>
      </c>
      <c r="AA8" s="9" t="n">
        <v>0.1345726409375631</v>
      </c>
      <c r="AB8" s="10">
        <f>IFERROR(D8/O8-1,"")</f>
        <v/>
      </c>
      <c r="AC8" s="10">
        <f>IFERROR(E8/O8-1,"")</f>
        <v/>
      </c>
      <c r="AD8" s="10">
        <f>IFERROR(E8/U8-1,"")</f>
        <v/>
      </c>
      <c r="AE8" s="10">
        <f>IFERROR(Z8/AA8-1,"")</f>
        <v/>
      </c>
    </row>
    <row r="9">
      <c r="A9" s="7" t="inlineStr">
        <is>
          <t>202307</t>
        </is>
      </c>
      <c r="B9" s="8" t="n">
        <v>3361</v>
      </c>
      <c r="C9" s="9" t="n">
        <v>0.08981924492846959</v>
      </c>
      <c r="D9" s="9" t="n">
        <v>0.09236049727553086</v>
      </c>
      <c r="E9" s="9" t="n">
        <v>0.0860744952485725</v>
      </c>
      <c r="F9" s="9" t="n">
        <v>0.005653079440642666</v>
      </c>
      <c r="G9" s="9" t="n">
        <v>0.01874442130318358</v>
      </c>
      <c r="H9" s="9" t="n">
        <v>0.02648021422195775</v>
      </c>
      <c r="I9" s="9" t="n">
        <v>0.03629872061886343</v>
      </c>
      <c r="J9" s="9" t="n">
        <v>0.04552216602201726</v>
      </c>
      <c r="K9" s="9" t="n">
        <v>0.05534067241892294</v>
      </c>
      <c r="L9" s="9" t="n">
        <v>0.06129128235644154</v>
      </c>
      <c r="M9" s="9" t="n">
        <v>0.06813448378458792</v>
      </c>
      <c r="N9" s="9" t="n">
        <v>0.07527521570961024</v>
      </c>
      <c r="O9" s="9" t="n">
        <v>0.07914311216899732</v>
      </c>
      <c r="P9" s="13" t="n">
        <v>0.1154476643960626</v>
      </c>
      <c r="Q9" s="14" t="n">
        <v>6.019632529037033</v>
      </c>
      <c r="R9" s="15" t="n">
        <v>12</v>
      </c>
      <c r="S9" s="9" t="n">
        <v>0.07914311216899732</v>
      </c>
      <c r="T9" s="13" t="n">
        <v>1</v>
      </c>
      <c r="U9" s="9" t="n">
        <v>0.07914311216899732</v>
      </c>
      <c r="V9" s="9" t="n"/>
      <c r="W9" s="9" t="n"/>
      <c r="X9" s="9" t="n"/>
      <c r="Y9" s="8" t="n">
        <v>3133</v>
      </c>
      <c r="Z9" s="9" t="n">
        <v>0.08428958281270185</v>
      </c>
      <c r="AA9" s="9" t="n">
        <v>0.07564634535588892</v>
      </c>
      <c r="AB9" s="10">
        <f>IFERROR(D9/O9-1,"")</f>
        <v/>
      </c>
      <c r="AC9" s="10">
        <f>IFERROR(E9/O9-1,"")</f>
        <v/>
      </c>
      <c r="AD9" s="10">
        <f>IFERROR(E9/U9-1,"")</f>
        <v/>
      </c>
      <c r="AE9" s="10">
        <f>IFERROR(Z9/AA9-1,"")</f>
        <v/>
      </c>
    </row>
    <row r="10">
      <c r="A10" s="7" t="inlineStr">
        <is>
          <t>202308</t>
        </is>
      </c>
      <c r="B10" s="8" t="n">
        <v>4277</v>
      </c>
      <c r="C10" s="9" t="n">
        <v>0.09549911713446688</v>
      </c>
      <c r="D10" s="9" t="n">
        <v>0.09850819084378731</v>
      </c>
      <c r="E10" s="9" t="n">
        <v>0.09285279145430933</v>
      </c>
      <c r="F10" s="9" t="n">
        <v>0.004909983633387889</v>
      </c>
      <c r="G10" s="9" t="n">
        <v>0.01776946457797522</v>
      </c>
      <c r="H10" s="9" t="n">
        <v>0.02852466682253916</v>
      </c>
      <c r="I10" s="9" t="n">
        <v>0.0364741641337386</v>
      </c>
      <c r="J10" s="9" t="n">
        <v>0.04769698386719663</v>
      </c>
      <c r="K10" s="9" t="n">
        <v>0.05704933364507832</v>
      </c>
      <c r="L10" s="9" t="n">
        <v>0.0668693009118541</v>
      </c>
      <c r="M10" s="9" t="n">
        <v>0.07341594575637128</v>
      </c>
      <c r="N10" s="9" t="n">
        <v>0.07762450315641806</v>
      </c>
      <c r="O10" s="9" t="n">
        <v>0.08276829553425298</v>
      </c>
      <c r="P10" s="13" t="n">
        <v>0.1052420450312428</v>
      </c>
      <c r="Q10" s="14" t="n">
        <v>5.786511780178594</v>
      </c>
      <c r="R10" s="15" t="n">
        <v>12</v>
      </c>
      <c r="S10" s="9" t="n">
        <v>0.08276829553425298</v>
      </c>
      <c r="T10" s="13" t="n">
        <v>1</v>
      </c>
      <c r="U10" s="9" t="n">
        <v>0.08276829553425298</v>
      </c>
      <c r="V10" s="9" t="n"/>
      <c r="W10" s="9" t="n"/>
      <c r="X10" s="9" t="n"/>
      <c r="Y10" s="8" t="n">
        <v>4034</v>
      </c>
      <c r="Z10" s="9" t="n">
        <v>0.09189722126360167</v>
      </c>
      <c r="AA10" s="9" t="n">
        <v>0.08031730292513634</v>
      </c>
      <c r="AB10" s="10">
        <f>IFERROR(D10/O10-1,"")</f>
        <v/>
      </c>
      <c r="AC10" s="10">
        <f>IFERROR(E10/O10-1,"")</f>
        <v/>
      </c>
      <c r="AD10" s="10">
        <f>IFERROR(E10/U10-1,"")</f>
        <v/>
      </c>
      <c r="AE10" s="10">
        <f>IFERROR(Z10/AA10-1,"")</f>
        <v/>
      </c>
    </row>
    <row r="11">
      <c r="A11" s="7" t="inlineStr">
        <is>
          <t>202309</t>
        </is>
      </c>
      <c r="B11" s="8" t="n">
        <v>2877</v>
      </c>
      <c r="C11" s="9" t="n">
        <v>0.09322038839085932</v>
      </c>
      <c r="D11" s="9" t="n">
        <v>0.08839192188373707</v>
      </c>
      <c r="E11" s="9" t="n">
        <v>0.08825489960940486</v>
      </c>
      <c r="F11" s="9" t="n">
        <v>0.006604101494612443</v>
      </c>
      <c r="G11" s="9" t="n">
        <v>0.02224539450816823</v>
      </c>
      <c r="H11" s="9" t="n">
        <v>0.02884949600278067</v>
      </c>
      <c r="I11" s="9" t="n">
        <v>0.04031977754605492</v>
      </c>
      <c r="J11" s="9" t="n">
        <v>0.04935696906499826</v>
      </c>
      <c r="K11" s="9" t="n">
        <v>0.06082725060827251</v>
      </c>
      <c r="L11" s="9" t="n">
        <v>0.06743135210288495</v>
      </c>
      <c r="M11" s="9" t="n">
        <v>0.07229753215154675</v>
      </c>
      <c r="N11" s="9" t="n">
        <v>0.07751129648939868</v>
      </c>
      <c r="O11" s="9" t="n">
        <v>0.08376781369482099</v>
      </c>
      <c r="P11" s="13" t="n">
        <v>0.0826428782528265</v>
      </c>
      <c r="Q11" s="14" t="n">
        <v>5.270292774292296</v>
      </c>
      <c r="R11" s="15" t="n">
        <v>12</v>
      </c>
      <c r="S11" s="9" t="n">
        <v>0.08376781369482099</v>
      </c>
      <c r="T11" s="13" t="n">
        <v>1</v>
      </c>
      <c r="U11" s="9" t="n">
        <v>0.08376781369482099</v>
      </c>
      <c r="V11" s="9" t="n"/>
      <c r="W11" s="9" t="n"/>
      <c r="X11" s="9" t="n"/>
      <c r="Y11" s="8" t="n">
        <v>2676</v>
      </c>
      <c r="Z11" s="9" t="n">
        <v>0.08638560629943833</v>
      </c>
      <c r="AA11" s="9" t="n">
        <v>0.08146487294469357</v>
      </c>
      <c r="AB11" s="10">
        <f>IFERROR(D11/O11-1,"")</f>
        <v/>
      </c>
      <c r="AC11" s="10">
        <f>IFERROR(E11/O11-1,"")</f>
        <v/>
      </c>
      <c r="AD11" s="10">
        <f>IFERROR(E11/U11-1,"")</f>
        <v/>
      </c>
      <c r="AE11" s="10">
        <f>IFERROR(Z11/AA11-1,"")</f>
        <v/>
      </c>
    </row>
    <row r="12">
      <c r="A12" s="7" t="inlineStr">
        <is>
          <t>202310</t>
        </is>
      </c>
      <c r="B12" s="8" t="n">
        <v>2474</v>
      </c>
      <c r="C12" s="9" t="n">
        <v>0.09484322299381226</v>
      </c>
      <c r="D12" s="9" t="n">
        <v>0.09529843891307518</v>
      </c>
      <c r="E12" s="9" t="n">
        <v>0.08486710506113508</v>
      </c>
      <c r="F12" s="9" t="n">
        <v>0.006063055780113177</v>
      </c>
      <c r="G12" s="9" t="n">
        <v>0.01495553759094584</v>
      </c>
      <c r="H12" s="9" t="n">
        <v>0.02869846402586904</v>
      </c>
      <c r="I12" s="9" t="n">
        <v>0.03637833468067906</v>
      </c>
      <c r="J12" s="9" t="n">
        <v>0.04486661277283751</v>
      </c>
      <c r="K12" s="9" t="n">
        <v>0.0513338722716249</v>
      </c>
      <c r="L12" s="9" t="n">
        <v>0.05780113177041229</v>
      </c>
      <c r="M12" s="9" t="n">
        <v>0.06184316895715441</v>
      </c>
      <c r="N12" s="9" t="n">
        <v>0.06709781729991916</v>
      </c>
      <c r="O12" s="9" t="n">
        <v>0.07113985448666128</v>
      </c>
      <c r="P12" s="13" t="n">
        <v>0.0496812016861095</v>
      </c>
      <c r="Q12" s="14" t="n">
        <v>4.517369267135951</v>
      </c>
      <c r="R12" s="15" t="n">
        <v>12</v>
      </c>
      <c r="S12" s="9" t="n">
        <v>0.07113985448666128</v>
      </c>
      <c r="T12" s="13" t="n">
        <v>1</v>
      </c>
      <c r="U12" s="9" t="n">
        <v>0.07113985448666128</v>
      </c>
      <c r="V12" s="9" t="n"/>
      <c r="W12" s="9" t="n"/>
      <c r="X12" s="9" t="n"/>
      <c r="Y12" s="8" t="n">
        <v>2357</v>
      </c>
      <c r="Z12" s="9" t="n">
        <v>0.08301643980593723</v>
      </c>
      <c r="AA12" s="9" t="n">
        <v>0.07085277895630038</v>
      </c>
      <c r="AB12" s="10">
        <f>IFERROR(D12/O12-1,"")</f>
        <v/>
      </c>
      <c r="AC12" s="10">
        <f>IFERROR(E12/O12-1,"")</f>
        <v/>
      </c>
      <c r="AD12" s="10">
        <f>IFERROR(E12/U12-1,"")</f>
        <v/>
      </c>
      <c r="AE12" s="10">
        <f>IFERROR(Z12/AA12-1,"")</f>
        <v/>
      </c>
    </row>
    <row r="13">
      <c r="A13" s="7" t="inlineStr">
        <is>
          <t>202311</t>
        </is>
      </c>
      <c r="B13" s="8" t="n">
        <v>2866</v>
      </c>
      <c r="C13" s="9" t="n">
        <v>0.1302580572619244</v>
      </c>
      <c r="D13" s="9" t="n">
        <v>0.131947647422079</v>
      </c>
      <c r="E13" s="9" t="n">
        <v>0.1217104947310484</v>
      </c>
      <c r="F13" s="9" t="n">
        <v>0.0052337752965806</v>
      </c>
      <c r="G13" s="9" t="n">
        <v>0.03419399860432659</v>
      </c>
      <c r="H13" s="9" t="n">
        <v>0.05722260990928123</v>
      </c>
      <c r="I13" s="9" t="n">
        <v>0.06908583391486392</v>
      </c>
      <c r="J13" s="9" t="n">
        <v>0.08304256803907886</v>
      </c>
      <c r="K13" s="9" t="n">
        <v>0.09874389392882066</v>
      </c>
      <c r="L13" s="9" t="n">
        <v>0.1039776692254013</v>
      </c>
      <c r="M13" s="9" t="n">
        <v>0.113049546406141</v>
      </c>
      <c r="N13" s="9" t="n">
        <v>0.1200279134682484</v>
      </c>
      <c r="O13" s="9" t="n">
        <v>0.1318911374738311</v>
      </c>
      <c r="P13" s="13" t="n">
        <v>0.0176922115343233</v>
      </c>
      <c r="Q13" s="14" t="n">
        <v>3.786664243478488</v>
      </c>
      <c r="R13" s="15" t="n">
        <v>12</v>
      </c>
      <c r="S13" s="9" t="n">
        <v>0.1318911374738311</v>
      </c>
      <c r="T13" s="13" t="n">
        <v>1</v>
      </c>
      <c r="U13" s="9" t="n">
        <v>0.1318911374738311</v>
      </c>
      <c r="V13" s="9" t="n"/>
      <c r="W13" s="9" t="n"/>
      <c r="X13" s="9" t="n"/>
      <c r="Y13" s="8" t="n">
        <v>2657</v>
      </c>
      <c r="Z13" s="9" t="n">
        <v>0.1203650444453276</v>
      </c>
      <c r="AA13" s="9" t="n">
        <v>0.1272111403838916</v>
      </c>
      <c r="AB13" s="10">
        <f>IFERROR(D13/O13-1,"")</f>
        <v/>
      </c>
      <c r="AC13" s="10">
        <f>IFERROR(E13/O13-1,"")</f>
        <v/>
      </c>
      <c r="AD13" s="10">
        <f>IFERROR(E13/U13-1,"")</f>
        <v/>
      </c>
      <c r="AE13" s="10">
        <f>IFERROR(Z13/AA13-1,"")</f>
        <v/>
      </c>
    </row>
    <row r="14">
      <c r="A14" s="7" t="inlineStr">
        <is>
          <t>202312</t>
        </is>
      </c>
      <c r="B14" s="8" t="n">
        <v>3376</v>
      </c>
      <c r="C14" s="9" t="n">
        <v>0.142168206067577</v>
      </c>
      <c r="D14" s="9" t="n">
        <v>0.1435883652790719</v>
      </c>
      <c r="E14" s="9" t="n">
        <v>0.1314400531457215</v>
      </c>
      <c r="F14" s="9" t="n">
        <v>0.01362559241706161</v>
      </c>
      <c r="G14" s="9" t="n">
        <v>0.04650473933649289</v>
      </c>
      <c r="H14" s="9" t="n">
        <v>0.07345971563981042</v>
      </c>
      <c r="I14" s="9" t="n">
        <v>0.09152843601895734</v>
      </c>
      <c r="J14" s="9" t="n">
        <v>0.1036729857819905</v>
      </c>
      <c r="K14" s="9" t="n">
        <v>0.1146327014218009</v>
      </c>
      <c r="L14" s="9" t="n">
        <v>0.1258886255924171</v>
      </c>
      <c r="M14" s="9" t="n">
        <v>0.1347748815165877</v>
      </c>
      <c r="N14" s="9" t="n">
        <v>0.1481042654028436</v>
      </c>
      <c r="O14" s="9" t="n">
        <v>0.158175355450237</v>
      </c>
      <c r="P14" s="13" t="n">
        <v>0.0012463846792965</v>
      </c>
      <c r="Q14" s="14" t="n">
        <v>3.411002234638927</v>
      </c>
      <c r="R14" s="15" t="n">
        <v>12</v>
      </c>
      <c r="S14" s="9" t="n">
        <v>0.158175355450237</v>
      </c>
      <c r="T14" s="13" t="n">
        <v>1</v>
      </c>
      <c r="U14" s="9" t="n">
        <v>0.158175355450237</v>
      </c>
      <c r="V14" s="9" t="n"/>
      <c r="W14" s="9" t="n"/>
      <c r="X14" s="9" t="n"/>
      <c r="Y14" s="8" t="n">
        <v>3059</v>
      </c>
      <c r="Z14" s="9" t="n">
        <v>0.1318377337500864</v>
      </c>
      <c r="AA14" s="9" t="n">
        <v>0.1539718862373325</v>
      </c>
      <c r="AB14" s="10">
        <f>IFERROR(D14/O14-1,"")</f>
        <v/>
      </c>
      <c r="AC14" s="10">
        <f>IFERROR(E14/O14-1,"")</f>
        <v/>
      </c>
      <c r="AD14" s="10">
        <f>IFERROR(E14/U14-1,"")</f>
        <v/>
      </c>
      <c r="AE14" s="10">
        <f>IFERROR(Z14/AA14-1,"")</f>
        <v/>
      </c>
    </row>
    <row r="15">
      <c r="A15" s="7" t="inlineStr">
        <is>
          <t>202401</t>
        </is>
      </c>
      <c r="B15" s="8" t="n">
        <v>4019</v>
      </c>
      <c r="C15" s="9" t="n">
        <v>0.1258627657986423</v>
      </c>
      <c r="D15" s="9" t="n">
        <v>0.1186505879029172</v>
      </c>
      <c r="E15" s="9" t="n">
        <v>0.1097944008529411</v>
      </c>
      <c r="F15" s="9" t="n">
        <v>0.009703906444389152</v>
      </c>
      <c r="G15" s="9" t="n">
        <v>0.03657626275192834</v>
      </c>
      <c r="H15" s="9" t="n">
        <v>0.05573525752674795</v>
      </c>
      <c r="I15" s="9" t="n">
        <v>0.06867379945260015</v>
      </c>
      <c r="J15" s="9" t="n">
        <v>0.07414779795969147</v>
      </c>
      <c r="K15" s="9" t="n">
        <v>0.08210997760636975</v>
      </c>
      <c r="L15" s="9" t="n">
        <v>0.08957452102513062</v>
      </c>
      <c r="M15" s="9" t="n">
        <v>0.1030106991789002</v>
      </c>
      <c r="N15" s="9" t="n">
        <v>0.1104752425976611</v>
      </c>
      <c r="O15" s="9" t="n">
        <v>0.1186862403582981</v>
      </c>
      <c r="P15" s="13" t="n">
        <v>-0.0190642825400903</v>
      </c>
      <c r="Q15" s="14" t="n">
        <v>2.947058030691863</v>
      </c>
      <c r="R15" s="15" t="n">
        <v>12</v>
      </c>
      <c r="S15" s="9" t="n">
        <v>0.1186862403582981</v>
      </c>
      <c r="T15" s="13" t="n">
        <v>1</v>
      </c>
      <c r="U15" s="9" t="n">
        <v>0.1186862403582981</v>
      </c>
      <c r="V15" s="9" t="n"/>
      <c r="W15" s="9" t="n"/>
      <c r="X15" s="9" t="n"/>
      <c r="Y15" s="8" t="n">
        <v>3599</v>
      </c>
      <c r="Z15" s="9" t="n">
        <v>0.1089053605133362</v>
      </c>
      <c r="AA15" s="9" t="n">
        <v>0.1161433731592109</v>
      </c>
      <c r="AB15" s="10">
        <f>IFERROR(D15/O15-1,"")</f>
        <v/>
      </c>
      <c r="AC15" s="10">
        <f>IFERROR(E15/O15-1,"")</f>
        <v/>
      </c>
      <c r="AD15" s="10">
        <f>IFERROR(E15/U15-1,"")</f>
        <v/>
      </c>
      <c r="AE15" s="10">
        <f>IFERROR(Z15/AA15-1,"")</f>
        <v/>
      </c>
    </row>
    <row r="16">
      <c r="A16" s="7" t="inlineStr">
        <is>
          <t>202402</t>
        </is>
      </c>
      <c r="B16" s="8" t="n">
        <v>3916</v>
      </c>
      <c r="C16" s="9" t="n">
        <v>0.1297253385203794</v>
      </c>
      <c r="D16" s="9" t="n">
        <v>0.1223988104074151</v>
      </c>
      <c r="E16" s="9" t="n">
        <v>0.113930064919511</v>
      </c>
      <c r="F16" s="9" t="n">
        <v>0.01251276813074566</v>
      </c>
      <c r="G16" s="9" t="n">
        <v>0.04009193054136875</v>
      </c>
      <c r="H16" s="9" t="n">
        <v>0.05566905005107253</v>
      </c>
      <c r="I16" s="9" t="n">
        <v>0.06639427987742594</v>
      </c>
      <c r="J16" s="9" t="n">
        <v>0.07711950970377937</v>
      </c>
      <c r="K16" s="9" t="n">
        <v>0.08631256384065372</v>
      </c>
      <c r="L16" s="9" t="n">
        <v>0.09882533197139939</v>
      </c>
      <c r="M16" s="9" t="n">
        <v>0.1128702757916241</v>
      </c>
      <c r="N16" s="9" t="n">
        <v>0.1253830439223698</v>
      </c>
      <c r="O16" s="9" t="n">
        <v>0.1340653728294178</v>
      </c>
      <c r="P16" s="13" t="n">
        <v>-0.0198286684982686</v>
      </c>
      <c r="Q16" s="14" t="n">
        <v>2.929597627690584</v>
      </c>
      <c r="R16" s="15" t="n">
        <v>12</v>
      </c>
      <c r="S16" s="9" t="n">
        <v>0.1340653728294178</v>
      </c>
      <c r="T16" s="13" t="n">
        <v>1</v>
      </c>
      <c r="U16" s="9" t="n">
        <v>0.1340653728294178</v>
      </c>
      <c r="V16" s="9" t="n"/>
      <c r="W16" s="9" t="n"/>
      <c r="X16" s="9" t="n"/>
      <c r="Y16" s="8" t="n">
        <v>3533</v>
      </c>
      <c r="Z16" s="9" t="n">
        <v>0.1128444093691605</v>
      </c>
      <c r="AA16" s="9" t="n">
        <v>0.1327483724879706</v>
      </c>
      <c r="AB16" s="10">
        <f>IFERROR(D16/O16-1,"")</f>
        <v/>
      </c>
      <c r="AC16" s="10">
        <f>IFERROR(E16/O16-1,"")</f>
        <v/>
      </c>
      <c r="AD16" s="10">
        <f>IFERROR(E16/U16-1,"")</f>
        <v/>
      </c>
      <c r="AE16" s="10">
        <f>IFERROR(Z16/AA16-1,"")</f>
        <v/>
      </c>
    </row>
    <row r="17">
      <c r="A17" s="7" t="inlineStr">
        <is>
          <t>202403</t>
        </is>
      </c>
      <c r="B17" s="8" t="n">
        <v>3822</v>
      </c>
      <c r="C17" s="9" t="n">
        <v>0.1221097699755901</v>
      </c>
      <c r="D17" s="9" t="n">
        <v>0.1152067739133441</v>
      </c>
      <c r="E17" s="9" t="n">
        <v>0.1037200190129914</v>
      </c>
      <c r="F17" s="9" t="n">
        <v>0.01386708529565672</v>
      </c>
      <c r="G17" s="9" t="n">
        <v>0.0347985347985348</v>
      </c>
      <c r="H17" s="9" t="n">
        <v>0.04735740450026164</v>
      </c>
      <c r="I17" s="9" t="n">
        <v>0.05782312925170068</v>
      </c>
      <c r="J17" s="9" t="n">
        <v>0.06593406593406594</v>
      </c>
      <c r="K17" s="9" t="n">
        <v>0.07849293563579278</v>
      </c>
      <c r="L17" s="9" t="n">
        <v>0.08974358974358974</v>
      </c>
      <c r="M17" s="9" t="n">
        <v>0.1004709576138148</v>
      </c>
      <c r="N17" s="9" t="n">
        <v>0.1101517530088959</v>
      </c>
      <c r="O17" s="9" t="n">
        <v>0.119570905285191</v>
      </c>
      <c r="P17" s="13" t="n">
        <v>-0.0309796378369519</v>
      </c>
      <c r="Q17" s="14" t="n">
        <v>2.67488282501116</v>
      </c>
      <c r="R17" s="15" t="n">
        <v>12</v>
      </c>
      <c r="S17" s="9" t="n">
        <v>0.119570905285191</v>
      </c>
      <c r="T17" s="13" t="n">
        <v>1</v>
      </c>
      <c r="U17" s="9" t="n">
        <v>0.119570905285191</v>
      </c>
      <c r="V17" s="9" t="n"/>
      <c r="W17" s="9" t="n"/>
      <c r="X17" s="9" t="n"/>
      <c r="Y17" s="8" t="n">
        <v>3433</v>
      </c>
      <c r="Z17" s="9" t="n">
        <v>0.1029766662452573</v>
      </c>
      <c r="AA17" s="9" t="n">
        <v>0.1168074570346636</v>
      </c>
      <c r="AB17" s="10">
        <f>IFERROR(D17/O17-1,"")</f>
        <v/>
      </c>
      <c r="AC17" s="10">
        <f>IFERROR(E17/O17-1,"")</f>
        <v/>
      </c>
      <c r="AD17" s="10">
        <f>IFERROR(E17/U17-1,"")</f>
        <v/>
      </c>
      <c r="AE17" s="10">
        <f>IFERROR(Z17/AA17-1,"")</f>
        <v/>
      </c>
    </row>
    <row r="18">
      <c r="A18" s="7" t="inlineStr">
        <is>
          <t>202404</t>
        </is>
      </c>
      <c r="B18" s="8" t="n">
        <v>4496</v>
      </c>
      <c r="C18" s="9" t="n">
        <v>0.1249654943774308</v>
      </c>
      <c r="D18" s="9" t="n">
        <v>0.1211693386296208</v>
      </c>
      <c r="E18" s="9" t="n">
        <v>0.103031390596419</v>
      </c>
      <c r="F18" s="9" t="n">
        <v>0.01112099644128114</v>
      </c>
      <c r="G18" s="9" t="n">
        <v>0.02824733096085409</v>
      </c>
      <c r="H18" s="9" t="n">
        <v>0.03981316725978647</v>
      </c>
      <c r="I18" s="9" t="n">
        <v>0.04959964412811388</v>
      </c>
      <c r="J18" s="9" t="n">
        <v>0.06583629893238434</v>
      </c>
      <c r="K18" s="9" t="n">
        <v>0.07784697508896797</v>
      </c>
      <c r="L18" s="9" t="n">
        <v>0.08652135231316727</v>
      </c>
      <c r="M18" s="9" t="n">
        <v>0.09341637010676157</v>
      </c>
      <c r="N18" s="9" t="n">
        <v>0.1023131672597865</v>
      </c>
      <c r="O18" s="9" t="n">
        <v>0.1147686832740214</v>
      </c>
      <c r="P18" s="13" t="n">
        <v>-0.0558720181987733</v>
      </c>
      <c r="Q18" s="14" t="n">
        <v>2.106281337597227</v>
      </c>
      <c r="R18" s="15" t="n">
        <v>12</v>
      </c>
      <c r="S18" s="9" t="n">
        <v>0.1147686832740214</v>
      </c>
      <c r="T18" s="13" t="n">
        <v>1</v>
      </c>
      <c r="U18" s="9" t="n">
        <v>0.1147686832740214</v>
      </c>
      <c r="V18" s="9" t="n"/>
      <c r="W18" s="9" t="n"/>
      <c r="X18" s="9" t="n"/>
      <c r="Y18" s="8" t="n">
        <v>4049</v>
      </c>
      <c r="Z18" s="9" t="n">
        <v>0.1011421637826084</v>
      </c>
      <c r="AA18" s="9" t="n">
        <v>0.1123734255371697</v>
      </c>
      <c r="AB18" s="10">
        <f>IFERROR(D18/O18-1,"")</f>
        <v/>
      </c>
      <c r="AC18" s="10">
        <f>IFERROR(E18/O18-1,"")</f>
        <v/>
      </c>
      <c r="AD18" s="10">
        <f>IFERROR(E18/U18-1,"")</f>
        <v/>
      </c>
      <c r="AE18" s="10">
        <f>IFERROR(Z18/AA18-1,"")</f>
        <v/>
      </c>
    </row>
    <row r="19">
      <c r="A19" s="7" t="inlineStr">
        <is>
          <t>202405</t>
        </is>
      </c>
      <c r="B19" s="8" t="n">
        <v>3617</v>
      </c>
      <c r="C19" s="9" t="n">
        <v>0.122034970611202</v>
      </c>
      <c r="D19" s="9" t="n">
        <v>0.1181963392841571</v>
      </c>
      <c r="E19" s="9" t="n">
        <v>0.09639832423004066</v>
      </c>
      <c r="F19" s="9" t="n">
        <v>0.006358860934476085</v>
      </c>
      <c r="G19" s="9" t="n">
        <v>0.02073541609068289</v>
      </c>
      <c r="H19" s="9" t="n">
        <v>0.03262372131600774</v>
      </c>
      <c r="I19" s="9" t="n">
        <v>0.04644733204312967</v>
      </c>
      <c r="J19" s="9" t="n">
        <v>0.05833563726845452</v>
      </c>
      <c r="K19" s="9" t="n">
        <v>0.06773569256289742</v>
      </c>
      <c r="L19" s="9" t="n">
        <v>0.07851810893005252</v>
      </c>
      <c r="M19" s="9" t="n">
        <v>0.08819463643903788</v>
      </c>
      <c r="N19" s="9" t="n">
        <v>0.09621233066076859</v>
      </c>
      <c r="O19" s="9" t="n">
        <v>0.1042300248824993</v>
      </c>
      <c r="P19" s="13" t="n">
        <v>-0.0754757595835721</v>
      </c>
      <c r="Q19" s="14" t="n">
        <v>1.658485010036248</v>
      </c>
      <c r="R19" s="15" t="n">
        <v>12</v>
      </c>
      <c r="S19" s="9" t="n">
        <v>0.1042300248824993</v>
      </c>
      <c r="T19" s="13" t="n">
        <v>1</v>
      </c>
      <c r="U19" s="9" t="n">
        <v>0.1042300248824993</v>
      </c>
      <c r="V19" s="9" t="n"/>
      <c r="W19" s="9" t="n"/>
      <c r="X19" s="9" t="n"/>
      <c r="Y19" s="8" t="n">
        <v>3294</v>
      </c>
      <c r="Z19" s="9" t="n">
        <v>0.0937961722953216</v>
      </c>
      <c r="AA19" s="9" t="n">
        <v>0.1020036429872496</v>
      </c>
      <c r="AB19" s="10">
        <f>IFERROR(D19/O19-1,"")</f>
        <v/>
      </c>
      <c r="AC19" s="10">
        <f>IFERROR(E19/O19-1,"")</f>
        <v/>
      </c>
      <c r="AD19" s="10">
        <f>IFERROR(E19/U19-1,"")</f>
        <v/>
      </c>
      <c r="AE19" s="10">
        <f>IFERROR(Z19/AA19-1,"")</f>
        <v/>
      </c>
    </row>
    <row r="20">
      <c r="A20" s="7" t="inlineStr">
        <is>
          <t>202406</t>
        </is>
      </c>
      <c r="B20" s="8" t="n">
        <v>2897</v>
      </c>
      <c r="C20" s="9" t="n">
        <v>0.1251396410865468</v>
      </c>
      <c r="D20" s="9" t="n">
        <v>0.1212139134042924</v>
      </c>
      <c r="E20" s="9" t="n">
        <v>0.1015757033398465</v>
      </c>
      <c r="F20" s="9" t="n">
        <v>0.004832585433206766</v>
      </c>
      <c r="G20" s="9" t="n">
        <v>0.01760441836382465</v>
      </c>
      <c r="H20" s="9" t="n">
        <v>0.03693476009665171</v>
      </c>
      <c r="I20" s="9" t="n">
        <v>0.05177770107007249</v>
      </c>
      <c r="J20" s="9" t="n">
        <v>0.0617880566102865</v>
      </c>
      <c r="K20" s="9" t="n">
        <v>0.06903693476009665</v>
      </c>
      <c r="L20" s="9" t="n">
        <v>0.07801173627890921</v>
      </c>
      <c r="M20" s="9" t="n">
        <v>0.08664135312392129</v>
      </c>
      <c r="N20" s="9" t="n">
        <v>0.09458060062133242</v>
      </c>
      <c r="O20" s="9" t="n">
        <v>0.1011391094235416</v>
      </c>
      <c r="P20" s="13" t="n">
        <v>-0.0653537931038556</v>
      </c>
      <c r="Q20" s="14" t="n">
        <v>1.889694926977259</v>
      </c>
      <c r="R20" s="15" t="n">
        <v>12</v>
      </c>
      <c r="S20" s="9" t="n">
        <v>0.1011391094235416</v>
      </c>
      <c r="T20" s="13" t="n">
        <v>1</v>
      </c>
      <c r="U20" s="9" t="n">
        <v>0.1011391094235416</v>
      </c>
      <c r="V20" s="9" t="n"/>
      <c r="W20" s="9" t="n"/>
      <c r="X20" s="9" t="n"/>
      <c r="Y20" s="8" t="n">
        <v>2613</v>
      </c>
      <c r="Z20" s="9" t="n">
        <v>0.09873083051064349</v>
      </c>
      <c r="AA20" s="9" t="n">
        <v>0.09682357443551473</v>
      </c>
      <c r="AB20" s="10">
        <f>IFERROR(D20/O20-1,"")</f>
        <v/>
      </c>
      <c r="AC20" s="10">
        <f>IFERROR(E20/O20-1,"")</f>
        <v/>
      </c>
      <c r="AD20" s="10">
        <f>IFERROR(E20/U20-1,"")</f>
        <v/>
      </c>
      <c r="AE20" s="10">
        <f>IFERROR(Z20/AA20-1,"")</f>
        <v/>
      </c>
    </row>
    <row r="21">
      <c r="A21" s="7" t="inlineStr">
        <is>
          <t>202407</t>
        </is>
      </c>
      <c r="B21" s="8" t="n">
        <v>3862</v>
      </c>
      <c r="C21" s="9" t="n">
        <v>0.1310032162159886</v>
      </c>
      <c r="D21" s="9" t="n">
        <v>0.1268852374049561</v>
      </c>
      <c r="E21" s="9" t="n">
        <v>0.1064984557486936</v>
      </c>
      <c r="F21" s="9" t="n">
        <v>0.008544795442775763</v>
      </c>
      <c r="G21" s="9" t="n">
        <v>0.02977731745209736</v>
      </c>
      <c r="H21" s="9" t="n">
        <v>0.05023303987571207</v>
      </c>
      <c r="I21" s="9" t="n">
        <v>0.06162610046607975</v>
      </c>
      <c r="J21" s="9" t="n">
        <v>0.06965302951838426</v>
      </c>
      <c r="K21" s="9" t="n">
        <v>0.08104609010875194</v>
      </c>
      <c r="L21" s="9" t="n">
        <v>0.092180217503884</v>
      </c>
      <c r="M21" s="9" t="n">
        <v>0.09968928016571725</v>
      </c>
      <c r="N21" s="9" t="n">
        <v>0.108234075608493</v>
      </c>
      <c r="O21" s="9" t="n">
        <v>0.1165199378560331</v>
      </c>
      <c r="P21" s="13" t="n">
        <v>-0.0704962472517633</v>
      </c>
      <c r="Q21" s="14" t="n">
        <v>1.772228978162538</v>
      </c>
      <c r="R21" s="15" t="n">
        <v>12</v>
      </c>
      <c r="S21" s="9" t="n">
        <v>0.1165199378560331</v>
      </c>
      <c r="T21" s="13" t="n">
        <v>1</v>
      </c>
      <c r="U21" s="9" t="n">
        <v>0.1165199378560331</v>
      </c>
      <c r="V21" s="9" t="n"/>
      <c r="W21" s="9" t="n"/>
      <c r="X21" s="9" t="n"/>
      <c r="Y21" s="8" t="n">
        <v>3517</v>
      </c>
      <c r="Z21" s="9" t="n">
        <v>0.10502022251184</v>
      </c>
      <c r="AA21" s="9" t="n">
        <v>0.1165766278077907</v>
      </c>
      <c r="AB21" s="10">
        <f>IFERROR(D21/O21-1,"")</f>
        <v/>
      </c>
      <c r="AC21" s="10">
        <f>IFERROR(E21/O21-1,"")</f>
        <v/>
      </c>
      <c r="AD21" s="10">
        <f>IFERROR(E21/U21-1,"")</f>
        <v/>
      </c>
      <c r="AE21" s="10">
        <f>IFERROR(Z21/AA21-1,"")</f>
        <v/>
      </c>
    </row>
    <row r="22">
      <c r="A22" s="7" t="inlineStr">
        <is>
          <t>202408</t>
        </is>
      </c>
      <c r="B22" s="8" t="n">
        <v>3605</v>
      </c>
      <c r="C22" s="9" t="n">
        <v>0.1174342040765653</v>
      </c>
      <c r="D22" s="9" t="n">
        <v>0.1137614218112541</v>
      </c>
      <c r="E22" s="9" t="n">
        <v>0.09188354627750828</v>
      </c>
      <c r="F22" s="9" t="n">
        <v>0.005270457697642164</v>
      </c>
      <c r="G22" s="9" t="n">
        <v>0.0188626907073509</v>
      </c>
      <c r="H22" s="9" t="n">
        <v>0.03245492371705964</v>
      </c>
      <c r="I22" s="9" t="n">
        <v>0.04077669902912621</v>
      </c>
      <c r="J22" s="9" t="n">
        <v>0.04993065187239944</v>
      </c>
      <c r="K22" s="9" t="n">
        <v>0.05991678224687933</v>
      </c>
      <c r="L22" s="9" t="n">
        <v>0.06907073509015256</v>
      </c>
      <c r="M22" s="9" t="n">
        <v>0.07656033287101248</v>
      </c>
      <c r="N22" s="9" t="n">
        <v>0.08654646324549237</v>
      </c>
      <c r="O22" s="9" t="n">
        <v>0.09431345353675451</v>
      </c>
      <c r="P22" s="13" t="n">
        <v>-0.0744376341863873</v>
      </c>
      <c r="Q22" s="14" t="n">
        <v>1.68219827636038</v>
      </c>
      <c r="R22" s="15" t="n">
        <v>12</v>
      </c>
      <c r="S22" s="9" t="n">
        <v>0.09431345353675451</v>
      </c>
      <c r="T22" s="13" t="n">
        <v>1</v>
      </c>
      <c r="U22" s="9" t="n">
        <v>0.09431345353675451</v>
      </c>
      <c r="V22" s="9" t="n"/>
      <c r="W22" s="9" t="n"/>
      <c r="X22" s="9" t="n"/>
      <c r="Y22" s="8" t="n">
        <v>3321</v>
      </c>
      <c r="Z22" s="9" t="n">
        <v>0.08950060335950223</v>
      </c>
      <c r="AA22" s="9" t="n">
        <v>0.09123757904245709</v>
      </c>
      <c r="AB22" s="10">
        <f>IFERROR(D22/O22-1,"")</f>
        <v/>
      </c>
      <c r="AC22" s="10">
        <f>IFERROR(E22/O22-1,"")</f>
        <v/>
      </c>
      <c r="AD22" s="10">
        <f>IFERROR(E22/U22-1,"")</f>
        <v/>
      </c>
      <c r="AE22" s="10">
        <f>IFERROR(Z22/AA22-1,"")</f>
        <v/>
      </c>
    </row>
    <row r="23">
      <c r="A23" s="7" t="inlineStr">
        <is>
          <t>202409</t>
        </is>
      </c>
      <c r="B23" s="8" t="n">
        <v>4229</v>
      </c>
      <c r="C23" s="9" t="n">
        <v>0.1148267154434075</v>
      </c>
      <c r="D23" s="9" t="n">
        <v>0.1110606371771062</v>
      </c>
      <c r="E23" s="9" t="n">
        <v>0.08744490824960932</v>
      </c>
      <c r="F23" s="9" t="n">
        <v>0.00827618822416647</v>
      </c>
      <c r="G23" s="9" t="n">
        <v>0.01820761409316623</v>
      </c>
      <c r="H23" s="9" t="n">
        <v>0.02601087727595176</v>
      </c>
      <c r="I23" s="9" t="n">
        <v>0.03665169070702293</v>
      </c>
      <c r="J23" s="9" t="n">
        <v>0.04634665405533223</v>
      </c>
      <c r="K23" s="9" t="n">
        <v>0.05202175455190353</v>
      </c>
      <c r="L23" s="9" t="n">
        <v>0.06124379285883187</v>
      </c>
      <c r="M23" s="9" t="n">
        <v>0.06762828091747458</v>
      </c>
      <c r="N23" s="9" t="n">
        <v>0.07401276897611729</v>
      </c>
      <c r="O23" s="9" t="n">
        <v>0.08134310711752188</v>
      </c>
      <c r="P23" s="13" t="n">
        <v>-0.0828464630159074</v>
      </c>
      <c r="Q23" s="14" t="n">
        <v>1.490120519618099</v>
      </c>
      <c r="R23" s="15" t="n">
        <v>12</v>
      </c>
      <c r="S23" s="9" t="n">
        <v>0.08134310711752188</v>
      </c>
      <c r="T23" s="13" t="n">
        <v>1</v>
      </c>
      <c r="U23" s="9" t="n">
        <v>0.08134310711752188</v>
      </c>
      <c r="V23" s="9" t="n"/>
      <c r="W23" s="9" t="n"/>
      <c r="X23" s="9" t="n"/>
      <c r="Y23" s="8" t="n">
        <v>3946</v>
      </c>
      <c r="Z23" s="9" t="n">
        <v>0.08524055600177538</v>
      </c>
      <c r="AA23" s="9" t="n">
        <v>0.07729346173340092</v>
      </c>
      <c r="AB23" s="10">
        <f>IFERROR(D23/O23-1,"")</f>
        <v/>
      </c>
      <c r="AC23" s="10">
        <f>IFERROR(E23/O23-1,"")</f>
        <v/>
      </c>
      <c r="AD23" s="10">
        <f>IFERROR(E23/U23-1,"")</f>
        <v/>
      </c>
      <c r="AE23" s="10">
        <f>IFERROR(Z23/AA23-1,"")</f>
        <v/>
      </c>
    </row>
    <row r="24">
      <c r="A24" s="7" t="inlineStr">
        <is>
          <t>202410</t>
        </is>
      </c>
      <c r="B24" s="8" t="n">
        <v>4272</v>
      </c>
      <c r="C24" s="9" t="n">
        <v>0.1055522276758311</v>
      </c>
      <c r="D24" s="9" t="n">
        <v>0.1053009836224679</v>
      </c>
      <c r="E24" s="9" t="n">
        <v>0.08064448316766287</v>
      </c>
      <c r="F24" s="9" t="n">
        <v>0.007958801498127341</v>
      </c>
      <c r="G24" s="9" t="n">
        <v>0.02340823970037453</v>
      </c>
      <c r="H24" s="9" t="n">
        <v>0.03558052434456929</v>
      </c>
      <c r="I24" s="9" t="n">
        <v>0.04634831460674158</v>
      </c>
      <c r="J24" s="9" t="n">
        <v>0.05711610486891386</v>
      </c>
      <c r="K24" s="9" t="n">
        <v>0.06367041198501873</v>
      </c>
      <c r="L24" s="9" t="n">
        <v>0.0723314606741573</v>
      </c>
      <c r="M24" s="9" t="n">
        <v>0.08239700374531835</v>
      </c>
      <c r="N24" s="9" t="n">
        <v>0.09082397003745318</v>
      </c>
      <c r="O24" s="9" t="n">
        <v>0.09808052434456929</v>
      </c>
      <c r="P24" s="13" t="n">
        <v>-0.0724218660345015</v>
      </c>
      <c r="Q24" s="14" t="n">
        <v>1.728243240834804</v>
      </c>
      <c r="R24" s="15" t="n">
        <v>12</v>
      </c>
      <c r="S24" s="9" t="n">
        <v>0.09808052434456929</v>
      </c>
      <c r="T24" s="13" t="n">
        <v>1</v>
      </c>
      <c r="U24" s="9" t="n">
        <v>0.09808052434456929</v>
      </c>
      <c r="V24" s="9" t="n"/>
      <c r="W24" s="9" t="n"/>
      <c r="X24" s="9" t="n"/>
      <c r="Y24" s="8" t="n">
        <v>3970</v>
      </c>
      <c r="Z24" s="9" t="n">
        <v>0.07900353588229897</v>
      </c>
      <c r="AA24" s="9" t="n">
        <v>0.09697732997481108</v>
      </c>
      <c r="AB24" s="10">
        <f>IFERROR(D24/O24-1,"")</f>
        <v/>
      </c>
      <c r="AC24" s="10">
        <f>IFERROR(E24/O24-1,"")</f>
        <v/>
      </c>
      <c r="AD24" s="10">
        <f>IFERROR(E24/U24-1,"")</f>
        <v/>
      </c>
      <c r="AE24" s="10">
        <f>IFERROR(Z24/AA24-1,"")</f>
        <v/>
      </c>
    </row>
    <row r="25">
      <c r="A25" s="7" t="inlineStr">
        <is>
          <t>202411</t>
        </is>
      </c>
      <c r="B25" s="8" t="n">
        <v>2813</v>
      </c>
      <c r="C25" s="9" t="n">
        <v>0.0913351639000109</v>
      </c>
      <c r="D25" s="9" t="n">
        <v>0.09066884758310453</v>
      </c>
      <c r="E25" s="9" t="n">
        <v>0.06812224242834378</v>
      </c>
      <c r="F25" s="9" t="n">
        <v>0.003199431212228937</v>
      </c>
      <c r="G25" s="9" t="n">
        <v>0.0135087095627444</v>
      </c>
      <c r="H25" s="9" t="n">
        <v>0.02061855670103093</v>
      </c>
      <c r="I25" s="9" t="n">
        <v>0.02666192676857448</v>
      </c>
      <c r="J25" s="9" t="n">
        <v>0.03483825097760398</v>
      </c>
      <c r="K25" s="9" t="n">
        <v>0.04123711340206185</v>
      </c>
      <c r="L25" s="9" t="n">
        <v>0.05012442232492002</v>
      </c>
      <c r="M25" s="9" t="n">
        <v>0.05581230003554923</v>
      </c>
      <c r="N25" s="9" t="n">
        <v>0.06043370067543548</v>
      </c>
      <c r="O25" s="9" t="n">
        <v>0.06861002488446498</v>
      </c>
      <c r="P25" s="13" t="n">
        <v>-0.0580535033556161</v>
      </c>
      <c r="Q25" s="14" t="n">
        <v>2.056451000485126</v>
      </c>
      <c r="R25" s="15" t="n">
        <v>12</v>
      </c>
      <c r="S25" s="9" t="n">
        <v>0.06861002488446498</v>
      </c>
      <c r="T25" s="13" t="n">
        <v>1</v>
      </c>
      <c r="U25" s="9" t="n">
        <v>0.06861002488446498</v>
      </c>
      <c r="V25" s="9" t="n"/>
      <c r="W25" s="9" t="n"/>
      <c r="X25" s="9" t="n"/>
      <c r="Y25" s="8" t="n">
        <v>2613</v>
      </c>
      <c r="Z25" s="9" t="n">
        <v>0.06563303903650072</v>
      </c>
      <c r="AA25" s="9" t="n">
        <v>0.06544202066590127</v>
      </c>
      <c r="AB25" s="10">
        <f>IFERROR(D25/O25-1,"")</f>
        <v/>
      </c>
      <c r="AC25" s="10">
        <f>IFERROR(E25/O25-1,"")</f>
        <v/>
      </c>
      <c r="AD25" s="10">
        <f>IFERROR(E25/U25-1,"")</f>
        <v/>
      </c>
      <c r="AE25" s="10">
        <f>IFERROR(Z25/AA25-1,"")</f>
        <v/>
      </c>
    </row>
    <row r="26">
      <c r="A26" s="7" t="inlineStr">
        <is>
          <t>202412</t>
        </is>
      </c>
      <c r="B26" s="8" t="n">
        <v>2474</v>
      </c>
      <c r="C26" s="9" t="n">
        <v>0.08657936517957812</v>
      </c>
      <c r="D26" s="9" t="n">
        <v>0.08583903965324151</v>
      </c>
      <c r="E26" s="9" t="n">
        <v>0.06158204554095717</v>
      </c>
      <c r="F26" s="9" t="n">
        <v>0.002829426030719482</v>
      </c>
      <c r="G26" s="9" t="n">
        <v>0.01212611156022635</v>
      </c>
      <c r="H26" s="9" t="n">
        <v>0.01738075990299111</v>
      </c>
      <c r="I26" s="9" t="n">
        <v>0.02546483427647534</v>
      </c>
      <c r="J26" s="9" t="n">
        <v>0.03152789005658852</v>
      </c>
      <c r="K26" s="9" t="n">
        <v>0.03718674211802749</v>
      </c>
      <c r="L26" s="9" t="n">
        <v>0.04244139046079224</v>
      </c>
      <c r="M26" s="9" t="n">
        <v>0.04729183508488278</v>
      </c>
      <c r="N26" s="9" t="n">
        <v>0.0549717057396928</v>
      </c>
      <c r="O26" s="9" t="n">
        <v>0.05618431689571544</v>
      </c>
      <c r="P26" s="13" t="n">
        <v>-0.0650299149850779</v>
      </c>
      <c r="Q26" s="14" t="n">
        <v>1.897093077632239</v>
      </c>
      <c r="R26" s="15" t="n">
        <v>12</v>
      </c>
      <c r="S26" s="9" t="n">
        <v>0.05618431689571544</v>
      </c>
      <c r="T26" s="13" t="n">
        <v>1</v>
      </c>
      <c r="U26" s="9" t="n">
        <v>0.05618431689571544</v>
      </c>
      <c r="V26" s="9" t="n"/>
      <c r="W26" s="9" t="n"/>
      <c r="X26" s="9" t="n"/>
      <c r="Y26" s="8" t="n">
        <v>2259</v>
      </c>
      <c r="Z26" s="9" t="n">
        <v>0.06060308045470565</v>
      </c>
      <c r="AA26" s="9" t="n">
        <v>0.05356352368304559</v>
      </c>
      <c r="AB26" s="10">
        <f>IFERROR(D26/O26-1,"")</f>
        <v/>
      </c>
      <c r="AC26" s="10">
        <f>IFERROR(E26/O26-1,"")</f>
        <v/>
      </c>
      <c r="AD26" s="10">
        <f>IFERROR(E26/U26-1,"")</f>
        <v/>
      </c>
      <c r="AE26" s="10">
        <f>IFERROR(Z26/AA26-1,"")</f>
        <v/>
      </c>
    </row>
    <row r="27">
      <c r="A27" s="7" t="inlineStr">
        <is>
          <t>202501</t>
        </is>
      </c>
      <c r="B27" s="8" t="n">
        <v>3152</v>
      </c>
      <c r="C27" s="9" t="n">
        <v>0.08514706290275009</v>
      </c>
      <c r="D27" s="9" t="n">
        <v>0.08440613566908446</v>
      </c>
      <c r="E27" s="9" t="n">
        <v>0.05989000062113525</v>
      </c>
      <c r="F27" s="9" t="n">
        <v>0.004124365482233503</v>
      </c>
      <c r="G27" s="9" t="n">
        <v>0.009200507614213198</v>
      </c>
      <c r="H27" s="9" t="n">
        <v>0.01586294416243655</v>
      </c>
      <c r="I27" s="9" t="n">
        <v>0.0225253807106599</v>
      </c>
      <c r="J27" s="9" t="n">
        <v>0.02633248730964467</v>
      </c>
      <c r="K27" s="9" t="n">
        <v>0.03109137055837563</v>
      </c>
      <c r="L27" s="9" t="n">
        <v>0.0358502538071066</v>
      </c>
      <c r="M27" s="9" t="n">
        <v>0.03902284263959391</v>
      </c>
      <c r="N27" s="9" t="n">
        <v>0.04314720812182741</v>
      </c>
      <c r="O27" s="9" t="n">
        <v>0.04822335025380711</v>
      </c>
      <c r="P27" s="13" t="n">
        <v>-0.0692773689503683</v>
      </c>
      <c r="Q27" s="14" t="n">
        <v>1.800071073015497</v>
      </c>
      <c r="R27" s="15" t="n">
        <v>12</v>
      </c>
      <c r="S27" s="9" t="n">
        <v>0.04822335025380711</v>
      </c>
      <c r="T27" s="13" t="n">
        <v>1</v>
      </c>
      <c r="U27" s="9" t="n">
        <v>0.04822335025380711</v>
      </c>
      <c r="V27" s="9" t="n"/>
      <c r="W27" s="9" t="n"/>
      <c r="X27" s="9" t="n"/>
      <c r="Y27" s="8" t="n">
        <v>2848</v>
      </c>
      <c r="Z27" s="9" t="n">
        <v>0.0571473352821818</v>
      </c>
      <c r="AA27" s="9" t="n">
        <v>0.04634831460674158</v>
      </c>
      <c r="AB27" s="10">
        <f>IFERROR(D27/O27-1,"")</f>
        <v/>
      </c>
      <c r="AC27" s="10">
        <f>IFERROR(E27/O27-1,"")</f>
        <v/>
      </c>
      <c r="AD27" s="10">
        <f>IFERROR(E27/U27-1,"")</f>
        <v/>
      </c>
      <c r="AE27" s="10">
        <f>IFERROR(Z27/AA27-1,"")</f>
        <v/>
      </c>
    </row>
    <row r="28">
      <c r="A28" s="7" t="inlineStr">
        <is>
          <t>202502</t>
        </is>
      </c>
      <c r="B28" s="8" t="n">
        <v>2702</v>
      </c>
      <c r="C28" s="9" t="n">
        <v>0.08484119425619437</v>
      </c>
      <c r="D28" s="9" t="n">
        <v>0.08429424352923216</v>
      </c>
      <c r="E28" s="9" t="n">
        <v>0.05840000838446115</v>
      </c>
      <c r="F28" s="9" t="n">
        <v>0.004441154700222058</v>
      </c>
      <c r="G28" s="9" t="n">
        <v>0.01036269430051814</v>
      </c>
      <c r="H28" s="9" t="n">
        <v>0.0155440414507772</v>
      </c>
      <c r="I28" s="9" t="n">
        <v>0.02405625462620281</v>
      </c>
      <c r="J28" s="9" t="n">
        <v>0.02886750555144338</v>
      </c>
      <c r="K28" s="9" t="n">
        <v>0.03478904515173945</v>
      </c>
      <c r="L28" s="9" t="n">
        <v>0.04108068097705404</v>
      </c>
      <c r="M28" s="9" t="n">
        <v>0.04848260547742413</v>
      </c>
      <c r="N28" s="9" t="n">
        <v>0.05514433752775721</v>
      </c>
      <c r="O28" s="9" t="n">
        <v>0.05958549222797927</v>
      </c>
      <c r="P28" s="13" t="n">
        <v>-0.0821028391221693</v>
      </c>
      <c r="Q28" s="14" t="n">
        <v>1.507106667423574</v>
      </c>
      <c r="R28" s="15" t="n">
        <v>12</v>
      </c>
      <c r="S28" s="9" t="n">
        <v>0.05958549222797927</v>
      </c>
      <c r="T28" s="13" t="n">
        <v>1</v>
      </c>
      <c r="U28" s="9" t="n">
        <v>0.05958549222797927</v>
      </c>
      <c r="V28" s="9" t="n"/>
      <c r="W28" s="9" t="n"/>
      <c r="X28" s="9" t="n"/>
      <c r="Y28" s="8" t="n">
        <v>2364</v>
      </c>
      <c r="Z28" s="9" t="n">
        <v>0.05522595561459937</v>
      </c>
      <c r="AA28" s="9" t="n">
        <v>0.05499153976311337</v>
      </c>
      <c r="AB28" s="10">
        <f>IFERROR(D28/O28-1,"")</f>
        <v/>
      </c>
      <c r="AC28" s="10">
        <f>IFERROR(E28/O28-1,"")</f>
        <v/>
      </c>
      <c r="AD28" s="10">
        <f>IFERROR(E28/U28-1,"")</f>
        <v/>
      </c>
      <c r="AE28" s="10">
        <f>IFERROR(Z28/AA28-1,"")</f>
        <v/>
      </c>
    </row>
    <row r="29">
      <c r="A29" s="7" t="inlineStr">
        <is>
          <t>202503</t>
        </is>
      </c>
      <c r="B29" s="8" t="n">
        <v>2482</v>
      </c>
      <c r="C29" s="9" t="n">
        <v>0.08867477873936115</v>
      </c>
      <c r="D29" s="9" t="n">
        <v>0.08411518464279177</v>
      </c>
      <c r="E29" s="9" t="n">
        <v>0.06243963778651289</v>
      </c>
      <c r="F29" s="9" t="n">
        <v>0.00201450443190975</v>
      </c>
      <c r="G29" s="9" t="n">
        <v>0.01007252215954875</v>
      </c>
      <c r="H29" s="9" t="n">
        <v>0.0169218372280419</v>
      </c>
      <c r="I29" s="9" t="n">
        <v>0.02377115229653505</v>
      </c>
      <c r="J29" s="9" t="n">
        <v>0.0290088638195004</v>
      </c>
      <c r="K29" s="9" t="n">
        <v>0.03706688154713941</v>
      </c>
      <c r="L29" s="9" t="n">
        <v>0.0435132957292506</v>
      </c>
      <c r="M29" s="9" t="n">
        <v>0.04794520547945205</v>
      </c>
      <c r="N29" s="9" t="n">
        <v>0.0547945205479452</v>
      </c>
      <c r="O29" s="9" t="n">
        <v>0.05842062852538275</v>
      </c>
      <c r="P29" s="13" t="n">
        <v>-0.0901403058799683</v>
      </c>
      <c r="Q29" s="14" t="n">
        <v>1.323511708359959</v>
      </c>
      <c r="R29" s="15" t="n">
        <v>12</v>
      </c>
      <c r="S29" s="9" t="n">
        <v>0.05842062852538275</v>
      </c>
      <c r="T29" s="13" t="n">
        <v>1</v>
      </c>
      <c r="U29" s="9" t="n">
        <v>0.05842062852538275</v>
      </c>
      <c r="V29" s="9" t="n"/>
      <c r="W29" s="9" t="n"/>
      <c r="X29" s="9" t="n"/>
      <c r="Y29" s="8" t="n">
        <v>2195</v>
      </c>
      <c r="Z29" s="9" t="n">
        <v>0.05986717504042279</v>
      </c>
      <c r="AA29" s="9" t="n">
        <v>0.05193621867881549</v>
      </c>
      <c r="AB29" s="10">
        <f>IFERROR(D29/O29-1,"")</f>
        <v/>
      </c>
      <c r="AC29" s="10">
        <f>IFERROR(E29/O29-1,"")</f>
        <v/>
      </c>
      <c r="AD29" s="10">
        <f>IFERROR(E29/U29-1,"")</f>
        <v/>
      </c>
      <c r="AE29" s="10">
        <f>IFERROR(Z29/AA29-1,"")</f>
        <v/>
      </c>
    </row>
    <row r="30">
      <c r="A30" s="7" t="inlineStr">
        <is>
          <t>202504</t>
        </is>
      </c>
      <c r="B30" s="8" t="n">
        <v>2228</v>
      </c>
      <c r="C30" s="9" t="n">
        <v>0.08854133000428482</v>
      </c>
      <c r="D30" s="9" t="n">
        <v>0.08400957880222323</v>
      </c>
      <c r="E30" s="9" t="n">
        <v>0.06332394473063857</v>
      </c>
      <c r="F30" s="9" t="n">
        <v>0.002692998204667864</v>
      </c>
      <c r="G30" s="9" t="n">
        <v>0.008527827648114902</v>
      </c>
      <c r="H30" s="9" t="n">
        <v>0.008976660682226212</v>
      </c>
      <c r="I30" s="9" t="n">
        <v>0.01481149012567325</v>
      </c>
      <c r="J30" s="9" t="n">
        <v>0.01795332136445242</v>
      </c>
      <c r="K30" s="9" t="n">
        <v>0.0255834829443447</v>
      </c>
      <c r="L30" s="9" t="n">
        <v>0.03096947935368043</v>
      </c>
      <c r="M30" s="9" t="n">
        <v>0.03859964093357271</v>
      </c>
      <c r="N30" s="9" t="n">
        <v>0.04578096947935368</v>
      </c>
      <c r="O30" s="9" t="n">
        <v>0.05116696588868941</v>
      </c>
      <c r="P30" s="13" t="n">
        <v>-0.0763210869948466</v>
      </c>
      <c r="Q30" s="14" t="n">
        <v>1.639175710707863</v>
      </c>
      <c r="R30" s="15" t="n">
        <v>12</v>
      </c>
      <c r="S30" s="9" t="n">
        <v>0.05116696588868941</v>
      </c>
      <c r="T30" s="13" t="n">
        <v>1</v>
      </c>
      <c r="U30" s="9" t="n">
        <v>0.05116696588868941</v>
      </c>
      <c r="V30" s="9" t="n"/>
      <c r="W30" s="9" t="n"/>
      <c r="X30" s="9" t="n"/>
      <c r="Y30" s="8" t="n">
        <v>1943</v>
      </c>
      <c r="Z30" s="9" t="n">
        <v>0.05989198996499401</v>
      </c>
      <c r="AA30" s="9" t="n">
        <v>0.04117344312918168</v>
      </c>
      <c r="AB30" s="10">
        <f>IFERROR(D30/O30-1,"")</f>
        <v/>
      </c>
      <c r="AC30" s="10">
        <f>IFERROR(E30/O30-1,"")</f>
        <v/>
      </c>
      <c r="AD30" s="10">
        <f>IFERROR(E30/U30-1,"")</f>
        <v/>
      </c>
      <c r="AE30" s="10">
        <f>IFERROR(Z30/AA30-1,"")</f>
        <v/>
      </c>
    </row>
    <row r="31">
      <c r="A31" s="7" t="inlineStr">
        <is>
          <t>202505</t>
        </is>
      </c>
      <c r="B31" s="8" t="n">
        <v>2238</v>
      </c>
      <c r="C31" s="9" t="n">
        <v>0.09077423571511584</v>
      </c>
      <c r="D31" s="9" t="n">
        <v>0.08588179415782665</v>
      </c>
      <c r="E31" s="9" t="n">
        <v>0.06551217264874468</v>
      </c>
      <c r="F31" s="9" t="n">
        <v>0.002234137622877569</v>
      </c>
      <c r="G31" s="9" t="n">
        <v>0.008042895442359249</v>
      </c>
      <c r="H31" s="9" t="n">
        <v>0.01161751563896336</v>
      </c>
      <c r="I31" s="9" t="n">
        <v>0.01831992850759607</v>
      </c>
      <c r="J31" s="9" t="n">
        <v>0.02725647899910634</v>
      </c>
      <c r="K31" s="9" t="n">
        <v>0.03127792672028597</v>
      </c>
      <c r="L31" s="9" t="n">
        <v>0.03753351206434316</v>
      </c>
      <c r="M31" s="9" t="n">
        <v>0.04244861483467382</v>
      </c>
      <c r="N31" s="9" t="n">
        <v>0.04870420017873101</v>
      </c>
      <c r="O31" s="9" t="n">
        <v>0.05585344057193923</v>
      </c>
      <c r="P31" s="13" t="n">
        <v>-0.0729545842663733</v>
      </c>
      <c r="Q31" s="14" t="n">
        <v>1.716074682641011</v>
      </c>
      <c r="R31" s="15" t="n">
        <v>12</v>
      </c>
      <c r="S31" s="9" t="n">
        <v>0.05585344057193923</v>
      </c>
      <c r="T31" s="13" t="n">
        <v>1</v>
      </c>
      <c r="U31" s="9" t="n">
        <v>0.05585344057193923</v>
      </c>
      <c r="V31" s="9" t="n"/>
      <c r="W31" s="9" t="n"/>
      <c r="X31" s="9" t="n"/>
      <c r="Y31" s="8" t="n">
        <v>1966</v>
      </c>
      <c r="Z31" s="9" t="n">
        <v>0.06296607878513188</v>
      </c>
      <c r="AA31" s="9" t="n">
        <v>0.05340793489318413</v>
      </c>
      <c r="AB31" s="10">
        <f>IFERROR(D31/O31-1,"")</f>
        <v/>
      </c>
      <c r="AC31" s="10">
        <f>IFERROR(E31/O31-1,"")</f>
        <v/>
      </c>
      <c r="AD31" s="10">
        <f>IFERROR(E31/U31-1,"")</f>
        <v/>
      </c>
      <c r="AE31" s="10">
        <f>IFERROR(Z31/AA31-1,"")</f>
        <v/>
      </c>
    </row>
    <row r="32">
      <c r="A32" s="7" t="inlineStr">
        <is>
          <t>202506</t>
        </is>
      </c>
      <c r="B32" s="8" t="n">
        <v>2259</v>
      </c>
      <c r="C32" s="9" t="n">
        <v>0.08982859257461884</v>
      </c>
      <c r="D32" s="9" t="n">
        <v>0.08524887107647444</v>
      </c>
      <c r="E32" s="9" t="n">
        <v>0.06431244706195136</v>
      </c>
      <c r="F32" s="9" t="n">
        <v>0.002213368747233289</v>
      </c>
      <c r="G32" s="9" t="n">
        <v>0.009738822487826471</v>
      </c>
      <c r="H32" s="9" t="n">
        <v>0.01637892872952634</v>
      </c>
      <c r="I32" s="9" t="n">
        <v>0.02346170872067286</v>
      </c>
      <c r="J32" s="9" t="n">
        <v>0.03187250996015936</v>
      </c>
      <c r="K32" s="9" t="n">
        <v>0.03806994245241258</v>
      </c>
      <c r="L32" s="9" t="n">
        <v>0.04161133244798584</v>
      </c>
      <c r="M32" s="9" t="n">
        <v>0.04825143868968571</v>
      </c>
      <c r="N32" s="9" t="n">
        <v>0.0513501549358123</v>
      </c>
      <c r="O32" s="9" t="n">
        <v>0.05444887118193891</v>
      </c>
      <c r="P32" s="13" t="n">
        <v>-0.07376569476056211</v>
      </c>
      <c r="Q32" s="14" t="n">
        <v>1.69754697951463</v>
      </c>
      <c r="R32" s="15" t="n">
        <v>12</v>
      </c>
      <c r="S32" s="9" t="n">
        <v>0.05444887118193891</v>
      </c>
      <c r="T32" s="13" t="n">
        <v>1</v>
      </c>
      <c r="U32" s="9" t="n">
        <v>0.05444887118193891</v>
      </c>
      <c r="V32" s="9" t="n"/>
      <c r="W32" s="9" t="n"/>
      <c r="X32" s="9" t="n"/>
      <c r="Y32" s="8" t="n">
        <v>1985</v>
      </c>
      <c r="Z32" s="9" t="n">
        <v>0.06260800209978792</v>
      </c>
      <c r="AA32" s="9" t="n">
        <v>0.0508816120906801</v>
      </c>
      <c r="AB32" s="10">
        <f>IFERROR(D32/O32-1,"")</f>
        <v/>
      </c>
      <c r="AC32" s="10">
        <f>IFERROR(E32/O32-1,"")</f>
        <v/>
      </c>
      <c r="AD32" s="10">
        <f>IFERROR(E32/U32-1,"")</f>
        <v/>
      </c>
      <c r="AE32" s="10">
        <f>IFERROR(Z32/AA32-1,"")</f>
        <v/>
      </c>
    </row>
    <row r="33">
      <c r="A33" s="7" t="inlineStr">
        <is>
          <t>202507</t>
        </is>
      </c>
      <c r="B33" s="8" t="n">
        <v>3092</v>
      </c>
      <c r="C33" s="9" t="n">
        <v>0.09961474989661356</v>
      </c>
      <c r="D33" s="9" t="n">
        <v>0.09491774785533585</v>
      </c>
      <c r="E33" s="9" t="n">
        <v>0.07469805443919655</v>
      </c>
      <c r="F33" s="9" t="n">
        <v>0.004204398447606727</v>
      </c>
      <c r="G33" s="9" t="n">
        <v>0.01228978007761966</v>
      </c>
      <c r="H33" s="9" t="n">
        <v>0.02263906856403622</v>
      </c>
      <c r="I33" s="9" t="n">
        <v>0.02716688227684347</v>
      </c>
      <c r="J33" s="9" t="n">
        <v>0.03298835705045278</v>
      </c>
      <c r="K33" s="9" t="n">
        <v>0.03751617076326003</v>
      </c>
      <c r="L33" s="9" t="n">
        <v>0.04495472186287193</v>
      </c>
      <c r="M33" s="9" t="n">
        <v>0.05271668822768435</v>
      </c>
      <c r="N33" s="9" t="n">
        <v>0.05789133247089263</v>
      </c>
      <c r="O33" s="9" t="n"/>
      <c r="P33" s="13" t="n">
        <v>-0.0736408959148164</v>
      </c>
      <c r="Q33" s="14" t="n">
        <v>1.700397683556876</v>
      </c>
      <c r="R33" s="15" t="n">
        <v>11</v>
      </c>
      <c r="S33" s="9" t="n">
        <v>0.05789133247089263</v>
      </c>
      <c r="T33" s="13" t="n">
        <v>1.071140939597315</v>
      </c>
      <c r="U33" s="9" t="n">
        <v>0.06200977625741251</v>
      </c>
      <c r="V33" s="9" t="n">
        <v>0.06138327174514178</v>
      </c>
      <c r="W33" s="9" t="n">
        <v>0.06225863572709422</v>
      </c>
      <c r="X33" s="9" t="n">
        <v>0.06321831890017983</v>
      </c>
      <c r="Y33" s="8" t="n">
        <v>2705</v>
      </c>
      <c r="Z33" s="9" t="n">
        <v>0.07108278181226742</v>
      </c>
      <c r="AA33" s="9" t="n"/>
      <c r="AB33" s="10">
        <f>IFERROR(D33/O33-1,"")</f>
        <v/>
      </c>
      <c r="AC33" s="10">
        <f>IFERROR(E33/O33-1,"")</f>
        <v/>
      </c>
      <c r="AD33" s="10">
        <f>IFERROR(E33/U33-1,"")</f>
        <v/>
      </c>
      <c r="AE33" s="10">
        <f>IFERROR(Z33/AA33-1,"")</f>
        <v/>
      </c>
    </row>
    <row r="34">
      <c r="A34" s="7" t="inlineStr">
        <is>
          <t>202508</t>
        </is>
      </c>
      <c r="B34" s="8" t="n">
        <v>3056</v>
      </c>
      <c r="C34" s="9" t="n">
        <v>0.09616500198449793</v>
      </c>
      <c r="D34" s="9" t="n">
        <v>0.09132803228094989</v>
      </c>
      <c r="E34" s="9" t="n">
        <v>0.07011629561155772</v>
      </c>
      <c r="F34" s="9" t="n">
        <v>0.00556282722513089</v>
      </c>
      <c r="G34" s="9" t="n">
        <v>0.01767015706806283</v>
      </c>
      <c r="H34" s="9" t="n">
        <v>0.02585078534031414</v>
      </c>
      <c r="I34" s="9" t="n">
        <v>0.03370418848167539</v>
      </c>
      <c r="J34" s="9" t="n">
        <v>0.03861256544502618</v>
      </c>
      <c r="K34" s="9" t="n">
        <v>0.04482984293193717</v>
      </c>
      <c r="L34" s="9" t="n">
        <v>0.05235602094240838</v>
      </c>
      <c r="M34" s="9" t="n">
        <v>0.06053664921465968</v>
      </c>
      <c r="N34" s="9" t="n"/>
      <c r="O34" s="9" t="n"/>
      <c r="P34" s="13" t="n">
        <v>-0.1003314429254493</v>
      </c>
      <c r="Q34" s="14" t="n">
        <v>1.090721770303759</v>
      </c>
      <c r="R34" s="15" t="n">
        <v>10</v>
      </c>
      <c r="S34" s="9" t="n">
        <v>0.06053664921465968</v>
      </c>
      <c r="T34" s="13" t="n">
        <v>1.162660006244146</v>
      </c>
      <c r="U34" s="9" t="n">
        <v>0.07038354095391591</v>
      </c>
      <c r="V34" s="9" t="n">
        <v>0.06972079346003521</v>
      </c>
      <c r="W34" s="9" t="n">
        <v>0.07129536039876354</v>
      </c>
      <c r="X34" s="9" t="n">
        <v>0.07391575740243742</v>
      </c>
      <c r="Y34" s="8" t="n">
        <v>2672</v>
      </c>
      <c r="Z34" s="9" t="n">
        <v>0.06704359153151046</v>
      </c>
      <c r="AA34" s="9" t="n"/>
      <c r="AB34" s="10">
        <f>IFERROR(D34/O34-1,"")</f>
        <v/>
      </c>
      <c r="AC34" s="10">
        <f>IFERROR(E34/O34-1,"")</f>
        <v/>
      </c>
      <c r="AD34" s="10">
        <f>IFERROR(E34/U34-1,"")</f>
        <v/>
      </c>
      <c r="AE34" s="10">
        <f>IFERROR(Z34/AA34-1,"")</f>
        <v/>
      </c>
    </row>
    <row r="35">
      <c r="A35" s="7" t="inlineStr">
        <is>
          <t>202509</t>
        </is>
      </c>
      <c r="B35" s="8" t="n">
        <v>3136</v>
      </c>
      <c r="C35" s="9" t="n">
        <v>0.0989729755751703</v>
      </c>
      <c r="D35" s="9" t="n">
        <v>0.09411353344152378</v>
      </c>
      <c r="E35" s="9" t="n">
        <v>0.07319844048933505</v>
      </c>
      <c r="F35" s="9" t="n">
        <v>0.005739795918367347</v>
      </c>
      <c r="G35" s="9" t="n">
        <v>0.01753826530612245</v>
      </c>
      <c r="H35" s="9" t="n">
        <v>0.02519132653061225</v>
      </c>
      <c r="I35" s="9" t="n">
        <v>0.03188775510204082</v>
      </c>
      <c r="J35" s="9" t="n">
        <v>0.03730867346938776</v>
      </c>
      <c r="K35" s="9" t="n">
        <v>0.04336734693877551</v>
      </c>
      <c r="L35" s="9" t="n">
        <v>0.046875</v>
      </c>
      <c r="M35" s="9" t="n"/>
      <c r="N35" s="9" t="n"/>
      <c r="O35" s="9" t="n"/>
      <c r="P35" s="13" t="n">
        <v>-0.0943381636827425</v>
      </c>
      <c r="Q35" s="14" t="n">
        <v>1.227622598684031</v>
      </c>
      <c r="R35" s="15" t="n">
        <v>9</v>
      </c>
      <c r="S35" s="9" t="n">
        <v>0.046875</v>
      </c>
      <c r="T35" s="13" t="n">
        <v>1.285171977453123</v>
      </c>
      <c r="U35" s="9" t="n">
        <v>0.06024243644311515</v>
      </c>
      <c r="V35" s="9" t="n">
        <v>0.05874611142533936</v>
      </c>
      <c r="W35" s="9" t="n">
        <v>0.06208147321428571</v>
      </c>
      <c r="X35" s="9" t="n">
        <v>0.06318029630982043</v>
      </c>
      <c r="Y35" s="8" t="n">
        <v>2742</v>
      </c>
      <c r="Z35" s="9" t="n">
        <v>0.06989385683948403</v>
      </c>
      <c r="AA35" s="9" t="n"/>
      <c r="AB35" s="10">
        <f>IFERROR(D35/O35-1,"")</f>
        <v/>
      </c>
      <c r="AC35" s="10">
        <f>IFERROR(E35/O35-1,"")</f>
        <v/>
      </c>
      <c r="AD35" s="10">
        <f>IFERROR(E35/U35-1,"")</f>
        <v/>
      </c>
      <c r="AE35" s="10">
        <f>IFERROR(Z35/AA35-1,"")</f>
        <v/>
      </c>
    </row>
    <row r="36">
      <c r="A36" s="7" t="inlineStr">
        <is>
          <t>202510</t>
        </is>
      </c>
      <c r="B36" s="8" t="n">
        <v>3227</v>
      </c>
      <c r="C36" s="9" t="n">
        <v>0.0943922518129421</v>
      </c>
      <c r="D36" s="9" t="n">
        <v>0.08971284286802744</v>
      </c>
      <c r="E36" s="9" t="n">
        <v>0.06859105081944912</v>
      </c>
      <c r="F36" s="9" t="n">
        <v>0.004028509451502944</v>
      </c>
      <c r="G36" s="9" t="n">
        <v>0.01673380849085838</v>
      </c>
      <c r="H36" s="9" t="n">
        <v>0.02355128602417106</v>
      </c>
      <c r="I36" s="9" t="n">
        <v>0.02943910753021382</v>
      </c>
      <c r="J36" s="9" t="n">
        <v>0.03811589711806632</v>
      </c>
      <c r="K36" s="9" t="n">
        <v>0.04648280136349551</v>
      </c>
      <c r="L36" s="9" t="n"/>
      <c r="M36" s="9" t="n"/>
      <c r="N36" s="9" t="n"/>
      <c r="O36" s="9" t="n"/>
      <c r="P36" s="13" t="n">
        <v>-0.0971864626399724</v>
      </c>
      <c r="Q36" s="14" t="n">
        <v>1.162560639958521</v>
      </c>
      <c r="R36" s="15" t="n">
        <v>8</v>
      </c>
      <c r="S36" s="9" t="n">
        <v>0.04648280136349551</v>
      </c>
      <c r="T36" s="13" t="n">
        <v>1.456394211967149</v>
      </c>
      <c r="U36" s="9" t="n">
        <v>0.06769728286181356</v>
      </c>
      <c r="V36" s="9" t="n">
        <v>0.06594027329754805</v>
      </c>
      <c r="W36" s="9" t="n">
        <v>0.06831311700385144</v>
      </c>
      <c r="X36" s="9" t="n">
        <v>0.07232026275076502</v>
      </c>
      <c r="Y36" s="8" t="n">
        <v>2781</v>
      </c>
      <c r="Z36" s="9" t="n">
        <v>0.0655809349436226</v>
      </c>
      <c r="AA36" s="9" t="n"/>
      <c r="AB36" s="10">
        <f>IFERROR(D36/O36-1,"")</f>
        <v/>
      </c>
      <c r="AC36" s="10">
        <f>IFERROR(E36/O36-1,"")</f>
        <v/>
      </c>
      <c r="AD36" s="10">
        <f>IFERROR(E36/U36-1,"")</f>
        <v/>
      </c>
      <c r="AE36" s="10">
        <f>IFERROR(Z36/AA36-1,"")</f>
        <v/>
      </c>
    </row>
    <row r="37">
      <c r="A37" s="7" t="inlineStr">
        <is>
          <t>202511</t>
        </is>
      </c>
      <c r="B37" s="8" t="n">
        <v>3016</v>
      </c>
      <c r="C37" s="9" t="n">
        <v>0.09902519098728826</v>
      </c>
      <c r="D37" s="9" t="n">
        <v>0.0943482186143788</v>
      </c>
      <c r="E37" s="9" t="n">
        <v>0.07353127072772718</v>
      </c>
      <c r="F37" s="9" t="n">
        <v>0.003978779840848806</v>
      </c>
      <c r="G37" s="9" t="n">
        <v>0.01856763925729443</v>
      </c>
      <c r="H37" s="9" t="n">
        <v>0.02851458885941644</v>
      </c>
      <c r="I37" s="9" t="n">
        <v>0.03779840848806366</v>
      </c>
      <c r="J37" s="9" t="n">
        <v>0.04509283819628647</v>
      </c>
      <c r="K37" s="9" t="n"/>
      <c r="L37" s="9" t="n"/>
      <c r="M37" s="9" t="n"/>
      <c r="N37" s="9" t="n"/>
      <c r="O37" s="9" t="n"/>
      <c r="P37" s="13" t="n">
        <v>-0.0951950453295296</v>
      </c>
      <c r="Q37" s="14" t="n">
        <v>1.208049372989306</v>
      </c>
      <c r="R37" s="15" t="n">
        <v>7</v>
      </c>
      <c r="S37" s="9" t="n">
        <v>0.04509283819628647</v>
      </c>
      <c r="T37" s="13" t="n">
        <v>1.720092378752887</v>
      </c>
      <c r="U37" s="9" t="n">
        <v>0.07756384731776943</v>
      </c>
      <c r="V37" s="9" t="n">
        <v>0.07579229231959603</v>
      </c>
      <c r="W37" s="9" t="n">
        <v>0.07831960229767948</v>
      </c>
      <c r="X37" s="9" t="n">
        <v>0.08197654201497159</v>
      </c>
      <c r="Y37" s="8" t="n">
        <v>2569</v>
      </c>
      <c r="Z37" s="9" t="n">
        <v>0.07005405271855761</v>
      </c>
      <c r="AA37" s="9" t="n"/>
      <c r="AB37" s="10">
        <f>IFERROR(D37/O37-1,"")</f>
        <v/>
      </c>
      <c r="AC37" s="10">
        <f>IFERROR(E37/O37-1,"")</f>
        <v/>
      </c>
      <c r="AD37" s="10">
        <f>IFERROR(E37/U37-1,"")</f>
        <v/>
      </c>
      <c r="AE37" s="10">
        <f>IFERROR(Z37/AA37-1,"")</f>
        <v/>
      </c>
    </row>
    <row r="38">
      <c r="A38" s="7" t="inlineStr">
        <is>
          <t>202512</t>
        </is>
      </c>
      <c r="B38" s="8" t="n">
        <v>3285</v>
      </c>
      <c r="C38" s="9" t="n">
        <v>0.1031071325038281</v>
      </c>
      <c r="D38" s="9" t="n">
        <v>0.09816346770461473</v>
      </c>
      <c r="E38" s="9" t="n">
        <v>0.07744969613740098</v>
      </c>
      <c r="F38" s="9" t="n">
        <v>0.00578386605783866</v>
      </c>
      <c r="G38" s="9" t="n">
        <v>0.02039573820395738</v>
      </c>
      <c r="H38" s="9" t="n">
        <v>0.030441400304414</v>
      </c>
      <c r="I38" s="9" t="n">
        <v>0.04231354642313546</v>
      </c>
      <c r="J38" s="9" t="n"/>
      <c r="K38" s="9" t="n"/>
      <c r="L38" s="9" t="n"/>
      <c r="M38" s="9" t="n"/>
      <c r="N38" s="9" t="n"/>
      <c r="O38" s="9" t="n"/>
      <c r="P38" s="13" t="n">
        <v>-0.0907389631868307</v>
      </c>
      <c r="Q38" s="14" t="n">
        <v>1.309836944027043</v>
      </c>
      <c r="R38" s="15" t="n">
        <v>6</v>
      </c>
      <c r="S38" s="9" t="n">
        <v>0.04231354642313546</v>
      </c>
      <c r="T38" s="13" t="n">
        <v>2.088224299065421</v>
      </c>
      <c r="U38" s="9" t="n">
        <v>0.0883601758204242</v>
      </c>
      <c r="V38" s="9" t="n">
        <v>0.0847672338654074</v>
      </c>
      <c r="W38" s="9" t="n">
        <v>0.09056264572843092</v>
      </c>
      <c r="X38" s="9" t="n">
        <v>0.09787839291582064</v>
      </c>
      <c r="Y38" s="8" t="n">
        <v>2865</v>
      </c>
      <c r="Z38" s="9" t="n">
        <v>0.07451393334248776</v>
      </c>
      <c r="AA38" s="9" t="n"/>
      <c r="AB38" s="10">
        <f>IFERROR(D38/O38-1,"")</f>
        <v/>
      </c>
      <c r="AC38" s="10">
        <f>IFERROR(E38/O38-1,"")</f>
        <v/>
      </c>
      <c r="AD38" s="10">
        <f>IFERROR(E38/U38-1,"")</f>
        <v/>
      </c>
      <c r="AE38" s="10">
        <f>IFERROR(Z38/AA38-1,"")</f>
        <v/>
      </c>
    </row>
    <row r="39">
      <c r="A39" s="7" t="inlineStr">
        <is>
          <t>202601</t>
        </is>
      </c>
      <c r="B39" s="8" t="n">
        <v>3914</v>
      </c>
      <c r="C39" s="9" t="n">
        <v>0.09777273655729631</v>
      </c>
      <c r="D39" s="9" t="n">
        <v>0.09307271983273666</v>
      </c>
      <c r="E39" s="9" t="n">
        <v>0.07234447750993009</v>
      </c>
      <c r="F39" s="9" t="n">
        <v>0.007153806847215125</v>
      </c>
      <c r="G39" s="9" t="n">
        <v>0.0258048032703117</v>
      </c>
      <c r="H39" s="9" t="n">
        <v>0.03857945835462442</v>
      </c>
      <c r="I39" s="9" t="n"/>
      <c r="J39" s="9" t="n"/>
      <c r="K39" s="9" t="n"/>
      <c r="L39" s="9" t="n"/>
      <c r="M39" s="9" t="n"/>
      <c r="N39" s="9" t="n"/>
      <c r="O39" s="9" t="n"/>
      <c r="P39" s="13" t="n">
        <v>-0.0827512368458839</v>
      </c>
      <c r="Q39" s="14" t="n">
        <v>1.492295713035885</v>
      </c>
      <c r="R39" s="15" t="n">
        <v>5</v>
      </c>
      <c r="S39" s="9" t="n">
        <v>0.03857945835462442</v>
      </c>
      <c r="T39" s="13" t="n">
        <v>2.726873321942885</v>
      </c>
      <c r="U39" s="9" t="n">
        <v>0.1052012957622319</v>
      </c>
      <c r="V39" s="9" t="n">
        <v>0.09780914143422943</v>
      </c>
      <c r="W39" s="9" t="n">
        <v>0.111981773647948</v>
      </c>
      <c r="X39" s="9" t="n">
        <v>0.1236211605288234</v>
      </c>
      <c r="Y39" s="8" t="n">
        <v>3291</v>
      </c>
      <c r="Z39" s="9" t="n">
        <v>0.06770209996104784</v>
      </c>
      <c r="AA39" s="9" t="n"/>
      <c r="AB39" s="10">
        <f>IFERROR(D39/O39-1,"")</f>
        <v/>
      </c>
      <c r="AC39" s="10">
        <f>IFERROR(E39/O39-1,"")</f>
        <v/>
      </c>
      <c r="AD39" s="10">
        <f>IFERROR(E39/U39-1,"")</f>
        <v/>
      </c>
      <c r="AE39" s="10">
        <f>IFERROR(Z39/AA39-1,"")</f>
        <v/>
      </c>
    </row>
    <row r="40">
      <c r="A40" s="7" t="inlineStr">
        <is>
          <t>202602</t>
        </is>
      </c>
      <c r="B40" s="8" t="n">
        <v>3664</v>
      </c>
      <c r="C40" s="9" t="n">
        <v>0.09897643888616267</v>
      </c>
      <c r="D40" s="9" t="n">
        <v>0.09410366426983556</v>
      </c>
      <c r="E40" s="9" t="n">
        <v>0.0793637524916203</v>
      </c>
      <c r="F40" s="9" t="n">
        <v>0.009552401746724891</v>
      </c>
      <c r="G40" s="9" t="n">
        <v>0.02483624454148472</v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13" t="n">
        <v>-0.0370388932419964</v>
      </c>
      <c r="Q40" s="14" t="n">
        <v>2.53647494332808</v>
      </c>
      <c r="R40" s="15" t="n">
        <v>4</v>
      </c>
      <c r="S40" s="9" t="n">
        <v>0.02483624454148472</v>
      </c>
      <c r="T40" s="13" t="n">
        <v>4.173328352633545</v>
      </c>
      <c r="U40" s="9" t="n">
        <v>0.1036498035179183</v>
      </c>
      <c r="V40" s="9" t="n">
        <v>0.0986040470357718</v>
      </c>
      <c r="W40" s="9" t="n">
        <v>0.1096834681421199</v>
      </c>
      <c r="X40" s="9" t="n">
        <v>0.1271505287131773</v>
      </c>
      <c r="Y40" s="8" t="n">
        <v>3145</v>
      </c>
      <c r="Z40" s="9" t="n">
        <v>0.07531905555694494</v>
      </c>
      <c r="AA40" s="9" t="n"/>
      <c r="AB40" s="10">
        <f>IFERROR(D40/O40-1,"")</f>
        <v/>
      </c>
      <c r="AC40" s="10">
        <f>IFERROR(E40/O40-1,"")</f>
        <v/>
      </c>
      <c r="AD40" s="10">
        <f>IFERROR(E40/U40-1,"")</f>
        <v/>
      </c>
      <c r="AE40" s="10">
        <f>IFERROR(Z40/AA40-1,"")</f>
        <v/>
      </c>
    </row>
    <row r="41">
      <c r="A41" s="7" t="inlineStr">
        <is>
          <t>202603</t>
        </is>
      </c>
      <c r="B41" s="8" t="n">
        <v>4269</v>
      </c>
      <c r="C41" s="9" t="n">
        <v>0.1021513855577817</v>
      </c>
      <c r="D41" s="9" t="n">
        <v>0.09727493294467375</v>
      </c>
      <c r="E41" s="9" t="n">
        <v>0.09022793545237039</v>
      </c>
      <c r="F41" s="9" t="n">
        <v>0.005856172405715624</v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3" t="n">
        <v>0.014389803325765</v>
      </c>
      <c r="Q41" s="14" t="n">
        <v>3.711229343636036</v>
      </c>
      <c r="R41" s="15" t="n">
        <v>3</v>
      </c>
      <c r="S41" s="9" t="n">
        <v>0.005856172405715624</v>
      </c>
      <c r="T41" s="13" t="n">
        <v>13.72481572481573</v>
      </c>
      <c r="U41" s="9" t="n">
        <v>0.08037488712119774</v>
      </c>
      <c r="V41" s="9" t="n">
        <v>0.06995685952994456</v>
      </c>
      <c r="W41" s="9" t="n">
        <v>0.0815838018271258</v>
      </c>
      <c r="X41" s="9" t="n">
        <v>0.1125221697955359</v>
      </c>
      <c r="Y41" s="8" t="n">
        <v>3623</v>
      </c>
      <c r="Z41" s="9" t="n">
        <v>0.08552104418804767</v>
      </c>
      <c r="AA41" s="9" t="n"/>
      <c r="AB41" s="10">
        <f>IFERROR(D41/O41-1,"")</f>
        <v/>
      </c>
      <c r="AC41" s="10">
        <f>IFERROR(E41/O41-1,"")</f>
        <v/>
      </c>
      <c r="AD41" s="10">
        <f>IFERROR(E41/U41-1,"")</f>
        <v/>
      </c>
      <c r="AE41" s="10">
        <f>IFERROR(Z41/AA41-1,"")</f>
        <v/>
      </c>
    </row>
    <row r="42">
      <c r="A42" s="7" t="inlineStr">
        <is>
          <t>202604</t>
        </is>
      </c>
      <c r="B42" s="8" t="n">
        <v>4047</v>
      </c>
      <c r="C42" s="9" t="n">
        <v>0.1049660759919774</v>
      </c>
      <c r="D42" s="9" t="n">
        <v>0.098688833551283</v>
      </c>
      <c r="E42" s="9" t="n">
        <v>0.09535456944396294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3" t="n">
        <v>0.0241851909297492</v>
      </c>
      <c r="Q42" s="14" t="n">
        <v>3.934979418175466</v>
      </c>
      <c r="R42" s="15" t="n"/>
      <c r="S42" s="9" t="n"/>
      <c r="T42" s="13" t="n"/>
      <c r="U42" s="9" t="n"/>
      <c r="V42" s="9" t="n"/>
      <c r="W42" s="9" t="n"/>
      <c r="X42" s="9" t="n"/>
      <c r="Y42" s="8" t="n">
        <v>3438</v>
      </c>
      <c r="Z42" s="9" t="n">
        <v>0.09022708253040328</v>
      </c>
      <c r="AA42" s="9" t="n"/>
      <c r="AB42" s="10">
        <f>IFERROR(D42/O42-1,"")</f>
        <v/>
      </c>
      <c r="AC42" s="10">
        <f>IFERROR(E42/O42-1,"")</f>
        <v/>
      </c>
      <c r="AD42" s="10">
        <f>IFERROR(E42/U42-1,"")</f>
        <v/>
      </c>
      <c r="AE42" s="10">
        <f>IFERROR(Z42/AA42-1,"")</f>
        <v/>
      </c>
    </row>
    <row r="43">
      <c r="A43" s="7" t="inlineStr">
        <is>
          <t>202605</t>
        </is>
      </c>
      <c r="B43" s="8" t="n">
        <v>4936</v>
      </c>
      <c r="C43" s="9" t="n">
        <v>0.1086350562203014</v>
      </c>
      <c r="D43" s="9" t="n">
        <v>0.1017252143821113</v>
      </c>
      <c r="E43" s="9" t="n">
        <v>0.0995633833769129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3" t="n">
        <v>0.0192471239254993</v>
      </c>
      <c r="Q43" s="14" t="n">
        <v>3.822182160430176</v>
      </c>
      <c r="R43" s="15" t="n"/>
      <c r="S43" s="9" t="n"/>
      <c r="T43" s="13" t="n"/>
      <c r="U43" s="9" t="n"/>
      <c r="V43" s="9" t="n"/>
      <c r="W43" s="9" t="n"/>
      <c r="X43" s="9" t="n"/>
      <c r="Y43" s="8" t="n">
        <v>4132</v>
      </c>
      <c r="Z43" s="9" t="n">
        <v>0.09537939957879206</v>
      </c>
      <c r="AA43" s="9" t="n"/>
      <c r="AB43" s="10">
        <f>IFERROR(D43/O43-1,"")</f>
        <v/>
      </c>
      <c r="AC43" s="10">
        <f>IFERROR(E43/O43-1,"")</f>
        <v/>
      </c>
      <c r="AD43" s="10">
        <f>IFERROR(E43/U43-1,"")</f>
        <v/>
      </c>
      <c r="AE43" s="10">
        <f>IFERROR(Z43/AA43-1,"")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</cols>
  <sheetData>
    <row r="1">
      <c r="A1" s="1" t="inlineStr">
        <is>
          <t>IBK N1</t>
        </is>
      </c>
    </row>
    <row r="2">
      <c r="A2" s="2" t="inlineStr">
        <is>
          <t>Interbank, nodo N1</t>
        </is>
      </c>
    </row>
    <row r="4" ht="30" customHeight="1">
      <c r="A4" s="6" t="inlineStr">
        <is>
          <t>codmes</t>
        </is>
      </c>
      <c r="B4" s="6" t="inlineStr">
        <is>
          <t>n</t>
        </is>
      </c>
      <c r="C4" s="6" t="inlineStr">
        <is>
          <t>PD sin calibrar</t>
        </is>
      </c>
      <c r="D4" s="6" t="inlineStr">
        <is>
          <t>PD cal vigente</t>
        </is>
      </c>
      <c r="E4" s="6" t="inlineStr">
        <is>
          <t>PD cal NUEVA</t>
        </is>
      </c>
      <c r="F4" s="6" t="inlineStr">
        <is>
          <t>mora 3m</t>
        </is>
      </c>
      <c r="G4" s="6" t="inlineStr">
        <is>
          <t>mora 4m</t>
        </is>
      </c>
      <c r="H4" s="6" t="inlineStr">
        <is>
          <t>mora 5m</t>
        </is>
      </c>
      <c r="I4" s="6" t="inlineStr">
        <is>
          <t>mora 6m</t>
        </is>
      </c>
      <c r="J4" s="6" t="inlineStr">
        <is>
          <t>mora 7m</t>
        </is>
      </c>
      <c r="K4" s="6" t="inlineStr">
        <is>
          <t>mora 8m</t>
        </is>
      </c>
      <c r="L4" s="6" t="inlineStr">
        <is>
          <t>mora 9m</t>
        </is>
      </c>
      <c r="M4" s="6" t="inlineStr">
        <is>
          <t>mora 10m</t>
        </is>
      </c>
      <c r="N4" s="6" t="inlineStr">
        <is>
          <t>mora 11m</t>
        </is>
      </c>
      <c r="O4" s="6" t="inlineStr">
        <is>
          <t>mora 12m</t>
        </is>
      </c>
      <c r="P4" s="6" t="inlineStr">
        <is>
          <t>ft ciclo</t>
        </is>
      </c>
      <c r="Q4" s="6" t="inlineStr">
        <is>
          <t>inflacion %</t>
        </is>
      </c>
      <c r="R4" s="6" t="inlineStr">
        <is>
          <t>madurez</t>
        </is>
      </c>
      <c r="S4" s="6" t="inlineStr">
        <is>
          <t>mora base</t>
        </is>
      </c>
      <c r="T4" s="6" t="inlineStr">
        <is>
          <t>factor h-&gt;12</t>
        </is>
      </c>
      <c r="U4" s="6" t="inlineStr">
        <is>
          <t>proy mediana</t>
        </is>
      </c>
      <c r="V4" s="6" t="inlineStr">
        <is>
          <t>proy V1</t>
        </is>
      </c>
      <c r="W4" s="6" t="inlineStr">
        <is>
          <t>proy V2</t>
        </is>
      </c>
      <c r="X4" s="6" t="inlineStr">
        <is>
          <t>proy V3</t>
        </is>
      </c>
      <c r="Y4" s="6" t="inlineStr">
        <is>
          <t>n visible IBK</t>
        </is>
      </c>
      <c r="Z4" s="6" t="inlineStr">
        <is>
          <t>PD cal NUEVA visible</t>
        </is>
      </c>
      <c r="AA4" s="6" t="inlineStr">
        <is>
          <t>mora 12m visible</t>
        </is>
      </c>
      <c r="AB4" s="6" t="inlineStr">
        <is>
          <t>EC vigente</t>
        </is>
      </c>
      <c r="AC4" s="6" t="inlineStr">
        <is>
          <t>EC NUEVA</t>
        </is>
      </c>
      <c r="AD4" s="6" t="inlineStr">
        <is>
          <t>EC NUEVA vs proy</t>
        </is>
      </c>
      <c r="AE4" s="6" t="inlineStr">
        <is>
          <t>EC NUEVA visible</t>
        </is>
      </c>
    </row>
    <row r="5">
      <c r="A5" s="7" t="inlineStr">
        <is>
          <t>202303</t>
        </is>
      </c>
      <c r="B5" s="8" t="n">
        <v>547</v>
      </c>
      <c r="C5" s="9" t="n">
        <v>0.06458556966709698</v>
      </c>
      <c r="D5" s="9" t="n">
        <v>0.07837997385772316</v>
      </c>
      <c r="E5" s="9" t="n">
        <v>0.04546464079732462</v>
      </c>
      <c r="F5" s="9" t="n">
        <v>0</v>
      </c>
      <c r="G5" s="9" t="n">
        <v>0</v>
      </c>
      <c r="H5" s="9" t="n">
        <v>0.003656307129798903</v>
      </c>
      <c r="I5" s="9" t="n">
        <v>0.01279707495429616</v>
      </c>
      <c r="J5" s="9" t="n">
        <v>0.02010968921389397</v>
      </c>
      <c r="K5" s="9" t="n">
        <v>0.02559414990859232</v>
      </c>
      <c r="L5" s="9" t="n">
        <v>0.03473491773308958</v>
      </c>
      <c r="M5" s="9" t="n">
        <v>0.03656307129798903</v>
      </c>
      <c r="N5" s="9" t="n">
        <v>0.04570383912248629</v>
      </c>
      <c r="O5" s="9" t="n">
        <v>0.05301645338208409</v>
      </c>
      <c r="P5" s="13" t="n">
        <v>0.2313077929548288</v>
      </c>
      <c r="Q5" s="14" t="n">
        <v>8.666154897445178</v>
      </c>
      <c r="R5" s="15" t="n">
        <v>12</v>
      </c>
      <c r="S5" s="9" t="n">
        <v>0.05301645338208409</v>
      </c>
      <c r="T5" s="13" t="n">
        <v>1</v>
      </c>
      <c r="U5" s="9" t="n">
        <v>0.05301645338208409</v>
      </c>
      <c r="V5" s="9" t="n"/>
      <c r="W5" s="9" t="n"/>
      <c r="X5" s="9" t="n"/>
      <c r="Y5" s="8" t="n">
        <v>547</v>
      </c>
      <c r="Z5" s="9" t="n">
        <v>0.04546464079732462</v>
      </c>
      <c r="AA5" s="9" t="n">
        <v>0.05301645338208409</v>
      </c>
      <c r="AB5" s="10">
        <f>IFERROR(D5/O5-1,"")</f>
        <v/>
      </c>
      <c r="AC5" s="10">
        <f>IFERROR(E5/O5-1,"")</f>
        <v/>
      </c>
      <c r="AD5" s="10">
        <f>IFERROR(E5/U5-1,"")</f>
        <v/>
      </c>
      <c r="AE5" s="10">
        <f>IFERROR(Z5/AA5-1,"")</f>
        <v/>
      </c>
    </row>
    <row r="6">
      <c r="A6" s="7" t="inlineStr">
        <is>
          <t>202304</t>
        </is>
      </c>
      <c r="B6" s="8" t="n">
        <v>639</v>
      </c>
      <c r="C6" s="9" t="n">
        <v>0.06159888941602248</v>
      </c>
      <c r="D6" s="9" t="n">
        <v>0.07506615946037296</v>
      </c>
      <c r="E6" s="9" t="n">
        <v>0.04191025305652937</v>
      </c>
      <c r="F6" s="9" t="n">
        <v>0.001564945226917058</v>
      </c>
      <c r="G6" s="9" t="n">
        <v>0.006259780907668232</v>
      </c>
      <c r="H6" s="9" t="n">
        <v>0.00782472613458529</v>
      </c>
      <c r="I6" s="9" t="n">
        <v>0.01251956181533646</v>
      </c>
      <c r="J6" s="9" t="n">
        <v>0.01564945226917058</v>
      </c>
      <c r="K6" s="9" t="n">
        <v>0.0187793427230047</v>
      </c>
      <c r="L6" s="9" t="n">
        <v>0.02660406885758998</v>
      </c>
      <c r="M6" s="9" t="n">
        <v>0.02816901408450704</v>
      </c>
      <c r="N6" s="9" t="n">
        <v>0.03442879499217527</v>
      </c>
      <c r="O6" s="9" t="n">
        <v>0.03599374021909233</v>
      </c>
      <c r="P6" s="13" t="n">
        <v>0.2039883111878369</v>
      </c>
      <c r="Q6" s="14" t="n">
        <v>8.042112610516504</v>
      </c>
      <c r="R6" s="15" t="n">
        <v>12</v>
      </c>
      <c r="S6" s="9" t="n">
        <v>0.03599374021909233</v>
      </c>
      <c r="T6" s="13" t="n">
        <v>1</v>
      </c>
      <c r="U6" s="9" t="n">
        <v>0.03599374021909233</v>
      </c>
      <c r="V6" s="9" t="n"/>
      <c r="W6" s="9" t="n"/>
      <c r="X6" s="9" t="n"/>
      <c r="Y6" s="8" t="n">
        <v>639</v>
      </c>
      <c r="Z6" s="9" t="n">
        <v>0.04191025305652937</v>
      </c>
      <c r="AA6" s="9" t="n">
        <v>0.03599374021909233</v>
      </c>
      <c r="AB6" s="10">
        <f>IFERROR(D6/O6-1,"")</f>
        <v/>
      </c>
      <c r="AC6" s="10">
        <f>IFERROR(E6/O6-1,"")</f>
        <v/>
      </c>
      <c r="AD6" s="10">
        <f>IFERROR(E6/U6-1,"")</f>
        <v/>
      </c>
      <c r="AE6" s="10">
        <f>IFERROR(Z6/AA6-1,"")</f>
        <v/>
      </c>
    </row>
    <row r="7">
      <c r="A7" s="7" t="inlineStr">
        <is>
          <t>202305</t>
        </is>
      </c>
      <c r="B7" s="8" t="n">
        <v>746</v>
      </c>
      <c r="C7" s="9" t="n">
        <v>0.0650381010722359</v>
      </c>
      <c r="D7" s="9" t="n">
        <v>0.07811989363697396</v>
      </c>
      <c r="E7" s="9" t="n">
        <v>0.04652544945474311</v>
      </c>
      <c r="F7" s="9" t="n">
        <v>0.002680965147453083</v>
      </c>
      <c r="G7" s="9" t="n">
        <v>0.008042895442359249</v>
      </c>
      <c r="H7" s="9" t="n">
        <v>0.01206434316353887</v>
      </c>
      <c r="I7" s="9" t="n">
        <v>0.01876675603217158</v>
      </c>
      <c r="J7" s="9" t="n">
        <v>0.02144772117962467</v>
      </c>
      <c r="K7" s="9" t="n">
        <v>0.02949061662198391</v>
      </c>
      <c r="L7" s="9" t="n">
        <v>0.03485254691689008</v>
      </c>
      <c r="M7" s="9" t="n">
        <v>0.03753351206434316</v>
      </c>
      <c r="N7" s="9" t="n">
        <v>0.04289544235924933</v>
      </c>
      <c r="O7" s="9" t="n">
        <v>0.04557640750670242</v>
      </c>
      <c r="P7" s="13" t="n">
        <v>0.2015420225900039</v>
      </c>
      <c r="Q7" s="14" t="n">
        <v>7.986233529643028</v>
      </c>
      <c r="R7" s="15" t="n">
        <v>12</v>
      </c>
      <c r="S7" s="9" t="n">
        <v>0.04557640750670242</v>
      </c>
      <c r="T7" s="13" t="n">
        <v>1</v>
      </c>
      <c r="U7" s="9" t="n">
        <v>0.04557640750670242</v>
      </c>
      <c r="V7" s="9" t="n"/>
      <c r="W7" s="9" t="n"/>
      <c r="X7" s="9" t="n"/>
      <c r="Y7" s="8" t="n">
        <v>746</v>
      </c>
      <c r="Z7" s="9" t="n">
        <v>0.04652544945474311</v>
      </c>
      <c r="AA7" s="9" t="n">
        <v>0.04557640750670242</v>
      </c>
      <c r="AB7" s="10">
        <f>IFERROR(D7/O7-1,"")</f>
        <v/>
      </c>
      <c r="AC7" s="10">
        <f>IFERROR(E7/O7-1,"")</f>
        <v/>
      </c>
      <c r="AD7" s="10">
        <f>IFERROR(E7/U7-1,"")</f>
        <v/>
      </c>
      <c r="AE7" s="10">
        <f>IFERROR(Z7/AA7-1,"")</f>
        <v/>
      </c>
    </row>
    <row r="8">
      <c r="A8" s="7" t="inlineStr">
        <is>
          <t>202306</t>
        </is>
      </c>
      <c r="B8" s="8" t="n">
        <v>674</v>
      </c>
      <c r="C8" s="9" t="n">
        <v>0.06006659145082847</v>
      </c>
      <c r="D8" s="9" t="n">
        <v>0.07229728288451094</v>
      </c>
      <c r="E8" s="9" t="n">
        <v>0.04094105319222621</v>
      </c>
      <c r="F8" s="9" t="n">
        <v>0.002967359050445104</v>
      </c>
      <c r="G8" s="9" t="n">
        <v>0.01038575667655786</v>
      </c>
      <c r="H8" s="9" t="n">
        <v>0.01186943620178042</v>
      </c>
      <c r="I8" s="9" t="n">
        <v>0.01780415430267062</v>
      </c>
      <c r="J8" s="9" t="n">
        <v>0.02225519287833828</v>
      </c>
      <c r="K8" s="9" t="n">
        <v>0.03560830860534125</v>
      </c>
      <c r="L8" s="9" t="n">
        <v>0.0400593471810089</v>
      </c>
      <c r="M8" s="9" t="n">
        <v>0.04154302670623145</v>
      </c>
      <c r="N8" s="9" t="n">
        <v>0.04451038575667656</v>
      </c>
      <c r="O8" s="9" t="n">
        <v>0.04599406528189911</v>
      </c>
      <c r="P8" s="13" t="n">
        <v>0.145631156252523</v>
      </c>
      <c r="Q8" s="14" t="n">
        <v>6.709095654518293</v>
      </c>
      <c r="R8" s="15" t="n">
        <v>12</v>
      </c>
      <c r="S8" s="9" t="n">
        <v>0.04599406528189911</v>
      </c>
      <c r="T8" s="13" t="n">
        <v>1</v>
      </c>
      <c r="U8" s="9" t="n">
        <v>0.04599406528189911</v>
      </c>
      <c r="V8" s="9" t="n"/>
      <c r="W8" s="9" t="n"/>
      <c r="X8" s="9" t="n"/>
      <c r="Y8" s="8" t="n">
        <v>674</v>
      </c>
      <c r="Z8" s="9" t="n">
        <v>0.04094105319222621</v>
      </c>
      <c r="AA8" s="9" t="n">
        <v>0.04599406528189911</v>
      </c>
      <c r="AB8" s="10">
        <f>IFERROR(D8/O8-1,"")</f>
        <v/>
      </c>
      <c r="AC8" s="10">
        <f>IFERROR(E8/O8-1,"")</f>
        <v/>
      </c>
      <c r="AD8" s="10">
        <f>IFERROR(E8/U8-1,"")</f>
        <v/>
      </c>
      <c r="AE8" s="10">
        <f>IFERROR(Z8/AA8-1,"")</f>
        <v/>
      </c>
    </row>
    <row r="9">
      <c r="A9" s="7" t="inlineStr">
        <is>
          <t>202307</t>
        </is>
      </c>
      <c r="B9" s="8" t="n">
        <v>558</v>
      </c>
      <c r="C9" s="9" t="n">
        <v>0.05501128868517002</v>
      </c>
      <c r="D9" s="9" t="n">
        <v>0.05806005211867472</v>
      </c>
      <c r="E9" s="9" t="n">
        <v>0.0341577721318224</v>
      </c>
      <c r="F9" s="9" t="n">
        <v>0.001792114695340502</v>
      </c>
      <c r="G9" s="9" t="n">
        <v>0.005376344086021506</v>
      </c>
      <c r="H9" s="9" t="n">
        <v>0.007168458781362007</v>
      </c>
      <c r="I9" s="9" t="n">
        <v>0.01075268817204301</v>
      </c>
      <c r="J9" s="9" t="n">
        <v>0.01612903225806452</v>
      </c>
      <c r="K9" s="9" t="n">
        <v>0.01792114695340502</v>
      </c>
      <c r="L9" s="9" t="n">
        <v>0.02150537634408602</v>
      </c>
      <c r="M9" s="9" t="n">
        <v>0.02329749103942652</v>
      </c>
      <c r="N9" s="9" t="n">
        <v>0.02867383512544803</v>
      </c>
      <c r="O9" s="9" t="n">
        <v>0.03584229390681003</v>
      </c>
      <c r="P9" s="13" t="n">
        <v>0.1154476643960626</v>
      </c>
      <c r="Q9" s="14" t="n">
        <v>6.019632529037033</v>
      </c>
      <c r="R9" s="15" t="n">
        <v>12</v>
      </c>
      <c r="S9" s="9" t="n">
        <v>0.03584229390681003</v>
      </c>
      <c r="T9" s="13" t="n">
        <v>1</v>
      </c>
      <c r="U9" s="9" t="n">
        <v>0.03584229390681003</v>
      </c>
      <c r="V9" s="9" t="n"/>
      <c r="W9" s="9" t="n"/>
      <c r="X9" s="9" t="n"/>
      <c r="Y9" s="8" t="n">
        <v>558</v>
      </c>
      <c r="Z9" s="9" t="n">
        <v>0.0341577721318224</v>
      </c>
      <c r="AA9" s="9" t="n">
        <v>0.03584229390681003</v>
      </c>
      <c r="AB9" s="10">
        <f>IFERROR(D9/O9-1,"")</f>
        <v/>
      </c>
      <c r="AC9" s="10">
        <f>IFERROR(E9/O9-1,"")</f>
        <v/>
      </c>
      <c r="AD9" s="10">
        <f>IFERROR(E9/U9-1,"")</f>
        <v/>
      </c>
      <c r="AE9" s="10">
        <f>IFERROR(Z9/AA9-1,"")</f>
        <v/>
      </c>
    </row>
    <row r="10">
      <c r="A10" s="7" t="inlineStr">
        <is>
          <t>202308</t>
        </is>
      </c>
      <c r="B10" s="8" t="n">
        <v>784</v>
      </c>
      <c r="C10" s="9" t="n">
        <v>0.07309693522865371</v>
      </c>
      <c r="D10" s="9" t="n">
        <v>0.07768321856476214</v>
      </c>
      <c r="E10" s="9" t="n">
        <v>0.05572492256645083</v>
      </c>
      <c r="F10" s="9" t="n">
        <v>0.001275510204081633</v>
      </c>
      <c r="G10" s="9" t="n">
        <v>0.003826530612244898</v>
      </c>
      <c r="H10" s="9" t="n">
        <v>0.01403061224489796</v>
      </c>
      <c r="I10" s="9" t="n">
        <v>0.01785714285714286</v>
      </c>
      <c r="J10" s="9" t="n">
        <v>0.02551020408163265</v>
      </c>
      <c r="K10" s="9" t="n">
        <v>0.03188775510204082</v>
      </c>
      <c r="L10" s="9" t="n">
        <v>0.03826530612244898</v>
      </c>
      <c r="M10" s="9" t="n">
        <v>0.04209183673469388</v>
      </c>
      <c r="N10" s="9" t="n">
        <v>0.04209183673469388</v>
      </c>
      <c r="O10" s="9" t="n">
        <v>0.04464285714285714</v>
      </c>
      <c r="P10" s="13" t="n">
        <v>0.1052420450312428</v>
      </c>
      <c r="Q10" s="14" t="n">
        <v>5.786511780178594</v>
      </c>
      <c r="R10" s="15" t="n">
        <v>12</v>
      </c>
      <c r="S10" s="9" t="n">
        <v>0.04464285714285714</v>
      </c>
      <c r="T10" s="13" t="n">
        <v>1</v>
      </c>
      <c r="U10" s="9" t="n">
        <v>0.04464285714285714</v>
      </c>
      <c r="V10" s="9" t="n"/>
      <c r="W10" s="9" t="n"/>
      <c r="X10" s="9" t="n"/>
      <c r="Y10" s="8" t="n">
        <v>784</v>
      </c>
      <c r="Z10" s="9" t="n">
        <v>0.05572492256645083</v>
      </c>
      <c r="AA10" s="9" t="n">
        <v>0.04464285714285714</v>
      </c>
      <c r="AB10" s="10">
        <f>IFERROR(D10/O10-1,"")</f>
        <v/>
      </c>
      <c r="AC10" s="10">
        <f>IFERROR(E10/O10-1,"")</f>
        <v/>
      </c>
      <c r="AD10" s="10">
        <f>IFERROR(E10/U10-1,"")</f>
        <v/>
      </c>
      <c r="AE10" s="10">
        <f>IFERROR(Z10/AA10-1,"")</f>
        <v/>
      </c>
    </row>
    <row r="11">
      <c r="A11" s="7" t="inlineStr">
        <is>
          <t>202309</t>
        </is>
      </c>
      <c r="B11" s="8" t="n">
        <v>506</v>
      </c>
      <c r="C11" s="9" t="n">
        <v>0.06799699286764613</v>
      </c>
      <c r="D11" s="9" t="n">
        <v>0.06229774934044587</v>
      </c>
      <c r="E11" s="9" t="n">
        <v>0.04891015695306215</v>
      </c>
      <c r="F11" s="9" t="n">
        <v>0.001976284584980237</v>
      </c>
      <c r="G11" s="9" t="n">
        <v>0.005928853754940711</v>
      </c>
      <c r="H11" s="9" t="n">
        <v>0.009881422924901186</v>
      </c>
      <c r="I11" s="9" t="n">
        <v>0.01976284584980237</v>
      </c>
      <c r="J11" s="9" t="n">
        <v>0.02371541501976284</v>
      </c>
      <c r="K11" s="9" t="n">
        <v>0.03557312252964427</v>
      </c>
      <c r="L11" s="9" t="n">
        <v>0.04150197628458498</v>
      </c>
      <c r="M11" s="9" t="n">
        <v>0.04743083003952569</v>
      </c>
      <c r="N11" s="9" t="n">
        <v>0.0533596837944664</v>
      </c>
      <c r="O11" s="9" t="n">
        <v>0.05731225296442688</v>
      </c>
      <c r="P11" s="13" t="n">
        <v>0.0826428782528265</v>
      </c>
      <c r="Q11" s="14" t="n">
        <v>5.270292774292296</v>
      </c>
      <c r="R11" s="15" t="n">
        <v>12</v>
      </c>
      <c r="S11" s="9" t="n">
        <v>0.05731225296442688</v>
      </c>
      <c r="T11" s="13" t="n">
        <v>1</v>
      </c>
      <c r="U11" s="9" t="n">
        <v>0.05731225296442688</v>
      </c>
      <c r="V11" s="9" t="n"/>
      <c r="W11" s="9" t="n"/>
      <c r="X11" s="9" t="n"/>
      <c r="Y11" s="8" t="n">
        <v>506</v>
      </c>
      <c r="Z11" s="9" t="n">
        <v>0.04891015695306215</v>
      </c>
      <c r="AA11" s="9" t="n">
        <v>0.05731225296442688</v>
      </c>
      <c r="AB11" s="10">
        <f>IFERROR(D11/O11-1,"")</f>
        <v/>
      </c>
      <c r="AC11" s="10">
        <f>IFERROR(E11/O11-1,"")</f>
        <v/>
      </c>
      <c r="AD11" s="10">
        <f>IFERROR(E11/U11-1,"")</f>
        <v/>
      </c>
      <c r="AE11" s="10">
        <f>IFERROR(Z11/AA11-1,"")</f>
        <v/>
      </c>
    </row>
    <row r="12">
      <c r="A12" s="7" t="inlineStr">
        <is>
          <t>202310</t>
        </is>
      </c>
      <c r="B12" s="8" t="n">
        <v>390</v>
      </c>
      <c r="C12" s="9" t="n">
        <v>0.05789339797905622</v>
      </c>
      <c r="D12" s="9" t="n">
        <v>0.05493482621147847</v>
      </c>
      <c r="E12" s="9" t="n">
        <v>0.03463185475131261</v>
      </c>
      <c r="F12" s="9" t="n">
        <v>0</v>
      </c>
      <c r="G12" s="9" t="n">
        <v>0.007692307692307693</v>
      </c>
      <c r="H12" s="9" t="n">
        <v>0.007692307692307693</v>
      </c>
      <c r="I12" s="9" t="n">
        <v>0.01025641025641026</v>
      </c>
      <c r="J12" s="9" t="n">
        <v>0.01794871794871795</v>
      </c>
      <c r="K12" s="9" t="n">
        <v>0.02051282051282051</v>
      </c>
      <c r="L12" s="9" t="n">
        <v>0.02051282051282051</v>
      </c>
      <c r="M12" s="9" t="n">
        <v>0.02307692307692308</v>
      </c>
      <c r="N12" s="9" t="n">
        <v>0.02564102564102564</v>
      </c>
      <c r="O12" s="9" t="n">
        <v>0.03076923076923077</v>
      </c>
      <c r="P12" s="13" t="n">
        <v>0.0496812016861095</v>
      </c>
      <c r="Q12" s="14" t="n">
        <v>4.517369267135951</v>
      </c>
      <c r="R12" s="15" t="n">
        <v>12</v>
      </c>
      <c r="S12" s="9" t="n">
        <v>0.03076923076923077</v>
      </c>
      <c r="T12" s="13" t="n">
        <v>1</v>
      </c>
      <c r="U12" s="9" t="n">
        <v>0.03076923076923077</v>
      </c>
      <c r="V12" s="9" t="n"/>
      <c r="W12" s="9" t="n"/>
      <c r="X12" s="9" t="n"/>
      <c r="Y12" s="8" t="n">
        <v>390</v>
      </c>
      <c r="Z12" s="9" t="n">
        <v>0.03463185475131261</v>
      </c>
      <c r="AA12" s="9" t="n">
        <v>0.03076923076923077</v>
      </c>
      <c r="AB12" s="10">
        <f>IFERROR(D12/O12-1,"")</f>
        <v/>
      </c>
      <c r="AC12" s="10">
        <f>IFERROR(E12/O12-1,"")</f>
        <v/>
      </c>
      <c r="AD12" s="10">
        <f>IFERROR(E12/U12-1,"")</f>
        <v/>
      </c>
      <c r="AE12" s="10">
        <f>IFERROR(Z12/AA12-1,"")</f>
        <v/>
      </c>
    </row>
    <row r="13">
      <c r="A13" s="7" t="inlineStr">
        <is>
          <t>202311</t>
        </is>
      </c>
      <c r="B13" s="8" t="n">
        <v>413</v>
      </c>
      <c r="C13" s="9" t="n">
        <v>0.1234274706250783</v>
      </c>
      <c r="D13" s="9" t="n">
        <v>0.1237011901452488</v>
      </c>
      <c r="E13" s="9" t="n">
        <v>0.1119096508502414</v>
      </c>
      <c r="F13" s="9" t="n">
        <v>0.002421307506053269</v>
      </c>
      <c r="G13" s="9" t="n">
        <v>0.02421307506053269</v>
      </c>
      <c r="H13" s="9" t="n">
        <v>0.04600484261501211</v>
      </c>
      <c r="I13" s="9" t="n">
        <v>0.06053268765133172</v>
      </c>
      <c r="J13" s="9" t="n">
        <v>0.0774818401937046</v>
      </c>
      <c r="K13" s="9" t="n">
        <v>0.09200968523002422</v>
      </c>
      <c r="L13" s="9" t="n">
        <v>0.09685230024213075</v>
      </c>
      <c r="M13" s="9" t="n">
        <v>0.1065375302663438</v>
      </c>
      <c r="N13" s="9" t="n">
        <v>0.1186440677966102</v>
      </c>
      <c r="O13" s="9" t="n">
        <v>0.1307506053268765</v>
      </c>
      <c r="P13" s="13" t="n">
        <v>0.0176922115343233</v>
      </c>
      <c r="Q13" s="14" t="n">
        <v>3.786664243478488</v>
      </c>
      <c r="R13" s="15" t="n">
        <v>12</v>
      </c>
      <c r="S13" s="9" t="n">
        <v>0.1307506053268765</v>
      </c>
      <c r="T13" s="13" t="n">
        <v>1</v>
      </c>
      <c r="U13" s="9" t="n">
        <v>0.1307506053268765</v>
      </c>
      <c r="V13" s="9" t="n"/>
      <c r="W13" s="9" t="n"/>
      <c r="X13" s="9" t="n"/>
      <c r="Y13" s="8" t="n">
        <v>413</v>
      </c>
      <c r="Z13" s="9" t="n">
        <v>0.1119096508502414</v>
      </c>
      <c r="AA13" s="9" t="n">
        <v>0.1307506053268765</v>
      </c>
      <c r="AB13" s="10">
        <f>IFERROR(D13/O13-1,"")</f>
        <v/>
      </c>
      <c r="AC13" s="10">
        <f>IFERROR(E13/O13-1,"")</f>
        <v/>
      </c>
      <c r="AD13" s="10">
        <f>IFERROR(E13/U13-1,"")</f>
        <v/>
      </c>
      <c r="AE13" s="10">
        <f>IFERROR(Z13/AA13-1,"")</f>
        <v/>
      </c>
    </row>
    <row r="14">
      <c r="A14" s="7" t="inlineStr">
        <is>
          <t>202312</t>
        </is>
      </c>
      <c r="B14" s="8" t="n">
        <v>622</v>
      </c>
      <c r="C14" s="9" t="n">
        <v>0.1314855503978453</v>
      </c>
      <c r="D14" s="9" t="n">
        <v>0.1314028595421475</v>
      </c>
      <c r="E14" s="9" t="n">
        <v>0.1186966760731419</v>
      </c>
      <c r="F14" s="9" t="n">
        <v>0.00482315112540193</v>
      </c>
      <c r="G14" s="9" t="n">
        <v>0.02733118971061093</v>
      </c>
      <c r="H14" s="9" t="n">
        <v>0.04501607717041801</v>
      </c>
      <c r="I14" s="9" t="n">
        <v>0.0594855305466238</v>
      </c>
      <c r="J14" s="9" t="n">
        <v>0.06752411575562701</v>
      </c>
      <c r="K14" s="9" t="n">
        <v>0.07556270096463022</v>
      </c>
      <c r="L14" s="9" t="n">
        <v>0.07877813504823152</v>
      </c>
      <c r="M14" s="9" t="n">
        <v>0.0819935691318328</v>
      </c>
      <c r="N14" s="9" t="n">
        <v>0.09646302250803858</v>
      </c>
      <c r="O14" s="9" t="n">
        <v>0.1012861736334405</v>
      </c>
      <c r="P14" s="13" t="n">
        <v>0.0012463846792965</v>
      </c>
      <c r="Q14" s="14" t="n">
        <v>3.411002234638927</v>
      </c>
      <c r="R14" s="15" t="n">
        <v>12</v>
      </c>
      <c r="S14" s="9" t="n">
        <v>0.1012861736334405</v>
      </c>
      <c r="T14" s="13" t="n">
        <v>1</v>
      </c>
      <c r="U14" s="9" t="n">
        <v>0.1012861736334405</v>
      </c>
      <c r="V14" s="9" t="n"/>
      <c r="W14" s="9" t="n"/>
      <c r="X14" s="9" t="n"/>
      <c r="Y14" s="8" t="n">
        <v>622</v>
      </c>
      <c r="Z14" s="9" t="n">
        <v>0.1186966760731419</v>
      </c>
      <c r="AA14" s="9" t="n">
        <v>0.1012861736334405</v>
      </c>
      <c r="AB14" s="10">
        <f>IFERROR(D14/O14-1,"")</f>
        <v/>
      </c>
      <c r="AC14" s="10">
        <f>IFERROR(E14/O14-1,"")</f>
        <v/>
      </c>
      <c r="AD14" s="10">
        <f>IFERROR(E14/U14-1,"")</f>
        <v/>
      </c>
      <c r="AE14" s="10">
        <f>IFERROR(Z14/AA14-1,"")</f>
        <v/>
      </c>
    </row>
    <row r="15">
      <c r="A15" s="7" t="inlineStr">
        <is>
          <t>202401</t>
        </is>
      </c>
      <c r="B15" s="8" t="n">
        <v>858</v>
      </c>
      <c r="C15" s="9" t="n">
        <v>0.1024032066682558</v>
      </c>
      <c r="D15" s="9" t="n">
        <v>0.09382020148811189</v>
      </c>
      <c r="E15" s="9" t="n">
        <v>0.07946976691459133</v>
      </c>
      <c r="F15" s="9" t="n">
        <v>0.004662004662004662</v>
      </c>
      <c r="G15" s="9" t="n">
        <v>0.01748251748251748</v>
      </c>
      <c r="H15" s="9" t="n">
        <v>0.0303030303030303</v>
      </c>
      <c r="I15" s="9" t="n">
        <v>0.0372960372960373</v>
      </c>
      <c r="J15" s="9" t="n">
        <v>0.03962703962703962</v>
      </c>
      <c r="K15" s="9" t="n">
        <v>0.04545454545454546</v>
      </c>
      <c r="L15" s="9" t="n">
        <v>0.04895104895104895</v>
      </c>
      <c r="M15" s="9" t="n">
        <v>0.05594405594405594</v>
      </c>
      <c r="N15" s="9" t="n">
        <v>0.06177156177156177</v>
      </c>
      <c r="O15" s="9" t="n">
        <v>0.06876456876456877</v>
      </c>
      <c r="P15" s="13" t="n">
        <v>-0.0190642825400903</v>
      </c>
      <c r="Q15" s="14" t="n">
        <v>2.947058030691863</v>
      </c>
      <c r="R15" s="15" t="n">
        <v>12</v>
      </c>
      <c r="S15" s="9" t="n">
        <v>0.06876456876456877</v>
      </c>
      <c r="T15" s="13" t="n">
        <v>1</v>
      </c>
      <c r="U15" s="9" t="n">
        <v>0.06876456876456877</v>
      </c>
      <c r="V15" s="9" t="n"/>
      <c r="W15" s="9" t="n"/>
      <c r="X15" s="9" t="n"/>
      <c r="Y15" s="8" t="n">
        <v>858</v>
      </c>
      <c r="Z15" s="9" t="n">
        <v>0.07946976691459133</v>
      </c>
      <c r="AA15" s="9" t="n">
        <v>0.06876456876456877</v>
      </c>
      <c r="AB15" s="10">
        <f>IFERROR(D15/O15-1,"")</f>
        <v/>
      </c>
      <c r="AC15" s="10">
        <f>IFERROR(E15/O15-1,"")</f>
        <v/>
      </c>
      <c r="AD15" s="10">
        <f>IFERROR(E15/U15-1,"")</f>
        <v/>
      </c>
      <c r="AE15" s="10">
        <f>IFERROR(Z15/AA15-1,"")</f>
        <v/>
      </c>
    </row>
    <row r="16">
      <c r="A16" s="7" t="inlineStr">
        <is>
          <t>202402</t>
        </is>
      </c>
      <c r="B16" s="8" t="n">
        <v>768</v>
      </c>
      <c r="C16" s="9" t="n">
        <v>0.1074518910293894</v>
      </c>
      <c r="D16" s="9" t="n">
        <v>0.09841271028077851</v>
      </c>
      <c r="E16" s="9" t="n">
        <v>0.08615946507151158</v>
      </c>
      <c r="F16" s="9" t="n">
        <v>0.0078125</v>
      </c>
      <c r="G16" s="9" t="n">
        <v>0.01953125</v>
      </c>
      <c r="H16" s="9" t="n">
        <v>0.03515625</v>
      </c>
      <c r="I16" s="9" t="n">
        <v>0.04427083333333334</v>
      </c>
      <c r="J16" s="9" t="n">
        <v>0.05338541666666666</v>
      </c>
      <c r="K16" s="9" t="n">
        <v>0.06901041666666667</v>
      </c>
      <c r="L16" s="9" t="n">
        <v>0.08072916666666667</v>
      </c>
      <c r="M16" s="9" t="n">
        <v>0.09244791666666667</v>
      </c>
      <c r="N16" s="9" t="n">
        <v>0.1028645833333333</v>
      </c>
      <c r="O16" s="9" t="n">
        <v>0.1106770833333333</v>
      </c>
      <c r="P16" s="13" t="n">
        <v>-0.0198286684982686</v>
      </c>
      <c r="Q16" s="14" t="n">
        <v>2.929597627690584</v>
      </c>
      <c r="R16" s="15" t="n">
        <v>12</v>
      </c>
      <c r="S16" s="9" t="n">
        <v>0.1106770833333333</v>
      </c>
      <c r="T16" s="13" t="n">
        <v>1</v>
      </c>
      <c r="U16" s="9" t="n">
        <v>0.1106770833333333</v>
      </c>
      <c r="V16" s="9" t="n"/>
      <c r="W16" s="9" t="n"/>
      <c r="X16" s="9" t="n"/>
      <c r="Y16" s="8" t="n">
        <v>768</v>
      </c>
      <c r="Z16" s="9" t="n">
        <v>0.08615946507151158</v>
      </c>
      <c r="AA16" s="9" t="n">
        <v>0.1106770833333333</v>
      </c>
      <c r="AB16" s="10">
        <f>IFERROR(D16/O16-1,"")</f>
        <v/>
      </c>
      <c r="AC16" s="10">
        <f>IFERROR(E16/O16-1,"")</f>
        <v/>
      </c>
      <c r="AD16" s="10">
        <f>IFERROR(E16/U16-1,"")</f>
        <v/>
      </c>
      <c r="AE16" s="10">
        <f>IFERROR(Z16/AA16-1,"")</f>
        <v/>
      </c>
    </row>
    <row r="17">
      <c r="A17" s="7" t="inlineStr">
        <is>
          <t>202403</t>
        </is>
      </c>
      <c r="B17" s="8" t="n">
        <v>809</v>
      </c>
      <c r="C17" s="9" t="n">
        <v>0.08460920556173263</v>
      </c>
      <c r="D17" s="9" t="n">
        <v>0.0771238006517862</v>
      </c>
      <c r="E17" s="9" t="n">
        <v>0.05874039732951864</v>
      </c>
      <c r="F17" s="9" t="n">
        <v>0.004944375772558714</v>
      </c>
      <c r="G17" s="9" t="n">
        <v>0.01606922126081582</v>
      </c>
      <c r="H17" s="9" t="n">
        <v>0.02348578491965389</v>
      </c>
      <c r="I17" s="9" t="n">
        <v>0.02472187886279357</v>
      </c>
      <c r="J17" s="9" t="n">
        <v>0.02966625463535229</v>
      </c>
      <c r="K17" s="9" t="n">
        <v>0.03337453646477132</v>
      </c>
      <c r="L17" s="9" t="n">
        <v>0.04573547589616811</v>
      </c>
      <c r="M17" s="9" t="n">
        <v>0.0519159456118665</v>
      </c>
      <c r="N17" s="9" t="n">
        <v>0.06056860321384425</v>
      </c>
      <c r="O17" s="9" t="n">
        <v>0.06180469715698393</v>
      </c>
      <c r="P17" s="13" t="n">
        <v>-0.0309796378369519</v>
      </c>
      <c r="Q17" s="14" t="n">
        <v>2.67488282501116</v>
      </c>
      <c r="R17" s="15" t="n">
        <v>12</v>
      </c>
      <c r="S17" s="9" t="n">
        <v>0.06180469715698393</v>
      </c>
      <c r="T17" s="13" t="n">
        <v>1</v>
      </c>
      <c r="U17" s="9" t="n">
        <v>0.06180469715698393</v>
      </c>
      <c r="V17" s="9" t="n"/>
      <c r="W17" s="9" t="n"/>
      <c r="X17" s="9" t="n"/>
      <c r="Y17" s="8" t="n">
        <v>809</v>
      </c>
      <c r="Z17" s="9" t="n">
        <v>0.05874039732951864</v>
      </c>
      <c r="AA17" s="9" t="n">
        <v>0.06180469715698393</v>
      </c>
      <c r="AB17" s="10">
        <f>IFERROR(D17/O17-1,"")</f>
        <v/>
      </c>
      <c r="AC17" s="10">
        <f>IFERROR(E17/O17-1,"")</f>
        <v/>
      </c>
      <c r="AD17" s="10">
        <f>IFERROR(E17/U17-1,"")</f>
        <v/>
      </c>
      <c r="AE17" s="10">
        <f>IFERROR(Z17/AA17-1,"")</f>
        <v/>
      </c>
    </row>
    <row r="18">
      <c r="A18" s="7" t="inlineStr">
        <is>
          <t>202404</t>
        </is>
      </c>
      <c r="B18" s="8" t="n">
        <v>1051</v>
      </c>
      <c r="C18" s="9" t="n">
        <v>0.09248301413948767</v>
      </c>
      <c r="D18" s="9" t="n">
        <v>0.0904850330731905</v>
      </c>
      <c r="E18" s="9" t="n">
        <v>0.06426629426826387</v>
      </c>
      <c r="F18" s="9" t="n">
        <v>0.003805899143672693</v>
      </c>
      <c r="G18" s="9" t="n">
        <v>0.0104662226450999</v>
      </c>
      <c r="H18" s="9" t="n">
        <v>0.01712654614652712</v>
      </c>
      <c r="I18" s="9" t="n">
        <v>0.02378686964795433</v>
      </c>
      <c r="J18" s="9" t="n">
        <v>0.03615604186489058</v>
      </c>
      <c r="K18" s="9" t="n">
        <v>0.04091341579448145</v>
      </c>
      <c r="L18" s="9" t="n">
        <v>0.04662226450999048</v>
      </c>
      <c r="M18" s="9" t="n">
        <v>0.04757373929590866</v>
      </c>
      <c r="N18" s="9" t="n">
        <v>0.05899143672692674</v>
      </c>
      <c r="O18" s="9" t="n">
        <v>0.07326355851569934</v>
      </c>
      <c r="P18" s="13" t="n">
        <v>-0.0558720181987733</v>
      </c>
      <c r="Q18" s="14" t="n">
        <v>2.106281337597227</v>
      </c>
      <c r="R18" s="15" t="n">
        <v>12</v>
      </c>
      <c r="S18" s="9" t="n">
        <v>0.07326355851569934</v>
      </c>
      <c r="T18" s="13" t="n">
        <v>1</v>
      </c>
      <c r="U18" s="9" t="n">
        <v>0.07326355851569934</v>
      </c>
      <c r="V18" s="9" t="n"/>
      <c r="W18" s="9" t="n"/>
      <c r="X18" s="9" t="n"/>
      <c r="Y18" s="8" t="n">
        <v>1051</v>
      </c>
      <c r="Z18" s="9" t="n">
        <v>0.06426629426826387</v>
      </c>
      <c r="AA18" s="9" t="n">
        <v>0.07326355851569934</v>
      </c>
      <c r="AB18" s="10">
        <f>IFERROR(D18/O18-1,"")</f>
        <v/>
      </c>
      <c r="AC18" s="10">
        <f>IFERROR(E18/O18-1,"")</f>
        <v/>
      </c>
      <c r="AD18" s="10">
        <f>IFERROR(E18/U18-1,"")</f>
        <v/>
      </c>
      <c r="AE18" s="10">
        <f>IFERROR(Z18/AA18-1,"")</f>
        <v/>
      </c>
    </row>
    <row r="19">
      <c r="A19" s="7" t="inlineStr">
        <is>
          <t>202405</t>
        </is>
      </c>
      <c r="B19" s="8" t="n">
        <v>862</v>
      </c>
      <c r="C19" s="9" t="n">
        <v>0.08074217866090604</v>
      </c>
      <c r="D19" s="9" t="n">
        <v>0.0786602622948224</v>
      </c>
      <c r="E19" s="9" t="n">
        <v>0.05009272365442743</v>
      </c>
      <c r="F19" s="9" t="n">
        <v>0</v>
      </c>
      <c r="G19" s="9" t="n">
        <v>0.003480278422273782</v>
      </c>
      <c r="H19" s="9" t="n">
        <v>0.01044083526682135</v>
      </c>
      <c r="I19" s="9" t="n">
        <v>0.02088167053364269</v>
      </c>
      <c r="J19" s="9" t="n">
        <v>0.02320185614849188</v>
      </c>
      <c r="K19" s="9" t="n">
        <v>0.03364269141531322</v>
      </c>
      <c r="L19" s="9" t="n">
        <v>0.0382830626450116</v>
      </c>
      <c r="M19" s="9" t="n">
        <v>0.04176334106728538</v>
      </c>
      <c r="N19" s="9" t="n">
        <v>0.05104408352668213</v>
      </c>
      <c r="O19" s="9" t="n">
        <v>0.05452436194895591</v>
      </c>
      <c r="P19" s="13" t="n">
        <v>-0.0754757595835721</v>
      </c>
      <c r="Q19" s="14" t="n">
        <v>1.658485010036248</v>
      </c>
      <c r="R19" s="15" t="n">
        <v>12</v>
      </c>
      <c r="S19" s="9" t="n">
        <v>0.05452436194895591</v>
      </c>
      <c r="T19" s="13" t="n">
        <v>1</v>
      </c>
      <c r="U19" s="9" t="n">
        <v>0.05452436194895591</v>
      </c>
      <c r="V19" s="9" t="n"/>
      <c r="W19" s="9" t="n"/>
      <c r="X19" s="9" t="n"/>
      <c r="Y19" s="8" t="n">
        <v>862</v>
      </c>
      <c r="Z19" s="9" t="n">
        <v>0.05009272365442743</v>
      </c>
      <c r="AA19" s="9" t="n">
        <v>0.05452436194895591</v>
      </c>
      <c r="AB19" s="10">
        <f>IFERROR(D19/O19-1,"")</f>
        <v/>
      </c>
      <c r="AC19" s="10">
        <f>IFERROR(E19/O19-1,"")</f>
        <v/>
      </c>
      <c r="AD19" s="10">
        <f>IFERROR(E19/U19-1,"")</f>
        <v/>
      </c>
      <c r="AE19" s="10">
        <f>IFERROR(Z19/AA19-1,"")</f>
        <v/>
      </c>
    </row>
    <row r="20">
      <c r="A20" s="7" t="inlineStr">
        <is>
          <t>202406</t>
        </is>
      </c>
      <c r="B20" s="8" t="n">
        <v>638</v>
      </c>
      <c r="C20" s="9" t="n">
        <v>0.08829937849579186</v>
      </c>
      <c r="D20" s="9" t="n">
        <v>0.0861335536304476</v>
      </c>
      <c r="E20" s="9" t="n">
        <v>0.05951839506764134</v>
      </c>
      <c r="F20" s="9" t="n">
        <v>0.001567398119122257</v>
      </c>
      <c r="G20" s="9" t="n">
        <v>0.004702194357366771</v>
      </c>
      <c r="H20" s="9" t="n">
        <v>0.009404388714733543</v>
      </c>
      <c r="I20" s="9" t="n">
        <v>0.01880877742946709</v>
      </c>
      <c r="J20" s="9" t="n">
        <v>0.02351097178683386</v>
      </c>
      <c r="K20" s="9" t="n">
        <v>0.03448275862068965</v>
      </c>
      <c r="L20" s="9" t="n">
        <v>0.04075235109717868</v>
      </c>
      <c r="M20" s="9" t="n">
        <v>0.04858934169278997</v>
      </c>
      <c r="N20" s="9" t="n">
        <v>0.05642633228840126</v>
      </c>
      <c r="O20" s="9" t="n">
        <v>0.06112852664576802</v>
      </c>
      <c r="P20" s="13" t="n">
        <v>-0.0653537931038556</v>
      </c>
      <c r="Q20" s="14" t="n">
        <v>1.889694926977259</v>
      </c>
      <c r="R20" s="15" t="n">
        <v>12</v>
      </c>
      <c r="S20" s="9" t="n">
        <v>0.06112852664576802</v>
      </c>
      <c r="T20" s="13" t="n">
        <v>1</v>
      </c>
      <c r="U20" s="9" t="n">
        <v>0.06112852664576802</v>
      </c>
      <c r="V20" s="9" t="n"/>
      <c r="W20" s="9" t="n"/>
      <c r="X20" s="9" t="n"/>
      <c r="Y20" s="8" t="n">
        <v>638</v>
      </c>
      <c r="Z20" s="9" t="n">
        <v>0.05951839506764134</v>
      </c>
      <c r="AA20" s="9" t="n">
        <v>0.06112852664576802</v>
      </c>
      <c r="AB20" s="10">
        <f>IFERROR(D20/O20-1,"")</f>
        <v/>
      </c>
      <c r="AC20" s="10">
        <f>IFERROR(E20/O20-1,"")</f>
        <v/>
      </c>
      <c r="AD20" s="10">
        <f>IFERROR(E20/U20-1,"")</f>
        <v/>
      </c>
      <c r="AE20" s="10">
        <f>IFERROR(Z20/AA20-1,"")</f>
        <v/>
      </c>
    </row>
    <row r="21">
      <c r="A21" s="7" t="inlineStr">
        <is>
          <t>202407</t>
        </is>
      </c>
      <c r="B21" s="8" t="n">
        <v>779</v>
      </c>
      <c r="C21" s="9" t="n">
        <v>0.0880900021721352</v>
      </c>
      <c r="D21" s="9" t="n">
        <v>0.08594998153732356</v>
      </c>
      <c r="E21" s="9" t="n">
        <v>0.05738120822054764</v>
      </c>
      <c r="F21" s="9" t="n">
        <v>0.001283697047496791</v>
      </c>
      <c r="G21" s="9" t="n">
        <v>0.008985879332477536</v>
      </c>
      <c r="H21" s="9" t="n">
        <v>0.01540436456996149</v>
      </c>
      <c r="I21" s="9" t="n">
        <v>0.02053915275994865</v>
      </c>
      <c r="J21" s="9" t="n">
        <v>0.02439024390243903</v>
      </c>
      <c r="K21" s="9" t="n">
        <v>0.03209242618741977</v>
      </c>
      <c r="L21" s="9" t="n">
        <v>0.03851091142490373</v>
      </c>
      <c r="M21" s="9" t="n">
        <v>0.04236200256739409</v>
      </c>
      <c r="N21" s="9" t="n">
        <v>0.04878048780487805</v>
      </c>
      <c r="O21" s="9" t="n">
        <v>0.055198973042362</v>
      </c>
      <c r="P21" s="13" t="n">
        <v>-0.0704962472517633</v>
      </c>
      <c r="Q21" s="14" t="n">
        <v>1.772228978162538</v>
      </c>
      <c r="R21" s="15" t="n">
        <v>12</v>
      </c>
      <c r="S21" s="9" t="n">
        <v>0.055198973042362</v>
      </c>
      <c r="T21" s="13" t="n">
        <v>1</v>
      </c>
      <c r="U21" s="9" t="n">
        <v>0.055198973042362</v>
      </c>
      <c r="V21" s="9" t="n"/>
      <c r="W21" s="9" t="n"/>
      <c r="X21" s="9" t="n"/>
      <c r="Y21" s="8" t="n">
        <v>779</v>
      </c>
      <c r="Z21" s="9" t="n">
        <v>0.05738120822054764</v>
      </c>
      <c r="AA21" s="9" t="n">
        <v>0.055198973042362</v>
      </c>
      <c r="AB21" s="10">
        <f>IFERROR(D21/O21-1,"")</f>
        <v/>
      </c>
      <c r="AC21" s="10">
        <f>IFERROR(E21/O21-1,"")</f>
        <v/>
      </c>
      <c r="AD21" s="10">
        <f>IFERROR(E21/U21-1,"")</f>
        <v/>
      </c>
      <c r="AE21" s="10">
        <f>IFERROR(Z21/AA21-1,"")</f>
        <v/>
      </c>
    </row>
    <row r="22">
      <c r="A22" s="7" t="inlineStr">
        <is>
          <t>202408</t>
        </is>
      </c>
      <c r="B22" s="8" t="n">
        <v>846</v>
      </c>
      <c r="C22" s="9" t="n">
        <v>0.08223966765162441</v>
      </c>
      <c r="D22" s="9" t="n">
        <v>0.08039196586152693</v>
      </c>
      <c r="E22" s="9" t="n">
        <v>0.04876910620930182</v>
      </c>
      <c r="F22" s="9" t="n">
        <v>0.002364066193853428</v>
      </c>
      <c r="G22" s="9" t="n">
        <v>0.00591016548463357</v>
      </c>
      <c r="H22" s="9" t="n">
        <v>0.01182033096926714</v>
      </c>
      <c r="I22" s="9" t="n">
        <v>0.01654846335697399</v>
      </c>
      <c r="J22" s="9" t="n">
        <v>0.02127659574468085</v>
      </c>
      <c r="K22" s="9" t="n">
        <v>0.03191489361702127</v>
      </c>
      <c r="L22" s="9" t="n">
        <v>0.03664302600472813</v>
      </c>
      <c r="M22" s="9" t="n">
        <v>0.04018912529550828</v>
      </c>
      <c r="N22" s="9" t="n">
        <v>0.05200945626477541</v>
      </c>
      <c r="O22" s="9" t="n">
        <v>0.06146572104018912</v>
      </c>
      <c r="P22" s="13" t="n">
        <v>-0.0744376341863873</v>
      </c>
      <c r="Q22" s="14" t="n">
        <v>1.68219827636038</v>
      </c>
      <c r="R22" s="15" t="n">
        <v>12</v>
      </c>
      <c r="S22" s="9" t="n">
        <v>0.06146572104018912</v>
      </c>
      <c r="T22" s="13" t="n">
        <v>1</v>
      </c>
      <c r="U22" s="9" t="n">
        <v>0.06146572104018912</v>
      </c>
      <c r="V22" s="9" t="n"/>
      <c r="W22" s="9" t="n"/>
      <c r="X22" s="9" t="n"/>
      <c r="Y22" s="8" t="n">
        <v>846</v>
      </c>
      <c r="Z22" s="9" t="n">
        <v>0.04876910620930182</v>
      </c>
      <c r="AA22" s="9" t="n">
        <v>0.06146572104018912</v>
      </c>
      <c r="AB22" s="10">
        <f>IFERROR(D22/O22-1,"")</f>
        <v/>
      </c>
      <c r="AC22" s="10">
        <f>IFERROR(E22/O22-1,"")</f>
        <v/>
      </c>
      <c r="AD22" s="10">
        <f>IFERROR(E22/U22-1,"")</f>
        <v/>
      </c>
      <c r="AE22" s="10">
        <f>IFERROR(Z22/AA22-1,"")</f>
        <v/>
      </c>
    </row>
    <row r="23">
      <c r="A23" s="7" t="inlineStr">
        <is>
          <t>202409</t>
        </is>
      </c>
      <c r="B23" s="8" t="n">
        <v>942</v>
      </c>
      <c r="C23" s="9" t="n">
        <v>0.0844164749057746</v>
      </c>
      <c r="D23" s="9" t="n">
        <v>0.08209972100277015</v>
      </c>
      <c r="E23" s="9" t="n">
        <v>0.05079626735738054</v>
      </c>
      <c r="F23" s="9" t="n">
        <v>0.001061571125265393</v>
      </c>
      <c r="G23" s="9" t="n">
        <v>0.00743099787685775</v>
      </c>
      <c r="H23" s="9" t="n">
        <v>0.008492569002123142</v>
      </c>
      <c r="I23" s="9" t="n">
        <v>0.0148619957537155</v>
      </c>
      <c r="J23" s="9" t="n">
        <v>0.02123142250530785</v>
      </c>
      <c r="K23" s="9" t="n">
        <v>0.02229299363057325</v>
      </c>
      <c r="L23" s="9" t="n">
        <v>0.02653927813163482</v>
      </c>
      <c r="M23" s="9" t="n">
        <v>0.03290870488322718</v>
      </c>
      <c r="N23" s="9" t="n">
        <v>0.03609341825902335</v>
      </c>
      <c r="O23" s="9" t="n">
        <v>0.0435244161358811</v>
      </c>
      <c r="P23" s="13" t="n">
        <v>-0.0828464630159074</v>
      </c>
      <c r="Q23" s="14" t="n">
        <v>1.490120519618099</v>
      </c>
      <c r="R23" s="15" t="n">
        <v>12</v>
      </c>
      <c r="S23" s="9" t="n">
        <v>0.0435244161358811</v>
      </c>
      <c r="T23" s="13" t="n">
        <v>1</v>
      </c>
      <c r="U23" s="9" t="n">
        <v>0.0435244161358811</v>
      </c>
      <c r="V23" s="9" t="n"/>
      <c r="W23" s="9" t="n"/>
      <c r="X23" s="9" t="n"/>
      <c r="Y23" s="8" t="n">
        <v>942</v>
      </c>
      <c r="Z23" s="9" t="n">
        <v>0.05079626735738054</v>
      </c>
      <c r="AA23" s="9" t="n">
        <v>0.0435244161358811</v>
      </c>
      <c r="AB23" s="10">
        <f>IFERROR(D23/O23-1,"")</f>
        <v/>
      </c>
      <c r="AC23" s="10">
        <f>IFERROR(E23/O23-1,"")</f>
        <v/>
      </c>
      <c r="AD23" s="10">
        <f>IFERROR(E23/U23-1,"")</f>
        <v/>
      </c>
      <c r="AE23" s="10">
        <f>IFERROR(Z23/AA23-1,"")</f>
        <v/>
      </c>
    </row>
    <row r="24">
      <c r="A24" s="7" t="inlineStr">
        <is>
          <t>202410</t>
        </is>
      </c>
      <c r="B24" s="8" t="n">
        <v>827</v>
      </c>
      <c r="C24" s="9" t="n">
        <v>0.08204057919224127</v>
      </c>
      <c r="D24" s="9" t="n">
        <v>0.07839040783996341</v>
      </c>
      <c r="E24" s="9" t="n">
        <v>0.04920089992376534</v>
      </c>
      <c r="F24" s="9" t="n">
        <v>0.002418379685610641</v>
      </c>
      <c r="G24" s="9" t="n">
        <v>0.009673518742442563</v>
      </c>
      <c r="H24" s="9" t="n">
        <v>0.01692865779927449</v>
      </c>
      <c r="I24" s="9" t="n">
        <v>0.02176541717049577</v>
      </c>
      <c r="J24" s="9" t="n">
        <v>0.02660217654171705</v>
      </c>
      <c r="K24" s="9" t="n">
        <v>0.03385731559854897</v>
      </c>
      <c r="L24" s="9" t="n">
        <v>0.04232164449818621</v>
      </c>
      <c r="M24" s="9" t="n">
        <v>0.05078597339782346</v>
      </c>
      <c r="N24" s="9" t="n">
        <v>0.06045949214026602</v>
      </c>
      <c r="O24" s="9" t="n">
        <v>0.06287787182587666</v>
      </c>
      <c r="P24" s="13" t="n">
        <v>-0.0724218660345015</v>
      </c>
      <c r="Q24" s="14" t="n">
        <v>1.728243240834804</v>
      </c>
      <c r="R24" s="15" t="n">
        <v>12</v>
      </c>
      <c r="S24" s="9" t="n">
        <v>0.06287787182587666</v>
      </c>
      <c r="T24" s="13" t="n">
        <v>1</v>
      </c>
      <c r="U24" s="9" t="n">
        <v>0.06287787182587666</v>
      </c>
      <c r="V24" s="9" t="n"/>
      <c r="W24" s="9" t="n"/>
      <c r="X24" s="9" t="n"/>
      <c r="Y24" s="8" t="n">
        <v>827</v>
      </c>
      <c r="Z24" s="9" t="n">
        <v>0.04920089992376534</v>
      </c>
      <c r="AA24" s="9" t="n">
        <v>0.06287787182587666</v>
      </c>
      <c r="AB24" s="10">
        <f>IFERROR(D24/O24-1,"")</f>
        <v/>
      </c>
      <c r="AC24" s="10">
        <f>IFERROR(E24/O24-1,"")</f>
        <v/>
      </c>
      <c r="AD24" s="10">
        <f>IFERROR(E24/U24-1,"")</f>
        <v/>
      </c>
      <c r="AE24" s="10">
        <f>IFERROR(Z24/AA24-1,"")</f>
        <v/>
      </c>
    </row>
    <row r="25">
      <c r="A25" s="7" t="inlineStr">
        <is>
          <t>202411</t>
        </is>
      </c>
      <c r="B25" s="8" t="n">
        <v>622</v>
      </c>
      <c r="C25" s="9" t="n">
        <v>0.07512371564265999</v>
      </c>
      <c r="D25" s="9" t="n">
        <v>0.07176026778439377</v>
      </c>
      <c r="E25" s="9" t="n">
        <v>0.04343601735956684</v>
      </c>
      <c r="F25" s="9" t="n">
        <v>0.003215434083601286</v>
      </c>
      <c r="G25" s="9" t="n">
        <v>0.003215434083601286</v>
      </c>
      <c r="H25" s="9" t="n">
        <v>0.00482315112540193</v>
      </c>
      <c r="I25" s="9" t="n">
        <v>0.008038585209003215</v>
      </c>
      <c r="J25" s="9" t="n">
        <v>0.01446945337620579</v>
      </c>
      <c r="K25" s="9" t="n">
        <v>0.01768488745980707</v>
      </c>
      <c r="L25" s="9" t="n">
        <v>0.02572347266881029</v>
      </c>
      <c r="M25" s="9" t="n">
        <v>0.02893890675241157</v>
      </c>
      <c r="N25" s="9" t="n">
        <v>0.03215434083601286</v>
      </c>
      <c r="O25" s="9" t="n">
        <v>0.03376205787781351</v>
      </c>
      <c r="P25" s="13" t="n">
        <v>-0.0580535033556161</v>
      </c>
      <c r="Q25" s="14" t="n">
        <v>2.056451000485126</v>
      </c>
      <c r="R25" s="15" t="n">
        <v>12</v>
      </c>
      <c r="S25" s="9" t="n">
        <v>0.03376205787781351</v>
      </c>
      <c r="T25" s="13" t="n">
        <v>1</v>
      </c>
      <c r="U25" s="9" t="n">
        <v>0.03376205787781351</v>
      </c>
      <c r="V25" s="9" t="n"/>
      <c r="W25" s="9" t="n"/>
      <c r="X25" s="9" t="n"/>
      <c r="Y25" s="8" t="n">
        <v>622</v>
      </c>
      <c r="Z25" s="9" t="n">
        <v>0.04343601735956684</v>
      </c>
      <c r="AA25" s="9" t="n">
        <v>0.03376205787781351</v>
      </c>
      <c r="AB25" s="10">
        <f>IFERROR(D25/O25-1,"")</f>
        <v/>
      </c>
      <c r="AC25" s="10">
        <f>IFERROR(E25/O25-1,"")</f>
        <v/>
      </c>
      <c r="AD25" s="10">
        <f>IFERROR(E25/U25-1,"")</f>
        <v/>
      </c>
      <c r="AE25" s="10">
        <f>IFERROR(Z25/AA25-1,"")</f>
        <v/>
      </c>
    </row>
    <row r="26">
      <c r="A26" s="7" t="inlineStr">
        <is>
          <t>202412</t>
        </is>
      </c>
      <c r="B26" s="8" t="n">
        <v>637</v>
      </c>
      <c r="C26" s="9" t="n">
        <v>0.07062580463515954</v>
      </c>
      <c r="D26" s="9" t="n">
        <v>0.06766704231021074</v>
      </c>
      <c r="E26" s="9" t="n">
        <v>0.03798021165377904</v>
      </c>
      <c r="F26" s="9" t="n">
        <v>0</v>
      </c>
      <c r="G26" s="9" t="n">
        <v>0.001569858712715856</v>
      </c>
      <c r="H26" s="9" t="n">
        <v>0.004709576138147566</v>
      </c>
      <c r="I26" s="9" t="n">
        <v>0.009419152276295133</v>
      </c>
      <c r="J26" s="9" t="n">
        <v>0.01098901098901099</v>
      </c>
      <c r="K26" s="9" t="n">
        <v>0.01098901098901099</v>
      </c>
      <c r="L26" s="9" t="n">
        <v>0.01255886970172685</v>
      </c>
      <c r="M26" s="9" t="n">
        <v>0.01569858712715855</v>
      </c>
      <c r="N26" s="9" t="n">
        <v>0.02511773940345369</v>
      </c>
      <c r="O26" s="9" t="n">
        <v>0.02511773940345369</v>
      </c>
      <c r="P26" s="13" t="n">
        <v>-0.0650299149850779</v>
      </c>
      <c r="Q26" s="14" t="n">
        <v>1.897093077632239</v>
      </c>
      <c r="R26" s="15" t="n">
        <v>12</v>
      </c>
      <c r="S26" s="9" t="n">
        <v>0.02511773940345369</v>
      </c>
      <c r="T26" s="13" t="n">
        <v>1</v>
      </c>
      <c r="U26" s="9" t="n">
        <v>0.02511773940345369</v>
      </c>
      <c r="V26" s="9" t="n"/>
      <c r="W26" s="9" t="n"/>
      <c r="X26" s="9" t="n"/>
      <c r="Y26" s="8" t="n">
        <v>637</v>
      </c>
      <c r="Z26" s="9" t="n">
        <v>0.03798021165377904</v>
      </c>
      <c r="AA26" s="9" t="n">
        <v>0.02511773940345369</v>
      </c>
      <c r="AB26" s="10">
        <f>IFERROR(D26/O26-1,"")</f>
        <v/>
      </c>
      <c r="AC26" s="10">
        <f>IFERROR(E26/O26-1,"")</f>
        <v/>
      </c>
      <c r="AD26" s="10">
        <f>IFERROR(E26/U26-1,"")</f>
        <v/>
      </c>
      <c r="AE26" s="10">
        <f>IFERROR(Z26/AA26-1,"")</f>
        <v/>
      </c>
    </row>
    <row r="27">
      <c r="A27" s="7" t="inlineStr">
        <is>
          <t>202501</t>
        </is>
      </c>
      <c r="B27" s="8" t="n">
        <v>756</v>
      </c>
      <c r="C27" s="9" t="n">
        <v>0.06752256337040789</v>
      </c>
      <c r="D27" s="9" t="n">
        <v>0.06435425554293765</v>
      </c>
      <c r="E27" s="9" t="n">
        <v>0.03501387429597282</v>
      </c>
      <c r="F27" s="9" t="n">
        <v>0.002645502645502645</v>
      </c>
      <c r="G27" s="9" t="n">
        <v>0.003968253968253968</v>
      </c>
      <c r="H27" s="9" t="n">
        <v>0.007936507936507936</v>
      </c>
      <c r="I27" s="9" t="n">
        <v>0.01058201058201058</v>
      </c>
      <c r="J27" s="9" t="n">
        <v>0.01058201058201058</v>
      </c>
      <c r="K27" s="9" t="n">
        <v>0.01322751322751323</v>
      </c>
      <c r="L27" s="9" t="n">
        <v>0.01587301587301587</v>
      </c>
      <c r="M27" s="9" t="n">
        <v>0.01719576719576719</v>
      </c>
      <c r="N27" s="9" t="n">
        <v>0.01984126984126984</v>
      </c>
      <c r="O27" s="9" t="n">
        <v>0.02116402116402116</v>
      </c>
      <c r="P27" s="13" t="n">
        <v>-0.0692773689503683</v>
      </c>
      <c r="Q27" s="14" t="n">
        <v>1.800071073015497</v>
      </c>
      <c r="R27" s="15" t="n">
        <v>12</v>
      </c>
      <c r="S27" s="9" t="n">
        <v>0.02116402116402116</v>
      </c>
      <c r="T27" s="13" t="n">
        <v>1</v>
      </c>
      <c r="U27" s="9" t="n">
        <v>0.02116402116402116</v>
      </c>
      <c r="V27" s="9" t="n"/>
      <c r="W27" s="9" t="n"/>
      <c r="X27" s="9" t="n"/>
      <c r="Y27" s="8" t="n">
        <v>756</v>
      </c>
      <c r="Z27" s="9" t="n">
        <v>0.03501387429597282</v>
      </c>
      <c r="AA27" s="9" t="n">
        <v>0.02116402116402116</v>
      </c>
      <c r="AB27" s="10">
        <f>IFERROR(D27/O27-1,"")</f>
        <v/>
      </c>
      <c r="AC27" s="10">
        <f>IFERROR(E27/O27-1,"")</f>
        <v/>
      </c>
      <c r="AD27" s="10">
        <f>IFERROR(E27/U27-1,"")</f>
        <v/>
      </c>
      <c r="AE27" s="10">
        <f>IFERROR(Z27/AA27-1,"")</f>
        <v/>
      </c>
    </row>
    <row r="28">
      <c r="A28" s="7" t="inlineStr">
        <is>
          <t>202502</t>
        </is>
      </c>
      <c r="B28" s="8" t="n">
        <v>586</v>
      </c>
      <c r="C28" s="9" t="n">
        <v>0.06621104523177186</v>
      </c>
      <c r="D28" s="9" t="n">
        <v>0.06356564437360232</v>
      </c>
      <c r="E28" s="9" t="n">
        <v>0.03327833049946781</v>
      </c>
      <c r="F28" s="9" t="n">
        <v>0.005119453924914676</v>
      </c>
      <c r="G28" s="9" t="n">
        <v>0.008532423208191127</v>
      </c>
      <c r="H28" s="9" t="n">
        <v>0.01023890784982935</v>
      </c>
      <c r="I28" s="9" t="n">
        <v>0.01706484641638225</v>
      </c>
      <c r="J28" s="9" t="n">
        <v>0.02389078498293516</v>
      </c>
      <c r="K28" s="9" t="n">
        <v>0.02901023890784983</v>
      </c>
      <c r="L28" s="9" t="n">
        <v>0.03071672354948805</v>
      </c>
      <c r="M28" s="9" t="n">
        <v>0.03583617747440273</v>
      </c>
      <c r="N28" s="9" t="n">
        <v>0.03924914675767918</v>
      </c>
      <c r="O28" s="9" t="n">
        <v>0.0409556313993174</v>
      </c>
      <c r="P28" s="13" t="n">
        <v>-0.0821028391221693</v>
      </c>
      <c r="Q28" s="14" t="n">
        <v>1.507106667423574</v>
      </c>
      <c r="R28" s="15" t="n">
        <v>12</v>
      </c>
      <c r="S28" s="9" t="n">
        <v>0.0409556313993174</v>
      </c>
      <c r="T28" s="13" t="n">
        <v>1</v>
      </c>
      <c r="U28" s="9" t="n">
        <v>0.0409556313993174</v>
      </c>
      <c r="V28" s="9" t="n"/>
      <c r="W28" s="9" t="n"/>
      <c r="X28" s="9" t="n"/>
      <c r="Y28" s="8" t="n">
        <v>586</v>
      </c>
      <c r="Z28" s="9" t="n">
        <v>0.03327833049946781</v>
      </c>
      <c r="AA28" s="9" t="n">
        <v>0.0409556313993174</v>
      </c>
      <c r="AB28" s="10">
        <f>IFERROR(D28/O28-1,"")</f>
        <v/>
      </c>
      <c r="AC28" s="10">
        <f>IFERROR(E28/O28-1,"")</f>
        <v/>
      </c>
      <c r="AD28" s="10">
        <f>IFERROR(E28/U28-1,"")</f>
        <v/>
      </c>
      <c r="AE28" s="10">
        <f>IFERROR(Z28/AA28-1,"")</f>
        <v/>
      </c>
    </row>
    <row r="29">
      <c r="A29" s="7" t="inlineStr">
        <is>
          <t>202503</t>
        </is>
      </c>
      <c r="B29" s="8" t="n">
        <v>519</v>
      </c>
      <c r="C29" s="9" t="n">
        <v>0.06571269964508583</v>
      </c>
      <c r="D29" s="9" t="n">
        <v>0.06100664676664135</v>
      </c>
      <c r="E29" s="9" t="n">
        <v>0.03244534987687853</v>
      </c>
      <c r="F29" s="9" t="n">
        <v>0</v>
      </c>
      <c r="G29" s="9" t="n">
        <v>0.001926782273603083</v>
      </c>
      <c r="H29" s="9" t="n">
        <v>0.007707129094412331</v>
      </c>
      <c r="I29" s="9" t="n">
        <v>0.0115606936416185</v>
      </c>
      <c r="J29" s="9" t="n">
        <v>0.01348747591522158</v>
      </c>
      <c r="K29" s="9" t="n">
        <v>0.01541425818882466</v>
      </c>
      <c r="L29" s="9" t="n">
        <v>0.01734104046242774</v>
      </c>
      <c r="M29" s="9" t="n">
        <v>0.01926782273603083</v>
      </c>
      <c r="N29" s="9" t="n">
        <v>0.02504816955684008</v>
      </c>
      <c r="O29" s="9" t="n">
        <v>0.02504816955684008</v>
      </c>
      <c r="P29" s="13" t="n">
        <v>-0.0901403058799683</v>
      </c>
      <c r="Q29" s="14" t="n">
        <v>1.323511708359959</v>
      </c>
      <c r="R29" s="15" t="n">
        <v>12</v>
      </c>
      <c r="S29" s="9" t="n">
        <v>0.02504816955684008</v>
      </c>
      <c r="T29" s="13" t="n">
        <v>1</v>
      </c>
      <c r="U29" s="9" t="n">
        <v>0.02504816955684008</v>
      </c>
      <c r="V29" s="9" t="n"/>
      <c r="W29" s="9" t="n"/>
      <c r="X29" s="9" t="n"/>
      <c r="Y29" s="8" t="n">
        <v>519</v>
      </c>
      <c r="Z29" s="9" t="n">
        <v>0.03244534987687853</v>
      </c>
      <c r="AA29" s="9" t="n">
        <v>0.02504816955684008</v>
      </c>
      <c r="AB29" s="10">
        <f>IFERROR(D29/O29-1,"")</f>
        <v/>
      </c>
      <c r="AC29" s="10">
        <f>IFERROR(E29/O29-1,"")</f>
        <v/>
      </c>
      <c r="AD29" s="10">
        <f>IFERROR(E29/U29-1,"")</f>
        <v/>
      </c>
      <c r="AE29" s="10">
        <f>IFERROR(Z29/AA29-1,"")</f>
        <v/>
      </c>
    </row>
    <row r="30">
      <c r="A30" s="7" t="inlineStr">
        <is>
          <t>202504</t>
        </is>
      </c>
      <c r="B30" s="8" t="n">
        <v>431</v>
      </c>
      <c r="C30" s="9" t="n">
        <v>0.06913023459532767</v>
      </c>
      <c r="D30" s="9" t="n">
        <v>0.06436420265334526</v>
      </c>
      <c r="E30" s="9" t="n">
        <v>0.03550436806520916</v>
      </c>
      <c r="F30" s="9" t="n">
        <v>0.002320185614849188</v>
      </c>
      <c r="G30" s="9" t="n">
        <v>0.002320185614849188</v>
      </c>
      <c r="H30" s="9" t="n">
        <v>0.002320185614849188</v>
      </c>
      <c r="I30" s="9" t="n">
        <v>0.002320185614849188</v>
      </c>
      <c r="J30" s="9" t="n">
        <v>0.004640371229698376</v>
      </c>
      <c r="K30" s="9" t="n">
        <v>0.009280742459396751</v>
      </c>
      <c r="L30" s="9" t="n">
        <v>0.009280742459396751</v>
      </c>
      <c r="M30" s="9" t="n">
        <v>0.01392111368909513</v>
      </c>
      <c r="N30" s="9" t="n">
        <v>0.0185614849187935</v>
      </c>
      <c r="O30" s="9" t="n">
        <v>0.0185614849187935</v>
      </c>
      <c r="P30" s="13" t="n">
        <v>-0.0763210869948466</v>
      </c>
      <c r="Q30" s="14" t="n">
        <v>1.639175710707863</v>
      </c>
      <c r="R30" s="15" t="n">
        <v>12</v>
      </c>
      <c r="S30" s="9" t="n">
        <v>0.0185614849187935</v>
      </c>
      <c r="T30" s="13" t="n">
        <v>1</v>
      </c>
      <c r="U30" s="9" t="n">
        <v>0.0185614849187935</v>
      </c>
      <c r="V30" s="9" t="n"/>
      <c r="W30" s="9" t="n"/>
      <c r="X30" s="9" t="n"/>
      <c r="Y30" s="8" t="n">
        <v>431</v>
      </c>
      <c r="Z30" s="9" t="n">
        <v>0.03550436806520916</v>
      </c>
      <c r="AA30" s="9" t="n">
        <v>0.0185614849187935</v>
      </c>
      <c r="AB30" s="10">
        <f>IFERROR(D30/O30-1,"")</f>
        <v/>
      </c>
      <c r="AC30" s="10">
        <f>IFERROR(E30/O30-1,"")</f>
        <v/>
      </c>
      <c r="AD30" s="10">
        <f>IFERROR(E30/U30-1,"")</f>
        <v/>
      </c>
      <c r="AE30" s="10">
        <f>IFERROR(Z30/AA30-1,"")</f>
        <v/>
      </c>
    </row>
    <row r="31">
      <c r="A31" s="7" t="inlineStr">
        <is>
          <t>202505</t>
        </is>
      </c>
      <c r="B31" s="8" t="n">
        <v>483</v>
      </c>
      <c r="C31" s="9" t="n">
        <v>0.06899700174397379</v>
      </c>
      <c r="D31" s="9" t="n">
        <v>0.0637062522245274</v>
      </c>
      <c r="E31" s="9" t="n">
        <v>0.03658853865176686</v>
      </c>
      <c r="F31" s="9" t="n">
        <v>0</v>
      </c>
      <c r="G31" s="9" t="n">
        <v>0.004140786749482402</v>
      </c>
      <c r="H31" s="9" t="n">
        <v>0.006211180124223602</v>
      </c>
      <c r="I31" s="9" t="n">
        <v>0.008281573498964804</v>
      </c>
      <c r="J31" s="9" t="n">
        <v>0.0124223602484472</v>
      </c>
      <c r="K31" s="9" t="n">
        <v>0.0124223602484472</v>
      </c>
      <c r="L31" s="9" t="n">
        <v>0.01656314699792961</v>
      </c>
      <c r="M31" s="9" t="n">
        <v>0.02070393374741201</v>
      </c>
      <c r="N31" s="9" t="n">
        <v>0.02691511387163561</v>
      </c>
      <c r="O31" s="9" t="n">
        <v>0.03105590062111801</v>
      </c>
      <c r="P31" s="13" t="n">
        <v>-0.0729545842663733</v>
      </c>
      <c r="Q31" s="14" t="n">
        <v>1.716074682641011</v>
      </c>
      <c r="R31" s="15" t="n">
        <v>12</v>
      </c>
      <c r="S31" s="9" t="n">
        <v>0.03105590062111801</v>
      </c>
      <c r="T31" s="13" t="n">
        <v>1</v>
      </c>
      <c r="U31" s="9" t="n">
        <v>0.03105590062111801</v>
      </c>
      <c r="V31" s="9" t="n"/>
      <c r="W31" s="9" t="n"/>
      <c r="X31" s="9" t="n"/>
      <c r="Y31" s="8" t="n">
        <v>483</v>
      </c>
      <c r="Z31" s="9" t="n">
        <v>0.03658853865176686</v>
      </c>
      <c r="AA31" s="9" t="n">
        <v>0.03105590062111801</v>
      </c>
      <c r="AB31" s="10">
        <f>IFERROR(D31/O31-1,"")</f>
        <v/>
      </c>
      <c r="AC31" s="10">
        <f>IFERROR(E31/O31-1,"")</f>
        <v/>
      </c>
      <c r="AD31" s="10">
        <f>IFERROR(E31/U31-1,"")</f>
        <v/>
      </c>
      <c r="AE31" s="10">
        <f>IFERROR(Z31/AA31-1,"")</f>
        <v/>
      </c>
    </row>
    <row r="32">
      <c r="A32" s="7" t="inlineStr">
        <is>
          <t>202506</t>
        </is>
      </c>
      <c r="B32" s="8" t="n">
        <v>509</v>
      </c>
      <c r="C32" s="9" t="n">
        <v>0.06878092988579002</v>
      </c>
      <c r="D32" s="9" t="n">
        <v>0.06369999637699197</v>
      </c>
      <c r="E32" s="9" t="n">
        <v>0.03609068463884545</v>
      </c>
      <c r="F32" s="9" t="n">
        <v>0</v>
      </c>
      <c r="G32" s="9" t="n">
        <v>0</v>
      </c>
      <c r="H32" s="9" t="n">
        <v>0.003929273084479371</v>
      </c>
      <c r="I32" s="9" t="n">
        <v>0.007858546168958742</v>
      </c>
      <c r="J32" s="9" t="n">
        <v>0.009823182711198428</v>
      </c>
      <c r="K32" s="9" t="n">
        <v>0.01571709233791748</v>
      </c>
      <c r="L32" s="9" t="n">
        <v>0.01768172888015717</v>
      </c>
      <c r="M32" s="9" t="n">
        <v>0.01964636542239686</v>
      </c>
      <c r="N32" s="9" t="n">
        <v>0.02161100196463654</v>
      </c>
      <c r="O32" s="9" t="n">
        <v>0.02161100196463654</v>
      </c>
      <c r="P32" s="13" t="n">
        <v>-0.07376569476056211</v>
      </c>
      <c r="Q32" s="14" t="n">
        <v>1.69754697951463</v>
      </c>
      <c r="R32" s="15" t="n">
        <v>12</v>
      </c>
      <c r="S32" s="9" t="n">
        <v>0.02161100196463654</v>
      </c>
      <c r="T32" s="13" t="n">
        <v>1</v>
      </c>
      <c r="U32" s="9" t="n">
        <v>0.02161100196463654</v>
      </c>
      <c r="V32" s="9" t="n"/>
      <c r="W32" s="9" t="n"/>
      <c r="X32" s="9" t="n"/>
      <c r="Y32" s="8" t="n">
        <v>509</v>
      </c>
      <c r="Z32" s="9" t="n">
        <v>0.03609068463884545</v>
      </c>
      <c r="AA32" s="9" t="n">
        <v>0.02161100196463654</v>
      </c>
      <c r="AB32" s="10">
        <f>IFERROR(D32/O32-1,"")</f>
        <v/>
      </c>
      <c r="AC32" s="10">
        <f>IFERROR(E32/O32-1,"")</f>
        <v/>
      </c>
      <c r="AD32" s="10">
        <f>IFERROR(E32/U32-1,"")</f>
        <v/>
      </c>
      <c r="AE32" s="10">
        <f>IFERROR(Z32/AA32-1,"")</f>
        <v/>
      </c>
    </row>
    <row r="33">
      <c r="A33" s="7" t="inlineStr">
        <is>
          <t>202507</t>
        </is>
      </c>
      <c r="B33" s="8" t="n">
        <v>561</v>
      </c>
      <c r="C33" s="9" t="n">
        <v>0.07056370307483881</v>
      </c>
      <c r="D33" s="9" t="n">
        <v>0.06538871780980823</v>
      </c>
      <c r="E33" s="9" t="n">
        <v>0.03746841334391933</v>
      </c>
      <c r="F33" s="9" t="n">
        <v>0</v>
      </c>
      <c r="G33" s="9" t="n">
        <v>0.0017825311942959</v>
      </c>
      <c r="H33" s="9" t="n">
        <v>0.0035650623885918</v>
      </c>
      <c r="I33" s="9" t="n">
        <v>0.0035650623885918</v>
      </c>
      <c r="J33" s="9" t="n">
        <v>0.0053475935828877</v>
      </c>
      <c r="K33" s="9" t="n">
        <v>0.0071301247771836</v>
      </c>
      <c r="L33" s="9" t="n">
        <v>0.008912655971479501</v>
      </c>
      <c r="M33" s="9" t="n">
        <v>0.0124777183600713</v>
      </c>
      <c r="N33" s="9" t="n">
        <v>0.0160427807486631</v>
      </c>
      <c r="O33" s="9" t="n"/>
      <c r="P33" s="13" t="n">
        <v>-0.0736408959148164</v>
      </c>
      <c r="Q33" s="14" t="n">
        <v>1.700397683556876</v>
      </c>
      <c r="R33" s="15" t="n">
        <v>11</v>
      </c>
      <c r="S33" s="9" t="n">
        <v>0.0160427807486631</v>
      </c>
      <c r="T33" s="13" t="n">
        <v>1.095394736842105</v>
      </c>
      <c r="U33" s="9" t="n">
        <v>0.01757317759639741</v>
      </c>
      <c r="V33" s="9" t="n">
        <v>0.01672634271099744</v>
      </c>
      <c r="W33" s="9" t="n">
        <v>0.01712445308701993</v>
      </c>
      <c r="X33" s="9" t="n">
        <v>0.01824297993028643</v>
      </c>
      <c r="Y33" s="8" t="n">
        <v>561</v>
      </c>
      <c r="Z33" s="9" t="n">
        <v>0.03746841334391933</v>
      </c>
      <c r="AA33" s="9" t="n"/>
      <c r="AB33" s="10">
        <f>IFERROR(D33/O33-1,"")</f>
        <v/>
      </c>
      <c r="AC33" s="10">
        <f>IFERROR(E33/O33-1,"")</f>
        <v/>
      </c>
      <c r="AD33" s="10">
        <f>IFERROR(E33/U33-1,"")</f>
        <v/>
      </c>
      <c r="AE33" s="10">
        <f>IFERROR(Z33/AA33-1,"")</f>
        <v/>
      </c>
    </row>
    <row r="34">
      <c r="A34" s="7" t="inlineStr">
        <is>
          <t>202508</t>
        </is>
      </c>
      <c r="B34" s="8" t="n">
        <v>651</v>
      </c>
      <c r="C34" s="9" t="n">
        <v>0.07009234495987449</v>
      </c>
      <c r="D34" s="9" t="n">
        <v>0.06464541362979079</v>
      </c>
      <c r="E34" s="9" t="n">
        <v>0.03638336249699291</v>
      </c>
      <c r="F34" s="9" t="n">
        <v>0.003072196620583717</v>
      </c>
      <c r="G34" s="9" t="n">
        <v>0.004608294930875576</v>
      </c>
      <c r="H34" s="9" t="n">
        <v>0.01075268817204301</v>
      </c>
      <c r="I34" s="9" t="n">
        <v>0.01228878648233487</v>
      </c>
      <c r="J34" s="9" t="n">
        <v>0.01228878648233487</v>
      </c>
      <c r="K34" s="9" t="n">
        <v>0.01689708141321045</v>
      </c>
      <c r="L34" s="9" t="n">
        <v>0.0184331797235023</v>
      </c>
      <c r="M34" s="9" t="n">
        <v>0.02457757296466974</v>
      </c>
      <c r="N34" s="9" t="n"/>
      <c r="O34" s="9" t="n"/>
      <c r="P34" s="13" t="n">
        <v>-0.1003314429254493</v>
      </c>
      <c r="Q34" s="14" t="n">
        <v>1.090721770303759</v>
      </c>
      <c r="R34" s="15" t="n">
        <v>10</v>
      </c>
      <c r="S34" s="9" t="n">
        <v>0.02457757296466974</v>
      </c>
      <c r="T34" s="13" t="n">
        <v>1.274234693877551</v>
      </c>
      <c r="U34" s="9" t="n">
        <v>0.03131759616288912</v>
      </c>
      <c r="V34" s="9" t="n">
        <v>0.02962938923865776</v>
      </c>
      <c r="W34" s="9" t="n">
        <v>0.03067477424545954</v>
      </c>
      <c r="X34" s="9" t="n">
        <v>0.03277009728622632</v>
      </c>
      <c r="Y34" s="8" t="n">
        <v>651</v>
      </c>
      <c r="Z34" s="9" t="n">
        <v>0.03638336249699291</v>
      </c>
      <c r="AA34" s="9" t="n"/>
      <c r="AB34" s="10">
        <f>IFERROR(D34/O34-1,"")</f>
        <v/>
      </c>
      <c r="AC34" s="10">
        <f>IFERROR(E34/O34-1,"")</f>
        <v/>
      </c>
      <c r="AD34" s="10">
        <f>IFERROR(E34/U34-1,"")</f>
        <v/>
      </c>
      <c r="AE34" s="10">
        <f>IFERROR(Z34/AA34-1,"")</f>
        <v/>
      </c>
    </row>
    <row r="35">
      <c r="A35" s="7" t="inlineStr">
        <is>
          <t>202509</t>
        </is>
      </c>
      <c r="B35" s="8" t="n">
        <v>592</v>
      </c>
      <c r="C35" s="9" t="n">
        <v>0.06672042990701173</v>
      </c>
      <c r="D35" s="9" t="n">
        <v>0.06158511399612385</v>
      </c>
      <c r="E35" s="9" t="n">
        <v>0.03237249528413094</v>
      </c>
      <c r="F35" s="9" t="n">
        <v>0</v>
      </c>
      <c r="G35" s="9" t="n">
        <v>0.003378378378378379</v>
      </c>
      <c r="H35" s="9" t="n">
        <v>0.006756756756756757</v>
      </c>
      <c r="I35" s="9" t="n">
        <v>0.006756756756756757</v>
      </c>
      <c r="J35" s="9" t="n">
        <v>0.01013513513513514</v>
      </c>
      <c r="K35" s="9" t="n">
        <v>0.01182432432432432</v>
      </c>
      <c r="L35" s="9" t="n">
        <v>0.01351351351351351</v>
      </c>
      <c r="M35" s="9" t="n"/>
      <c r="N35" s="9" t="n"/>
      <c r="O35" s="9" t="n"/>
      <c r="P35" s="13" t="n">
        <v>-0.0943381636827425</v>
      </c>
      <c r="Q35" s="14" t="n">
        <v>1.227622598684031</v>
      </c>
      <c r="R35" s="15" t="n">
        <v>9</v>
      </c>
      <c r="S35" s="9" t="n">
        <v>0.01351351351351351</v>
      </c>
      <c r="T35" s="13" t="n">
        <v>1.421052631578947</v>
      </c>
      <c r="U35" s="9" t="n">
        <v>0.01920341394025605</v>
      </c>
      <c r="V35" s="9" t="n">
        <v>0.01801801801801802</v>
      </c>
      <c r="W35" s="9" t="n">
        <v>0.01911489411489412</v>
      </c>
      <c r="X35" s="9" t="n">
        <v>0.02077829709408657</v>
      </c>
      <c r="Y35" s="8" t="n">
        <v>592</v>
      </c>
      <c r="Z35" s="9" t="n">
        <v>0.03237249528413094</v>
      </c>
      <c r="AA35" s="9" t="n"/>
      <c r="AB35" s="10">
        <f>IFERROR(D35/O35-1,"")</f>
        <v/>
      </c>
      <c r="AC35" s="10">
        <f>IFERROR(E35/O35-1,"")</f>
        <v/>
      </c>
      <c r="AD35" s="10">
        <f>IFERROR(E35/U35-1,"")</f>
        <v/>
      </c>
      <c r="AE35" s="10">
        <f>IFERROR(Z35/AA35-1,"")</f>
        <v/>
      </c>
    </row>
    <row r="36">
      <c r="A36" s="7" t="inlineStr">
        <is>
          <t>202510</t>
        </is>
      </c>
      <c r="B36" s="8" t="n">
        <v>600</v>
      </c>
      <c r="C36" s="9" t="n">
        <v>0.07144558488857002</v>
      </c>
      <c r="D36" s="9" t="n">
        <v>0.06618486473492036</v>
      </c>
      <c r="E36" s="9" t="n">
        <v>0.03685536662775585</v>
      </c>
      <c r="F36" s="9" t="n">
        <v>0.001666666666666667</v>
      </c>
      <c r="G36" s="9" t="n">
        <v>0.003333333333333334</v>
      </c>
      <c r="H36" s="9" t="n">
        <v>0.006666666666666667</v>
      </c>
      <c r="I36" s="9" t="n">
        <v>0.008333333333333333</v>
      </c>
      <c r="J36" s="9" t="n">
        <v>0.008333333333333333</v>
      </c>
      <c r="K36" s="9" t="n">
        <v>0.01166666666666667</v>
      </c>
      <c r="L36" s="9" t="n"/>
      <c r="M36" s="9" t="n"/>
      <c r="N36" s="9" t="n"/>
      <c r="O36" s="9" t="n"/>
      <c r="P36" s="13" t="n">
        <v>-0.0971864626399724</v>
      </c>
      <c r="Q36" s="14" t="n">
        <v>1.162560639958521</v>
      </c>
      <c r="R36" s="15" t="n">
        <v>8</v>
      </c>
      <c r="S36" s="9" t="n">
        <v>0.01166666666666667</v>
      </c>
      <c r="T36" s="13" t="n">
        <v>1.656716417910448</v>
      </c>
      <c r="U36" s="9" t="n">
        <v>0.01932835820895522</v>
      </c>
      <c r="V36" s="9" t="n">
        <v>0.01761217948717949</v>
      </c>
      <c r="W36" s="9" t="n">
        <v>0.0195125</v>
      </c>
      <c r="X36" s="9" t="n">
        <v>0.02238811728395062</v>
      </c>
      <c r="Y36" s="8" t="n">
        <v>600</v>
      </c>
      <c r="Z36" s="9" t="n">
        <v>0.03685536662775585</v>
      </c>
      <c r="AA36" s="9" t="n"/>
      <c r="AB36" s="10">
        <f>IFERROR(D36/O36-1,"")</f>
        <v/>
      </c>
      <c r="AC36" s="10">
        <f>IFERROR(E36/O36-1,"")</f>
        <v/>
      </c>
      <c r="AD36" s="10">
        <f>IFERROR(E36/U36-1,"")</f>
        <v/>
      </c>
      <c r="AE36" s="10">
        <f>IFERROR(Z36/AA36-1,"")</f>
        <v/>
      </c>
    </row>
    <row r="37">
      <c r="A37" s="7" t="inlineStr">
        <is>
          <t>202511</t>
        </is>
      </c>
      <c r="B37" s="8" t="n">
        <v>525</v>
      </c>
      <c r="C37" s="9" t="n">
        <v>0.06960663347904171</v>
      </c>
      <c r="D37" s="9" t="n">
        <v>0.06467442895684923</v>
      </c>
      <c r="E37" s="9" t="n">
        <v>0.03512675445472661</v>
      </c>
      <c r="F37" s="9" t="n">
        <v>0</v>
      </c>
      <c r="G37" s="9" t="n">
        <v>0.00380952380952381</v>
      </c>
      <c r="H37" s="9" t="n">
        <v>0.005714285714285714</v>
      </c>
      <c r="I37" s="9" t="n">
        <v>0.01714285714285714</v>
      </c>
      <c r="J37" s="9" t="n">
        <v>0.01904761904761905</v>
      </c>
      <c r="K37" s="9" t="n"/>
      <c r="L37" s="9" t="n"/>
      <c r="M37" s="9" t="n"/>
      <c r="N37" s="9" t="n"/>
      <c r="O37" s="9" t="n"/>
      <c r="P37" s="13" t="n">
        <v>-0.0951950453295296</v>
      </c>
      <c r="Q37" s="14" t="n">
        <v>1.208049372989306</v>
      </c>
      <c r="R37" s="15" t="n">
        <v>7</v>
      </c>
      <c r="S37" s="9" t="n">
        <v>0.01904761904761905</v>
      </c>
      <c r="T37" s="13" t="n">
        <v>2.068322981366459</v>
      </c>
      <c r="U37" s="9" t="n">
        <v>0.03939662821650399</v>
      </c>
      <c r="V37" s="9" t="n">
        <v>0.03741496598639456</v>
      </c>
      <c r="W37" s="9" t="n">
        <v>0.04119047619047619</v>
      </c>
      <c r="X37" s="9" t="n">
        <v>0.04482683982683983</v>
      </c>
      <c r="Y37" s="8" t="n">
        <v>525</v>
      </c>
      <c r="Z37" s="9" t="n">
        <v>0.03512675445472661</v>
      </c>
      <c r="AA37" s="9" t="n"/>
      <c r="AB37" s="10">
        <f>IFERROR(D37/O37-1,"")</f>
        <v/>
      </c>
      <c r="AC37" s="10">
        <f>IFERROR(E37/O37-1,"")</f>
        <v/>
      </c>
      <c r="AD37" s="10">
        <f>IFERROR(E37/U37-1,"")</f>
        <v/>
      </c>
      <c r="AE37" s="10">
        <f>IFERROR(Z37/AA37-1,"")</f>
        <v/>
      </c>
    </row>
    <row r="38">
      <c r="A38" s="7" t="inlineStr">
        <is>
          <t>202512</t>
        </is>
      </c>
      <c r="B38" s="8" t="n">
        <v>538</v>
      </c>
      <c r="C38" s="9" t="n">
        <v>0.07844924780135094</v>
      </c>
      <c r="D38" s="9" t="n">
        <v>0.07303496875859049</v>
      </c>
      <c r="E38" s="9" t="n">
        <v>0.04366977554561294</v>
      </c>
      <c r="F38" s="9" t="n">
        <v>0.001858736059479554</v>
      </c>
      <c r="G38" s="9" t="n">
        <v>0.003717472118959108</v>
      </c>
      <c r="H38" s="9" t="n">
        <v>0.005576208178438661</v>
      </c>
      <c r="I38" s="9" t="n">
        <v>0.007434944237918215</v>
      </c>
      <c r="J38" s="9" t="n"/>
      <c r="K38" s="9" t="n"/>
      <c r="L38" s="9" t="n"/>
      <c r="M38" s="9" t="n"/>
      <c r="N38" s="9" t="n"/>
      <c r="O38" s="9" t="n"/>
      <c r="P38" s="13" t="n">
        <v>-0.0907389631868307</v>
      </c>
      <c r="Q38" s="14" t="n">
        <v>1.309836944027043</v>
      </c>
      <c r="R38" s="15" t="n">
        <v>6</v>
      </c>
      <c r="S38" s="9" t="n">
        <v>0.007434944237918215</v>
      </c>
      <c r="T38" s="13" t="n">
        <v>2.6015625</v>
      </c>
      <c r="U38" s="9" t="n">
        <v>0.01934247211895911</v>
      </c>
      <c r="V38" s="9" t="n">
        <v>0.01845459373340414</v>
      </c>
      <c r="W38" s="9" t="n">
        <v>0.02021375464684015</v>
      </c>
      <c r="X38" s="9" t="n">
        <v>0.02321561338289963</v>
      </c>
      <c r="Y38" s="8" t="n">
        <v>538</v>
      </c>
      <c r="Z38" s="9" t="n">
        <v>0.04366977554561294</v>
      </c>
      <c r="AA38" s="9" t="n"/>
      <c r="AB38" s="10">
        <f>IFERROR(D38/O38-1,"")</f>
        <v/>
      </c>
      <c r="AC38" s="10">
        <f>IFERROR(E38/O38-1,"")</f>
        <v/>
      </c>
      <c r="AD38" s="10">
        <f>IFERROR(E38/U38-1,"")</f>
        <v/>
      </c>
      <c r="AE38" s="10">
        <f>IFERROR(Z38/AA38-1,"")</f>
        <v/>
      </c>
    </row>
    <row r="39">
      <c r="A39" s="7" t="inlineStr">
        <is>
          <t>202601</t>
        </is>
      </c>
      <c r="B39" s="8" t="n">
        <v>656</v>
      </c>
      <c r="C39" s="9" t="n">
        <v>0.0718847326338064</v>
      </c>
      <c r="D39" s="9" t="n">
        <v>0.06660659337223213</v>
      </c>
      <c r="E39" s="9" t="n">
        <v>0.03728505791909694</v>
      </c>
      <c r="F39" s="9" t="n">
        <v>0.001524390243902439</v>
      </c>
      <c r="G39" s="9" t="n">
        <v>0.001524390243902439</v>
      </c>
      <c r="H39" s="9" t="n">
        <v>0.007621951219512195</v>
      </c>
      <c r="I39" s="9" t="n"/>
      <c r="J39" s="9" t="n"/>
      <c r="K39" s="9" t="n"/>
      <c r="L39" s="9" t="n"/>
      <c r="M39" s="9" t="n"/>
      <c r="N39" s="9" t="n"/>
      <c r="O39" s="9" t="n"/>
      <c r="P39" s="13" t="n">
        <v>-0.0827512368458839</v>
      </c>
      <c r="Q39" s="14" t="n">
        <v>1.492295713035885</v>
      </c>
      <c r="R39" s="15" t="n">
        <v>5</v>
      </c>
      <c r="S39" s="9" t="n">
        <v>0.007621951219512195</v>
      </c>
      <c r="T39" s="13" t="n">
        <v>3.686346863468635</v>
      </c>
      <c r="U39" s="9" t="n">
        <v>0.02809715597155972</v>
      </c>
      <c r="V39" s="9" t="n">
        <v>0.02464142184035477</v>
      </c>
      <c r="W39" s="9" t="n">
        <v>0.03154640921409214</v>
      </c>
      <c r="X39" s="9" t="n">
        <v>0.04001524390243903</v>
      </c>
      <c r="Y39" s="8" t="n">
        <v>656</v>
      </c>
      <c r="Z39" s="9" t="n">
        <v>0.03728505791909694</v>
      </c>
      <c r="AA39" s="9" t="n"/>
      <c r="AB39" s="10">
        <f>IFERROR(D39/O39-1,"")</f>
        <v/>
      </c>
      <c r="AC39" s="10">
        <f>IFERROR(E39/O39-1,"")</f>
        <v/>
      </c>
      <c r="AD39" s="10">
        <f>IFERROR(E39/U39-1,"")</f>
        <v/>
      </c>
      <c r="AE39" s="10">
        <f>IFERROR(Z39/AA39-1,"")</f>
        <v/>
      </c>
    </row>
    <row r="40">
      <c r="A40" s="7" t="inlineStr">
        <is>
          <t>202602</t>
        </is>
      </c>
      <c r="B40" s="8" t="n">
        <v>607</v>
      </c>
      <c r="C40" s="9" t="n">
        <v>0.0726785483237669</v>
      </c>
      <c r="D40" s="9" t="n">
        <v>0.06687762485924476</v>
      </c>
      <c r="E40" s="9" t="n">
        <v>0.04150650776674029</v>
      </c>
      <c r="F40" s="9" t="n">
        <v>0.001647446457990115</v>
      </c>
      <c r="G40" s="9" t="n">
        <v>0.001647446457990115</v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13" t="n">
        <v>-0.0370388932419964</v>
      </c>
      <c r="Q40" s="14" t="n">
        <v>2.53647494332808</v>
      </c>
      <c r="R40" s="15" t="n">
        <v>4</v>
      </c>
      <c r="S40" s="9" t="n">
        <v>0.001647446457990115</v>
      </c>
      <c r="T40" s="13" t="n">
        <v>6.069620253164557</v>
      </c>
      <c r="U40" s="9" t="n">
        <v>0.009999374387421017</v>
      </c>
      <c r="V40" s="9" t="n">
        <v>0.008813838550247116</v>
      </c>
      <c r="W40" s="9" t="n">
        <v>0.01041421510943751</v>
      </c>
      <c r="X40" s="9" t="n">
        <v>0.01683141131246568</v>
      </c>
      <c r="Y40" s="8" t="n">
        <v>607</v>
      </c>
      <c r="Z40" s="9" t="n">
        <v>0.04150650776674029</v>
      </c>
      <c r="AA40" s="9" t="n"/>
      <c r="AB40" s="10">
        <f>IFERROR(D40/O40-1,"")</f>
        <v/>
      </c>
      <c r="AC40" s="10">
        <f>IFERROR(E40/O40-1,"")</f>
        <v/>
      </c>
      <c r="AD40" s="10">
        <f>IFERROR(E40/U40-1,"")</f>
        <v/>
      </c>
      <c r="AE40" s="10">
        <f>IFERROR(Z40/AA40-1,"")</f>
        <v/>
      </c>
    </row>
    <row r="41">
      <c r="A41" s="7" t="inlineStr">
        <is>
          <t>202603</t>
        </is>
      </c>
      <c r="B41" s="8" t="n">
        <v>698</v>
      </c>
      <c r="C41" s="9" t="n">
        <v>0.06886296424304901</v>
      </c>
      <c r="D41" s="9" t="n">
        <v>0.06347405354233518</v>
      </c>
      <c r="E41" s="9" t="n">
        <v>0.04122933480715515</v>
      </c>
      <c r="F41" s="9" t="n">
        <v>0</v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3" t="n">
        <v>0.014389803325765</v>
      </c>
      <c r="Q41" s="14" t="n">
        <v>3.711229343636036</v>
      </c>
      <c r="R41" s="15" t="n">
        <v>3</v>
      </c>
      <c r="S41" s="9" t="n">
        <v>0</v>
      </c>
      <c r="T41" s="13" t="n">
        <v>19.02222222222222</v>
      </c>
      <c r="U41" s="9" t="n">
        <v>0</v>
      </c>
      <c r="V41" s="9" t="n">
        <v>0</v>
      </c>
      <c r="W41" s="9" t="n">
        <v>0</v>
      </c>
      <c r="X41" s="9" t="n">
        <v>0</v>
      </c>
      <c r="Y41" s="8" t="n">
        <v>698</v>
      </c>
      <c r="Z41" s="9" t="n">
        <v>0.04122933480715515</v>
      </c>
      <c r="AA41" s="9" t="n"/>
      <c r="AB41" s="10">
        <f>IFERROR(D41/O41-1,"")</f>
        <v/>
      </c>
      <c r="AC41" s="10">
        <f>IFERROR(E41/O41-1,"")</f>
        <v/>
      </c>
      <c r="AD41" s="10">
        <f>IFERROR(E41/U41-1,"")</f>
        <v/>
      </c>
      <c r="AE41" s="10">
        <f>IFERROR(Z41/AA41-1,"")</f>
        <v/>
      </c>
    </row>
    <row r="42">
      <c r="A42" s="7" t="inlineStr">
        <is>
          <t>202604</t>
        </is>
      </c>
      <c r="B42" s="8" t="n">
        <v>602</v>
      </c>
      <c r="C42" s="9" t="n">
        <v>0.06537195648441085</v>
      </c>
      <c r="D42" s="9" t="n">
        <v>0.06010376831417612</v>
      </c>
      <c r="E42" s="9" t="n">
        <v>0.03792014293908522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3" t="n">
        <v>0.0241851909297492</v>
      </c>
      <c r="Q42" s="14" t="n">
        <v>3.934979418175466</v>
      </c>
      <c r="R42" s="15" t="n"/>
      <c r="S42" s="9" t="n"/>
      <c r="T42" s="13" t="n"/>
      <c r="U42" s="9" t="n"/>
      <c r="V42" s="9" t="n"/>
      <c r="W42" s="9" t="n"/>
      <c r="X42" s="9" t="n"/>
      <c r="Y42" s="8" t="n">
        <v>602</v>
      </c>
      <c r="Z42" s="9" t="n">
        <v>0.03792014293908522</v>
      </c>
      <c r="AA42" s="9" t="n"/>
      <c r="AB42" s="10">
        <f>IFERROR(D42/O42-1,"")</f>
        <v/>
      </c>
      <c r="AC42" s="10">
        <f>IFERROR(E42/O42-1,"")</f>
        <v/>
      </c>
      <c r="AD42" s="10">
        <f>IFERROR(E42/U42-1,"")</f>
        <v/>
      </c>
      <c r="AE42" s="10">
        <f>IFERROR(Z42/AA42-1,"")</f>
        <v/>
      </c>
    </row>
    <row r="43">
      <c r="A43" s="7" t="inlineStr">
        <is>
          <t>202605</t>
        </is>
      </c>
      <c r="B43" s="8" t="n">
        <v>608</v>
      </c>
      <c r="C43" s="9" t="n">
        <v>0.07167127839669488</v>
      </c>
      <c r="D43" s="9" t="n">
        <v>0.0652898186756494</v>
      </c>
      <c r="E43" s="9" t="n">
        <v>0.04466462232486981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3" t="n">
        <v>0.0192471239254993</v>
      </c>
      <c r="Q43" s="14" t="n">
        <v>3.822182160430176</v>
      </c>
      <c r="R43" s="15" t="n"/>
      <c r="S43" s="9" t="n"/>
      <c r="T43" s="13" t="n"/>
      <c r="U43" s="9" t="n"/>
      <c r="V43" s="9" t="n"/>
      <c r="W43" s="9" t="n"/>
      <c r="X43" s="9" t="n"/>
      <c r="Y43" s="8" t="n">
        <v>608</v>
      </c>
      <c r="Z43" s="9" t="n">
        <v>0.04466462232486981</v>
      </c>
      <c r="AA43" s="9" t="n"/>
      <c r="AB43" s="10">
        <f>IFERROR(D43/O43-1,"")</f>
        <v/>
      </c>
      <c r="AC43" s="10">
        <f>IFERROR(E43/O43-1,"")</f>
        <v/>
      </c>
      <c r="AD43" s="10">
        <f>IFERROR(E43/U43-1,"")</f>
        <v/>
      </c>
      <c r="AE43" s="10">
        <f>IFERROR(Z43/AA43-1,"")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</cols>
  <sheetData>
    <row r="1">
      <c r="A1" s="1" t="inlineStr">
        <is>
          <t>IBK N2</t>
        </is>
      </c>
    </row>
    <row r="2">
      <c r="A2" s="2" t="inlineStr">
        <is>
          <t>Interbank, nodo N2</t>
        </is>
      </c>
    </row>
    <row r="4" ht="30" customHeight="1">
      <c r="A4" s="6" t="inlineStr">
        <is>
          <t>codmes</t>
        </is>
      </c>
      <c r="B4" s="6" t="inlineStr">
        <is>
          <t>n</t>
        </is>
      </c>
      <c r="C4" s="6" t="inlineStr">
        <is>
          <t>PD sin calibrar</t>
        </is>
      </c>
      <c r="D4" s="6" t="inlineStr">
        <is>
          <t>PD cal vigente</t>
        </is>
      </c>
      <c r="E4" s="6" t="inlineStr">
        <is>
          <t>PD cal NUEVA</t>
        </is>
      </c>
      <c r="F4" s="6" t="inlineStr">
        <is>
          <t>mora 3m</t>
        </is>
      </c>
      <c r="G4" s="6" t="inlineStr">
        <is>
          <t>mora 4m</t>
        </is>
      </c>
      <c r="H4" s="6" t="inlineStr">
        <is>
          <t>mora 5m</t>
        </is>
      </c>
      <c r="I4" s="6" t="inlineStr">
        <is>
          <t>mora 6m</t>
        </is>
      </c>
      <c r="J4" s="6" t="inlineStr">
        <is>
          <t>mora 7m</t>
        </is>
      </c>
      <c r="K4" s="6" t="inlineStr">
        <is>
          <t>mora 8m</t>
        </is>
      </c>
      <c r="L4" s="6" t="inlineStr">
        <is>
          <t>mora 9m</t>
        </is>
      </c>
      <c r="M4" s="6" t="inlineStr">
        <is>
          <t>mora 10m</t>
        </is>
      </c>
      <c r="N4" s="6" t="inlineStr">
        <is>
          <t>mora 11m</t>
        </is>
      </c>
      <c r="O4" s="6" t="inlineStr">
        <is>
          <t>mora 12m</t>
        </is>
      </c>
      <c r="P4" s="6" t="inlineStr">
        <is>
          <t>ft ciclo</t>
        </is>
      </c>
      <c r="Q4" s="6" t="inlineStr">
        <is>
          <t>inflacion %</t>
        </is>
      </c>
      <c r="R4" s="6" t="inlineStr">
        <is>
          <t>madurez</t>
        </is>
      </c>
      <c r="S4" s="6" t="inlineStr">
        <is>
          <t>mora base</t>
        </is>
      </c>
      <c r="T4" s="6" t="inlineStr">
        <is>
          <t>factor h-&gt;12</t>
        </is>
      </c>
      <c r="U4" s="6" t="inlineStr">
        <is>
          <t>proy mediana</t>
        </is>
      </c>
      <c r="V4" s="6" t="inlineStr">
        <is>
          <t>proy V1</t>
        </is>
      </c>
      <c r="W4" s="6" t="inlineStr">
        <is>
          <t>proy V2</t>
        </is>
      </c>
      <c r="X4" s="6" t="inlineStr">
        <is>
          <t>proy V3</t>
        </is>
      </c>
      <c r="Y4" s="6" t="inlineStr">
        <is>
          <t>n visible IBK</t>
        </is>
      </c>
      <c r="Z4" s="6" t="inlineStr">
        <is>
          <t>PD cal NUEVA visible</t>
        </is>
      </c>
      <c r="AA4" s="6" t="inlineStr">
        <is>
          <t>mora 12m visible</t>
        </is>
      </c>
      <c r="AB4" s="6" t="inlineStr">
        <is>
          <t>EC vigente</t>
        </is>
      </c>
      <c r="AC4" s="6" t="inlineStr">
        <is>
          <t>EC NUEVA</t>
        </is>
      </c>
      <c r="AD4" s="6" t="inlineStr">
        <is>
          <t>EC NUEVA vs proy</t>
        </is>
      </c>
      <c r="AE4" s="6" t="inlineStr">
        <is>
          <t>EC NUEVA visible</t>
        </is>
      </c>
    </row>
    <row r="5">
      <c r="A5" s="7" t="inlineStr">
        <is>
          <t>202303</t>
        </is>
      </c>
      <c r="B5" s="8" t="n">
        <v>2129</v>
      </c>
      <c r="C5" s="9" t="n">
        <v>0.1095138918131611</v>
      </c>
      <c r="D5" s="9" t="n">
        <v>0.1379681683284134</v>
      </c>
      <c r="E5" s="9" t="n">
        <v>0.09585205563286162</v>
      </c>
      <c r="F5" s="9" t="n">
        <v>0.004697040864255519</v>
      </c>
      <c r="G5" s="9" t="n">
        <v>0.02160638797557539</v>
      </c>
      <c r="H5" s="9" t="n">
        <v>0.03616721465476749</v>
      </c>
      <c r="I5" s="9" t="n">
        <v>0.04790981681540629</v>
      </c>
      <c r="J5" s="9" t="n">
        <v>0.06387975575387506</v>
      </c>
      <c r="K5" s="9" t="n">
        <v>0.08031939877876937</v>
      </c>
      <c r="L5" s="9" t="n">
        <v>0.09394081728511038</v>
      </c>
      <c r="M5" s="9" t="n">
        <v>0.1066228276186003</v>
      </c>
      <c r="N5" s="9" t="n">
        <v>0.1146077970878347</v>
      </c>
      <c r="O5" s="9" t="n">
        <v>0.1258806951620479</v>
      </c>
      <c r="P5" s="13" t="n">
        <v>0.2313077929548288</v>
      </c>
      <c r="Q5" s="14" t="n">
        <v>8.666154897445178</v>
      </c>
      <c r="R5" s="15" t="n">
        <v>12</v>
      </c>
      <c r="S5" s="9" t="n">
        <v>0.1258806951620479</v>
      </c>
      <c r="T5" s="13" t="n">
        <v>1</v>
      </c>
      <c r="U5" s="9" t="n">
        <v>0.1258806951620479</v>
      </c>
      <c r="V5" s="9" t="n"/>
      <c r="W5" s="9" t="n"/>
      <c r="X5" s="9" t="n"/>
      <c r="Y5" s="8" t="n">
        <v>2129</v>
      </c>
      <c r="Z5" s="9" t="n">
        <v>0.09585205563286162</v>
      </c>
      <c r="AA5" s="9" t="n">
        <v>0.1258806951620479</v>
      </c>
      <c r="AB5" s="10">
        <f>IFERROR(D5/O5-1,"")</f>
        <v/>
      </c>
      <c r="AC5" s="10">
        <f>IFERROR(E5/O5-1,"")</f>
        <v/>
      </c>
      <c r="AD5" s="10">
        <f>IFERROR(E5/U5-1,"")</f>
        <v/>
      </c>
      <c r="AE5" s="10">
        <f>IFERROR(Z5/AA5-1,"")</f>
        <v/>
      </c>
    </row>
    <row r="6">
      <c r="A6" s="7" t="inlineStr">
        <is>
          <t>202304</t>
        </is>
      </c>
      <c r="B6" s="8" t="n">
        <v>2131</v>
      </c>
      <c r="C6" s="9" t="n">
        <v>0.1036177861339494</v>
      </c>
      <c r="D6" s="9" t="n">
        <v>0.131170859320875</v>
      </c>
      <c r="E6" s="9" t="n">
        <v>0.08944040083107566</v>
      </c>
      <c r="F6" s="9" t="n">
        <v>0.00656968559361802</v>
      </c>
      <c r="G6" s="9" t="n">
        <v>0.01923979352416706</v>
      </c>
      <c r="H6" s="9" t="n">
        <v>0.02956358517128109</v>
      </c>
      <c r="I6" s="9" t="n">
        <v>0.04458000938526514</v>
      </c>
      <c r="J6" s="9" t="n">
        <v>0.05771938057250117</v>
      </c>
      <c r="K6" s="9" t="n">
        <v>0.07038948850305021</v>
      </c>
      <c r="L6" s="9" t="n">
        <v>0.08493664946034725</v>
      </c>
      <c r="M6" s="9" t="n">
        <v>0.09807602064758329</v>
      </c>
      <c r="N6" s="9" t="n">
        <v>0.1088690755513843</v>
      </c>
      <c r="O6" s="9" t="n">
        <v>0.1173158141717504</v>
      </c>
      <c r="P6" s="13" t="n">
        <v>0.2039883111878369</v>
      </c>
      <c r="Q6" s="14" t="n">
        <v>8.042112610516504</v>
      </c>
      <c r="R6" s="15" t="n">
        <v>12</v>
      </c>
      <c r="S6" s="9" t="n">
        <v>0.1173158141717504</v>
      </c>
      <c r="T6" s="13" t="n">
        <v>1</v>
      </c>
      <c r="U6" s="9" t="n">
        <v>0.1173158141717504</v>
      </c>
      <c r="V6" s="9" t="n"/>
      <c r="W6" s="9" t="n"/>
      <c r="X6" s="9" t="n"/>
      <c r="Y6" s="8" t="n">
        <v>2131</v>
      </c>
      <c r="Z6" s="9" t="n">
        <v>0.08944040083107566</v>
      </c>
      <c r="AA6" s="9" t="n">
        <v>0.1173158141717504</v>
      </c>
      <c r="AB6" s="10">
        <f>IFERROR(D6/O6-1,"")</f>
        <v/>
      </c>
      <c r="AC6" s="10">
        <f>IFERROR(E6/O6-1,"")</f>
        <v/>
      </c>
      <c r="AD6" s="10">
        <f>IFERROR(E6/U6-1,"")</f>
        <v/>
      </c>
      <c r="AE6" s="10">
        <f>IFERROR(Z6/AA6-1,"")</f>
        <v/>
      </c>
    </row>
    <row r="7">
      <c r="A7" s="7" t="inlineStr">
        <is>
          <t>202305</t>
        </is>
      </c>
      <c r="B7" s="8" t="n">
        <v>2511</v>
      </c>
      <c r="C7" s="9" t="n">
        <v>0.1067163947285741</v>
      </c>
      <c r="D7" s="9" t="n">
        <v>0.1347318373958768</v>
      </c>
      <c r="E7" s="9" t="n">
        <v>0.09285969763959846</v>
      </c>
      <c r="F7" s="9" t="n">
        <v>0.004778972520908004</v>
      </c>
      <c r="G7" s="9" t="n">
        <v>0.02230187176423735</v>
      </c>
      <c r="H7" s="9" t="n">
        <v>0.0362405416168857</v>
      </c>
      <c r="I7" s="9" t="n">
        <v>0.05017921146953405</v>
      </c>
      <c r="J7" s="9" t="n">
        <v>0.0665073675826364</v>
      </c>
      <c r="K7" s="9" t="n">
        <v>0.08164078056551174</v>
      </c>
      <c r="L7" s="9" t="n">
        <v>0.09199522102747909</v>
      </c>
      <c r="M7" s="9" t="n">
        <v>0.1059338908801274</v>
      </c>
      <c r="N7" s="9" t="n">
        <v>0.1146953405017921</v>
      </c>
      <c r="O7" s="9" t="n">
        <v>0.1198725607327758</v>
      </c>
      <c r="P7" s="13" t="n">
        <v>0.2015420225900039</v>
      </c>
      <c r="Q7" s="14" t="n">
        <v>7.986233529643028</v>
      </c>
      <c r="R7" s="15" t="n">
        <v>12</v>
      </c>
      <c r="S7" s="9" t="n">
        <v>0.1198725607327758</v>
      </c>
      <c r="T7" s="13" t="n">
        <v>1</v>
      </c>
      <c r="U7" s="9" t="n">
        <v>0.1198725607327758</v>
      </c>
      <c r="V7" s="9" t="n"/>
      <c r="W7" s="9" t="n"/>
      <c r="X7" s="9" t="n"/>
      <c r="Y7" s="8" t="n">
        <v>2511</v>
      </c>
      <c r="Z7" s="9" t="n">
        <v>0.09285969763959846</v>
      </c>
      <c r="AA7" s="9" t="n">
        <v>0.1198725607327758</v>
      </c>
      <c r="AB7" s="10">
        <f>IFERROR(D7/O7-1,"")</f>
        <v/>
      </c>
      <c r="AC7" s="10">
        <f>IFERROR(E7/O7-1,"")</f>
        <v/>
      </c>
      <c r="AD7" s="10">
        <f>IFERROR(E7/U7-1,"")</f>
        <v/>
      </c>
      <c r="AE7" s="10">
        <f>IFERROR(Z7/AA7-1,"")</f>
        <v/>
      </c>
    </row>
    <row r="8">
      <c r="A8" s="7" t="inlineStr">
        <is>
          <t>202306</t>
        </is>
      </c>
      <c r="B8" s="8" t="n">
        <v>1808</v>
      </c>
      <c r="C8" s="9" t="n">
        <v>0.1004756808907321</v>
      </c>
      <c r="D8" s="9" t="n">
        <v>0.1269039399035901</v>
      </c>
      <c r="E8" s="9" t="n">
        <v>0.08611847408726708</v>
      </c>
      <c r="F8" s="9" t="n">
        <v>0.007743362831858407</v>
      </c>
      <c r="G8" s="9" t="n">
        <v>0.0127212389380531</v>
      </c>
      <c r="H8" s="9" t="n">
        <v>0.03539823008849557</v>
      </c>
      <c r="I8" s="9" t="n">
        <v>0.04922566371681416</v>
      </c>
      <c r="J8" s="9" t="n">
        <v>0.05973451327433629</v>
      </c>
      <c r="K8" s="9" t="n">
        <v>0.0752212389380531</v>
      </c>
      <c r="L8" s="9" t="n">
        <v>0.08738938053097345</v>
      </c>
      <c r="M8" s="9" t="n">
        <v>0.09734513274336283</v>
      </c>
      <c r="N8" s="9" t="n">
        <v>0.1089601769911504</v>
      </c>
      <c r="O8" s="9" t="n">
        <v>0.1144911504424779</v>
      </c>
      <c r="P8" s="13" t="n">
        <v>0.145631156252523</v>
      </c>
      <c r="Q8" s="14" t="n">
        <v>6.709095654518293</v>
      </c>
      <c r="R8" s="15" t="n">
        <v>12</v>
      </c>
      <c r="S8" s="9" t="n">
        <v>0.1144911504424779</v>
      </c>
      <c r="T8" s="13" t="n">
        <v>1</v>
      </c>
      <c r="U8" s="9" t="n">
        <v>0.1144911504424779</v>
      </c>
      <c r="V8" s="9" t="n"/>
      <c r="W8" s="9" t="n"/>
      <c r="X8" s="9" t="n"/>
      <c r="Y8" s="8" t="n">
        <v>1808</v>
      </c>
      <c r="Z8" s="9" t="n">
        <v>0.08611847408726708</v>
      </c>
      <c r="AA8" s="9" t="n">
        <v>0.1144911504424779</v>
      </c>
      <c r="AB8" s="10">
        <f>IFERROR(D8/O8-1,"")</f>
        <v/>
      </c>
      <c r="AC8" s="10">
        <f>IFERROR(E8/O8-1,"")</f>
        <v/>
      </c>
      <c r="AD8" s="10">
        <f>IFERROR(E8/U8-1,"")</f>
        <v/>
      </c>
      <c r="AE8" s="10">
        <f>IFERROR(Z8/AA8-1,"")</f>
        <v/>
      </c>
    </row>
    <row r="9">
      <c r="A9" s="7" t="inlineStr">
        <is>
          <t>202307</t>
        </is>
      </c>
      <c r="B9" s="8" t="n">
        <v>1213</v>
      </c>
      <c r="C9" s="9" t="n">
        <v>0.08344128930147335</v>
      </c>
      <c r="D9" s="9" t="n">
        <v>0.08579454729479399</v>
      </c>
      <c r="E9" s="9" t="n">
        <v>0.06680213493556814</v>
      </c>
      <c r="F9" s="9" t="n">
        <v>0.00247320692497939</v>
      </c>
      <c r="G9" s="9" t="n">
        <v>0.01071723000824402</v>
      </c>
      <c r="H9" s="9" t="n">
        <v>0.0156636438582028</v>
      </c>
      <c r="I9" s="9" t="n">
        <v>0.02225886232481451</v>
      </c>
      <c r="J9" s="9" t="n">
        <v>0.02638087386644683</v>
      </c>
      <c r="K9" s="9" t="n">
        <v>0.03462489694971146</v>
      </c>
      <c r="L9" s="9" t="n">
        <v>0.03792250618301731</v>
      </c>
      <c r="M9" s="9" t="n">
        <v>0.04369332234130256</v>
      </c>
      <c r="N9" s="9" t="n">
        <v>0.05111294311624073</v>
      </c>
      <c r="O9" s="9" t="n">
        <v>0.05358615004122012</v>
      </c>
      <c r="P9" s="13" t="n">
        <v>0.1154476643960626</v>
      </c>
      <c r="Q9" s="14" t="n">
        <v>6.019632529037033</v>
      </c>
      <c r="R9" s="15" t="n">
        <v>12</v>
      </c>
      <c r="S9" s="9" t="n">
        <v>0.05358615004122012</v>
      </c>
      <c r="T9" s="13" t="n">
        <v>1</v>
      </c>
      <c r="U9" s="9" t="n">
        <v>0.05358615004122012</v>
      </c>
      <c r="V9" s="9" t="n"/>
      <c r="W9" s="9" t="n"/>
      <c r="X9" s="9" t="n"/>
      <c r="Y9" s="8" t="n">
        <v>1213</v>
      </c>
      <c r="Z9" s="9" t="n">
        <v>0.06680213493556814</v>
      </c>
      <c r="AA9" s="9" t="n">
        <v>0.05358615004122012</v>
      </c>
      <c r="AB9" s="10">
        <f>IFERROR(D9/O9-1,"")</f>
        <v/>
      </c>
      <c r="AC9" s="10">
        <f>IFERROR(E9/O9-1,"")</f>
        <v/>
      </c>
      <c r="AD9" s="10">
        <f>IFERROR(E9/U9-1,"")</f>
        <v/>
      </c>
      <c r="AE9" s="10">
        <f>IFERROR(Z9/AA9-1,"")</f>
        <v/>
      </c>
    </row>
    <row r="10">
      <c r="A10" s="7" t="inlineStr">
        <is>
          <t>202308</t>
        </is>
      </c>
      <c r="B10" s="8" t="n">
        <v>1418</v>
      </c>
      <c r="C10" s="9" t="n">
        <v>0.08710778674520604</v>
      </c>
      <c r="D10" s="9" t="n">
        <v>0.08962700867234652</v>
      </c>
      <c r="E10" s="9" t="n">
        <v>0.07030131289997704</v>
      </c>
      <c r="F10" s="9" t="n">
        <v>0.004936530324400564</v>
      </c>
      <c r="G10" s="9" t="n">
        <v>0.01128349788434415</v>
      </c>
      <c r="H10" s="9" t="n">
        <v>0.01622002820874471</v>
      </c>
      <c r="I10" s="9" t="n">
        <v>0.02045133991537377</v>
      </c>
      <c r="J10" s="9" t="n">
        <v>0.02679830747531735</v>
      </c>
      <c r="K10" s="9" t="n">
        <v>0.03455571227080395</v>
      </c>
      <c r="L10" s="9" t="n">
        <v>0.03949224259520451</v>
      </c>
      <c r="M10" s="9" t="n">
        <v>0.04442877291960508</v>
      </c>
      <c r="N10" s="9" t="n">
        <v>0.04866008462623413</v>
      </c>
      <c r="O10" s="9" t="n">
        <v>0.05289139633286319</v>
      </c>
      <c r="P10" s="13" t="n">
        <v>0.1052420450312428</v>
      </c>
      <c r="Q10" s="14" t="n">
        <v>5.786511780178594</v>
      </c>
      <c r="R10" s="15" t="n">
        <v>12</v>
      </c>
      <c r="S10" s="9" t="n">
        <v>0.05289139633286319</v>
      </c>
      <c r="T10" s="13" t="n">
        <v>1</v>
      </c>
      <c r="U10" s="9" t="n">
        <v>0.05289139633286319</v>
      </c>
      <c r="V10" s="9" t="n"/>
      <c r="W10" s="9" t="n"/>
      <c r="X10" s="9" t="n"/>
      <c r="Y10" s="8" t="n">
        <v>1418</v>
      </c>
      <c r="Z10" s="9" t="n">
        <v>0.07030131289997704</v>
      </c>
      <c r="AA10" s="9" t="n">
        <v>0.05289139633286319</v>
      </c>
      <c r="AB10" s="10">
        <f>IFERROR(D10/O10-1,"")</f>
        <v/>
      </c>
      <c r="AC10" s="10">
        <f>IFERROR(E10/O10-1,"")</f>
        <v/>
      </c>
      <c r="AD10" s="10">
        <f>IFERROR(E10/U10-1,"")</f>
        <v/>
      </c>
      <c r="AE10" s="10">
        <f>IFERROR(Z10/AA10-1,"")</f>
        <v/>
      </c>
    </row>
    <row r="11">
      <c r="A11" s="7" t="inlineStr">
        <is>
          <t>202309</t>
        </is>
      </c>
      <c r="B11" s="8" t="n">
        <v>919</v>
      </c>
      <c r="C11" s="9" t="n">
        <v>0.08426611508943051</v>
      </c>
      <c r="D11" s="9" t="n">
        <v>0.0801060286525868</v>
      </c>
      <c r="E11" s="9" t="n">
        <v>0.06537958779913397</v>
      </c>
      <c r="F11" s="9" t="n">
        <v>0.001088139281828074</v>
      </c>
      <c r="G11" s="9" t="n">
        <v>0.009793253536452665</v>
      </c>
      <c r="H11" s="9" t="n">
        <v>0.01305767138193689</v>
      </c>
      <c r="I11" s="9" t="n">
        <v>0.01958650707290533</v>
      </c>
      <c r="J11" s="9" t="n">
        <v>0.02829162132752992</v>
      </c>
      <c r="K11" s="9" t="n">
        <v>0.03373231773667029</v>
      </c>
      <c r="L11" s="9" t="n">
        <v>0.04026115342763874</v>
      </c>
      <c r="M11" s="9" t="n">
        <v>0.04461371055495103</v>
      </c>
      <c r="N11" s="9" t="n">
        <v>0.04678998911860718</v>
      </c>
      <c r="O11" s="9" t="n">
        <v>0.05223068552774755</v>
      </c>
      <c r="P11" s="13" t="n">
        <v>0.0826428782528265</v>
      </c>
      <c r="Q11" s="14" t="n">
        <v>5.270292774292296</v>
      </c>
      <c r="R11" s="15" t="n">
        <v>12</v>
      </c>
      <c r="S11" s="9" t="n">
        <v>0.05223068552774755</v>
      </c>
      <c r="T11" s="13" t="n">
        <v>1</v>
      </c>
      <c r="U11" s="9" t="n">
        <v>0.05223068552774755</v>
      </c>
      <c r="V11" s="9" t="n"/>
      <c r="W11" s="9" t="n"/>
      <c r="X11" s="9" t="n"/>
      <c r="Y11" s="8" t="n">
        <v>919</v>
      </c>
      <c r="Z11" s="9" t="n">
        <v>0.06537958779913397</v>
      </c>
      <c r="AA11" s="9" t="n">
        <v>0.05223068552774755</v>
      </c>
      <c r="AB11" s="10">
        <f>IFERROR(D11/O11-1,"")</f>
        <v/>
      </c>
      <c r="AC11" s="10">
        <f>IFERROR(E11/O11-1,"")</f>
        <v/>
      </c>
      <c r="AD11" s="10">
        <f>IFERROR(E11/U11-1,"")</f>
        <v/>
      </c>
      <c r="AE11" s="10">
        <f>IFERROR(Z11/AA11-1,"")</f>
        <v/>
      </c>
    </row>
    <row r="12">
      <c r="A12" s="7" t="inlineStr">
        <is>
          <t>202310</t>
        </is>
      </c>
      <c r="B12" s="8" t="n">
        <v>888</v>
      </c>
      <c r="C12" s="9" t="n">
        <v>0.0878912353372151</v>
      </c>
      <c r="D12" s="9" t="n">
        <v>0.08864401484554348</v>
      </c>
      <c r="E12" s="9" t="n">
        <v>0.06544998933350647</v>
      </c>
      <c r="F12" s="9" t="n">
        <v>0.002252252252252252</v>
      </c>
      <c r="G12" s="9" t="n">
        <v>0.009009009009009009</v>
      </c>
      <c r="H12" s="9" t="n">
        <v>0.01801801801801802</v>
      </c>
      <c r="I12" s="9" t="n">
        <v>0.0259009009009009</v>
      </c>
      <c r="J12" s="9" t="n">
        <v>0.03490990990990991</v>
      </c>
      <c r="K12" s="9" t="n">
        <v>0.04054054054054054</v>
      </c>
      <c r="L12" s="9" t="n">
        <v>0.04842342342342342</v>
      </c>
      <c r="M12" s="9" t="n">
        <v>0.05405405405405406</v>
      </c>
      <c r="N12" s="9" t="n">
        <v>0.05855855855855856</v>
      </c>
      <c r="O12" s="9" t="n">
        <v>0.06306306306306306</v>
      </c>
      <c r="P12" s="13" t="n">
        <v>0.0496812016861095</v>
      </c>
      <c r="Q12" s="14" t="n">
        <v>4.517369267135951</v>
      </c>
      <c r="R12" s="15" t="n">
        <v>12</v>
      </c>
      <c r="S12" s="9" t="n">
        <v>0.06306306306306306</v>
      </c>
      <c r="T12" s="13" t="n">
        <v>1</v>
      </c>
      <c r="U12" s="9" t="n">
        <v>0.06306306306306306</v>
      </c>
      <c r="V12" s="9" t="n"/>
      <c r="W12" s="9" t="n"/>
      <c r="X12" s="9" t="n"/>
      <c r="Y12" s="8" t="n">
        <v>888</v>
      </c>
      <c r="Z12" s="9" t="n">
        <v>0.06544998933350647</v>
      </c>
      <c r="AA12" s="9" t="n">
        <v>0.06306306306306306</v>
      </c>
      <c r="AB12" s="10">
        <f>IFERROR(D12/O12-1,"")</f>
        <v/>
      </c>
      <c r="AC12" s="10">
        <f>IFERROR(E12/O12-1,"")</f>
        <v/>
      </c>
      <c r="AD12" s="10">
        <f>IFERROR(E12/U12-1,"")</f>
        <v/>
      </c>
      <c r="AE12" s="10">
        <f>IFERROR(Z12/AA12-1,"")</f>
        <v/>
      </c>
    </row>
    <row r="13">
      <c r="A13" s="7" t="inlineStr">
        <is>
          <t>202311</t>
        </is>
      </c>
      <c r="B13" s="8" t="n">
        <v>828</v>
      </c>
      <c r="C13" s="9" t="n">
        <v>0.1154307485951768</v>
      </c>
      <c r="D13" s="9" t="n">
        <v>0.1170012406084758</v>
      </c>
      <c r="E13" s="9" t="n">
        <v>0.08899043410669302</v>
      </c>
      <c r="F13" s="9" t="n">
        <v>0.001207729468599034</v>
      </c>
      <c r="G13" s="9" t="n">
        <v>0.01570048309178744</v>
      </c>
      <c r="H13" s="9" t="n">
        <v>0.03623188405797102</v>
      </c>
      <c r="I13" s="9" t="n">
        <v>0.04710144927536232</v>
      </c>
      <c r="J13" s="9" t="n">
        <v>0.06280193236714976</v>
      </c>
      <c r="K13" s="9" t="n">
        <v>0.07608695652173914</v>
      </c>
      <c r="L13" s="9" t="n">
        <v>0.08091787439613526</v>
      </c>
      <c r="M13" s="9" t="n">
        <v>0.09057971014492754</v>
      </c>
      <c r="N13" s="9" t="n">
        <v>0.09420289855072464</v>
      </c>
      <c r="O13" s="9" t="n">
        <v>0.09782608695652174</v>
      </c>
      <c r="P13" s="13" t="n">
        <v>0.0176922115343233</v>
      </c>
      <c r="Q13" s="14" t="n">
        <v>3.786664243478488</v>
      </c>
      <c r="R13" s="15" t="n">
        <v>12</v>
      </c>
      <c r="S13" s="9" t="n">
        <v>0.09782608695652174</v>
      </c>
      <c r="T13" s="13" t="n">
        <v>1</v>
      </c>
      <c r="U13" s="9" t="n">
        <v>0.09782608695652174</v>
      </c>
      <c r="V13" s="9" t="n"/>
      <c r="W13" s="9" t="n"/>
      <c r="X13" s="9" t="n"/>
      <c r="Y13" s="8" t="n">
        <v>828</v>
      </c>
      <c r="Z13" s="9" t="n">
        <v>0.08899043410669302</v>
      </c>
      <c r="AA13" s="9" t="n">
        <v>0.09782608695652174</v>
      </c>
      <c r="AB13" s="10">
        <f>IFERROR(D13/O13-1,"")</f>
        <v/>
      </c>
      <c r="AC13" s="10">
        <f>IFERROR(E13/O13-1,"")</f>
        <v/>
      </c>
      <c r="AD13" s="10">
        <f>IFERROR(E13/U13-1,"")</f>
        <v/>
      </c>
      <c r="AE13" s="10">
        <f>IFERROR(Z13/AA13-1,"")</f>
        <v/>
      </c>
    </row>
    <row r="14">
      <c r="A14" s="7" t="inlineStr">
        <is>
          <t>202312</t>
        </is>
      </c>
      <c r="B14" s="8" t="n">
        <v>896</v>
      </c>
      <c r="C14" s="9" t="n">
        <v>0.1381036316566419</v>
      </c>
      <c r="D14" s="9" t="n">
        <v>0.1394165264428011</v>
      </c>
      <c r="E14" s="9" t="n">
        <v>0.1086635172588214</v>
      </c>
      <c r="F14" s="9" t="n">
        <v>0.01339285714285714</v>
      </c>
      <c r="G14" s="9" t="n">
        <v>0.03348214285714286</v>
      </c>
      <c r="H14" s="9" t="n">
        <v>0.06026785714285714</v>
      </c>
      <c r="I14" s="9" t="n">
        <v>0.07254464285714286</v>
      </c>
      <c r="J14" s="9" t="n">
        <v>0.08370535714285714</v>
      </c>
      <c r="K14" s="9" t="n">
        <v>0.09486607142857142</v>
      </c>
      <c r="L14" s="9" t="n">
        <v>0.1026785714285714</v>
      </c>
      <c r="M14" s="9" t="n">
        <v>0.1071428571428571</v>
      </c>
      <c r="N14" s="9" t="n">
        <v>0.1205357142857143</v>
      </c>
      <c r="O14" s="9" t="n">
        <v>0.1305803571428572</v>
      </c>
      <c r="P14" s="13" t="n">
        <v>0.0012463846792965</v>
      </c>
      <c r="Q14" s="14" t="n">
        <v>3.411002234638927</v>
      </c>
      <c r="R14" s="15" t="n">
        <v>12</v>
      </c>
      <c r="S14" s="9" t="n">
        <v>0.1305803571428572</v>
      </c>
      <c r="T14" s="13" t="n">
        <v>1</v>
      </c>
      <c r="U14" s="9" t="n">
        <v>0.1305803571428572</v>
      </c>
      <c r="V14" s="9" t="n"/>
      <c r="W14" s="9" t="n"/>
      <c r="X14" s="9" t="n"/>
      <c r="Y14" s="8" t="n">
        <v>896</v>
      </c>
      <c r="Z14" s="9" t="n">
        <v>0.1086635172588214</v>
      </c>
      <c r="AA14" s="9" t="n">
        <v>0.1305803571428572</v>
      </c>
      <c r="AB14" s="10">
        <f>IFERROR(D14/O14-1,"")</f>
        <v/>
      </c>
      <c r="AC14" s="10">
        <f>IFERROR(E14/O14-1,"")</f>
        <v/>
      </c>
      <c r="AD14" s="10">
        <f>IFERROR(E14/U14-1,"")</f>
        <v/>
      </c>
      <c r="AE14" s="10">
        <f>IFERROR(Z14/AA14-1,"")</f>
        <v/>
      </c>
    </row>
    <row r="15">
      <c r="A15" s="7" t="inlineStr">
        <is>
          <t>202401</t>
        </is>
      </c>
      <c r="B15" s="8" t="n">
        <v>1016</v>
      </c>
      <c r="C15" s="9" t="n">
        <v>0.1199762365793604</v>
      </c>
      <c r="D15" s="9" t="n">
        <v>0.1129857906237553</v>
      </c>
      <c r="E15" s="9" t="n">
        <v>0.08829915839455713</v>
      </c>
      <c r="F15" s="9" t="n">
        <v>0.008858267716535433</v>
      </c>
      <c r="G15" s="9" t="n">
        <v>0.02854330708661417</v>
      </c>
      <c r="H15" s="9" t="n">
        <v>0.04232283464566929</v>
      </c>
      <c r="I15" s="9" t="n">
        <v>0.05511811023622047</v>
      </c>
      <c r="J15" s="9" t="n">
        <v>0.05807086614173228</v>
      </c>
      <c r="K15" s="9" t="n">
        <v>0.0610236220472441</v>
      </c>
      <c r="L15" s="9" t="n">
        <v>0.06692913385826772</v>
      </c>
      <c r="M15" s="9" t="n">
        <v>0.07677165354330709</v>
      </c>
      <c r="N15" s="9" t="n">
        <v>0.08366141732283465</v>
      </c>
      <c r="O15" s="9" t="n">
        <v>0.09055118110236221</v>
      </c>
      <c r="P15" s="13" t="n">
        <v>-0.0190642825400903</v>
      </c>
      <c r="Q15" s="14" t="n">
        <v>2.947058030691863</v>
      </c>
      <c r="R15" s="15" t="n">
        <v>12</v>
      </c>
      <c r="S15" s="9" t="n">
        <v>0.09055118110236221</v>
      </c>
      <c r="T15" s="13" t="n">
        <v>1</v>
      </c>
      <c r="U15" s="9" t="n">
        <v>0.09055118110236221</v>
      </c>
      <c r="V15" s="9" t="n"/>
      <c r="W15" s="9" t="n"/>
      <c r="X15" s="9" t="n"/>
      <c r="Y15" s="8" t="n">
        <v>1016</v>
      </c>
      <c r="Z15" s="9" t="n">
        <v>0.08829915839455713</v>
      </c>
      <c r="AA15" s="9" t="n">
        <v>0.09055118110236221</v>
      </c>
      <c r="AB15" s="10">
        <f>IFERROR(D15/O15-1,"")</f>
        <v/>
      </c>
      <c r="AC15" s="10">
        <f>IFERROR(E15/O15-1,"")</f>
        <v/>
      </c>
      <c r="AD15" s="10">
        <f>IFERROR(E15/U15-1,"")</f>
        <v/>
      </c>
      <c r="AE15" s="10">
        <f>IFERROR(Z15/AA15-1,"")</f>
        <v/>
      </c>
    </row>
    <row r="16">
      <c r="A16" s="7" t="inlineStr">
        <is>
          <t>202402</t>
        </is>
      </c>
      <c r="B16" s="8" t="n">
        <v>1020</v>
      </c>
      <c r="C16" s="9" t="n">
        <v>0.122280911999919</v>
      </c>
      <c r="D16" s="9" t="n">
        <v>0.1151433653709497</v>
      </c>
      <c r="E16" s="9" t="n">
        <v>0.09023329814012006</v>
      </c>
      <c r="F16" s="9" t="n">
        <v>0.009803921568627451</v>
      </c>
      <c r="G16" s="9" t="n">
        <v>0.02745098039215686</v>
      </c>
      <c r="H16" s="9" t="n">
        <v>0.03333333333333333</v>
      </c>
      <c r="I16" s="9" t="n">
        <v>0.04117647058823529</v>
      </c>
      <c r="J16" s="9" t="n">
        <v>0.04705882352941176</v>
      </c>
      <c r="K16" s="9" t="n">
        <v>0.05</v>
      </c>
      <c r="L16" s="9" t="n">
        <v>0.05686274509803921</v>
      </c>
      <c r="M16" s="9" t="n">
        <v>0.06764705882352941</v>
      </c>
      <c r="N16" s="9" t="n">
        <v>0.07549019607843137</v>
      </c>
      <c r="O16" s="9" t="n">
        <v>0.08333333333333333</v>
      </c>
      <c r="P16" s="13" t="n">
        <v>-0.0198286684982686</v>
      </c>
      <c r="Q16" s="14" t="n">
        <v>2.929597627690584</v>
      </c>
      <c r="R16" s="15" t="n">
        <v>12</v>
      </c>
      <c r="S16" s="9" t="n">
        <v>0.08333333333333333</v>
      </c>
      <c r="T16" s="13" t="n">
        <v>1</v>
      </c>
      <c r="U16" s="9" t="n">
        <v>0.08333333333333333</v>
      </c>
      <c r="V16" s="9" t="n"/>
      <c r="W16" s="9" t="n"/>
      <c r="X16" s="9" t="n"/>
      <c r="Y16" s="8" t="n">
        <v>1020</v>
      </c>
      <c r="Z16" s="9" t="n">
        <v>0.09023329814012006</v>
      </c>
      <c r="AA16" s="9" t="n">
        <v>0.08333333333333333</v>
      </c>
      <c r="AB16" s="10">
        <f>IFERROR(D16/O16-1,"")</f>
        <v/>
      </c>
      <c r="AC16" s="10">
        <f>IFERROR(E16/O16-1,"")</f>
        <v/>
      </c>
      <c r="AD16" s="10">
        <f>IFERROR(E16/U16-1,"")</f>
        <v/>
      </c>
      <c r="AE16" s="10">
        <f>IFERROR(Z16/AA16-1,"")</f>
        <v/>
      </c>
    </row>
    <row r="17">
      <c r="A17" s="7" t="inlineStr">
        <is>
          <t>202403</t>
        </is>
      </c>
      <c r="B17" s="8" t="n">
        <v>956</v>
      </c>
      <c r="C17" s="9" t="n">
        <v>0.1242775193057081</v>
      </c>
      <c r="D17" s="9" t="n">
        <v>0.1174750393003257</v>
      </c>
      <c r="E17" s="9" t="n">
        <v>0.09083572086195292</v>
      </c>
      <c r="F17" s="9" t="n">
        <v>0.01569037656903766</v>
      </c>
      <c r="G17" s="9" t="n">
        <v>0.02824267782426778</v>
      </c>
      <c r="H17" s="9" t="n">
        <v>0.03556485355648536</v>
      </c>
      <c r="I17" s="9" t="n">
        <v>0.04288702928870293</v>
      </c>
      <c r="J17" s="9" t="n">
        <v>0.04393305439330544</v>
      </c>
      <c r="K17" s="9" t="n">
        <v>0.05334728033472803</v>
      </c>
      <c r="L17" s="9" t="n">
        <v>0.0596234309623431</v>
      </c>
      <c r="M17" s="9" t="n">
        <v>0.07217573221757322</v>
      </c>
      <c r="N17" s="9" t="n">
        <v>0.07949790794979079</v>
      </c>
      <c r="O17" s="9" t="n">
        <v>0.09414225941422594</v>
      </c>
      <c r="P17" s="13" t="n">
        <v>-0.0309796378369519</v>
      </c>
      <c r="Q17" s="14" t="n">
        <v>2.67488282501116</v>
      </c>
      <c r="R17" s="15" t="n">
        <v>12</v>
      </c>
      <c r="S17" s="9" t="n">
        <v>0.09414225941422594</v>
      </c>
      <c r="T17" s="13" t="n">
        <v>1</v>
      </c>
      <c r="U17" s="9" t="n">
        <v>0.09414225941422594</v>
      </c>
      <c r="V17" s="9" t="n"/>
      <c r="W17" s="9" t="n"/>
      <c r="X17" s="9" t="n"/>
      <c r="Y17" s="8" t="n">
        <v>956</v>
      </c>
      <c r="Z17" s="9" t="n">
        <v>0.09083572086195292</v>
      </c>
      <c r="AA17" s="9" t="n">
        <v>0.09414225941422594</v>
      </c>
      <c r="AB17" s="10">
        <f>IFERROR(D17/O17-1,"")</f>
        <v/>
      </c>
      <c r="AC17" s="10">
        <f>IFERROR(E17/O17-1,"")</f>
        <v/>
      </c>
      <c r="AD17" s="10">
        <f>IFERROR(E17/U17-1,"")</f>
        <v/>
      </c>
      <c r="AE17" s="10">
        <f>IFERROR(Z17/AA17-1,"")</f>
        <v/>
      </c>
    </row>
    <row r="18">
      <c r="A18" s="7" t="inlineStr">
        <is>
          <t>202404</t>
        </is>
      </c>
      <c r="B18" s="8" t="n">
        <v>1073</v>
      </c>
      <c r="C18" s="9" t="n">
        <v>0.1095217709479036</v>
      </c>
      <c r="D18" s="9" t="n">
        <v>0.1060445508750404</v>
      </c>
      <c r="E18" s="9" t="n">
        <v>0.07399229240906664</v>
      </c>
      <c r="F18" s="9" t="n">
        <v>0.0065237651444548</v>
      </c>
      <c r="G18" s="9" t="n">
        <v>0.01584342963653309</v>
      </c>
      <c r="H18" s="9" t="n">
        <v>0.02329916123019571</v>
      </c>
      <c r="I18" s="9" t="n">
        <v>0.02795899347623486</v>
      </c>
      <c r="J18" s="9" t="n">
        <v>0.03727865796831314</v>
      </c>
      <c r="K18" s="9" t="n">
        <v>0.04939422180801491</v>
      </c>
      <c r="L18" s="9" t="n">
        <v>0.05871388630009319</v>
      </c>
      <c r="M18" s="9" t="n">
        <v>0.06710158434296365</v>
      </c>
      <c r="N18" s="9" t="n">
        <v>0.07269338303821063</v>
      </c>
      <c r="O18" s="9" t="n">
        <v>0.08294501397949673</v>
      </c>
      <c r="P18" s="13" t="n">
        <v>-0.0558720181987733</v>
      </c>
      <c r="Q18" s="14" t="n">
        <v>2.106281337597227</v>
      </c>
      <c r="R18" s="15" t="n">
        <v>12</v>
      </c>
      <c r="S18" s="9" t="n">
        <v>0.08294501397949673</v>
      </c>
      <c r="T18" s="13" t="n">
        <v>1</v>
      </c>
      <c r="U18" s="9" t="n">
        <v>0.08294501397949673</v>
      </c>
      <c r="V18" s="9" t="n"/>
      <c r="W18" s="9" t="n"/>
      <c r="X18" s="9" t="n"/>
      <c r="Y18" s="8" t="n">
        <v>1073</v>
      </c>
      <c r="Z18" s="9" t="n">
        <v>0.07399229240906664</v>
      </c>
      <c r="AA18" s="9" t="n">
        <v>0.08294501397949673</v>
      </c>
      <c r="AB18" s="10">
        <f>IFERROR(D18/O18-1,"")</f>
        <v/>
      </c>
      <c r="AC18" s="10">
        <f>IFERROR(E18/O18-1,"")</f>
        <v/>
      </c>
      <c r="AD18" s="10">
        <f>IFERROR(E18/U18-1,"")</f>
        <v/>
      </c>
      <c r="AE18" s="10">
        <f>IFERROR(Z18/AA18-1,"")</f>
        <v/>
      </c>
    </row>
    <row r="19">
      <c r="A19" s="7" t="inlineStr">
        <is>
          <t>202405</t>
        </is>
      </c>
      <c r="B19" s="8" t="n">
        <v>943</v>
      </c>
      <c r="C19" s="9" t="n">
        <v>0.1096814584958812</v>
      </c>
      <c r="D19" s="9" t="n">
        <v>0.1061440542219789</v>
      </c>
      <c r="E19" s="9" t="n">
        <v>0.0720871032169618</v>
      </c>
      <c r="F19" s="9" t="n">
        <v>0.007423117709437964</v>
      </c>
      <c r="G19" s="9" t="n">
        <v>0.01484623541887593</v>
      </c>
      <c r="H19" s="9" t="n">
        <v>0.02545068928950159</v>
      </c>
      <c r="I19" s="9" t="n">
        <v>0.03181336161187698</v>
      </c>
      <c r="J19" s="9" t="n">
        <v>0.04135737009544008</v>
      </c>
      <c r="K19" s="9" t="n">
        <v>0.05090137857900318</v>
      </c>
      <c r="L19" s="9" t="n">
        <v>0.05938494167550371</v>
      </c>
      <c r="M19" s="9" t="n">
        <v>0.06362672322375397</v>
      </c>
      <c r="N19" s="9" t="n">
        <v>0.0689289501590668</v>
      </c>
      <c r="O19" s="9" t="n">
        <v>0.08059384941675504</v>
      </c>
      <c r="P19" s="13" t="n">
        <v>-0.0754757595835721</v>
      </c>
      <c r="Q19" s="14" t="n">
        <v>1.658485010036248</v>
      </c>
      <c r="R19" s="15" t="n">
        <v>12</v>
      </c>
      <c r="S19" s="9" t="n">
        <v>0.08059384941675504</v>
      </c>
      <c r="T19" s="13" t="n">
        <v>1</v>
      </c>
      <c r="U19" s="9" t="n">
        <v>0.08059384941675504</v>
      </c>
      <c r="V19" s="9" t="n"/>
      <c r="W19" s="9" t="n"/>
      <c r="X19" s="9" t="n"/>
      <c r="Y19" s="8" t="n">
        <v>943</v>
      </c>
      <c r="Z19" s="9" t="n">
        <v>0.0720871032169618</v>
      </c>
      <c r="AA19" s="9" t="n">
        <v>0.08059384941675504</v>
      </c>
      <c r="AB19" s="10">
        <f>IFERROR(D19/O19-1,"")</f>
        <v/>
      </c>
      <c r="AC19" s="10">
        <f>IFERROR(E19/O19-1,"")</f>
        <v/>
      </c>
      <c r="AD19" s="10">
        <f>IFERROR(E19/U19-1,"")</f>
        <v/>
      </c>
      <c r="AE19" s="10">
        <f>IFERROR(Z19/AA19-1,"")</f>
        <v/>
      </c>
    </row>
    <row r="20">
      <c r="A20" s="7" t="inlineStr">
        <is>
          <t>202406</t>
        </is>
      </c>
      <c r="B20" s="8" t="n">
        <v>744</v>
      </c>
      <c r="C20" s="9" t="n">
        <v>0.1108896426558595</v>
      </c>
      <c r="D20" s="9" t="n">
        <v>0.1073281072438144</v>
      </c>
      <c r="E20" s="9" t="n">
        <v>0.07453495296956755</v>
      </c>
      <c r="F20" s="9" t="n">
        <v>0.004032258064516129</v>
      </c>
      <c r="G20" s="9" t="n">
        <v>0.01612903225806452</v>
      </c>
      <c r="H20" s="9" t="n">
        <v>0.03225806451612903</v>
      </c>
      <c r="I20" s="9" t="n">
        <v>0.03763440860215054</v>
      </c>
      <c r="J20" s="9" t="n">
        <v>0.0456989247311828</v>
      </c>
      <c r="K20" s="9" t="n">
        <v>0.04838709677419355</v>
      </c>
      <c r="L20" s="9" t="n">
        <v>0.05241935483870968</v>
      </c>
      <c r="M20" s="9" t="n">
        <v>0.05913978494623656</v>
      </c>
      <c r="N20" s="9" t="n">
        <v>0.06451612903225806</v>
      </c>
      <c r="O20" s="9" t="n">
        <v>0.06989247311827956</v>
      </c>
      <c r="P20" s="13" t="n">
        <v>-0.0653537931038556</v>
      </c>
      <c r="Q20" s="14" t="n">
        <v>1.889694926977259</v>
      </c>
      <c r="R20" s="15" t="n">
        <v>12</v>
      </c>
      <c r="S20" s="9" t="n">
        <v>0.06989247311827956</v>
      </c>
      <c r="T20" s="13" t="n">
        <v>1</v>
      </c>
      <c r="U20" s="9" t="n">
        <v>0.06989247311827956</v>
      </c>
      <c r="V20" s="9" t="n"/>
      <c r="W20" s="9" t="n"/>
      <c r="X20" s="9" t="n"/>
      <c r="Y20" s="8" t="n">
        <v>744</v>
      </c>
      <c r="Z20" s="9" t="n">
        <v>0.07453495296956755</v>
      </c>
      <c r="AA20" s="9" t="n">
        <v>0.06989247311827956</v>
      </c>
      <c r="AB20" s="10">
        <f>IFERROR(D20/O20-1,"")</f>
        <v/>
      </c>
      <c r="AC20" s="10">
        <f>IFERROR(E20/O20-1,"")</f>
        <v/>
      </c>
      <c r="AD20" s="10">
        <f>IFERROR(E20/U20-1,"")</f>
        <v/>
      </c>
      <c r="AE20" s="10">
        <f>IFERROR(Z20/AA20-1,"")</f>
        <v/>
      </c>
    </row>
    <row r="21">
      <c r="A21" s="7" t="inlineStr">
        <is>
          <t>202407</t>
        </is>
      </c>
      <c r="B21" s="8" t="n">
        <v>947</v>
      </c>
      <c r="C21" s="9" t="n">
        <v>0.117535286168976</v>
      </c>
      <c r="D21" s="9" t="n">
        <v>0.1137599972142605</v>
      </c>
      <c r="E21" s="9" t="n">
        <v>0.07915558727324772</v>
      </c>
      <c r="F21" s="9" t="n">
        <v>0.006335797254487857</v>
      </c>
      <c r="G21" s="9" t="n">
        <v>0.02111932418162619</v>
      </c>
      <c r="H21" s="9" t="n">
        <v>0.03484688489968321</v>
      </c>
      <c r="I21" s="9" t="n">
        <v>0.03801478352692714</v>
      </c>
      <c r="J21" s="9" t="n">
        <v>0.04223864836325238</v>
      </c>
      <c r="K21" s="9" t="n">
        <v>0.04857444561774023</v>
      </c>
      <c r="L21" s="9" t="n">
        <v>0.06335797254487856</v>
      </c>
      <c r="M21" s="9" t="n">
        <v>0.07180570221752904</v>
      </c>
      <c r="N21" s="9" t="n">
        <v>0.08025343189017951</v>
      </c>
      <c r="O21" s="9" t="n">
        <v>0.0908130939809926</v>
      </c>
      <c r="P21" s="13" t="n">
        <v>-0.0704962472517633</v>
      </c>
      <c r="Q21" s="14" t="n">
        <v>1.772228978162538</v>
      </c>
      <c r="R21" s="15" t="n">
        <v>12</v>
      </c>
      <c r="S21" s="9" t="n">
        <v>0.0908130939809926</v>
      </c>
      <c r="T21" s="13" t="n">
        <v>1</v>
      </c>
      <c r="U21" s="9" t="n">
        <v>0.0908130939809926</v>
      </c>
      <c r="V21" s="9" t="n"/>
      <c r="W21" s="9" t="n"/>
      <c r="X21" s="9" t="n"/>
      <c r="Y21" s="8" t="n">
        <v>946</v>
      </c>
      <c r="Z21" s="9" t="n">
        <v>0.07922663377496748</v>
      </c>
      <c r="AA21" s="9" t="n">
        <v>0.09090909090909091</v>
      </c>
      <c r="AB21" s="10">
        <f>IFERROR(D21/O21-1,"")</f>
        <v/>
      </c>
      <c r="AC21" s="10">
        <f>IFERROR(E21/O21-1,"")</f>
        <v/>
      </c>
      <c r="AD21" s="10">
        <f>IFERROR(E21/U21-1,"")</f>
        <v/>
      </c>
      <c r="AE21" s="10">
        <f>IFERROR(Z21/AA21-1,"")</f>
        <v/>
      </c>
    </row>
    <row r="22">
      <c r="A22" s="7" t="inlineStr">
        <is>
          <t>202408</t>
        </is>
      </c>
      <c r="B22" s="8" t="n">
        <v>844</v>
      </c>
      <c r="C22" s="9" t="n">
        <v>0.1073953222695261</v>
      </c>
      <c r="D22" s="9" t="n">
        <v>0.1038276827254143</v>
      </c>
      <c r="E22" s="9" t="n">
        <v>0.06963869697283999</v>
      </c>
      <c r="F22" s="9" t="n">
        <v>0.004739336492890996</v>
      </c>
      <c r="G22" s="9" t="n">
        <v>0.01303317535545024</v>
      </c>
      <c r="H22" s="9" t="n">
        <v>0.02014218009478673</v>
      </c>
      <c r="I22" s="9" t="n">
        <v>0.02369668246445497</v>
      </c>
      <c r="J22" s="9" t="n">
        <v>0.02843601895734597</v>
      </c>
      <c r="K22" s="9" t="n">
        <v>0.03672985781990521</v>
      </c>
      <c r="L22" s="9" t="n">
        <v>0.0485781990521327</v>
      </c>
      <c r="M22" s="9" t="n">
        <v>0.0533175355450237</v>
      </c>
      <c r="N22" s="9" t="n">
        <v>0.06042654028436019</v>
      </c>
      <c r="O22" s="9" t="n">
        <v>0.06516587677725119</v>
      </c>
      <c r="P22" s="13" t="n">
        <v>-0.0744376341863873</v>
      </c>
      <c r="Q22" s="14" t="n">
        <v>1.68219827636038</v>
      </c>
      <c r="R22" s="15" t="n">
        <v>12</v>
      </c>
      <c r="S22" s="9" t="n">
        <v>0.06516587677725119</v>
      </c>
      <c r="T22" s="13" t="n">
        <v>1</v>
      </c>
      <c r="U22" s="9" t="n">
        <v>0.06516587677725119</v>
      </c>
      <c r="V22" s="9" t="n"/>
      <c r="W22" s="9" t="n"/>
      <c r="X22" s="9" t="n"/>
      <c r="Y22" s="8" t="n">
        <v>844</v>
      </c>
      <c r="Z22" s="9" t="n">
        <v>0.06963869697283999</v>
      </c>
      <c r="AA22" s="9" t="n">
        <v>0.06516587677725119</v>
      </c>
      <c r="AB22" s="10">
        <f>IFERROR(D22/O22-1,"")</f>
        <v/>
      </c>
      <c r="AC22" s="10">
        <f>IFERROR(E22/O22-1,"")</f>
        <v/>
      </c>
      <c r="AD22" s="10">
        <f>IFERROR(E22/U22-1,"")</f>
        <v/>
      </c>
      <c r="AE22" s="10">
        <f>IFERROR(Z22/AA22-1,"")</f>
        <v/>
      </c>
    </row>
    <row r="23">
      <c r="A23" s="7" t="inlineStr">
        <is>
          <t>202409</t>
        </is>
      </c>
      <c r="B23" s="8" t="n">
        <v>1109</v>
      </c>
      <c r="C23" s="9" t="n">
        <v>0.1093251196192233</v>
      </c>
      <c r="D23" s="9" t="n">
        <v>0.105636329160847</v>
      </c>
      <c r="E23" s="9" t="n">
        <v>0.06991967922139565</v>
      </c>
      <c r="F23" s="9" t="n">
        <v>0.007213706041478809</v>
      </c>
      <c r="G23" s="9" t="n">
        <v>0.01352569882777277</v>
      </c>
      <c r="H23" s="9" t="n">
        <v>0.02705139765554554</v>
      </c>
      <c r="I23" s="9" t="n">
        <v>0.0369702434625789</v>
      </c>
      <c r="J23" s="9" t="n">
        <v>0.04238052299368801</v>
      </c>
      <c r="K23" s="9" t="n">
        <v>0.04869251577998197</v>
      </c>
      <c r="L23" s="9" t="n">
        <v>0.05590622182146077</v>
      </c>
      <c r="M23" s="9" t="n">
        <v>0.05590622182146077</v>
      </c>
      <c r="N23" s="9" t="n">
        <v>0.06131650135256989</v>
      </c>
      <c r="O23" s="9" t="n">
        <v>0.06582506762849413</v>
      </c>
      <c r="P23" s="13" t="n">
        <v>-0.0828464630159074</v>
      </c>
      <c r="Q23" s="14" t="n">
        <v>1.490120519618099</v>
      </c>
      <c r="R23" s="15" t="n">
        <v>12</v>
      </c>
      <c r="S23" s="9" t="n">
        <v>0.06582506762849413</v>
      </c>
      <c r="T23" s="13" t="n">
        <v>1</v>
      </c>
      <c r="U23" s="9" t="n">
        <v>0.06582506762849413</v>
      </c>
      <c r="V23" s="9" t="n"/>
      <c r="W23" s="9" t="n"/>
      <c r="X23" s="9" t="n"/>
      <c r="Y23" s="8" t="n">
        <v>1109</v>
      </c>
      <c r="Z23" s="9" t="n">
        <v>0.06991967922139565</v>
      </c>
      <c r="AA23" s="9" t="n">
        <v>0.06582506762849413</v>
      </c>
      <c r="AB23" s="10">
        <f>IFERROR(D23/O23-1,"")</f>
        <v/>
      </c>
      <c r="AC23" s="10">
        <f>IFERROR(E23/O23-1,"")</f>
        <v/>
      </c>
      <c r="AD23" s="10">
        <f>IFERROR(E23/U23-1,"")</f>
        <v/>
      </c>
      <c r="AE23" s="10">
        <f>IFERROR(Z23/AA23-1,"")</f>
        <v/>
      </c>
    </row>
    <row r="24">
      <c r="A24" s="7" t="inlineStr">
        <is>
          <t>202410</t>
        </is>
      </c>
      <c r="B24" s="8" t="n">
        <v>1060</v>
      </c>
      <c r="C24" s="9" t="n">
        <v>0.1000325293034175</v>
      </c>
      <c r="D24" s="9" t="n">
        <v>0.1002264710810949</v>
      </c>
      <c r="E24" s="9" t="n">
        <v>0.06266629847313697</v>
      </c>
      <c r="F24" s="9" t="n">
        <v>0.002830188679245283</v>
      </c>
      <c r="G24" s="9" t="n">
        <v>0.01320754716981132</v>
      </c>
      <c r="H24" s="9" t="n">
        <v>0.02452830188679245</v>
      </c>
      <c r="I24" s="9" t="n">
        <v>0.03113207547169811</v>
      </c>
      <c r="J24" s="9" t="n">
        <v>0.04056603773584905</v>
      </c>
      <c r="K24" s="9" t="n">
        <v>0.04433962264150943</v>
      </c>
      <c r="L24" s="9" t="n">
        <v>0.04811320754716981</v>
      </c>
      <c r="M24" s="9" t="n">
        <v>0.05754716981132076</v>
      </c>
      <c r="N24" s="9" t="n">
        <v>0.06509433962264151</v>
      </c>
      <c r="O24" s="9" t="n">
        <v>0.06981132075471698</v>
      </c>
      <c r="P24" s="13" t="n">
        <v>-0.0724218660345015</v>
      </c>
      <c r="Q24" s="14" t="n">
        <v>1.728243240834804</v>
      </c>
      <c r="R24" s="15" t="n">
        <v>12</v>
      </c>
      <c r="S24" s="9" t="n">
        <v>0.06981132075471698</v>
      </c>
      <c r="T24" s="13" t="n">
        <v>1</v>
      </c>
      <c r="U24" s="9" t="n">
        <v>0.06981132075471698</v>
      </c>
      <c r="V24" s="9" t="n"/>
      <c r="W24" s="9" t="n"/>
      <c r="X24" s="9" t="n"/>
      <c r="Y24" s="8" t="n">
        <v>1060</v>
      </c>
      <c r="Z24" s="9" t="n">
        <v>0.06266629847313697</v>
      </c>
      <c r="AA24" s="9" t="n">
        <v>0.06981132075471698</v>
      </c>
      <c r="AB24" s="10">
        <f>IFERROR(D24/O24-1,"")</f>
        <v/>
      </c>
      <c r="AC24" s="10">
        <f>IFERROR(E24/O24-1,"")</f>
        <v/>
      </c>
      <c r="AD24" s="10">
        <f>IFERROR(E24/U24-1,"")</f>
        <v/>
      </c>
      <c r="AE24" s="10">
        <f>IFERROR(Z24/AA24-1,"")</f>
        <v/>
      </c>
    </row>
    <row r="25">
      <c r="A25" s="7" t="inlineStr">
        <is>
          <t>202411</t>
        </is>
      </c>
      <c r="B25" s="8" t="n">
        <v>704</v>
      </c>
      <c r="C25" s="9" t="n">
        <v>0.0856418386379532</v>
      </c>
      <c r="D25" s="9" t="n">
        <v>0.08570752511150204</v>
      </c>
      <c r="E25" s="9" t="n">
        <v>0.05187175077412158</v>
      </c>
      <c r="F25" s="9" t="n">
        <v>0</v>
      </c>
      <c r="G25" s="9" t="n">
        <v>0.01278409090909091</v>
      </c>
      <c r="H25" s="9" t="n">
        <v>0.02698863636363636</v>
      </c>
      <c r="I25" s="9" t="n">
        <v>0.03125</v>
      </c>
      <c r="J25" s="9" t="n">
        <v>0.03977272727272727</v>
      </c>
      <c r="K25" s="9" t="n">
        <v>0.04403409090909091</v>
      </c>
      <c r="L25" s="9" t="n">
        <v>0.05397727272727273</v>
      </c>
      <c r="M25" s="9" t="n">
        <v>0.05965909090909091</v>
      </c>
      <c r="N25" s="9" t="n">
        <v>0.06392045454545454</v>
      </c>
      <c r="O25" s="9" t="n">
        <v>0.06818181818181818</v>
      </c>
      <c r="P25" s="13" t="n">
        <v>-0.0580535033556161</v>
      </c>
      <c r="Q25" s="14" t="n">
        <v>2.056451000485126</v>
      </c>
      <c r="R25" s="15" t="n">
        <v>12</v>
      </c>
      <c r="S25" s="9" t="n">
        <v>0.06818181818181818</v>
      </c>
      <c r="T25" s="13" t="n">
        <v>1</v>
      </c>
      <c r="U25" s="9" t="n">
        <v>0.06818181818181818</v>
      </c>
      <c r="V25" s="9" t="n"/>
      <c r="W25" s="9" t="n"/>
      <c r="X25" s="9" t="n"/>
      <c r="Y25" s="8" t="n">
        <v>704</v>
      </c>
      <c r="Z25" s="9" t="n">
        <v>0.05187175077412158</v>
      </c>
      <c r="AA25" s="9" t="n">
        <v>0.06818181818181818</v>
      </c>
      <c r="AB25" s="10">
        <f>IFERROR(D25/O25-1,"")</f>
        <v/>
      </c>
      <c r="AC25" s="10">
        <f>IFERROR(E25/O25-1,"")</f>
        <v/>
      </c>
      <c r="AD25" s="10">
        <f>IFERROR(E25/U25-1,"")</f>
        <v/>
      </c>
      <c r="AE25" s="10">
        <f>IFERROR(Z25/AA25-1,"")</f>
        <v/>
      </c>
    </row>
    <row r="26">
      <c r="A26" s="7" t="inlineStr">
        <is>
          <t>202412</t>
        </is>
      </c>
      <c r="B26" s="8" t="n">
        <v>664</v>
      </c>
      <c r="C26" s="9" t="n">
        <v>0.0795097283342943</v>
      </c>
      <c r="D26" s="9" t="n">
        <v>0.07957948233612465</v>
      </c>
      <c r="E26" s="9" t="n">
        <v>0.04619153923240755</v>
      </c>
      <c r="F26" s="9" t="n">
        <v>0.006024096385542169</v>
      </c>
      <c r="G26" s="9" t="n">
        <v>0.01807228915662651</v>
      </c>
      <c r="H26" s="9" t="n">
        <v>0.01957831325301205</v>
      </c>
      <c r="I26" s="9" t="n">
        <v>0.02560240963855422</v>
      </c>
      <c r="J26" s="9" t="n">
        <v>0.03162650602409638</v>
      </c>
      <c r="K26" s="9" t="n">
        <v>0.03765060240963856</v>
      </c>
      <c r="L26" s="9" t="n">
        <v>0.04066265060240964</v>
      </c>
      <c r="M26" s="9" t="n">
        <v>0.04367469879518072</v>
      </c>
      <c r="N26" s="9" t="n">
        <v>0.0466867469879518</v>
      </c>
      <c r="O26" s="9" t="n">
        <v>0.0466867469879518</v>
      </c>
      <c r="P26" s="13" t="n">
        <v>-0.0650299149850779</v>
      </c>
      <c r="Q26" s="14" t="n">
        <v>1.897093077632239</v>
      </c>
      <c r="R26" s="15" t="n">
        <v>12</v>
      </c>
      <c r="S26" s="9" t="n">
        <v>0.0466867469879518</v>
      </c>
      <c r="T26" s="13" t="n">
        <v>1</v>
      </c>
      <c r="U26" s="9" t="n">
        <v>0.0466867469879518</v>
      </c>
      <c r="V26" s="9" t="n"/>
      <c r="W26" s="9" t="n"/>
      <c r="X26" s="9" t="n"/>
      <c r="Y26" s="8" t="n">
        <v>664</v>
      </c>
      <c r="Z26" s="9" t="n">
        <v>0.04619153923240755</v>
      </c>
      <c r="AA26" s="9" t="n">
        <v>0.0466867469879518</v>
      </c>
      <c r="AB26" s="10">
        <f>IFERROR(D26/O26-1,"")</f>
        <v/>
      </c>
      <c r="AC26" s="10">
        <f>IFERROR(E26/O26-1,"")</f>
        <v/>
      </c>
      <c r="AD26" s="10">
        <f>IFERROR(E26/U26-1,"")</f>
        <v/>
      </c>
      <c r="AE26" s="10">
        <f>IFERROR(Z26/AA26-1,"")</f>
        <v/>
      </c>
    </row>
    <row r="27">
      <c r="A27" s="7" t="inlineStr">
        <is>
          <t>202501</t>
        </is>
      </c>
      <c r="B27" s="8" t="n">
        <v>871</v>
      </c>
      <c r="C27" s="9" t="n">
        <v>0.08195888674064153</v>
      </c>
      <c r="D27" s="9" t="n">
        <v>0.08184557660118208</v>
      </c>
      <c r="E27" s="9" t="n">
        <v>0.04785984846445816</v>
      </c>
      <c r="F27" s="9" t="n">
        <v>0.004592422502870264</v>
      </c>
      <c r="G27" s="9" t="n">
        <v>0.01148105625717566</v>
      </c>
      <c r="H27" s="9" t="n">
        <v>0.01951779563719862</v>
      </c>
      <c r="I27" s="9" t="n">
        <v>0.02525832376578645</v>
      </c>
      <c r="J27" s="9" t="n">
        <v>0.02985074626865672</v>
      </c>
      <c r="K27" s="9" t="n">
        <v>0.03444316877152698</v>
      </c>
      <c r="L27" s="9" t="n">
        <v>0.03903559127439724</v>
      </c>
      <c r="M27" s="9" t="n">
        <v>0.04018369690011481</v>
      </c>
      <c r="N27" s="9" t="n">
        <v>0.04133180252583238</v>
      </c>
      <c r="O27" s="9" t="n">
        <v>0.04362801377726751</v>
      </c>
      <c r="P27" s="13" t="n">
        <v>-0.0692773689503683</v>
      </c>
      <c r="Q27" s="14" t="n">
        <v>1.800071073015497</v>
      </c>
      <c r="R27" s="15" t="n">
        <v>12</v>
      </c>
      <c r="S27" s="9" t="n">
        <v>0.04362801377726751</v>
      </c>
      <c r="T27" s="13" t="n">
        <v>1</v>
      </c>
      <c r="U27" s="9" t="n">
        <v>0.04362801377726751</v>
      </c>
      <c r="V27" s="9" t="n"/>
      <c r="W27" s="9" t="n"/>
      <c r="X27" s="9" t="n"/>
      <c r="Y27" s="8" t="n">
        <v>871</v>
      </c>
      <c r="Z27" s="9" t="n">
        <v>0.04785984846445816</v>
      </c>
      <c r="AA27" s="9" t="n">
        <v>0.04362801377726751</v>
      </c>
      <c r="AB27" s="10">
        <f>IFERROR(D27/O27-1,"")</f>
        <v/>
      </c>
      <c r="AC27" s="10">
        <f>IFERROR(E27/O27-1,"")</f>
        <v/>
      </c>
      <c r="AD27" s="10">
        <f>IFERROR(E27/U27-1,"")</f>
        <v/>
      </c>
      <c r="AE27" s="10">
        <f>IFERROR(Z27/AA27-1,"")</f>
        <v/>
      </c>
    </row>
    <row r="28">
      <c r="A28" s="7" t="inlineStr">
        <is>
          <t>202502</t>
        </is>
      </c>
      <c r="B28" s="8" t="n">
        <v>800</v>
      </c>
      <c r="C28" s="9" t="n">
        <v>0.08089650645270012</v>
      </c>
      <c r="D28" s="9" t="n">
        <v>0.08096686853910796</v>
      </c>
      <c r="E28" s="9" t="n">
        <v>0.04562908854615202</v>
      </c>
      <c r="F28" s="9" t="n">
        <v>0.0025</v>
      </c>
      <c r="G28" s="9" t="n">
        <v>0.01</v>
      </c>
      <c r="H28" s="9" t="n">
        <v>0.015</v>
      </c>
      <c r="I28" s="9" t="n">
        <v>0.02</v>
      </c>
      <c r="J28" s="9" t="n">
        <v>0.02125</v>
      </c>
      <c r="K28" s="9" t="n">
        <v>0.025</v>
      </c>
      <c r="L28" s="9" t="n">
        <v>0.03125</v>
      </c>
      <c r="M28" s="9" t="n">
        <v>0.04</v>
      </c>
      <c r="N28" s="9" t="n">
        <v>0.0475</v>
      </c>
      <c r="O28" s="9" t="n">
        <v>0.05375</v>
      </c>
      <c r="P28" s="13" t="n">
        <v>-0.0821028391221693</v>
      </c>
      <c r="Q28" s="14" t="n">
        <v>1.507106667423574</v>
      </c>
      <c r="R28" s="15" t="n">
        <v>12</v>
      </c>
      <c r="S28" s="9" t="n">
        <v>0.05375</v>
      </c>
      <c r="T28" s="13" t="n">
        <v>1</v>
      </c>
      <c r="U28" s="9" t="n">
        <v>0.05375</v>
      </c>
      <c r="V28" s="9" t="n"/>
      <c r="W28" s="9" t="n"/>
      <c r="X28" s="9" t="n"/>
      <c r="Y28" s="8" t="n">
        <v>800</v>
      </c>
      <c r="Z28" s="9" t="n">
        <v>0.04562908854615202</v>
      </c>
      <c r="AA28" s="9" t="n">
        <v>0.05375</v>
      </c>
      <c r="AB28" s="10">
        <f>IFERROR(D28/O28-1,"")</f>
        <v/>
      </c>
      <c r="AC28" s="10">
        <f>IFERROR(E28/O28-1,"")</f>
        <v/>
      </c>
      <c r="AD28" s="10">
        <f>IFERROR(E28/U28-1,"")</f>
        <v/>
      </c>
      <c r="AE28" s="10">
        <f>IFERROR(Z28/AA28-1,"")</f>
        <v/>
      </c>
    </row>
    <row r="29">
      <c r="A29" s="7" t="inlineStr">
        <is>
          <t>202503</t>
        </is>
      </c>
      <c r="B29" s="8" t="n">
        <v>674</v>
      </c>
      <c r="C29" s="9" t="n">
        <v>0.08212846251154865</v>
      </c>
      <c r="D29" s="9" t="n">
        <v>0.07805646359588873</v>
      </c>
      <c r="E29" s="9" t="n">
        <v>0.04625615395949349</v>
      </c>
      <c r="F29" s="9" t="n">
        <v>0.001483679525222552</v>
      </c>
      <c r="G29" s="9" t="n">
        <v>0.01038575667655786</v>
      </c>
      <c r="H29" s="9" t="n">
        <v>0.01483679525222552</v>
      </c>
      <c r="I29" s="9" t="n">
        <v>0.02077151335311573</v>
      </c>
      <c r="J29" s="9" t="n">
        <v>0.02225519287833828</v>
      </c>
      <c r="K29" s="9" t="n">
        <v>0.02670623145400593</v>
      </c>
      <c r="L29" s="9" t="n">
        <v>0.03115727002967359</v>
      </c>
      <c r="M29" s="9" t="n">
        <v>0.03412462908011869</v>
      </c>
      <c r="N29" s="9" t="n">
        <v>0.04154302670623145</v>
      </c>
      <c r="O29" s="9" t="n">
        <v>0.04451038575667656</v>
      </c>
      <c r="P29" s="13" t="n">
        <v>-0.0901403058799683</v>
      </c>
      <c r="Q29" s="14" t="n">
        <v>1.323511708359959</v>
      </c>
      <c r="R29" s="15" t="n">
        <v>12</v>
      </c>
      <c r="S29" s="9" t="n">
        <v>0.04451038575667656</v>
      </c>
      <c r="T29" s="13" t="n">
        <v>1</v>
      </c>
      <c r="U29" s="9" t="n">
        <v>0.04451038575667656</v>
      </c>
      <c r="V29" s="9" t="n"/>
      <c r="W29" s="9" t="n"/>
      <c r="X29" s="9" t="n"/>
      <c r="Y29" s="8" t="n">
        <v>674</v>
      </c>
      <c r="Z29" s="9" t="n">
        <v>0.04625615395949349</v>
      </c>
      <c r="AA29" s="9" t="n">
        <v>0.04451038575667656</v>
      </c>
      <c r="AB29" s="10">
        <f>IFERROR(D29/O29-1,"")</f>
        <v/>
      </c>
      <c r="AC29" s="10">
        <f>IFERROR(E29/O29-1,"")</f>
        <v/>
      </c>
      <c r="AD29" s="10">
        <f>IFERROR(E29/U29-1,"")</f>
        <v/>
      </c>
      <c r="AE29" s="10">
        <f>IFERROR(Z29/AA29-1,"")</f>
        <v/>
      </c>
    </row>
    <row r="30">
      <c r="A30" s="7" t="inlineStr">
        <is>
          <t>202504</t>
        </is>
      </c>
      <c r="B30" s="8" t="n">
        <v>610</v>
      </c>
      <c r="C30" s="9" t="n">
        <v>0.08049821128122142</v>
      </c>
      <c r="D30" s="9" t="n">
        <v>0.07654571139910182</v>
      </c>
      <c r="E30" s="9" t="n">
        <v>0.04589616233881969</v>
      </c>
      <c r="F30" s="9" t="n">
        <v>0</v>
      </c>
      <c r="G30" s="9" t="n">
        <v>0.003278688524590164</v>
      </c>
      <c r="H30" s="9" t="n">
        <v>0.003278688524590164</v>
      </c>
      <c r="I30" s="9" t="n">
        <v>0.006557377049180328</v>
      </c>
      <c r="J30" s="9" t="n">
        <v>0.00819672131147541</v>
      </c>
      <c r="K30" s="9" t="n">
        <v>0.01475409836065574</v>
      </c>
      <c r="L30" s="9" t="n">
        <v>0.01967213114754099</v>
      </c>
      <c r="M30" s="9" t="n">
        <v>0.02950819672131148</v>
      </c>
      <c r="N30" s="9" t="n">
        <v>0.03114754098360656</v>
      </c>
      <c r="O30" s="9" t="n">
        <v>0.03606557377049181</v>
      </c>
      <c r="P30" s="13" t="n">
        <v>-0.0763210869948466</v>
      </c>
      <c r="Q30" s="14" t="n">
        <v>1.639175710707863</v>
      </c>
      <c r="R30" s="15" t="n">
        <v>12</v>
      </c>
      <c r="S30" s="9" t="n">
        <v>0.03606557377049181</v>
      </c>
      <c r="T30" s="13" t="n">
        <v>1</v>
      </c>
      <c r="U30" s="9" t="n">
        <v>0.03606557377049181</v>
      </c>
      <c r="V30" s="9" t="n"/>
      <c r="W30" s="9" t="n"/>
      <c r="X30" s="9" t="n"/>
      <c r="Y30" s="8" t="n">
        <v>610</v>
      </c>
      <c r="Z30" s="9" t="n">
        <v>0.04589616233881969</v>
      </c>
      <c r="AA30" s="9" t="n">
        <v>0.03606557377049181</v>
      </c>
      <c r="AB30" s="10">
        <f>IFERROR(D30/O30-1,"")</f>
        <v/>
      </c>
      <c r="AC30" s="10">
        <f>IFERROR(E30/O30-1,"")</f>
        <v/>
      </c>
      <c r="AD30" s="10">
        <f>IFERROR(E30/U30-1,"")</f>
        <v/>
      </c>
      <c r="AE30" s="10">
        <f>IFERROR(Z30/AA30-1,"")</f>
        <v/>
      </c>
    </row>
    <row r="31">
      <c r="A31" s="7" t="inlineStr">
        <is>
          <t>202505</t>
        </is>
      </c>
      <c r="B31" s="8" t="n">
        <v>607</v>
      </c>
      <c r="C31" s="9" t="n">
        <v>0.08519037750808912</v>
      </c>
      <c r="D31" s="9" t="n">
        <v>0.08108754627578439</v>
      </c>
      <c r="E31" s="9" t="n">
        <v>0.05015784606507042</v>
      </c>
      <c r="F31" s="9" t="n">
        <v>0.003294892915980231</v>
      </c>
      <c r="G31" s="9" t="n">
        <v>0.006589785831960461</v>
      </c>
      <c r="H31" s="9" t="n">
        <v>0.009884678747940691</v>
      </c>
      <c r="I31" s="9" t="n">
        <v>0.01647446457990115</v>
      </c>
      <c r="J31" s="9" t="n">
        <v>0.02471169686985173</v>
      </c>
      <c r="K31" s="9" t="n">
        <v>0.02800658978583196</v>
      </c>
      <c r="L31" s="9" t="n">
        <v>0.03130148270181219</v>
      </c>
      <c r="M31" s="9" t="n">
        <v>0.03624382207578253</v>
      </c>
      <c r="N31" s="9" t="n">
        <v>0.04448105436573312</v>
      </c>
      <c r="O31" s="9" t="n">
        <v>0.04942339373970346</v>
      </c>
      <c r="P31" s="13" t="n">
        <v>-0.0729545842663733</v>
      </c>
      <c r="Q31" s="14" t="n">
        <v>1.716074682641011</v>
      </c>
      <c r="R31" s="15" t="n">
        <v>12</v>
      </c>
      <c r="S31" s="9" t="n">
        <v>0.04942339373970346</v>
      </c>
      <c r="T31" s="13" t="n">
        <v>1</v>
      </c>
      <c r="U31" s="9" t="n">
        <v>0.04942339373970346</v>
      </c>
      <c r="V31" s="9" t="n"/>
      <c r="W31" s="9" t="n"/>
      <c r="X31" s="9" t="n"/>
      <c r="Y31" s="8" t="n">
        <v>607</v>
      </c>
      <c r="Z31" s="9" t="n">
        <v>0.05015784606507042</v>
      </c>
      <c r="AA31" s="9" t="n">
        <v>0.04942339373970346</v>
      </c>
      <c r="AB31" s="10">
        <f>IFERROR(D31/O31-1,"")</f>
        <v/>
      </c>
      <c r="AC31" s="10">
        <f>IFERROR(E31/O31-1,"")</f>
        <v/>
      </c>
      <c r="AD31" s="10">
        <f>IFERROR(E31/U31-1,"")</f>
        <v/>
      </c>
      <c r="AE31" s="10">
        <f>IFERROR(Z31/AA31-1,"")</f>
        <v/>
      </c>
    </row>
    <row r="32">
      <c r="A32" s="7" t="inlineStr">
        <is>
          <t>202506</t>
        </is>
      </c>
      <c r="B32" s="8" t="n">
        <v>631</v>
      </c>
      <c r="C32" s="9" t="n">
        <v>0.08196784309428864</v>
      </c>
      <c r="D32" s="9" t="n">
        <v>0.07822899243509523</v>
      </c>
      <c r="E32" s="9" t="n">
        <v>0.04737280203596616</v>
      </c>
      <c r="F32" s="9" t="n">
        <v>0.006339144215530904</v>
      </c>
      <c r="G32" s="9" t="n">
        <v>0.01267828843106181</v>
      </c>
      <c r="H32" s="9" t="n">
        <v>0.02218700475435816</v>
      </c>
      <c r="I32" s="9" t="n">
        <v>0.02694136291600634</v>
      </c>
      <c r="J32" s="9" t="n">
        <v>0.03486529318541997</v>
      </c>
      <c r="K32" s="9" t="n">
        <v>0.04437400950871632</v>
      </c>
      <c r="L32" s="9" t="n">
        <v>0.04595879556259905</v>
      </c>
      <c r="M32" s="9" t="n">
        <v>0.05071315372424723</v>
      </c>
      <c r="N32" s="9" t="n">
        <v>0.05388272583201268</v>
      </c>
      <c r="O32" s="9" t="n">
        <v>0.0554675118858954</v>
      </c>
      <c r="P32" s="13" t="n">
        <v>-0.07376569476056211</v>
      </c>
      <c r="Q32" s="14" t="n">
        <v>1.69754697951463</v>
      </c>
      <c r="R32" s="15" t="n">
        <v>12</v>
      </c>
      <c r="S32" s="9" t="n">
        <v>0.0554675118858954</v>
      </c>
      <c r="T32" s="13" t="n">
        <v>1</v>
      </c>
      <c r="U32" s="9" t="n">
        <v>0.0554675118858954</v>
      </c>
      <c r="V32" s="9" t="n"/>
      <c r="W32" s="9" t="n"/>
      <c r="X32" s="9" t="n"/>
      <c r="Y32" s="8" t="n">
        <v>631</v>
      </c>
      <c r="Z32" s="9" t="n">
        <v>0.04737280203596616</v>
      </c>
      <c r="AA32" s="9" t="n">
        <v>0.0554675118858954</v>
      </c>
      <c r="AB32" s="10">
        <f>IFERROR(D32/O32-1,"")</f>
        <v/>
      </c>
      <c r="AC32" s="10">
        <f>IFERROR(E32/O32-1,"")</f>
        <v/>
      </c>
      <c r="AD32" s="10">
        <f>IFERROR(E32/U32-1,"")</f>
        <v/>
      </c>
      <c r="AE32" s="10">
        <f>IFERROR(Z32/AA32-1,"")</f>
        <v/>
      </c>
    </row>
    <row r="33">
      <c r="A33" s="7" t="inlineStr">
        <is>
          <t>202507</t>
        </is>
      </c>
      <c r="B33" s="8" t="n">
        <v>769</v>
      </c>
      <c r="C33" s="9" t="n">
        <v>0.08975188745614456</v>
      </c>
      <c r="D33" s="9" t="n">
        <v>0.08579204071395496</v>
      </c>
      <c r="E33" s="9" t="n">
        <v>0.05350790438565774</v>
      </c>
      <c r="F33" s="9" t="n">
        <v>0.005201560468140442</v>
      </c>
      <c r="G33" s="9" t="n">
        <v>0.01430429128738622</v>
      </c>
      <c r="H33" s="9" t="n">
        <v>0.0247074122236671</v>
      </c>
      <c r="I33" s="9" t="n">
        <v>0.02730819245773732</v>
      </c>
      <c r="J33" s="9" t="n">
        <v>0.03511053315994798</v>
      </c>
      <c r="K33" s="9" t="n">
        <v>0.03901170351105332</v>
      </c>
      <c r="L33" s="9" t="n">
        <v>0.04681404421326398</v>
      </c>
      <c r="M33" s="9" t="n">
        <v>0.05591677503250975</v>
      </c>
      <c r="N33" s="9" t="n">
        <v>0.05591677503250975</v>
      </c>
      <c r="O33" s="9" t="n"/>
      <c r="P33" s="13" t="n">
        <v>-0.0736408959148164</v>
      </c>
      <c r="Q33" s="14" t="n">
        <v>1.700397683556876</v>
      </c>
      <c r="R33" s="15" t="n">
        <v>11</v>
      </c>
      <c r="S33" s="9" t="n">
        <v>0.05591677503250975</v>
      </c>
      <c r="T33" s="13" t="n">
        <v>1.083046471600688</v>
      </c>
      <c r="U33" s="9" t="n">
        <v>0.06056046590224916</v>
      </c>
      <c r="V33" s="9" t="n">
        <v>0.05948923565958677</v>
      </c>
      <c r="W33" s="9" t="n">
        <v>0.06041204518218211</v>
      </c>
      <c r="X33" s="9" t="n">
        <v>0.06220199393151279</v>
      </c>
      <c r="Y33" s="8" t="n">
        <v>769</v>
      </c>
      <c r="Z33" s="9" t="n">
        <v>0.05350790438565774</v>
      </c>
      <c r="AA33" s="9" t="n"/>
      <c r="AB33" s="10">
        <f>IFERROR(D33/O33-1,"")</f>
        <v/>
      </c>
      <c r="AC33" s="10">
        <f>IFERROR(E33/O33-1,"")</f>
        <v/>
      </c>
      <c r="AD33" s="10">
        <f>IFERROR(E33/U33-1,"")</f>
        <v/>
      </c>
      <c r="AE33" s="10">
        <f>IFERROR(Z33/AA33-1,"")</f>
        <v/>
      </c>
    </row>
    <row r="34">
      <c r="A34" s="7" t="inlineStr">
        <is>
          <t>202508</t>
        </is>
      </c>
      <c r="B34" s="8" t="n">
        <v>709</v>
      </c>
      <c r="C34" s="9" t="n">
        <v>0.08866579909329481</v>
      </c>
      <c r="D34" s="9" t="n">
        <v>0.0845202421756364</v>
      </c>
      <c r="E34" s="9" t="n">
        <v>0.05178036965925778</v>
      </c>
      <c r="F34" s="9" t="n">
        <v>0.002820874471086037</v>
      </c>
      <c r="G34" s="9" t="n">
        <v>0.01269393511988716</v>
      </c>
      <c r="H34" s="9" t="n">
        <v>0.0155148095909732</v>
      </c>
      <c r="I34" s="9" t="n">
        <v>0.02115655853314527</v>
      </c>
      <c r="J34" s="9" t="n">
        <v>0.02538787023977433</v>
      </c>
      <c r="K34" s="9" t="n">
        <v>0.02961918194640338</v>
      </c>
      <c r="L34" s="9" t="n">
        <v>0.03667136812411848</v>
      </c>
      <c r="M34" s="9" t="n">
        <v>0.0380818053596615</v>
      </c>
      <c r="N34" s="9" t="n"/>
      <c r="O34" s="9" t="n"/>
      <c r="P34" s="13" t="n">
        <v>-0.1003314429254493</v>
      </c>
      <c r="Q34" s="14" t="n">
        <v>1.090721770303759</v>
      </c>
      <c r="R34" s="15" t="n">
        <v>10</v>
      </c>
      <c r="S34" s="9" t="n">
        <v>0.0380818053596615</v>
      </c>
      <c r="T34" s="13" t="n">
        <v>1.190070921985816</v>
      </c>
      <c r="U34" s="9" t="n">
        <v>0.04532004921525674</v>
      </c>
      <c r="V34" s="9" t="n">
        <v>0.04454487598472601</v>
      </c>
      <c r="W34" s="9" t="n">
        <v>0.04544394066330078</v>
      </c>
      <c r="X34" s="9" t="n">
        <v>0.04695261237505366</v>
      </c>
      <c r="Y34" s="8" t="n">
        <v>709</v>
      </c>
      <c r="Z34" s="9" t="n">
        <v>0.05178036965925778</v>
      </c>
      <c r="AA34" s="9" t="n"/>
      <c r="AB34" s="10">
        <f>IFERROR(D34/O34-1,"")</f>
        <v/>
      </c>
      <c r="AC34" s="10">
        <f>IFERROR(E34/O34-1,"")</f>
        <v/>
      </c>
      <c r="AD34" s="10">
        <f>IFERROR(E34/U34-1,"")</f>
        <v/>
      </c>
      <c r="AE34" s="10">
        <f>IFERROR(Z34/AA34-1,"")</f>
        <v/>
      </c>
    </row>
    <row r="35">
      <c r="A35" s="7" t="inlineStr">
        <is>
          <t>202509</t>
        </is>
      </c>
      <c r="B35" s="8" t="n">
        <v>752</v>
      </c>
      <c r="C35" s="9" t="n">
        <v>0.08950048807929172</v>
      </c>
      <c r="D35" s="9" t="n">
        <v>0.08521706387128165</v>
      </c>
      <c r="E35" s="9" t="n">
        <v>0.05291159420782743</v>
      </c>
      <c r="F35" s="9" t="n">
        <v>0.006648936170212766</v>
      </c>
      <c r="G35" s="9" t="n">
        <v>0.01063829787234043</v>
      </c>
      <c r="H35" s="9" t="n">
        <v>0.01728723404255319</v>
      </c>
      <c r="I35" s="9" t="n">
        <v>0.02127659574468085</v>
      </c>
      <c r="J35" s="9" t="n">
        <v>0.02260638297872341</v>
      </c>
      <c r="K35" s="9" t="n">
        <v>0.02393617021276596</v>
      </c>
      <c r="L35" s="9" t="n">
        <v>0.02393617021276596</v>
      </c>
      <c r="M35" s="9" t="n"/>
      <c r="N35" s="9" t="n"/>
      <c r="O35" s="9" t="n"/>
      <c r="P35" s="13" t="n">
        <v>-0.0943381636827425</v>
      </c>
      <c r="Q35" s="14" t="n">
        <v>1.227622598684031</v>
      </c>
      <c r="R35" s="15" t="n">
        <v>9</v>
      </c>
      <c r="S35" s="9" t="n">
        <v>0.02393617021276596</v>
      </c>
      <c r="T35" s="13" t="n">
        <v>1.345269909139498</v>
      </c>
      <c r="U35" s="9" t="n">
        <v>0.03220060952727521</v>
      </c>
      <c r="V35" s="9" t="n">
        <v>0.03089938776658249</v>
      </c>
      <c r="W35" s="9" t="n">
        <v>0.03209198235599377</v>
      </c>
      <c r="X35" s="9" t="n">
        <v>0.03422302431610942</v>
      </c>
      <c r="Y35" s="8" t="n">
        <v>752</v>
      </c>
      <c r="Z35" s="9" t="n">
        <v>0.05291159420782743</v>
      </c>
      <c r="AA35" s="9" t="n"/>
      <c r="AB35" s="10">
        <f>IFERROR(D35/O35-1,"")</f>
        <v/>
      </c>
      <c r="AC35" s="10">
        <f>IFERROR(E35/O35-1,"")</f>
        <v/>
      </c>
      <c r="AD35" s="10">
        <f>IFERROR(E35/U35-1,"")</f>
        <v/>
      </c>
      <c r="AE35" s="10">
        <f>IFERROR(Z35/AA35-1,"")</f>
        <v/>
      </c>
    </row>
    <row r="36">
      <c r="A36" s="7" t="inlineStr">
        <is>
          <t>202510</t>
        </is>
      </c>
      <c r="B36" s="8" t="n">
        <v>795</v>
      </c>
      <c r="C36" s="9" t="n">
        <v>0.08444010596370922</v>
      </c>
      <c r="D36" s="9" t="n">
        <v>0.08046416517159662</v>
      </c>
      <c r="E36" s="9" t="n">
        <v>0.04829478577370858</v>
      </c>
      <c r="F36" s="9" t="n">
        <v>0.001257861635220126</v>
      </c>
      <c r="G36" s="9" t="n">
        <v>0.01132075471698113</v>
      </c>
      <c r="H36" s="9" t="n">
        <v>0.01886792452830189</v>
      </c>
      <c r="I36" s="9" t="n">
        <v>0.02264150943396226</v>
      </c>
      <c r="J36" s="9" t="n">
        <v>0.02641509433962264</v>
      </c>
      <c r="K36" s="9" t="n">
        <v>0.03270440251572327</v>
      </c>
      <c r="L36" s="9" t="n"/>
      <c r="M36" s="9" t="n"/>
      <c r="N36" s="9" t="n"/>
      <c r="O36" s="9" t="n"/>
      <c r="P36" s="13" t="n">
        <v>-0.0971864626399724</v>
      </c>
      <c r="Q36" s="14" t="n">
        <v>1.162560639958521</v>
      </c>
      <c r="R36" s="15" t="n">
        <v>8</v>
      </c>
      <c r="S36" s="9" t="n">
        <v>0.03270440251572327</v>
      </c>
      <c r="T36" s="13" t="n">
        <v>1.548923076923077</v>
      </c>
      <c r="U36" s="9" t="n">
        <v>0.05065660377358491</v>
      </c>
      <c r="V36" s="9" t="n">
        <v>0.04782464931567555</v>
      </c>
      <c r="W36" s="9" t="n">
        <v>0.05075629494375691</v>
      </c>
      <c r="X36" s="9" t="n">
        <v>0.05461018155927376</v>
      </c>
      <c r="Y36" s="8" t="n">
        <v>795</v>
      </c>
      <c r="Z36" s="9" t="n">
        <v>0.04829478577370858</v>
      </c>
      <c r="AA36" s="9" t="n"/>
      <c r="AB36" s="10">
        <f>IFERROR(D36/O36-1,"")</f>
        <v/>
      </c>
      <c r="AC36" s="10">
        <f>IFERROR(E36/O36-1,"")</f>
        <v/>
      </c>
      <c r="AD36" s="10">
        <f>IFERROR(E36/U36-1,"")</f>
        <v/>
      </c>
      <c r="AE36" s="10">
        <f>IFERROR(Z36/AA36-1,"")</f>
        <v/>
      </c>
    </row>
    <row r="37">
      <c r="A37" s="7" t="inlineStr">
        <is>
          <t>202511</t>
        </is>
      </c>
      <c r="B37" s="8" t="n">
        <v>699</v>
      </c>
      <c r="C37" s="9" t="n">
        <v>0.08909240125735772</v>
      </c>
      <c r="D37" s="9" t="n">
        <v>0.08509885509350525</v>
      </c>
      <c r="E37" s="9" t="n">
        <v>0.05261294955539081</v>
      </c>
      <c r="F37" s="9" t="n">
        <v>0</v>
      </c>
      <c r="G37" s="9" t="n">
        <v>0.0128755364806867</v>
      </c>
      <c r="H37" s="9" t="n">
        <v>0.01573676680972818</v>
      </c>
      <c r="I37" s="9" t="n">
        <v>0.01716738197424893</v>
      </c>
      <c r="J37" s="9" t="n">
        <v>0.01716738197424893</v>
      </c>
      <c r="K37" s="9" t="n"/>
      <c r="L37" s="9" t="n"/>
      <c r="M37" s="9" t="n"/>
      <c r="N37" s="9" t="n"/>
      <c r="O37" s="9" t="n"/>
      <c r="P37" s="13" t="n">
        <v>-0.0951950453295296</v>
      </c>
      <c r="Q37" s="14" t="n">
        <v>1.208049372989306</v>
      </c>
      <c r="R37" s="15" t="n">
        <v>7</v>
      </c>
      <c r="S37" s="9" t="n">
        <v>0.01716738197424893</v>
      </c>
      <c r="T37" s="13" t="n">
        <v>1.860310421286031</v>
      </c>
      <c r="U37" s="9" t="n">
        <v>0.03193665959289324</v>
      </c>
      <c r="V37" s="9" t="n">
        <v>0.02717908700741319</v>
      </c>
      <c r="W37" s="9" t="n">
        <v>0.03229888852206449</v>
      </c>
      <c r="X37" s="9" t="n">
        <v>0.03487669667469207</v>
      </c>
      <c r="Y37" s="8" t="n">
        <v>699</v>
      </c>
      <c r="Z37" s="9" t="n">
        <v>0.05261294955539081</v>
      </c>
      <c r="AA37" s="9" t="n"/>
      <c r="AB37" s="10">
        <f>IFERROR(D37/O37-1,"")</f>
        <v/>
      </c>
      <c r="AC37" s="10">
        <f>IFERROR(E37/O37-1,"")</f>
        <v/>
      </c>
      <c r="AD37" s="10">
        <f>IFERROR(E37/U37-1,"")</f>
        <v/>
      </c>
      <c r="AE37" s="10">
        <f>IFERROR(Z37/AA37-1,"")</f>
        <v/>
      </c>
    </row>
    <row r="38">
      <c r="A38" s="7" t="inlineStr">
        <is>
          <t>202512</t>
        </is>
      </c>
      <c r="B38" s="8" t="n">
        <v>785</v>
      </c>
      <c r="C38" s="9" t="n">
        <v>0.09283741059813909</v>
      </c>
      <c r="D38" s="9" t="n">
        <v>0.08844697485399095</v>
      </c>
      <c r="E38" s="9" t="n">
        <v>0.05583896018389765</v>
      </c>
      <c r="F38" s="9" t="n">
        <v>0.006369426751592357</v>
      </c>
      <c r="G38" s="9" t="n">
        <v>0.01401273885350319</v>
      </c>
      <c r="H38" s="9" t="n">
        <v>0.02038216560509554</v>
      </c>
      <c r="I38" s="9" t="n">
        <v>0.02929936305732484</v>
      </c>
      <c r="J38" s="9" t="n"/>
      <c r="K38" s="9" t="n"/>
      <c r="L38" s="9" t="n"/>
      <c r="M38" s="9" t="n"/>
      <c r="N38" s="9" t="n"/>
      <c r="O38" s="9" t="n"/>
      <c r="P38" s="13" t="n">
        <v>-0.0907389631868307</v>
      </c>
      <c r="Q38" s="14" t="n">
        <v>1.309836944027043</v>
      </c>
      <c r="R38" s="15" t="n">
        <v>6</v>
      </c>
      <c r="S38" s="9" t="n">
        <v>0.02929936305732484</v>
      </c>
      <c r="T38" s="13" t="n">
        <v>2.304945054945055</v>
      </c>
      <c r="U38" s="9" t="n">
        <v>0.06753342199202071</v>
      </c>
      <c r="V38" s="9" t="n">
        <v>0.06006574604364038</v>
      </c>
      <c r="W38" s="9" t="n">
        <v>0.06906931622096582</v>
      </c>
      <c r="X38" s="9" t="n">
        <v>0.07701287689061545</v>
      </c>
      <c r="Y38" s="8" t="n">
        <v>784</v>
      </c>
      <c r="Z38" s="9" t="n">
        <v>0.05578115446084585</v>
      </c>
      <c r="AA38" s="9" t="n"/>
      <c r="AB38" s="10">
        <f>IFERROR(D38/O38-1,"")</f>
        <v/>
      </c>
      <c r="AC38" s="10">
        <f>IFERROR(E38/O38-1,"")</f>
        <v/>
      </c>
      <c r="AD38" s="10">
        <f>IFERROR(E38/U38-1,"")</f>
        <v/>
      </c>
      <c r="AE38" s="10">
        <f>IFERROR(Z38/AA38-1,"")</f>
        <v/>
      </c>
    </row>
    <row r="39">
      <c r="A39" s="7" t="inlineStr">
        <is>
          <t>202601</t>
        </is>
      </c>
      <c r="B39" s="8" t="n">
        <v>930</v>
      </c>
      <c r="C39" s="9" t="n">
        <v>0.08790440264868961</v>
      </c>
      <c r="D39" s="9" t="n">
        <v>0.08397567073003419</v>
      </c>
      <c r="E39" s="9" t="n">
        <v>0.05156187425199574</v>
      </c>
      <c r="F39" s="9" t="n">
        <v>0.006451612903225806</v>
      </c>
      <c r="G39" s="9" t="n">
        <v>0.01505376344086022</v>
      </c>
      <c r="H39" s="9" t="n">
        <v>0.02043010752688172</v>
      </c>
      <c r="I39" s="9" t="n"/>
      <c r="J39" s="9" t="n"/>
      <c r="K39" s="9" t="n"/>
      <c r="L39" s="9" t="n"/>
      <c r="M39" s="9" t="n"/>
      <c r="N39" s="9" t="n"/>
      <c r="O39" s="9" t="n"/>
      <c r="P39" s="13" t="n">
        <v>-0.0827512368458839</v>
      </c>
      <c r="Q39" s="14" t="n">
        <v>1.492295713035885</v>
      </c>
      <c r="R39" s="15" t="n">
        <v>5</v>
      </c>
      <c r="S39" s="9" t="n">
        <v>0.02043010752688172</v>
      </c>
      <c r="T39" s="13" t="n">
        <v>3.025240384615385</v>
      </c>
      <c r="U39" s="9" t="n">
        <v>0.06180598635235732</v>
      </c>
      <c r="V39" s="9" t="n">
        <v>0.0510752688172043</v>
      </c>
      <c r="W39" s="9" t="n">
        <v>0.06299283154121864</v>
      </c>
      <c r="X39" s="9" t="n">
        <v>0.07120688451333614</v>
      </c>
      <c r="Y39" s="8" t="n">
        <v>930</v>
      </c>
      <c r="Z39" s="9" t="n">
        <v>0.05156187425199574</v>
      </c>
      <c r="AA39" s="9" t="n"/>
      <c r="AB39" s="10">
        <f>IFERROR(D39/O39-1,"")</f>
        <v/>
      </c>
      <c r="AC39" s="10">
        <f>IFERROR(E39/O39-1,"")</f>
        <v/>
      </c>
      <c r="AD39" s="10">
        <f>IFERROR(E39/U39-1,"")</f>
        <v/>
      </c>
      <c r="AE39" s="10">
        <f>IFERROR(Z39/AA39-1,"")</f>
        <v/>
      </c>
    </row>
    <row r="40">
      <c r="A40" s="7" t="inlineStr">
        <is>
          <t>202602</t>
        </is>
      </c>
      <c r="B40" s="8" t="n">
        <v>878</v>
      </c>
      <c r="C40" s="9" t="n">
        <v>0.08476744065430346</v>
      </c>
      <c r="D40" s="9" t="n">
        <v>0.0806926724687643</v>
      </c>
      <c r="E40" s="9" t="n">
        <v>0.05293063256516122</v>
      </c>
      <c r="F40" s="9" t="n">
        <v>0.004555808656036446</v>
      </c>
      <c r="G40" s="9" t="n">
        <v>0.009111617312072893</v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13" t="n">
        <v>-0.0370388932419964</v>
      </c>
      <c r="Q40" s="14" t="n">
        <v>2.53647494332808</v>
      </c>
      <c r="R40" s="15" t="n">
        <v>4</v>
      </c>
      <c r="S40" s="9" t="n">
        <v>0.009111617312072893</v>
      </c>
      <c r="T40" s="13" t="n">
        <v>5.01394422310757</v>
      </c>
      <c r="U40" s="9" t="n">
        <v>0.0456851409850348</v>
      </c>
      <c r="V40" s="9" t="n">
        <v>0.03914741295151318</v>
      </c>
      <c r="W40" s="9" t="n">
        <v>0.04663004153825539</v>
      </c>
      <c r="X40" s="9" t="n">
        <v>0.05036856774996817</v>
      </c>
      <c r="Y40" s="8" t="n">
        <v>878</v>
      </c>
      <c r="Z40" s="9" t="n">
        <v>0.05293063256516122</v>
      </c>
      <c r="AA40" s="9" t="n"/>
      <c r="AB40" s="10">
        <f>IFERROR(D40/O40-1,"")</f>
        <v/>
      </c>
      <c r="AC40" s="10">
        <f>IFERROR(E40/O40-1,"")</f>
        <v/>
      </c>
      <c r="AD40" s="10">
        <f>IFERROR(E40/U40-1,"")</f>
        <v/>
      </c>
      <c r="AE40" s="10">
        <f>IFERROR(Z40/AA40-1,"")</f>
        <v/>
      </c>
    </row>
    <row r="41">
      <c r="A41" s="7" t="inlineStr">
        <is>
          <t>202603</t>
        </is>
      </c>
      <c r="B41" s="8" t="n">
        <v>913</v>
      </c>
      <c r="C41" s="9" t="n">
        <v>0.09058360513075288</v>
      </c>
      <c r="D41" s="9" t="n">
        <v>0.08640011486180151</v>
      </c>
      <c r="E41" s="9" t="n">
        <v>0.0632662106434846</v>
      </c>
      <c r="F41" s="9" t="n">
        <v>0.001095290251916758</v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3" t="n">
        <v>0.014389803325765</v>
      </c>
      <c r="Q41" s="14" t="n">
        <v>3.711229343636036</v>
      </c>
      <c r="R41" s="15" t="n">
        <v>3</v>
      </c>
      <c r="S41" s="9" t="n">
        <v>0.001095290251916758</v>
      </c>
      <c r="T41" s="13" t="n">
        <v>14.83030303030303</v>
      </c>
      <c r="U41" s="9" t="n">
        <v>0.01624348634206246</v>
      </c>
      <c r="V41" s="9" t="n">
        <v>0.01080838505537301</v>
      </c>
      <c r="W41" s="9" t="n">
        <v>0.01594690450112137</v>
      </c>
      <c r="X41" s="9" t="n">
        <v>0.02619569185834246</v>
      </c>
      <c r="Y41" s="8" t="n">
        <v>913</v>
      </c>
      <c r="Z41" s="9" t="n">
        <v>0.0632662106434846</v>
      </c>
      <c r="AA41" s="9" t="n"/>
      <c r="AB41" s="10">
        <f>IFERROR(D41/O41-1,"")</f>
        <v/>
      </c>
      <c r="AC41" s="10">
        <f>IFERROR(E41/O41-1,"")</f>
        <v/>
      </c>
      <c r="AD41" s="10">
        <f>IFERROR(E41/U41-1,"")</f>
        <v/>
      </c>
      <c r="AE41" s="10">
        <f>IFERROR(Z41/AA41-1,"")</f>
        <v/>
      </c>
    </row>
    <row r="42">
      <c r="A42" s="7" t="inlineStr">
        <is>
          <t>202604</t>
        </is>
      </c>
      <c r="B42" s="8" t="n">
        <v>869</v>
      </c>
      <c r="C42" s="9" t="n">
        <v>0.08947819831670703</v>
      </c>
      <c r="D42" s="9" t="n">
        <v>0.08412064532926188</v>
      </c>
      <c r="E42" s="9" t="n">
        <v>0.06357591017932347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3" t="n">
        <v>0.0241851909297492</v>
      </c>
      <c r="Q42" s="14" t="n">
        <v>3.934979418175466</v>
      </c>
      <c r="R42" s="15" t="n"/>
      <c r="S42" s="9" t="n"/>
      <c r="T42" s="13" t="n"/>
      <c r="U42" s="9" t="n"/>
      <c r="V42" s="9" t="n"/>
      <c r="W42" s="9" t="n"/>
      <c r="X42" s="9" t="n"/>
      <c r="Y42" s="8" t="n">
        <v>869</v>
      </c>
      <c r="Z42" s="9" t="n">
        <v>0.06357591017932347</v>
      </c>
      <c r="AA42" s="9" t="n"/>
      <c r="AB42" s="10">
        <f>IFERROR(D42/O42-1,"")</f>
        <v/>
      </c>
      <c r="AC42" s="10">
        <f>IFERROR(E42/O42-1,"")</f>
        <v/>
      </c>
      <c r="AD42" s="10">
        <f>IFERROR(E42/U42-1,"")</f>
        <v/>
      </c>
      <c r="AE42" s="10">
        <f>IFERROR(Z42/AA42-1,"")</f>
        <v/>
      </c>
    </row>
    <row r="43">
      <c r="A43" s="7" t="inlineStr">
        <is>
          <t>202605</t>
        </is>
      </c>
      <c r="B43" s="8" t="n">
        <v>955</v>
      </c>
      <c r="C43" s="9" t="n">
        <v>0.09437141046513126</v>
      </c>
      <c r="D43" s="9" t="n">
        <v>0.08826234363877648</v>
      </c>
      <c r="E43" s="9" t="n">
        <v>0.0671832112819846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3" t="n">
        <v>0.0192471239254993</v>
      </c>
      <c r="Q43" s="14" t="n">
        <v>3.822182160430176</v>
      </c>
      <c r="R43" s="15" t="n"/>
      <c r="S43" s="9" t="n"/>
      <c r="T43" s="13" t="n"/>
      <c r="U43" s="9" t="n"/>
      <c r="V43" s="9" t="n"/>
      <c r="W43" s="9" t="n"/>
      <c r="X43" s="9" t="n"/>
      <c r="Y43" s="8" t="n">
        <v>955</v>
      </c>
      <c r="Z43" s="9" t="n">
        <v>0.0671832112819846</v>
      </c>
      <c r="AA43" s="9" t="n"/>
      <c r="AB43" s="10">
        <f>IFERROR(D43/O43-1,"")</f>
        <v/>
      </c>
      <c r="AC43" s="10">
        <f>IFERROR(E43/O43-1,"")</f>
        <v/>
      </c>
      <c r="AD43" s="10">
        <f>IFERROR(E43/U43-1,"")</f>
        <v/>
      </c>
      <c r="AE43" s="10">
        <f>IFERROR(Z43/AA43-1,"")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  <col width="12.5" customWidth="1" min="29" max="29"/>
    <col width="12.5" customWidth="1" min="30" max="30"/>
    <col width="12.5" customWidth="1" min="31" max="31"/>
  </cols>
  <sheetData>
    <row r="1">
      <c r="A1" s="1" t="inlineStr">
        <is>
          <t>IBK N3</t>
        </is>
      </c>
    </row>
    <row r="2">
      <c r="A2" s="2" t="inlineStr">
        <is>
          <t>Interbank, nodo N3</t>
        </is>
      </c>
    </row>
    <row r="4" ht="30" customHeight="1">
      <c r="A4" s="6" t="inlineStr">
        <is>
          <t>codmes</t>
        </is>
      </c>
      <c r="B4" s="6" t="inlineStr">
        <is>
          <t>n</t>
        </is>
      </c>
      <c r="C4" s="6" t="inlineStr">
        <is>
          <t>PD sin calibrar</t>
        </is>
      </c>
      <c r="D4" s="6" t="inlineStr">
        <is>
          <t>PD cal vigente</t>
        </is>
      </c>
      <c r="E4" s="6" t="inlineStr">
        <is>
          <t>PD cal NUEVA</t>
        </is>
      </c>
      <c r="F4" s="6" t="inlineStr">
        <is>
          <t>mora 3m</t>
        </is>
      </c>
      <c r="G4" s="6" t="inlineStr">
        <is>
          <t>mora 4m</t>
        </is>
      </c>
      <c r="H4" s="6" t="inlineStr">
        <is>
          <t>mora 5m</t>
        </is>
      </c>
      <c r="I4" s="6" t="inlineStr">
        <is>
          <t>mora 6m</t>
        </is>
      </c>
      <c r="J4" s="6" t="inlineStr">
        <is>
          <t>mora 7m</t>
        </is>
      </c>
      <c r="K4" s="6" t="inlineStr">
        <is>
          <t>mora 8m</t>
        </is>
      </c>
      <c r="L4" s="6" t="inlineStr">
        <is>
          <t>mora 9m</t>
        </is>
      </c>
      <c r="M4" s="6" t="inlineStr">
        <is>
          <t>mora 10m</t>
        </is>
      </c>
      <c r="N4" s="6" t="inlineStr">
        <is>
          <t>mora 11m</t>
        </is>
      </c>
      <c r="O4" s="6" t="inlineStr">
        <is>
          <t>mora 12m</t>
        </is>
      </c>
      <c r="P4" s="6" t="inlineStr">
        <is>
          <t>ft ciclo</t>
        </is>
      </c>
      <c r="Q4" s="6" t="inlineStr">
        <is>
          <t>inflacion %</t>
        </is>
      </c>
      <c r="R4" s="6" t="inlineStr">
        <is>
          <t>madurez</t>
        </is>
      </c>
      <c r="S4" s="6" t="inlineStr">
        <is>
          <t>mora base</t>
        </is>
      </c>
      <c r="T4" s="6" t="inlineStr">
        <is>
          <t>factor h-&gt;12</t>
        </is>
      </c>
      <c r="U4" s="6" t="inlineStr">
        <is>
          <t>proy mediana</t>
        </is>
      </c>
      <c r="V4" s="6" t="inlineStr">
        <is>
          <t>proy V1</t>
        </is>
      </c>
      <c r="W4" s="6" t="inlineStr">
        <is>
          <t>proy V2</t>
        </is>
      </c>
      <c r="X4" s="6" t="inlineStr">
        <is>
          <t>proy V3</t>
        </is>
      </c>
      <c r="Y4" s="6" t="inlineStr">
        <is>
          <t>n visible IBK</t>
        </is>
      </c>
      <c r="Z4" s="6" t="inlineStr">
        <is>
          <t>PD cal NUEVA visible</t>
        </is>
      </c>
      <c r="AA4" s="6" t="inlineStr">
        <is>
          <t>mora 12m visible</t>
        </is>
      </c>
      <c r="AB4" s="6" t="inlineStr">
        <is>
          <t>EC vigente</t>
        </is>
      </c>
      <c r="AC4" s="6" t="inlineStr">
        <is>
          <t>EC NUEVA</t>
        </is>
      </c>
      <c r="AD4" s="6" t="inlineStr">
        <is>
          <t>EC NUEVA vs proy</t>
        </is>
      </c>
      <c r="AE4" s="6" t="inlineStr">
        <is>
          <t>EC NUEVA visible</t>
        </is>
      </c>
    </row>
    <row r="5">
      <c r="A5" s="7" t="inlineStr">
        <is>
          <t>202303</t>
        </is>
      </c>
      <c r="B5" s="8" t="n">
        <v>4071</v>
      </c>
      <c r="C5" s="9" t="n">
        <v>0.1390945992607086</v>
      </c>
      <c r="D5" s="9" t="n">
        <v>0.1754036738839915</v>
      </c>
      <c r="E5" s="9" t="n">
        <v>0.1615071693943357</v>
      </c>
      <c r="F5" s="9" t="n">
        <v>0.01719479243429133</v>
      </c>
      <c r="G5" s="9" t="n">
        <v>0.05698845492507983</v>
      </c>
      <c r="H5" s="9" t="n">
        <v>0.07639400638663719</v>
      </c>
      <c r="I5" s="9" t="n">
        <v>0.1007123556865635</v>
      </c>
      <c r="J5" s="9" t="n">
        <v>0.1233112257430607</v>
      </c>
      <c r="K5" s="9" t="n">
        <v>0.149840334070253</v>
      </c>
      <c r="L5" s="9" t="n">
        <v>0.1670351265045443</v>
      </c>
      <c r="M5" s="9" t="n">
        <v>0.1825104396954065</v>
      </c>
      <c r="N5" s="9" t="n">
        <v>0.1913534758044707</v>
      </c>
      <c r="O5" s="9" t="n">
        <v>0.1994595922377794</v>
      </c>
      <c r="P5" s="13" t="n">
        <v>0.2313077929548288</v>
      </c>
      <c r="Q5" s="14" t="n">
        <v>8.666154897445178</v>
      </c>
      <c r="R5" s="15" t="n">
        <v>12</v>
      </c>
      <c r="S5" s="9" t="n">
        <v>0.1994595922377794</v>
      </c>
      <c r="T5" s="13" t="n">
        <v>1</v>
      </c>
      <c r="U5" s="9" t="n">
        <v>0.1994595922377794</v>
      </c>
      <c r="V5" s="9" t="n"/>
      <c r="W5" s="9" t="n"/>
      <c r="X5" s="9" t="n"/>
      <c r="Y5" s="8" t="n">
        <v>3729</v>
      </c>
      <c r="Z5" s="9" t="n">
        <v>0.1650280033127451</v>
      </c>
      <c r="AA5" s="9" t="n">
        <v>0.2003218020917136</v>
      </c>
      <c r="AB5" s="10">
        <f>IFERROR(D5/O5-1,"")</f>
        <v/>
      </c>
      <c r="AC5" s="10">
        <f>IFERROR(E5/O5-1,"")</f>
        <v/>
      </c>
      <c r="AD5" s="10">
        <f>IFERROR(E5/U5-1,"")</f>
        <v/>
      </c>
      <c r="AE5" s="10">
        <f>IFERROR(Z5/AA5-1,"")</f>
        <v/>
      </c>
    </row>
    <row r="6">
      <c r="A6" s="7" t="inlineStr">
        <is>
          <t>202304</t>
        </is>
      </c>
      <c r="B6" s="8" t="n">
        <v>3172</v>
      </c>
      <c r="C6" s="9" t="n">
        <v>0.1317462819642511</v>
      </c>
      <c r="D6" s="9" t="n">
        <v>0.1662263307226575</v>
      </c>
      <c r="E6" s="9" t="n">
        <v>0.1518890509899224</v>
      </c>
      <c r="F6" s="9" t="n">
        <v>0.01355611601513241</v>
      </c>
      <c r="G6" s="9" t="n">
        <v>0.04886506935687263</v>
      </c>
      <c r="H6" s="9" t="n">
        <v>0.07313997477931904</v>
      </c>
      <c r="I6" s="9" t="n">
        <v>0.09615384615384616</v>
      </c>
      <c r="J6" s="9" t="n">
        <v>0.1169609079445145</v>
      </c>
      <c r="K6" s="9" t="n">
        <v>0.1418663303909206</v>
      </c>
      <c r="L6" s="9" t="n">
        <v>0.158890290037831</v>
      </c>
      <c r="M6" s="9" t="n">
        <v>0.1730769230769231</v>
      </c>
      <c r="N6" s="9" t="n">
        <v>0.1825346784363178</v>
      </c>
      <c r="O6" s="9" t="n">
        <v>0.1891551071878941</v>
      </c>
      <c r="P6" s="13" t="n">
        <v>0.2039883111878369</v>
      </c>
      <c r="Q6" s="14" t="n">
        <v>8.042112610516504</v>
      </c>
      <c r="R6" s="15" t="n">
        <v>12</v>
      </c>
      <c r="S6" s="9" t="n">
        <v>0.1891551071878941</v>
      </c>
      <c r="T6" s="13" t="n">
        <v>1</v>
      </c>
      <c r="U6" s="9" t="n">
        <v>0.1891551071878941</v>
      </c>
      <c r="V6" s="9" t="n"/>
      <c r="W6" s="9" t="n"/>
      <c r="X6" s="9" t="n"/>
      <c r="Y6" s="8" t="n">
        <v>2938</v>
      </c>
      <c r="Z6" s="9" t="n">
        <v>0.1547800873533659</v>
      </c>
      <c r="AA6" s="9" t="n">
        <v>0.1929884275017018</v>
      </c>
      <c r="AB6" s="10">
        <f>IFERROR(D6/O6-1,"")</f>
        <v/>
      </c>
      <c r="AC6" s="10">
        <f>IFERROR(E6/O6-1,"")</f>
        <v/>
      </c>
      <c r="AD6" s="10">
        <f>IFERROR(E6/U6-1,"")</f>
        <v/>
      </c>
      <c r="AE6" s="10">
        <f>IFERROR(Z6/AA6-1,"")</f>
        <v/>
      </c>
    </row>
    <row r="7">
      <c r="A7" s="7" t="inlineStr">
        <is>
          <t>202305</t>
        </is>
      </c>
      <c r="B7" s="8" t="n">
        <v>4160</v>
      </c>
      <c r="C7" s="9" t="n">
        <v>0.1309721910945462</v>
      </c>
      <c r="D7" s="9" t="n">
        <v>0.1656374615769332</v>
      </c>
      <c r="E7" s="9" t="n">
        <v>0.1515232247179975</v>
      </c>
      <c r="F7" s="9" t="n">
        <v>0.01346153846153846</v>
      </c>
      <c r="G7" s="9" t="n">
        <v>0.05048076923076923</v>
      </c>
      <c r="H7" s="9" t="n">
        <v>0.07884615384615384</v>
      </c>
      <c r="I7" s="9" t="n">
        <v>0.1016826923076923</v>
      </c>
      <c r="J7" s="9" t="n">
        <v>0.1230769230769231</v>
      </c>
      <c r="K7" s="9" t="n">
        <v>0.1483173076923077</v>
      </c>
      <c r="L7" s="9" t="n">
        <v>0.1692307692307692</v>
      </c>
      <c r="M7" s="9" t="n">
        <v>0.184375</v>
      </c>
      <c r="N7" s="9" t="n">
        <v>0.1927884615384615</v>
      </c>
      <c r="O7" s="9" t="n">
        <v>0.2007211538461539</v>
      </c>
      <c r="P7" s="13" t="n">
        <v>0.2015420225900039</v>
      </c>
      <c r="Q7" s="14" t="n">
        <v>7.986233529643028</v>
      </c>
      <c r="R7" s="15" t="n">
        <v>12</v>
      </c>
      <c r="S7" s="9" t="n">
        <v>0.2007211538461539</v>
      </c>
      <c r="T7" s="13" t="n">
        <v>1</v>
      </c>
      <c r="U7" s="9" t="n">
        <v>0.2007211538461539</v>
      </c>
      <c r="V7" s="9" t="n"/>
      <c r="W7" s="9" t="n"/>
      <c r="X7" s="9" t="n"/>
      <c r="Y7" s="8" t="n">
        <v>3813</v>
      </c>
      <c r="Z7" s="9" t="n">
        <v>0.1541775859409473</v>
      </c>
      <c r="AA7" s="9" t="n">
        <v>0.2040388145816942</v>
      </c>
      <c r="AB7" s="10">
        <f>IFERROR(D7/O7-1,"")</f>
        <v/>
      </c>
      <c r="AC7" s="10">
        <f>IFERROR(E7/O7-1,"")</f>
        <v/>
      </c>
      <c r="AD7" s="10">
        <f>IFERROR(E7/U7-1,"")</f>
        <v/>
      </c>
      <c r="AE7" s="10">
        <f>IFERROR(Z7/AA7-1,"")</f>
        <v/>
      </c>
    </row>
    <row r="8">
      <c r="A8" s="7" t="inlineStr">
        <is>
          <t>202306</t>
        </is>
      </c>
      <c r="B8" s="8" t="n">
        <v>2754</v>
      </c>
      <c r="C8" s="9" t="n">
        <v>0.1250435381744952</v>
      </c>
      <c r="D8" s="9" t="n">
        <v>0.1580373237116469</v>
      </c>
      <c r="E8" s="9" t="n">
        <v>0.1438902017830608</v>
      </c>
      <c r="F8" s="9" t="n">
        <v>0.01597676107480029</v>
      </c>
      <c r="G8" s="9" t="n">
        <v>0.05192447349310094</v>
      </c>
      <c r="H8" s="9" t="n">
        <v>0.07697893972403776</v>
      </c>
      <c r="I8" s="9" t="n">
        <v>0.09876543209876543</v>
      </c>
      <c r="J8" s="9" t="n">
        <v>0.1151053013798112</v>
      </c>
      <c r="K8" s="9" t="n">
        <v>0.1339869281045752</v>
      </c>
      <c r="L8" s="9" t="n">
        <v>0.1477850399419027</v>
      </c>
      <c r="M8" s="9" t="n">
        <v>0.1557734204793028</v>
      </c>
      <c r="N8" s="9" t="n">
        <v>0.1666666666666667</v>
      </c>
      <c r="O8" s="9" t="n">
        <v>0.1753812636165577</v>
      </c>
      <c r="P8" s="13" t="n">
        <v>0.145631156252523</v>
      </c>
      <c r="Q8" s="14" t="n">
        <v>6.709095654518293</v>
      </c>
      <c r="R8" s="15" t="n">
        <v>12</v>
      </c>
      <c r="S8" s="9" t="n">
        <v>0.1753812636165577</v>
      </c>
      <c r="T8" s="13" t="n">
        <v>1</v>
      </c>
      <c r="U8" s="9" t="n">
        <v>0.1753812636165577</v>
      </c>
      <c r="V8" s="9" t="n"/>
      <c r="W8" s="9" t="n"/>
      <c r="X8" s="9" t="n"/>
      <c r="Y8" s="8" t="n">
        <v>2467</v>
      </c>
      <c r="Z8" s="9" t="n">
        <v>0.147056344630608</v>
      </c>
      <c r="AA8" s="9" t="n">
        <v>0.1734900689096068</v>
      </c>
      <c r="AB8" s="10">
        <f>IFERROR(D8/O8-1,"")</f>
        <v/>
      </c>
      <c r="AC8" s="10">
        <f>IFERROR(E8/O8-1,"")</f>
        <v/>
      </c>
      <c r="AD8" s="10">
        <f>IFERROR(E8/U8-1,"")</f>
        <v/>
      </c>
      <c r="AE8" s="10">
        <f>IFERROR(Z8/AA8-1,"")</f>
        <v/>
      </c>
    </row>
    <row r="9">
      <c r="A9" s="7" t="inlineStr">
        <is>
          <t>202307</t>
        </is>
      </c>
      <c r="B9" s="8" t="n">
        <v>1590</v>
      </c>
      <c r="C9" s="9" t="n">
        <v>0.1069005655318077</v>
      </c>
      <c r="D9" s="9" t="n">
        <v>0.1094071298064488</v>
      </c>
      <c r="E9" s="9" t="n">
        <v>0.1189970767321076</v>
      </c>
      <c r="F9" s="9" t="n">
        <v>0.009433962264150943</v>
      </c>
      <c r="G9" s="9" t="n">
        <v>0.02955974842767296</v>
      </c>
      <c r="H9" s="9" t="n">
        <v>0.04150943396226415</v>
      </c>
      <c r="I9" s="9" t="n">
        <v>0.0559748427672956</v>
      </c>
      <c r="J9" s="9" t="n">
        <v>0.07044025157232704</v>
      </c>
      <c r="K9" s="9" t="n">
        <v>0.08427672955974842</v>
      </c>
      <c r="L9" s="9" t="n">
        <v>0.0930817610062893</v>
      </c>
      <c r="M9" s="9" t="n">
        <v>0.1025157232704403</v>
      </c>
      <c r="N9" s="9" t="n">
        <v>0.110062893081761</v>
      </c>
      <c r="O9" s="9" t="n">
        <v>0.1138364779874214</v>
      </c>
      <c r="P9" s="13" t="n">
        <v>0.1154476643960626</v>
      </c>
      <c r="Q9" s="14" t="n">
        <v>6.019632529037033</v>
      </c>
      <c r="R9" s="15" t="n">
        <v>12</v>
      </c>
      <c r="S9" s="9" t="n">
        <v>0.1138364779874214</v>
      </c>
      <c r="T9" s="13" t="n">
        <v>1</v>
      </c>
      <c r="U9" s="9" t="n">
        <v>0.1138364779874214</v>
      </c>
      <c r="V9" s="9" t="n"/>
      <c r="W9" s="9" t="n"/>
      <c r="X9" s="9" t="n"/>
      <c r="Y9" s="8" t="n">
        <v>1362</v>
      </c>
      <c r="Z9" s="9" t="n">
        <v>0.1204025230732701</v>
      </c>
      <c r="AA9" s="9" t="n">
        <v>0.1116005873715125</v>
      </c>
      <c r="AB9" s="10">
        <f>IFERROR(D9/O9-1,"")</f>
        <v/>
      </c>
      <c r="AC9" s="10">
        <f>IFERROR(E9/O9-1,"")</f>
        <v/>
      </c>
      <c r="AD9" s="10">
        <f>IFERROR(E9/U9-1,"")</f>
        <v/>
      </c>
      <c r="AE9" s="10">
        <f>IFERROR(Z9/AA9-1,"")</f>
        <v/>
      </c>
    </row>
    <row r="10">
      <c r="A10" s="7" t="inlineStr">
        <is>
          <t>202308</t>
        </is>
      </c>
      <c r="B10" s="8" t="n">
        <v>2075</v>
      </c>
      <c r="C10" s="9" t="n">
        <v>0.1096977759807943</v>
      </c>
      <c r="D10" s="9" t="n">
        <v>0.1124456822104662</v>
      </c>
      <c r="E10" s="9" t="n">
        <v>0.122291946055815</v>
      </c>
      <c r="F10" s="9" t="n">
        <v>0.006265060240963855</v>
      </c>
      <c r="G10" s="9" t="n">
        <v>0.02746987951807229</v>
      </c>
      <c r="H10" s="9" t="n">
        <v>0.04240963855421687</v>
      </c>
      <c r="I10" s="9" t="n">
        <v>0.05445783132530121</v>
      </c>
      <c r="J10" s="9" t="n">
        <v>0.07036144578313253</v>
      </c>
      <c r="K10" s="9" t="n">
        <v>0.0819277108433735</v>
      </c>
      <c r="L10" s="9" t="n">
        <v>0.0963855421686747</v>
      </c>
      <c r="M10" s="9" t="n">
        <v>0.1050602409638554</v>
      </c>
      <c r="N10" s="9" t="n">
        <v>0.1108433734939759</v>
      </c>
      <c r="O10" s="9" t="n">
        <v>0.1175903614457831</v>
      </c>
      <c r="P10" s="13" t="n">
        <v>0.1052420450312428</v>
      </c>
      <c r="Q10" s="14" t="n">
        <v>5.786511780178594</v>
      </c>
      <c r="R10" s="15" t="n">
        <v>12</v>
      </c>
      <c r="S10" s="9" t="n">
        <v>0.1175903614457831</v>
      </c>
      <c r="T10" s="13" t="n">
        <v>1</v>
      </c>
      <c r="U10" s="9" t="n">
        <v>0.1175903614457831</v>
      </c>
      <c r="V10" s="9" t="n"/>
      <c r="W10" s="9" t="n"/>
      <c r="X10" s="9" t="n"/>
      <c r="Y10" s="8" t="n">
        <v>1832</v>
      </c>
      <c r="Z10" s="9" t="n">
        <v>0.1240926799088997</v>
      </c>
      <c r="AA10" s="9" t="n">
        <v>0.1168122270742358</v>
      </c>
      <c r="AB10" s="10">
        <f>IFERROR(D10/O10-1,"")</f>
        <v/>
      </c>
      <c r="AC10" s="10">
        <f>IFERROR(E10/O10-1,"")</f>
        <v/>
      </c>
      <c r="AD10" s="10">
        <f>IFERROR(E10/U10-1,"")</f>
        <v/>
      </c>
      <c r="AE10" s="10">
        <f>IFERROR(Z10/AA10-1,"")</f>
        <v/>
      </c>
    </row>
    <row r="11">
      <c r="A11" s="7" t="inlineStr">
        <is>
          <t>202309</t>
        </is>
      </c>
      <c r="B11" s="8" t="n">
        <v>1452</v>
      </c>
      <c r="C11" s="9" t="n">
        <v>0.1076776992026768</v>
      </c>
      <c r="D11" s="9" t="n">
        <v>0.1027296541057291</v>
      </c>
      <c r="E11" s="9" t="n">
        <v>0.116444191164328</v>
      </c>
      <c r="F11" s="9" t="n">
        <v>0.01170798898071625</v>
      </c>
      <c r="G11" s="9" t="n">
        <v>0.03581267217630854</v>
      </c>
      <c r="H11" s="9" t="n">
        <v>0.04545454545454546</v>
      </c>
      <c r="I11" s="9" t="n">
        <v>0.06060606060606061</v>
      </c>
      <c r="J11" s="9" t="n">
        <v>0.07162534435261708</v>
      </c>
      <c r="K11" s="9" t="n">
        <v>0.08677685950413223</v>
      </c>
      <c r="L11" s="9" t="n">
        <v>0.09366391184573003</v>
      </c>
      <c r="M11" s="9" t="n">
        <v>0.09848484848484848</v>
      </c>
      <c r="N11" s="9" t="n">
        <v>0.1053719008264463</v>
      </c>
      <c r="O11" s="9" t="n">
        <v>0.1129476584022039</v>
      </c>
      <c r="P11" s="13" t="n">
        <v>0.0826428782528265</v>
      </c>
      <c r="Q11" s="14" t="n">
        <v>5.270292774292296</v>
      </c>
      <c r="R11" s="15" t="n">
        <v>12</v>
      </c>
      <c r="S11" s="9" t="n">
        <v>0.1129476584022039</v>
      </c>
      <c r="T11" s="13" t="n">
        <v>1</v>
      </c>
      <c r="U11" s="9" t="n">
        <v>0.1129476584022039</v>
      </c>
      <c r="V11" s="9" t="n"/>
      <c r="W11" s="9" t="n"/>
      <c r="X11" s="9" t="n"/>
      <c r="Y11" s="8" t="n">
        <v>1251</v>
      </c>
      <c r="Z11" s="9" t="n">
        <v>0.1169748216240155</v>
      </c>
      <c r="AA11" s="9" t="n">
        <v>0.1127098321342926</v>
      </c>
      <c r="AB11" s="10">
        <f>IFERROR(D11/O11-1,"")</f>
        <v/>
      </c>
      <c r="AC11" s="10">
        <f>IFERROR(E11/O11-1,"")</f>
        <v/>
      </c>
      <c r="AD11" s="10">
        <f>IFERROR(E11/U11-1,"")</f>
        <v/>
      </c>
      <c r="AE11" s="10">
        <f>IFERROR(Z11/AA11-1,"")</f>
        <v/>
      </c>
    </row>
    <row r="12">
      <c r="A12" s="7" t="inlineStr">
        <is>
          <t>202310</t>
        </is>
      </c>
      <c r="B12" s="8" t="n">
        <v>1196</v>
      </c>
      <c r="C12" s="9" t="n">
        <v>0.112053755430947</v>
      </c>
      <c r="D12" s="9" t="n">
        <v>0.1134012294863117</v>
      </c>
      <c r="E12" s="9" t="n">
        <v>0.1156648863211392</v>
      </c>
      <c r="F12" s="9" t="n">
        <v>0.0108695652173913</v>
      </c>
      <c r="G12" s="9" t="n">
        <v>0.02173913043478261</v>
      </c>
      <c r="H12" s="9" t="n">
        <v>0.04347826086956522</v>
      </c>
      <c r="I12" s="9" t="n">
        <v>0.05267558528428094</v>
      </c>
      <c r="J12" s="9" t="n">
        <v>0.06103678929765886</v>
      </c>
      <c r="K12" s="9" t="n">
        <v>0.06939799331103678</v>
      </c>
      <c r="L12" s="9" t="n">
        <v>0.07692307692307693</v>
      </c>
      <c r="M12" s="9" t="n">
        <v>0.0802675585284281</v>
      </c>
      <c r="N12" s="9" t="n">
        <v>0.08695652173913043</v>
      </c>
      <c r="O12" s="9" t="n">
        <v>0.0903010033444816</v>
      </c>
      <c r="P12" s="13" t="n">
        <v>0.0496812016861095</v>
      </c>
      <c r="Q12" s="14" t="n">
        <v>4.517369267135951</v>
      </c>
      <c r="R12" s="15" t="n">
        <v>12</v>
      </c>
      <c r="S12" s="9" t="n">
        <v>0.0903010033444816</v>
      </c>
      <c r="T12" s="13" t="n">
        <v>1</v>
      </c>
      <c r="U12" s="9" t="n">
        <v>0.0903010033444816</v>
      </c>
      <c r="V12" s="9" t="n"/>
      <c r="W12" s="9" t="n"/>
      <c r="X12" s="9" t="n"/>
      <c r="Y12" s="8" t="n">
        <v>1079</v>
      </c>
      <c r="Z12" s="9" t="n">
        <v>0.1149617560161524</v>
      </c>
      <c r="AA12" s="9" t="n">
        <v>0.0917516218721038</v>
      </c>
      <c r="AB12" s="10">
        <f>IFERROR(D12/O12-1,"")</f>
        <v/>
      </c>
      <c r="AC12" s="10">
        <f>IFERROR(E12/O12-1,"")</f>
        <v/>
      </c>
      <c r="AD12" s="10">
        <f>IFERROR(E12/U12-1,"")</f>
        <v/>
      </c>
      <c r="AE12" s="10">
        <f>IFERROR(Z12/AA12-1,"")</f>
        <v/>
      </c>
    </row>
    <row r="13">
      <c r="A13" s="7" t="inlineStr">
        <is>
          <t>202311</t>
        </is>
      </c>
      <c r="B13" s="8" t="n">
        <v>1625</v>
      </c>
      <c r="C13" s="9" t="n">
        <v>0.1395491611739764</v>
      </c>
      <c r="D13" s="9" t="n">
        <v>0.14165928538946</v>
      </c>
      <c r="E13" s="9" t="n">
        <v>0.140873546250888</v>
      </c>
      <c r="F13" s="9" t="n">
        <v>0.008</v>
      </c>
      <c r="G13" s="9" t="n">
        <v>0.04615384615384616</v>
      </c>
      <c r="H13" s="9" t="n">
        <v>0.07076923076923076</v>
      </c>
      <c r="I13" s="9" t="n">
        <v>0.08246153846153846</v>
      </c>
      <c r="J13" s="9" t="n">
        <v>0.09476923076923077</v>
      </c>
      <c r="K13" s="9" t="n">
        <v>0.112</v>
      </c>
      <c r="L13" s="9" t="n">
        <v>0.1175384615384615</v>
      </c>
      <c r="M13" s="9" t="n">
        <v>0.1261538461538461</v>
      </c>
      <c r="N13" s="9" t="n">
        <v>0.1335384615384616</v>
      </c>
      <c r="O13" s="9" t="n">
        <v>0.1495384615384615</v>
      </c>
      <c r="P13" s="13" t="n">
        <v>0.0176922115343233</v>
      </c>
      <c r="Q13" s="14" t="n">
        <v>3.786664243478488</v>
      </c>
      <c r="R13" s="15" t="n">
        <v>12</v>
      </c>
      <c r="S13" s="9" t="n">
        <v>0.1495384615384615</v>
      </c>
      <c r="T13" s="13" t="n">
        <v>1</v>
      </c>
      <c r="U13" s="9" t="n">
        <v>0.1495384615384615</v>
      </c>
      <c r="V13" s="9" t="n"/>
      <c r="W13" s="9" t="n"/>
      <c r="X13" s="9" t="n"/>
      <c r="Y13" s="8" t="n">
        <v>1416</v>
      </c>
      <c r="Z13" s="9" t="n">
        <v>0.1411773713628134</v>
      </c>
      <c r="AA13" s="9" t="n">
        <v>0.143361581920904</v>
      </c>
      <c r="AB13" s="10">
        <f>IFERROR(D13/O13-1,"")</f>
        <v/>
      </c>
      <c r="AC13" s="10">
        <f>IFERROR(E13/O13-1,"")</f>
        <v/>
      </c>
      <c r="AD13" s="10">
        <f>IFERROR(E13/U13-1,"")</f>
        <v/>
      </c>
      <c r="AE13" s="10">
        <f>IFERROR(Z13/AA13-1,"")</f>
        <v/>
      </c>
    </row>
    <row r="14">
      <c r="A14" s="7" t="inlineStr">
        <is>
          <t>202312</t>
        </is>
      </c>
      <c r="B14" s="8" t="n">
        <v>1858</v>
      </c>
      <c r="C14" s="9" t="n">
        <v>0.1477045195760653</v>
      </c>
      <c r="D14" s="9" t="n">
        <v>0.1496795128386335</v>
      </c>
      <c r="E14" s="9" t="n">
        <v>0.14668986837382</v>
      </c>
      <c r="F14" s="9" t="n">
        <v>0.01668460710441335</v>
      </c>
      <c r="G14" s="9" t="n">
        <v>0.05920344456404737</v>
      </c>
      <c r="H14" s="9" t="n">
        <v>0.08934337997847147</v>
      </c>
      <c r="I14" s="9" t="n">
        <v>0.1114101184068891</v>
      </c>
      <c r="J14" s="9" t="n">
        <v>0.1254036598493003</v>
      </c>
      <c r="K14" s="9" t="n">
        <v>0.1372443487621098</v>
      </c>
      <c r="L14" s="9" t="n">
        <v>0.1528525296017223</v>
      </c>
      <c r="M14" s="9" t="n">
        <v>0.1657696447793326</v>
      </c>
      <c r="N14" s="9" t="n">
        <v>0.1786867599569429</v>
      </c>
      <c r="O14" s="9" t="n">
        <v>0.1905274488697524</v>
      </c>
      <c r="P14" s="13" t="n">
        <v>0.0012463846792965</v>
      </c>
      <c r="Q14" s="14" t="n">
        <v>3.411002234638927</v>
      </c>
      <c r="R14" s="15" t="n">
        <v>12</v>
      </c>
      <c r="S14" s="9" t="n">
        <v>0.1905274488697524</v>
      </c>
      <c r="T14" s="13" t="n">
        <v>1</v>
      </c>
      <c r="U14" s="9" t="n">
        <v>0.1905274488697524</v>
      </c>
      <c r="V14" s="9" t="n"/>
      <c r="W14" s="9" t="n"/>
      <c r="X14" s="9" t="n"/>
      <c r="Y14" s="8" t="n">
        <v>1541</v>
      </c>
      <c r="Z14" s="9" t="n">
        <v>0.1506163423491992</v>
      </c>
      <c r="AA14" s="9" t="n">
        <v>0.1888384166125892</v>
      </c>
      <c r="AB14" s="10">
        <f>IFERROR(D14/O14-1,"")</f>
        <v/>
      </c>
      <c r="AC14" s="10">
        <f>IFERROR(E14/O14-1,"")</f>
        <v/>
      </c>
      <c r="AD14" s="10">
        <f>IFERROR(E14/U14-1,"")</f>
        <v/>
      </c>
      <c r="AE14" s="10">
        <f>IFERROR(Z14/AA14-1,"")</f>
        <v/>
      </c>
    </row>
    <row r="15">
      <c r="A15" s="7" t="inlineStr">
        <is>
          <t>202401</t>
        </is>
      </c>
      <c r="B15" s="8" t="n">
        <v>2145</v>
      </c>
      <c r="C15" s="9" t="n">
        <v>0.1380348009597901</v>
      </c>
      <c r="D15" s="9" t="n">
        <v>0.1312659284994354</v>
      </c>
      <c r="E15" s="9" t="n">
        <v>0.1321056839563547</v>
      </c>
      <c r="F15" s="9" t="n">
        <v>0.01212121212121212</v>
      </c>
      <c r="G15" s="9" t="n">
        <v>0.04801864801864802</v>
      </c>
      <c r="H15" s="9" t="n">
        <v>0.07226107226107226</v>
      </c>
      <c r="I15" s="9" t="n">
        <v>0.08764568764568764</v>
      </c>
      <c r="J15" s="9" t="n">
        <v>0.09557109557109557</v>
      </c>
      <c r="K15" s="9" t="n">
        <v>0.1067599067599068</v>
      </c>
      <c r="L15" s="9" t="n">
        <v>0.1165501165501165</v>
      </c>
      <c r="M15" s="9" t="n">
        <v>0.1342657342657343</v>
      </c>
      <c r="N15" s="9" t="n">
        <v>0.1426573426573426</v>
      </c>
      <c r="O15" s="9" t="n">
        <v>0.151981351981352</v>
      </c>
      <c r="P15" s="13" t="n">
        <v>-0.0190642825400903</v>
      </c>
      <c r="Q15" s="14" t="n">
        <v>2.947058030691863</v>
      </c>
      <c r="R15" s="15" t="n">
        <v>12</v>
      </c>
      <c r="S15" s="9" t="n">
        <v>0.151981351981352</v>
      </c>
      <c r="T15" s="13" t="n">
        <v>1</v>
      </c>
      <c r="U15" s="9" t="n">
        <v>0.151981351981352</v>
      </c>
      <c r="V15" s="9" t="n"/>
      <c r="W15" s="9" t="n"/>
      <c r="X15" s="9" t="n"/>
      <c r="Y15" s="8" t="n">
        <v>1725</v>
      </c>
      <c r="Z15" s="9" t="n">
        <v>0.1356831232150189</v>
      </c>
      <c r="AA15" s="9" t="n">
        <v>0.1547826086956522</v>
      </c>
      <c r="AB15" s="10">
        <f>IFERROR(D15/O15-1,"")</f>
        <v/>
      </c>
      <c r="AC15" s="10">
        <f>IFERROR(E15/O15-1,"")</f>
        <v/>
      </c>
      <c r="AD15" s="10">
        <f>IFERROR(E15/U15-1,"")</f>
        <v/>
      </c>
      <c r="AE15" s="10">
        <f>IFERROR(Z15/AA15-1,"")</f>
        <v/>
      </c>
    </row>
    <row r="16">
      <c r="A16" s="7" t="inlineStr">
        <is>
          <t>202402</t>
        </is>
      </c>
      <c r="B16" s="8" t="n">
        <v>2128</v>
      </c>
      <c r="C16" s="9" t="n">
        <v>0.1413321631087018</v>
      </c>
      <c r="D16" s="9" t="n">
        <v>0.1345331519649581</v>
      </c>
      <c r="E16" s="9" t="n">
        <v>0.135310949693121</v>
      </c>
      <c r="F16" s="9" t="n">
        <v>0.01550751879699248</v>
      </c>
      <c r="G16" s="9" t="n">
        <v>0.05357142857142857</v>
      </c>
      <c r="H16" s="9" t="n">
        <v>0.0737781954887218</v>
      </c>
      <c r="I16" s="9" t="n">
        <v>0.08646616541353383</v>
      </c>
      <c r="J16" s="9" t="n">
        <v>0.100093984962406</v>
      </c>
      <c r="K16" s="9" t="n">
        <v>0.1099624060150376</v>
      </c>
      <c r="L16" s="9" t="n">
        <v>0.1254699248120301</v>
      </c>
      <c r="M16" s="9" t="n">
        <v>0.1419172932330827</v>
      </c>
      <c r="N16" s="9" t="n">
        <v>0.1574248120300752</v>
      </c>
      <c r="O16" s="9" t="n">
        <v>0.1668233082706767</v>
      </c>
      <c r="P16" s="13" t="n">
        <v>-0.0198286684982686</v>
      </c>
      <c r="Q16" s="14" t="n">
        <v>2.929597627690584</v>
      </c>
      <c r="R16" s="15" t="n">
        <v>12</v>
      </c>
      <c r="S16" s="9" t="n">
        <v>0.1668233082706767</v>
      </c>
      <c r="T16" s="13" t="n">
        <v>1</v>
      </c>
      <c r="U16" s="9" t="n">
        <v>0.1668233082706767</v>
      </c>
      <c r="V16" s="9" t="n"/>
      <c r="W16" s="9" t="n"/>
      <c r="X16" s="9" t="n"/>
      <c r="Y16" s="8" t="n">
        <v>1745</v>
      </c>
      <c r="Z16" s="9" t="n">
        <v>0.1378056533085391</v>
      </c>
      <c r="AA16" s="9" t="n">
        <v>0.1713467048710602</v>
      </c>
      <c r="AB16" s="10">
        <f>IFERROR(D16/O16-1,"")</f>
        <v/>
      </c>
      <c r="AC16" s="10">
        <f>IFERROR(E16/O16-1,"")</f>
        <v/>
      </c>
      <c r="AD16" s="10">
        <f>IFERROR(E16/U16-1,"")</f>
        <v/>
      </c>
      <c r="AE16" s="10">
        <f>IFERROR(Z16/AA16-1,"")</f>
        <v/>
      </c>
    </row>
    <row r="17">
      <c r="A17" s="7" t="inlineStr">
        <is>
          <t>202403</t>
        </is>
      </c>
      <c r="B17" s="8" t="n">
        <v>2057</v>
      </c>
      <c r="C17" s="9" t="n">
        <v>0.1358509407345682</v>
      </c>
      <c r="D17" s="9" t="n">
        <v>0.1291302856579459</v>
      </c>
      <c r="E17" s="9" t="n">
        <v>0.1273981439397402</v>
      </c>
      <c r="F17" s="9" t="n">
        <v>0.01652892561983471</v>
      </c>
      <c r="G17" s="9" t="n">
        <v>0.04521147301895965</v>
      </c>
      <c r="H17" s="9" t="n">
        <v>0.06222654350996597</v>
      </c>
      <c r="I17" s="9" t="n">
        <v>0.07778317938745746</v>
      </c>
      <c r="J17" s="9" t="n">
        <v>0.0904229460379193</v>
      </c>
      <c r="K17" s="9" t="n">
        <v>0.1079241614000972</v>
      </c>
      <c r="L17" s="9" t="n">
        <v>0.1210500729217307</v>
      </c>
      <c r="M17" s="9" t="n">
        <v>0.1327175498298493</v>
      </c>
      <c r="N17" s="9" t="n">
        <v>0.1438988818667963</v>
      </c>
      <c r="O17" s="9" t="n">
        <v>0.1541079241614001</v>
      </c>
      <c r="P17" s="13" t="n">
        <v>-0.0309796378369519</v>
      </c>
      <c r="Q17" s="14" t="n">
        <v>2.67488282501116</v>
      </c>
      <c r="R17" s="15" t="n">
        <v>12</v>
      </c>
      <c r="S17" s="9" t="n">
        <v>0.1541079241614001</v>
      </c>
      <c r="T17" s="13" t="n">
        <v>1</v>
      </c>
      <c r="U17" s="9" t="n">
        <v>0.1541079241614001</v>
      </c>
      <c r="V17" s="9" t="n"/>
      <c r="W17" s="9" t="n"/>
      <c r="X17" s="9" t="n"/>
      <c r="Y17" s="8" t="n">
        <v>1668</v>
      </c>
      <c r="Z17" s="9" t="n">
        <v>0.1313902665685616</v>
      </c>
      <c r="AA17" s="9" t="n">
        <v>0.1564748201438849</v>
      </c>
      <c r="AB17" s="10">
        <f>IFERROR(D17/O17-1,"")</f>
        <v/>
      </c>
      <c r="AC17" s="10">
        <f>IFERROR(E17/O17-1,"")</f>
        <v/>
      </c>
      <c r="AD17" s="10">
        <f>IFERROR(E17/U17-1,"")</f>
        <v/>
      </c>
      <c r="AE17" s="10">
        <f>IFERROR(Z17/AA17-1,"")</f>
        <v/>
      </c>
    </row>
    <row r="18">
      <c r="A18" s="7" t="inlineStr">
        <is>
          <t>202404</t>
        </is>
      </c>
      <c r="B18" s="8" t="n">
        <v>2372</v>
      </c>
      <c r="C18" s="9" t="n">
        <v>0.1463441629988309</v>
      </c>
      <c r="D18" s="9" t="n">
        <v>0.1416069871964307</v>
      </c>
      <c r="E18" s="9" t="n">
        <v>0.133343814119151</v>
      </c>
      <c r="F18" s="9" t="n">
        <v>0.01644182124789207</v>
      </c>
      <c r="G18" s="9" t="n">
        <v>0.04173693086003373</v>
      </c>
      <c r="H18" s="9" t="n">
        <v>0.05733558178752108</v>
      </c>
      <c r="I18" s="9" t="n">
        <v>0.07082630691399663</v>
      </c>
      <c r="J18" s="9" t="n">
        <v>0.09190556492411467</v>
      </c>
      <c r="K18" s="9" t="n">
        <v>0.1070826306913997</v>
      </c>
      <c r="L18" s="9" t="n">
        <v>0.116779089376054</v>
      </c>
      <c r="M18" s="9" t="n">
        <v>0.1256323777403035</v>
      </c>
      <c r="N18" s="9" t="n">
        <v>0.1349072512647555</v>
      </c>
      <c r="O18" s="9" t="n">
        <v>0.1475548060708263</v>
      </c>
      <c r="P18" s="13" t="n">
        <v>-0.0558720181987733</v>
      </c>
      <c r="Q18" s="14" t="n">
        <v>2.106281337597227</v>
      </c>
      <c r="R18" s="15" t="n">
        <v>12</v>
      </c>
      <c r="S18" s="9" t="n">
        <v>0.1475548060708263</v>
      </c>
      <c r="T18" s="13" t="n">
        <v>1</v>
      </c>
      <c r="U18" s="9" t="n">
        <v>0.1475548060708263</v>
      </c>
      <c r="V18" s="9" t="n"/>
      <c r="W18" s="9" t="n"/>
      <c r="X18" s="9" t="n"/>
      <c r="Y18" s="8" t="n">
        <v>1925</v>
      </c>
      <c r="Z18" s="9" t="n">
        <v>0.1364088395454066</v>
      </c>
      <c r="AA18" s="9" t="n">
        <v>0.1501298701298701</v>
      </c>
      <c r="AB18" s="10">
        <f>IFERROR(D18/O18-1,"")</f>
        <v/>
      </c>
      <c r="AC18" s="10">
        <f>IFERROR(E18/O18-1,"")</f>
        <v/>
      </c>
      <c r="AD18" s="10">
        <f>IFERROR(E18/U18-1,"")</f>
        <v/>
      </c>
      <c r="AE18" s="10">
        <f>IFERROR(Z18/AA18-1,"")</f>
        <v/>
      </c>
    </row>
    <row r="19">
      <c r="A19" s="7" t="inlineStr">
        <is>
          <t>202405</t>
        </is>
      </c>
      <c r="B19" s="8" t="n">
        <v>1812</v>
      </c>
      <c r="C19" s="9" t="n">
        <v>0.1481076795438193</v>
      </c>
      <c r="D19" s="9" t="n">
        <v>0.1432765838638705</v>
      </c>
      <c r="E19" s="9" t="n">
        <v>0.1310787376469899</v>
      </c>
      <c r="F19" s="9" t="n">
        <v>0.008830022075055188</v>
      </c>
      <c r="G19" s="9" t="n">
        <v>0.03200883002207505</v>
      </c>
      <c r="H19" s="9" t="n">
        <v>0.04690949227373068</v>
      </c>
      <c r="I19" s="9" t="n">
        <v>0.06622516556291391</v>
      </c>
      <c r="J19" s="9" t="n">
        <v>0.08388520971302428</v>
      </c>
      <c r="K19" s="9" t="n">
        <v>0.09271523178807947</v>
      </c>
      <c r="L19" s="9" t="n">
        <v>0.1076158940397351</v>
      </c>
      <c r="M19" s="9" t="n">
        <v>0.1230684326710817</v>
      </c>
      <c r="N19" s="9" t="n">
        <v>0.1318984547461369</v>
      </c>
      <c r="O19" s="9" t="n">
        <v>0.1401766004415011</v>
      </c>
      <c r="P19" s="13" t="n">
        <v>-0.0754757595835721</v>
      </c>
      <c r="Q19" s="14" t="n">
        <v>1.658485010036248</v>
      </c>
      <c r="R19" s="15" t="n">
        <v>12</v>
      </c>
      <c r="S19" s="9" t="n">
        <v>0.1401766004415011</v>
      </c>
      <c r="T19" s="13" t="n">
        <v>1</v>
      </c>
      <c r="U19" s="9" t="n">
        <v>0.1401766004415011</v>
      </c>
      <c r="V19" s="9" t="n"/>
      <c r="W19" s="9" t="n"/>
      <c r="X19" s="9" t="n"/>
      <c r="Y19" s="8" t="n">
        <v>1489</v>
      </c>
      <c r="Z19" s="9" t="n">
        <v>0.1328452151894412</v>
      </c>
      <c r="AA19" s="9" t="n">
        <v>0.1430490261920752</v>
      </c>
      <c r="AB19" s="10">
        <f>IFERROR(D19/O19-1,"")</f>
        <v/>
      </c>
      <c r="AC19" s="10">
        <f>IFERROR(E19/O19-1,"")</f>
        <v/>
      </c>
      <c r="AD19" s="10">
        <f>IFERROR(E19/U19-1,"")</f>
        <v/>
      </c>
      <c r="AE19" s="10">
        <f>IFERROR(Z19/AA19-1,"")</f>
        <v/>
      </c>
    </row>
    <row r="20">
      <c r="A20" s="7" t="inlineStr">
        <is>
          <t>202406</t>
        </is>
      </c>
      <c r="B20" s="8" t="n">
        <v>1515</v>
      </c>
      <c r="C20" s="9" t="n">
        <v>0.1476519093144894</v>
      </c>
      <c r="D20" s="9" t="n">
        <v>0.1428061967832421</v>
      </c>
      <c r="E20" s="9" t="n">
        <v>0.1325663838369782</v>
      </c>
      <c r="F20" s="9" t="n">
        <v>0.006600660066006601</v>
      </c>
      <c r="G20" s="9" t="n">
        <v>0.02376237623762376</v>
      </c>
      <c r="H20" s="9" t="n">
        <v>0.05082508250825082</v>
      </c>
      <c r="I20" s="9" t="n">
        <v>0.07260726072607261</v>
      </c>
      <c r="J20" s="9" t="n">
        <v>0.08580858085808581</v>
      </c>
      <c r="K20" s="9" t="n">
        <v>0.09372937293729373</v>
      </c>
      <c r="L20" s="9" t="n">
        <v>0.1062706270627063</v>
      </c>
      <c r="M20" s="9" t="n">
        <v>0.1161716171617162</v>
      </c>
      <c r="N20" s="9" t="n">
        <v>0.1254125412541254</v>
      </c>
      <c r="O20" s="9" t="n">
        <v>0.1333333333333333</v>
      </c>
      <c r="P20" s="13" t="n">
        <v>-0.0653537931038556</v>
      </c>
      <c r="Q20" s="14" t="n">
        <v>1.889694926977259</v>
      </c>
      <c r="R20" s="15" t="n">
        <v>12</v>
      </c>
      <c r="S20" s="9" t="n">
        <v>0.1333333333333333</v>
      </c>
      <c r="T20" s="13" t="n">
        <v>1</v>
      </c>
      <c r="U20" s="9" t="n">
        <v>0.1333333333333333</v>
      </c>
      <c r="V20" s="9" t="n"/>
      <c r="W20" s="9" t="n"/>
      <c r="X20" s="9" t="n"/>
      <c r="Y20" s="8" t="n">
        <v>1231</v>
      </c>
      <c r="Z20" s="9" t="n">
        <v>0.1336774322191698</v>
      </c>
      <c r="AA20" s="9" t="n">
        <v>0.1316003249390739</v>
      </c>
      <c r="AB20" s="10">
        <f>IFERROR(D20/O20-1,"")</f>
        <v/>
      </c>
      <c r="AC20" s="10">
        <f>IFERROR(E20/O20-1,"")</f>
        <v/>
      </c>
      <c r="AD20" s="10">
        <f>IFERROR(E20/U20-1,"")</f>
        <v/>
      </c>
      <c r="AE20" s="10">
        <f>IFERROR(Z20/AA20-1,"")</f>
        <v/>
      </c>
    </row>
    <row r="21">
      <c r="A21" s="7" t="inlineStr">
        <is>
          <t>202407</t>
        </is>
      </c>
      <c r="B21" s="8" t="n">
        <v>2136</v>
      </c>
      <c r="C21" s="9" t="n">
        <v>0.1526247159794168</v>
      </c>
      <c r="D21" s="9" t="n">
        <v>0.1476334428269946</v>
      </c>
      <c r="E21" s="9" t="n">
        <v>0.1365340513810311</v>
      </c>
      <c r="F21" s="9" t="n">
        <v>0.01217228464419476</v>
      </c>
      <c r="G21" s="9" t="n">
        <v>0.04119850187265917</v>
      </c>
      <c r="H21" s="9" t="n">
        <v>0.06975655430711611</v>
      </c>
      <c r="I21" s="9" t="n">
        <v>0.08707865168539326</v>
      </c>
      <c r="J21" s="9" t="n">
        <v>0.09831460674157304</v>
      </c>
      <c r="K21" s="9" t="n">
        <v>0.1132958801498127</v>
      </c>
      <c r="L21" s="9" t="n">
        <v>0.1245318352059925</v>
      </c>
      <c r="M21" s="9" t="n">
        <v>0.1329588014981273</v>
      </c>
      <c r="N21" s="9" t="n">
        <v>0.1423220973782771</v>
      </c>
      <c r="O21" s="9" t="n">
        <v>0.1502808988764045</v>
      </c>
      <c r="P21" s="13" t="n">
        <v>-0.0704962472517633</v>
      </c>
      <c r="Q21" s="14" t="n">
        <v>1.772228978162538</v>
      </c>
      <c r="R21" s="15" t="n">
        <v>12</v>
      </c>
      <c r="S21" s="9" t="n">
        <v>0.1502808988764045</v>
      </c>
      <c r="T21" s="13" t="n">
        <v>1</v>
      </c>
      <c r="U21" s="9" t="n">
        <v>0.1502808988764045</v>
      </c>
      <c r="V21" s="9" t="n"/>
      <c r="W21" s="9" t="n"/>
      <c r="X21" s="9" t="n"/>
      <c r="Y21" s="8" t="n">
        <v>1792</v>
      </c>
      <c r="Z21" s="9" t="n">
        <v>0.1393458514616158</v>
      </c>
      <c r="AA21" s="9" t="n">
        <v>0.1568080357142857</v>
      </c>
      <c r="AB21" s="10">
        <f>IFERROR(D21/O21-1,"")</f>
        <v/>
      </c>
      <c r="AC21" s="10">
        <f>IFERROR(E21/O21-1,"")</f>
        <v/>
      </c>
      <c r="AD21" s="10">
        <f>IFERROR(E21/U21-1,"")</f>
        <v/>
      </c>
      <c r="AE21" s="10">
        <f>IFERROR(Z21/AA21-1,"")</f>
        <v/>
      </c>
    </row>
    <row r="22">
      <c r="A22" s="7" t="inlineStr">
        <is>
          <t>202408</t>
        </is>
      </c>
      <c r="B22" s="8" t="n">
        <v>1915</v>
      </c>
      <c r="C22" s="9" t="n">
        <v>0.1374067336121482</v>
      </c>
      <c r="D22" s="9" t="n">
        <v>0.1328813359219163</v>
      </c>
      <c r="E22" s="9" t="n">
        <v>0.1207344439855201</v>
      </c>
      <c r="F22" s="9" t="n">
        <v>0.006788511749347258</v>
      </c>
      <c r="G22" s="9" t="n">
        <v>0.02715404699738903</v>
      </c>
      <c r="H22" s="9" t="n">
        <v>0.04699738903394256</v>
      </c>
      <c r="I22" s="9" t="n">
        <v>0.05900783289817232</v>
      </c>
      <c r="J22" s="9" t="n">
        <v>0.07206266318537859</v>
      </c>
      <c r="K22" s="9" t="n">
        <v>0.0825065274151436</v>
      </c>
      <c r="L22" s="9" t="n">
        <v>0.09242819843342037</v>
      </c>
      <c r="M22" s="9" t="n">
        <v>0.1028720626631854</v>
      </c>
      <c r="N22" s="9" t="n">
        <v>0.1133159268929504</v>
      </c>
      <c r="O22" s="9" t="n">
        <v>0.1216710182767624</v>
      </c>
      <c r="P22" s="13" t="n">
        <v>-0.0744376341863873</v>
      </c>
      <c r="Q22" s="14" t="n">
        <v>1.68219827636038</v>
      </c>
      <c r="R22" s="15" t="n">
        <v>12</v>
      </c>
      <c r="S22" s="9" t="n">
        <v>0.1216710182767624</v>
      </c>
      <c r="T22" s="13" t="n">
        <v>1</v>
      </c>
      <c r="U22" s="9" t="n">
        <v>0.1216710182767624</v>
      </c>
      <c r="V22" s="9" t="n"/>
      <c r="W22" s="9" t="n"/>
      <c r="X22" s="9" t="n"/>
      <c r="Y22" s="8" t="n">
        <v>1631</v>
      </c>
      <c r="Z22" s="9" t="n">
        <v>0.1209060574241328</v>
      </c>
      <c r="AA22" s="9" t="n">
        <v>0.1201716738197425</v>
      </c>
      <c r="AB22" s="10">
        <f>IFERROR(D22/O22-1,"")</f>
        <v/>
      </c>
      <c r="AC22" s="10">
        <f>IFERROR(E22/O22-1,"")</f>
        <v/>
      </c>
      <c r="AD22" s="10">
        <f>IFERROR(E22/U22-1,"")</f>
        <v/>
      </c>
      <c r="AE22" s="10">
        <f>IFERROR(Z22/AA22-1,"")</f>
        <v/>
      </c>
    </row>
    <row r="23">
      <c r="A23" s="7" t="inlineStr">
        <is>
          <t>202409</t>
        </is>
      </c>
      <c r="B23" s="8" t="n">
        <v>2178</v>
      </c>
      <c r="C23" s="9" t="n">
        <v>0.1307806715294821</v>
      </c>
      <c r="D23" s="9" t="n">
        <v>0.1263483968769483</v>
      </c>
      <c r="E23" s="9" t="n">
        <v>0.1122192419102009</v>
      </c>
      <c r="F23" s="9" t="n">
        <v>0.01193755739210285</v>
      </c>
      <c r="G23" s="9" t="n">
        <v>0.02525252525252525</v>
      </c>
      <c r="H23" s="9" t="n">
        <v>0.03305785123966942</v>
      </c>
      <c r="I23" s="9" t="n">
        <v>0.04591368227731864</v>
      </c>
      <c r="J23" s="9" t="n">
        <v>0.05922865013774105</v>
      </c>
      <c r="K23" s="9" t="n">
        <v>0.06657483930211203</v>
      </c>
      <c r="L23" s="9" t="n">
        <v>0.07897153351698806</v>
      </c>
      <c r="M23" s="9" t="n">
        <v>0.08861340679522497</v>
      </c>
      <c r="N23" s="9" t="n">
        <v>0.09687786960514233</v>
      </c>
      <c r="O23" s="9" t="n">
        <v>0.1056014692378329</v>
      </c>
      <c r="P23" s="13" t="n">
        <v>-0.0828464630159074</v>
      </c>
      <c r="Q23" s="14" t="n">
        <v>1.490120519618099</v>
      </c>
      <c r="R23" s="15" t="n">
        <v>12</v>
      </c>
      <c r="S23" s="9" t="n">
        <v>0.1056014692378329</v>
      </c>
      <c r="T23" s="13" t="n">
        <v>1</v>
      </c>
      <c r="U23" s="9" t="n">
        <v>0.1056014692378329</v>
      </c>
      <c r="V23" s="9" t="n"/>
      <c r="W23" s="9" t="n"/>
      <c r="X23" s="9" t="n"/>
      <c r="Y23" s="8" t="n">
        <v>1895</v>
      </c>
      <c r="Z23" s="9" t="n">
        <v>0.1113288790901453</v>
      </c>
      <c r="AA23" s="9" t="n">
        <v>0.1007915567282322</v>
      </c>
      <c r="AB23" s="10">
        <f>IFERROR(D23/O23-1,"")</f>
        <v/>
      </c>
      <c r="AC23" s="10">
        <f>IFERROR(E23/O23-1,"")</f>
        <v/>
      </c>
      <c r="AD23" s="10">
        <f>IFERROR(E23/U23-1,"")</f>
        <v/>
      </c>
      <c r="AE23" s="10">
        <f>IFERROR(Z23/AA23-1,"")</f>
        <v/>
      </c>
    </row>
    <row r="24">
      <c r="A24" s="7" t="inlineStr">
        <is>
          <t>202410</t>
        </is>
      </c>
      <c r="B24" s="8" t="n">
        <v>2385</v>
      </c>
      <c r="C24" s="9" t="n">
        <v>0.116158103386811</v>
      </c>
      <c r="D24" s="9" t="n">
        <v>0.1168875787864035</v>
      </c>
      <c r="E24" s="9" t="n">
        <v>0.09953786644602795</v>
      </c>
      <c r="F24" s="9" t="n">
        <v>0.01215932914046122</v>
      </c>
      <c r="G24" s="9" t="n">
        <v>0.03270440251572327</v>
      </c>
      <c r="H24" s="9" t="n">
        <v>0.0469601677148847</v>
      </c>
      <c r="I24" s="9" t="n">
        <v>0.06163522012578616</v>
      </c>
      <c r="J24" s="9" t="n">
        <v>0.07505241090146751</v>
      </c>
      <c r="K24" s="9" t="n">
        <v>0.08259958071278826</v>
      </c>
      <c r="L24" s="9" t="n">
        <v>0.09350104821802935</v>
      </c>
      <c r="M24" s="9" t="n">
        <v>0.1044025157232704</v>
      </c>
      <c r="N24" s="9" t="n">
        <v>0.1127882599580713</v>
      </c>
      <c r="O24" s="9" t="n">
        <v>0.1228511530398323</v>
      </c>
      <c r="P24" s="13" t="n">
        <v>-0.0724218660345015</v>
      </c>
      <c r="Q24" s="14" t="n">
        <v>1.728243240834804</v>
      </c>
      <c r="R24" s="15" t="n">
        <v>12</v>
      </c>
      <c r="S24" s="9" t="n">
        <v>0.1228511530398323</v>
      </c>
      <c r="T24" s="13" t="n">
        <v>1</v>
      </c>
      <c r="U24" s="9" t="n">
        <v>0.1228511530398323</v>
      </c>
      <c r="V24" s="9" t="n"/>
      <c r="W24" s="9" t="n"/>
      <c r="X24" s="9" t="n"/>
      <c r="Y24" s="8" t="n">
        <v>2083</v>
      </c>
      <c r="Z24" s="9" t="n">
        <v>0.09914960001644156</v>
      </c>
      <c r="AA24" s="9" t="n">
        <v>0.1243398943831013</v>
      </c>
      <c r="AB24" s="10">
        <f>IFERROR(D24/O24-1,"")</f>
        <v/>
      </c>
      <c r="AC24" s="10">
        <f>IFERROR(E24/O24-1,"")</f>
        <v/>
      </c>
      <c r="AD24" s="10">
        <f>IFERROR(E24/U24-1,"")</f>
        <v/>
      </c>
      <c r="AE24" s="10">
        <f>IFERROR(Z24/AA24-1,"")</f>
        <v/>
      </c>
    </row>
    <row r="25">
      <c r="A25" s="7" t="inlineStr">
        <is>
          <t>202411</t>
        </is>
      </c>
      <c r="B25" s="8" t="n">
        <v>1487</v>
      </c>
      <c r="C25" s="9" t="n">
        <v>0.1008117084868037</v>
      </c>
      <c r="D25" s="9" t="n">
        <v>0.100927023544642</v>
      </c>
      <c r="E25" s="9" t="n">
        <v>0.08614186456509676</v>
      </c>
      <c r="F25" s="9" t="n">
        <v>0.004707464694014795</v>
      </c>
      <c r="G25" s="9" t="n">
        <v>0.01815736381977135</v>
      </c>
      <c r="H25" s="9" t="n">
        <v>0.0242098184263618</v>
      </c>
      <c r="I25" s="9" t="n">
        <v>0.03227975790181574</v>
      </c>
      <c r="J25" s="9" t="n">
        <v>0.0410221923335575</v>
      </c>
      <c r="K25" s="9" t="n">
        <v>0.04976462676529926</v>
      </c>
      <c r="L25" s="9" t="n">
        <v>0.05850706119704102</v>
      </c>
      <c r="M25" s="9" t="n">
        <v>0.0652320107599193</v>
      </c>
      <c r="N25" s="9" t="n">
        <v>0.07061197041022192</v>
      </c>
      <c r="O25" s="9" t="n">
        <v>0.08338937457969066</v>
      </c>
      <c r="P25" s="13" t="n">
        <v>-0.0580535033556161</v>
      </c>
      <c r="Q25" s="14" t="n">
        <v>2.056451000485126</v>
      </c>
      <c r="R25" s="15" t="n">
        <v>12</v>
      </c>
      <c r="S25" s="9" t="n">
        <v>0.08338937457969066</v>
      </c>
      <c r="T25" s="13" t="n">
        <v>1</v>
      </c>
      <c r="U25" s="9" t="n">
        <v>0.08338937457969066</v>
      </c>
      <c r="V25" s="9" t="n"/>
      <c r="W25" s="9" t="n"/>
      <c r="X25" s="9" t="n"/>
      <c r="Y25" s="8" t="n">
        <v>1287</v>
      </c>
      <c r="Z25" s="9" t="n">
        <v>0.08388827945590072</v>
      </c>
      <c r="AA25" s="9" t="n">
        <v>0.07925407925407925</v>
      </c>
      <c r="AB25" s="10">
        <f>IFERROR(D25/O25-1,"")</f>
        <v/>
      </c>
      <c r="AC25" s="10">
        <f>IFERROR(E25/O25-1,"")</f>
        <v/>
      </c>
      <c r="AD25" s="10">
        <f>IFERROR(E25/U25-1,"")</f>
        <v/>
      </c>
      <c r="AE25" s="10">
        <f>IFERROR(Z25/AA25-1,"")</f>
        <v/>
      </c>
    </row>
    <row r="26">
      <c r="A26" s="7" t="inlineStr">
        <is>
          <t>202412</t>
        </is>
      </c>
      <c r="B26" s="8" t="n">
        <v>1173</v>
      </c>
      <c r="C26" s="9" t="n">
        <v>0.09924488686079132</v>
      </c>
      <c r="D26" s="9" t="n">
        <v>0.09925072623983673</v>
      </c>
      <c r="E26" s="9" t="n">
        <v>0.08311117118035137</v>
      </c>
      <c r="F26" s="9" t="n">
        <v>0.002557544757033248</v>
      </c>
      <c r="G26" s="9" t="n">
        <v>0.01449275362318841</v>
      </c>
      <c r="H26" s="9" t="n">
        <v>0.02301790281329923</v>
      </c>
      <c r="I26" s="9" t="n">
        <v>0.03410059676044331</v>
      </c>
      <c r="J26" s="9" t="n">
        <v>0.04262574595055414</v>
      </c>
      <c r="K26" s="9" t="n">
        <v>0.05115089514066496</v>
      </c>
      <c r="L26" s="9" t="n">
        <v>0.05967604433077579</v>
      </c>
      <c r="M26" s="9" t="n">
        <v>0.06649616368286446</v>
      </c>
      <c r="N26" s="9" t="n">
        <v>0.07587382779198636</v>
      </c>
      <c r="O26" s="9" t="n">
        <v>0.07843137254901961</v>
      </c>
      <c r="P26" s="13" t="n">
        <v>-0.0650299149850779</v>
      </c>
      <c r="Q26" s="14" t="n">
        <v>1.897093077632239</v>
      </c>
      <c r="R26" s="15" t="n">
        <v>12</v>
      </c>
      <c r="S26" s="9" t="n">
        <v>0.07843137254901961</v>
      </c>
      <c r="T26" s="13" t="n">
        <v>1</v>
      </c>
      <c r="U26" s="9" t="n">
        <v>0.07843137254901961</v>
      </c>
      <c r="V26" s="9" t="n"/>
      <c r="W26" s="9" t="n"/>
      <c r="X26" s="9" t="n"/>
      <c r="Y26" s="8" t="n">
        <v>958</v>
      </c>
      <c r="Z26" s="9" t="n">
        <v>0.0856344278428019</v>
      </c>
      <c r="AA26" s="9" t="n">
        <v>0.07724425887265135</v>
      </c>
      <c r="AB26" s="10">
        <f>IFERROR(D26/O26-1,"")</f>
        <v/>
      </c>
      <c r="AC26" s="10">
        <f>IFERROR(E26/O26-1,"")</f>
        <v/>
      </c>
      <c r="AD26" s="10">
        <f>IFERROR(E26/U26-1,"")</f>
        <v/>
      </c>
      <c r="AE26" s="10">
        <f>IFERROR(Z26/AA26-1,"")</f>
        <v/>
      </c>
    </row>
    <row r="27">
      <c r="A27" s="7" t="inlineStr">
        <is>
          <t>202501</t>
        </is>
      </c>
      <c r="B27" s="8" t="n">
        <v>1525</v>
      </c>
      <c r="C27" s="9" t="n">
        <v>0.09570511082645322</v>
      </c>
      <c r="D27" s="9" t="n">
        <v>0.09580906571728773</v>
      </c>
      <c r="E27" s="9" t="n">
        <v>0.07909302621476708</v>
      </c>
      <c r="F27" s="9" t="n">
        <v>0.00459016393442623</v>
      </c>
      <c r="G27" s="9" t="n">
        <v>0.01049180327868852</v>
      </c>
      <c r="H27" s="9" t="n">
        <v>0.01770491803278688</v>
      </c>
      <c r="I27" s="9" t="n">
        <v>0.02688524590163935</v>
      </c>
      <c r="J27" s="9" t="n">
        <v>0.0321311475409836</v>
      </c>
      <c r="K27" s="9" t="n">
        <v>0.0380327868852459</v>
      </c>
      <c r="L27" s="9" t="n">
        <v>0.0439344262295082</v>
      </c>
      <c r="M27" s="9" t="n">
        <v>0.04918032786885246</v>
      </c>
      <c r="N27" s="9" t="n">
        <v>0.05573770491803279</v>
      </c>
      <c r="O27" s="9" t="n">
        <v>0.06426229508196721</v>
      </c>
      <c r="P27" s="13" t="n">
        <v>-0.0692773689503683</v>
      </c>
      <c r="Q27" s="14" t="n">
        <v>1.800071073015497</v>
      </c>
      <c r="R27" s="15" t="n">
        <v>12</v>
      </c>
      <c r="S27" s="9" t="n">
        <v>0.06426229508196721</v>
      </c>
      <c r="T27" s="13" t="n">
        <v>1</v>
      </c>
      <c r="U27" s="9" t="n">
        <v>0.06426229508196721</v>
      </c>
      <c r="V27" s="9" t="n"/>
      <c r="W27" s="9" t="n"/>
      <c r="X27" s="9" t="n"/>
      <c r="Y27" s="8" t="n">
        <v>1221</v>
      </c>
      <c r="Z27" s="9" t="n">
        <v>0.07747681728366523</v>
      </c>
      <c r="AA27" s="9" t="n">
        <v>0.06388206388206388</v>
      </c>
      <c r="AB27" s="10">
        <f>IFERROR(D27/O27-1,"")</f>
        <v/>
      </c>
      <c r="AC27" s="10">
        <f>IFERROR(E27/O27-1,"")</f>
        <v/>
      </c>
      <c r="AD27" s="10">
        <f>IFERROR(E27/U27-1,"")</f>
        <v/>
      </c>
      <c r="AE27" s="10">
        <f>IFERROR(Z27/AA27-1,"")</f>
        <v/>
      </c>
    </row>
    <row r="28">
      <c r="A28" s="7" t="inlineStr">
        <is>
          <t>202502</t>
        </is>
      </c>
      <c r="B28" s="8" t="n">
        <v>1316</v>
      </c>
      <c r="C28" s="9" t="n">
        <v>0.09553497660505984</v>
      </c>
      <c r="D28" s="9" t="n">
        <v>0.09554717597398782</v>
      </c>
      <c r="E28" s="9" t="n">
        <v>0.0773498861285747</v>
      </c>
      <c r="F28" s="9" t="n">
        <v>0.005319148936170213</v>
      </c>
      <c r="G28" s="9" t="n">
        <v>0.01139817629179331</v>
      </c>
      <c r="H28" s="9" t="n">
        <v>0.0182370820668693</v>
      </c>
      <c r="I28" s="9" t="n">
        <v>0.02963525835866261</v>
      </c>
      <c r="J28" s="9" t="n">
        <v>0.03571428571428571</v>
      </c>
      <c r="K28" s="9" t="n">
        <v>0.04331306990881459</v>
      </c>
      <c r="L28" s="9" t="n">
        <v>0.05167173252279635</v>
      </c>
      <c r="M28" s="9" t="n">
        <v>0.05927051671732523</v>
      </c>
      <c r="N28" s="9" t="n">
        <v>0.0668693009118541</v>
      </c>
      <c r="O28" s="9" t="n">
        <v>0.07142857142857142</v>
      </c>
      <c r="P28" s="13" t="n">
        <v>-0.0821028391221693</v>
      </c>
      <c r="Q28" s="14" t="n">
        <v>1.507106667423574</v>
      </c>
      <c r="R28" s="15" t="n">
        <v>12</v>
      </c>
      <c r="S28" s="9" t="n">
        <v>0.07142857142857142</v>
      </c>
      <c r="T28" s="13" t="n">
        <v>1</v>
      </c>
      <c r="U28" s="9" t="n">
        <v>0.07142857142857142</v>
      </c>
      <c r="V28" s="9" t="n"/>
      <c r="W28" s="9" t="n"/>
      <c r="X28" s="9" t="n"/>
      <c r="Y28" s="8" t="n">
        <v>978</v>
      </c>
      <c r="Z28" s="9" t="n">
        <v>0.07622677562709933</v>
      </c>
      <c r="AA28" s="9" t="n">
        <v>0.06441717791411043</v>
      </c>
      <c r="AB28" s="10">
        <f>IFERROR(D28/O28-1,"")</f>
        <v/>
      </c>
      <c r="AC28" s="10">
        <f>IFERROR(E28/O28-1,"")</f>
        <v/>
      </c>
      <c r="AD28" s="10">
        <f>IFERROR(E28/U28-1,"")</f>
        <v/>
      </c>
      <c r="AE28" s="10">
        <f>IFERROR(Z28/AA28-1,"")</f>
        <v/>
      </c>
    </row>
    <row r="29">
      <c r="A29" s="7" t="inlineStr">
        <is>
          <t>202503</t>
        </is>
      </c>
      <c r="B29" s="8" t="n">
        <v>1289</v>
      </c>
      <c r="C29" s="9" t="n">
        <v>0.101343154369675</v>
      </c>
      <c r="D29" s="9" t="n">
        <v>0.09658757342738038</v>
      </c>
      <c r="E29" s="9" t="n">
        <v>0.08297858543935331</v>
      </c>
      <c r="F29" s="9" t="n">
        <v>0.003103180760279286</v>
      </c>
      <c r="G29" s="9" t="n">
        <v>0.01318851823118697</v>
      </c>
      <c r="H29" s="9" t="n">
        <v>0.02172226532195501</v>
      </c>
      <c r="I29" s="9" t="n">
        <v>0.03025601241272304</v>
      </c>
      <c r="J29" s="9" t="n">
        <v>0.03878975950349108</v>
      </c>
      <c r="K29" s="9" t="n">
        <v>0.05120248254460822</v>
      </c>
      <c r="L29" s="9" t="n">
        <v>0.06051202482544608</v>
      </c>
      <c r="M29" s="9" t="n">
        <v>0.06671838634600466</v>
      </c>
      <c r="N29" s="9" t="n">
        <v>0.07370054305663305</v>
      </c>
      <c r="O29" s="9" t="n">
        <v>0.0791311093871218</v>
      </c>
      <c r="P29" s="13" t="n">
        <v>-0.0901403058799683</v>
      </c>
      <c r="Q29" s="14" t="n">
        <v>1.323511708359959</v>
      </c>
      <c r="R29" s="15" t="n">
        <v>12</v>
      </c>
      <c r="S29" s="9" t="n">
        <v>0.0791311093871218</v>
      </c>
      <c r="T29" s="13" t="n">
        <v>1</v>
      </c>
      <c r="U29" s="9" t="n">
        <v>0.0791311093871218</v>
      </c>
      <c r="V29" s="9" t="n"/>
      <c r="W29" s="9" t="n"/>
      <c r="X29" s="9" t="n"/>
      <c r="Y29" s="8" t="n">
        <v>1002</v>
      </c>
      <c r="Z29" s="9" t="n">
        <v>0.08322621243406135</v>
      </c>
      <c r="AA29" s="9" t="n">
        <v>0.07085828343313373</v>
      </c>
      <c r="AB29" s="10">
        <f>IFERROR(D29/O29-1,"")</f>
        <v/>
      </c>
      <c r="AC29" s="10">
        <f>IFERROR(E29/O29-1,"")</f>
        <v/>
      </c>
      <c r="AD29" s="10">
        <f>IFERROR(E29/U29-1,"")</f>
        <v/>
      </c>
      <c r="AE29" s="10">
        <f>IFERROR(Z29/AA29-1,"")</f>
        <v/>
      </c>
    </row>
    <row r="30">
      <c r="A30" s="7" t="inlineStr">
        <is>
          <t>202504</t>
        </is>
      </c>
      <c r="B30" s="8" t="n">
        <v>1187</v>
      </c>
      <c r="C30" s="9" t="n">
        <v>0.09972286710818475</v>
      </c>
      <c r="D30" s="9" t="n">
        <v>0.09497850570708463</v>
      </c>
      <c r="E30" s="9" t="n">
        <v>0.08238138769762222</v>
      </c>
      <c r="F30" s="9" t="n">
        <v>0.004212299915754001</v>
      </c>
      <c r="G30" s="9" t="n">
        <v>0.0134793597304128</v>
      </c>
      <c r="H30" s="9" t="n">
        <v>0.01432181971356361</v>
      </c>
      <c r="I30" s="9" t="n">
        <v>0.02358887952822241</v>
      </c>
      <c r="J30" s="9" t="n">
        <v>0.02780117944397641</v>
      </c>
      <c r="K30" s="9" t="n">
        <v>0.03706823925863521</v>
      </c>
      <c r="L30" s="9" t="n">
        <v>0.04465037910699242</v>
      </c>
      <c r="M30" s="9" t="n">
        <v>0.05223251895534962</v>
      </c>
      <c r="N30" s="9" t="n">
        <v>0.06318449873631002</v>
      </c>
      <c r="O30" s="9" t="n">
        <v>0.07076663858466722</v>
      </c>
      <c r="P30" s="13" t="n">
        <v>-0.0763210869948466</v>
      </c>
      <c r="Q30" s="14" t="n">
        <v>1.639175710707863</v>
      </c>
      <c r="R30" s="15" t="n">
        <v>12</v>
      </c>
      <c r="S30" s="9" t="n">
        <v>0.07076663858466722</v>
      </c>
      <c r="T30" s="13" t="n">
        <v>1</v>
      </c>
      <c r="U30" s="9" t="n">
        <v>0.07076663858466722</v>
      </c>
      <c r="V30" s="9" t="n"/>
      <c r="W30" s="9" t="n"/>
      <c r="X30" s="9" t="n"/>
      <c r="Y30" s="8" t="n">
        <v>902</v>
      </c>
      <c r="Z30" s="9" t="n">
        <v>0.08101008297028625</v>
      </c>
      <c r="AA30" s="9" t="n">
        <v>0.05543237250554324</v>
      </c>
      <c r="AB30" s="10">
        <f>IFERROR(D30/O30-1,"")</f>
        <v/>
      </c>
      <c r="AC30" s="10">
        <f>IFERROR(E30/O30-1,"")</f>
        <v/>
      </c>
      <c r="AD30" s="10">
        <f>IFERROR(E30/U30-1,"")</f>
        <v/>
      </c>
      <c r="AE30" s="10">
        <f>IFERROR(Z30/AA30-1,"")</f>
        <v/>
      </c>
    </row>
    <row r="31">
      <c r="A31" s="7" t="inlineStr">
        <is>
          <t>202505</t>
        </is>
      </c>
      <c r="B31" s="8" t="n">
        <v>1148</v>
      </c>
      <c r="C31" s="9" t="n">
        <v>0.1028890492514632</v>
      </c>
      <c r="D31" s="9" t="n">
        <v>0.09774668546286427</v>
      </c>
      <c r="E31" s="9" t="n">
        <v>0.08579979586898036</v>
      </c>
      <c r="F31" s="9" t="n">
        <v>0.002613240418118467</v>
      </c>
      <c r="G31" s="9" t="n">
        <v>0.01045296167247387</v>
      </c>
      <c r="H31" s="9" t="n">
        <v>0.01480836236933798</v>
      </c>
      <c r="I31" s="9" t="n">
        <v>0.0235191637630662</v>
      </c>
      <c r="J31" s="9" t="n">
        <v>0.03484320557491289</v>
      </c>
      <c r="K31" s="9" t="n">
        <v>0.04094076655052264</v>
      </c>
      <c r="L31" s="9" t="n">
        <v>0.04965156794425087</v>
      </c>
      <c r="M31" s="9" t="n">
        <v>0.05487804878048781</v>
      </c>
      <c r="N31" s="9" t="n">
        <v>0.06010452961672474</v>
      </c>
      <c r="O31" s="9" t="n">
        <v>0.06968641114982578</v>
      </c>
      <c r="P31" s="13" t="n">
        <v>-0.0729545842663733</v>
      </c>
      <c r="Q31" s="14" t="n">
        <v>1.716074682641011</v>
      </c>
      <c r="R31" s="15" t="n">
        <v>12</v>
      </c>
      <c r="S31" s="9" t="n">
        <v>0.06968641114982578</v>
      </c>
      <c r="T31" s="13" t="n">
        <v>1</v>
      </c>
      <c r="U31" s="9" t="n">
        <v>0.06968641114982578</v>
      </c>
      <c r="V31" s="9" t="n"/>
      <c r="W31" s="9" t="n"/>
      <c r="X31" s="9" t="n"/>
      <c r="Y31" s="8" t="n">
        <v>876</v>
      </c>
      <c r="Z31" s="9" t="n">
        <v>0.08638497050373078</v>
      </c>
      <c r="AA31" s="9" t="n">
        <v>0.0684931506849315</v>
      </c>
      <c r="AB31" s="10">
        <f>IFERROR(D31/O31-1,"")</f>
        <v/>
      </c>
      <c r="AC31" s="10">
        <f>IFERROR(E31/O31-1,"")</f>
        <v/>
      </c>
      <c r="AD31" s="10">
        <f>IFERROR(E31/U31-1,"")</f>
        <v/>
      </c>
      <c r="AE31" s="10">
        <f>IFERROR(Z31/AA31-1,"")</f>
        <v/>
      </c>
    </row>
    <row r="32">
      <c r="A32" s="7" t="inlineStr">
        <is>
          <t>202506</t>
        </is>
      </c>
      <c r="B32" s="8" t="n">
        <v>1119</v>
      </c>
      <c r="C32" s="9" t="n">
        <v>0.1038351995725654</v>
      </c>
      <c r="D32" s="9" t="n">
        <v>0.09900930060707931</v>
      </c>
      <c r="E32" s="9" t="n">
        <v>0.08670189575253004</v>
      </c>
      <c r="F32" s="9" t="n">
        <v>0.0008936550491510277</v>
      </c>
      <c r="G32" s="9" t="n">
        <v>0.01251117068811439</v>
      </c>
      <c r="H32" s="9" t="n">
        <v>0.01876675603217158</v>
      </c>
      <c r="I32" s="9" t="n">
        <v>0.02859696157283289</v>
      </c>
      <c r="J32" s="9" t="n">
        <v>0.04021447721179625</v>
      </c>
      <c r="K32" s="9" t="n">
        <v>0.04468275245755138</v>
      </c>
      <c r="L32" s="9" t="n">
        <v>0.05004468275245755</v>
      </c>
      <c r="M32" s="9" t="n">
        <v>0.05987488829311886</v>
      </c>
      <c r="N32" s="9" t="n">
        <v>0.06344950848972297</v>
      </c>
      <c r="O32" s="9" t="n">
        <v>0.06881143878462913</v>
      </c>
      <c r="P32" s="13" t="n">
        <v>-0.07376569476056211</v>
      </c>
      <c r="Q32" s="14" t="n">
        <v>1.69754697951463</v>
      </c>
      <c r="R32" s="15" t="n">
        <v>12</v>
      </c>
      <c r="S32" s="9" t="n">
        <v>0.06881143878462913</v>
      </c>
      <c r="T32" s="13" t="n">
        <v>1</v>
      </c>
      <c r="U32" s="9" t="n">
        <v>0.06881143878462913</v>
      </c>
      <c r="V32" s="9" t="n"/>
      <c r="W32" s="9" t="n"/>
      <c r="X32" s="9" t="n"/>
      <c r="Y32" s="8" t="n">
        <v>845</v>
      </c>
      <c r="Z32" s="9" t="n">
        <v>0.08995797349374204</v>
      </c>
      <c r="AA32" s="9" t="n">
        <v>0.0650887573964497</v>
      </c>
      <c r="AB32" s="10">
        <f>IFERROR(D32/O32-1,"")</f>
        <v/>
      </c>
      <c r="AC32" s="10">
        <f>IFERROR(E32/O32-1,"")</f>
        <v/>
      </c>
      <c r="AD32" s="10">
        <f>IFERROR(E32/U32-1,"")</f>
        <v/>
      </c>
      <c r="AE32" s="10">
        <f>IFERROR(Z32/AA32-1,"")</f>
        <v/>
      </c>
    </row>
    <row r="33">
      <c r="A33" s="7" t="inlineStr">
        <is>
          <t>202507</t>
        </is>
      </c>
      <c r="B33" s="8" t="n">
        <v>1762</v>
      </c>
      <c r="C33" s="9" t="n">
        <v>0.1131687671972585</v>
      </c>
      <c r="D33" s="9" t="n">
        <v>0.1083022283588903</v>
      </c>
      <c r="E33" s="9" t="n">
        <v>0.09579967421537242</v>
      </c>
      <c r="F33" s="9" t="n">
        <v>0.00510783200908059</v>
      </c>
      <c r="G33" s="9" t="n">
        <v>0.01475595913734393</v>
      </c>
      <c r="H33" s="9" t="n">
        <v>0.02780930760499432</v>
      </c>
      <c r="I33" s="9" t="n">
        <v>0.03461975028376844</v>
      </c>
      <c r="J33" s="9" t="n">
        <v>0.04086265607264472</v>
      </c>
      <c r="K33" s="9" t="n">
        <v>0.04653802497162315</v>
      </c>
      <c r="L33" s="9" t="n">
        <v>0.05561861520998865</v>
      </c>
      <c r="M33" s="9" t="n">
        <v>0.0641316685584563</v>
      </c>
      <c r="N33" s="9" t="n">
        <v>0.0720771850170261</v>
      </c>
      <c r="O33" s="9" t="n"/>
      <c r="P33" s="13" t="n">
        <v>-0.0736408959148164</v>
      </c>
      <c r="Q33" s="14" t="n">
        <v>1.700397683556876</v>
      </c>
      <c r="R33" s="15" t="n">
        <v>11</v>
      </c>
      <c r="S33" s="9" t="n">
        <v>0.0720771850170261</v>
      </c>
      <c r="T33" s="13" t="n">
        <v>1.064220183486239</v>
      </c>
      <c r="U33" s="9" t="n">
        <v>0.07670599506399109</v>
      </c>
      <c r="V33" s="9" t="n">
        <v>0.07604234448474015</v>
      </c>
      <c r="W33" s="9" t="n">
        <v>0.07692246128254634</v>
      </c>
      <c r="X33" s="9" t="n">
        <v>0.07852278433784167</v>
      </c>
      <c r="Y33" s="8" t="n">
        <v>1375</v>
      </c>
      <c r="Z33" s="9" t="n">
        <v>0.09462659377721734</v>
      </c>
      <c r="AA33" s="9" t="n"/>
      <c r="AB33" s="10">
        <f>IFERROR(D33/O33-1,"")</f>
        <v/>
      </c>
      <c r="AC33" s="10">
        <f>IFERROR(E33/O33-1,"")</f>
        <v/>
      </c>
      <c r="AD33" s="10">
        <f>IFERROR(E33/U33-1,"")</f>
        <v/>
      </c>
      <c r="AE33" s="10">
        <f>IFERROR(Z33/AA33-1,"")</f>
        <v/>
      </c>
    </row>
    <row r="34">
      <c r="A34" s="7" t="inlineStr">
        <is>
          <t>202508</t>
        </is>
      </c>
      <c r="B34" s="8" t="n">
        <v>1696</v>
      </c>
      <c r="C34" s="9" t="n">
        <v>0.1093078289732319</v>
      </c>
      <c r="D34" s="9" t="n">
        <v>0.1044159496904852</v>
      </c>
      <c r="E34" s="9" t="n">
        <v>0.09072968650646476</v>
      </c>
      <c r="F34" s="9" t="n">
        <v>0.007665094339622642</v>
      </c>
      <c r="G34" s="9" t="n">
        <v>0.02476415094339623</v>
      </c>
      <c r="H34" s="9" t="n">
        <v>0.03596698113207547</v>
      </c>
      <c r="I34" s="9" t="n">
        <v>0.04716981132075472</v>
      </c>
      <c r="J34" s="9" t="n">
        <v>0.05424528301886793</v>
      </c>
      <c r="K34" s="9" t="n">
        <v>0.06191037735849057</v>
      </c>
      <c r="L34" s="9" t="n">
        <v>0.07193396226415094</v>
      </c>
      <c r="M34" s="9" t="n">
        <v>0.08372641509433962</v>
      </c>
      <c r="N34" s="9" t="n"/>
      <c r="O34" s="9" t="n"/>
      <c r="P34" s="13" t="n">
        <v>-0.1003314429254493</v>
      </c>
      <c r="Q34" s="14" t="n">
        <v>1.090721770303759</v>
      </c>
      <c r="R34" s="15" t="n">
        <v>10</v>
      </c>
      <c r="S34" s="9" t="n">
        <v>0.08372641509433962</v>
      </c>
      <c r="T34" s="13" t="n">
        <v>1.140983606557377</v>
      </c>
      <c r="U34" s="9" t="n">
        <v>0.09553046705845963</v>
      </c>
      <c r="V34" s="9" t="n">
        <v>0.09454217657342658</v>
      </c>
      <c r="W34" s="9" t="n">
        <v>0.09672589595938652</v>
      </c>
      <c r="X34" s="9" t="n">
        <v>0.09926068076499107</v>
      </c>
      <c r="Y34" s="8" t="n">
        <v>1312</v>
      </c>
      <c r="Z34" s="9" t="n">
        <v>0.09050504992243887</v>
      </c>
      <c r="AA34" s="9" t="n"/>
      <c r="AB34" s="10">
        <f>IFERROR(D34/O34-1,"")</f>
        <v/>
      </c>
      <c r="AC34" s="10">
        <f>IFERROR(E34/O34-1,"")</f>
        <v/>
      </c>
      <c r="AD34" s="10">
        <f>IFERROR(E34/U34-1,"")</f>
        <v/>
      </c>
      <c r="AE34" s="10">
        <f>IFERROR(Z34/AA34-1,"")</f>
        <v/>
      </c>
    </row>
    <row r="35">
      <c r="A35" s="7" t="inlineStr">
        <is>
          <t>202509</t>
        </is>
      </c>
      <c r="B35" s="8" t="n">
        <v>1792</v>
      </c>
      <c r="C35" s="9" t="n">
        <v>0.1136028961289932</v>
      </c>
      <c r="D35" s="9" t="n">
        <v>0.1085928690601057</v>
      </c>
      <c r="E35" s="9" t="n">
        <v>0.09519881323775838</v>
      </c>
      <c r="F35" s="9" t="n">
        <v>0.007254464285714286</v>
      </c>
      <c r="G35" s="9" t="n">
        <v>0.02511160714285714</v>
      </c>
      <c r="H35" s="9" t="n">
        <v>0.03459821428571429</v>
      </c>
      <c r="I35" s="9" t="n">
        <v>0.04464285714285714</v>
      </c>
      <c r="J35" s="9" t="n">
        <v>0.05245535714285714</v>
      </c>
      <c r="K35" s="9" t="n">
        <v>0.06194196428571429</v>
      </c>
      <c r="L35" s="9" t="n">
        <v>0.06752232142857142</v>
      </c>
      <c r="M35" s="9" t="n"/>
      <c r="N35" s="9" t="n"/>
      <c r="O35" s="9" t="n"/>
      <c r="P35" s="13" t="n">
        <v>-0.0943381636827425</v>
      </c>
      <c r="Q35" s="14" t="n">
        <v>1.227622598684031</v>
      </c>
      <c r="R35" s="15" t="n">
        <v>9</v>
      </c>
      <c r="S35" s="9" t="n">
        <v>0.06752232142857142</v>
      </c>
      <c r="T35" s="13" t="n">
        <v>1.251184834123223</v>
      </c>
      <c r="U35" s="9" t="n">
        <v>0.08448290453622206</v>
      </c>
      <c r="V35" s="9" t="n">
        <v>0.08215385002685285</v>
      </c>
      <c r="W35" s="9" t="n">
        <v>0.08695715209740058</v>
      </c>
      <c r="X35" s="9" t="n">
        <v>0.08990552106858224</v>
      </c>
      <c r="Y35" s="8" t="n">
        <v>1398</v>
      </c>
      <c r="Z35" s="9" t="n">
        <v>0.09491768197523137</v>
      </c>
      <c r="AA35" s="9" t="n"/>
      <c r="AB35" s="10">
        <f>IFERROR(D35/O35-1,"")</f>
        <v/>
      </c>
      <c r="AC35" s="10">
        <f>IFERROR(E35/O35-1,"")</f>
        <v/>
      </c>
      <c r="AD35" s="10">
        <f>IFERROR(E35/U35-1,"")</f>
        <v/>
      </c>
      <c r="AE35" s="10">
        <f>IFERROR(Z35/AA35-1,"")</f>
        <v/>
      </c>
    </row>
    <row r="36">
      <c r="A36" s="7" t="inlineStr">
        <is>
          <t>202510</t>
        </is>
      </c>
      <c r="B36" s="8" t="n">
        <v>1832</v>
      </c>
      <c r="C36" s="9" t="n">
        <v>0.1062262889880313</v>
      </c>
      <c r="D36" s="9" t="n">
        <v>0.1014319944229001</v>
      </c>
      <c r="E36" s="9" t="n">
        <v>0.08779243795175247</v>
      </c>
      <c r="F36" s="9" t="n">
        <v>0.006004366812227074</v>
      </c>
      <c r="G36" s="9" t="n">
        <v>0.02347161572052402</v>
      </c>
      <c r="H36" s="9" t="n">
        <v>0.03111353711790393</v>
      </c>
      <c r="I36" s="9" t="n">
        <v>0.03930131004366812</v>
      </c>
      <c r="J36" s="9" t="n">
        <v>0.05294759825327511</v>
      </c>
      <c r="K36" s="9" t="n">
        <v>0.06386462882096069</v>
      </c>
      <c r="L36" s="9" t="n"/>
      <c r="M36" s="9" t="n"/>
      <c r="N36" s="9" t="n"/>
      <c r="O36" s="9" t="n"/>
      <c r="P36" s="13" t="n">
        <v>-0.0971864626399724</v>
      </c>
      <c r="Q36" s="14" t="n">
        <v>1.162560639958521</v>
      </c>
      <c r="R36" s="15" t="n">
        <v>8</v>
      </c>
      <c r="S36" s="9" t="n">
        <v>0.06386462882096069</v>
      </c>
      <c r="T36" s="13" t="n">
        <v>1.406577255190153</v>
      </c>
      <c r="U36" s="9" t="n">
        <v>0.0898305343107248</v>
      </c>
      <c r="V36" s="9" t="n">
        <v>0.08601613346244448</v>
      </c>
      <c r="W36" s="9" t="n">
        <v>0.09142930658631918</v>
      </c>
      <c r="X36" s="9" t="n">
        <v>0.09843861651448986</v>
      </c>
      <c r="Y36" s="8" t="n">
        <v>1386</v>
      </c>
      <c r="Z36" s="9" t="n">
        <v>0.08793146133583161</v>
      </c>
      <c r="AA36" s="9" t="n"/>
      <c r="AB36" s="10">
        <f>IFERROR(D36/O36-1,"")</f>
        <v/>
      </c>
      <c r="AC36" s="10">
        <f>IFERROR(E36/O36-1,"")</f>
        <v/>
      </c>
      <c r="AD36" s="10">
        <f>IFERROR(E36/U36-1,"")</f>
        <v/>
      </c>
      <c r="AE36" s="10">
        <f>IFERROR(Z36/AA36-1,"")</f>
        <v/>
      </c>
    </row>
    <row r="37">
      <c r="A37" s="7" t="inlineStr">
        <is>
          <t>202511</t>
        </is>
      </c>
      <c r="B37" s="8" t="n">
        <v>1792</v>
      </c>
      <c r="C37" s="9" t="n">
        <v>0.1115183621441247</v>
      </c>
      <c r="D37" s="9" t="n">
        <v>0.1066495828282703</v>
      </c>
      <c r="E37" s="9" t="n">
        <v>0.09294213989222966</v>
      </c>
      <c r="F37" s="9" t="n">
        <v>0.006696428571428571</v>
      </c>
      <c r="G37" s="9" t="n">
        <v>0.02511160714285714</v>
      </c>
      <c r="H37" s="9" t="n">
        <v>0.04017857142857143</v>
      </c>
      <c r="I37" s="9" t="n">
        <v>0.05189732142857143</v>
      </c>
      <c r="J37" s="9" t="n">
        <v>0.06361607142857142</v>
      </c>
      <c r="K37" s="9" t="n"/>
      <c r="L37" s="9" t="n"/>
      <c r="M37" s="9" t="n"/>
      <c r="N37" s="9" t="n"/>
      <c r="O37" s="9" t="n"/>
      <c r="P37" s="13" t="n">
        <v>-0.0951950453295296</v>
      </c>
      <c r="Q37" s="14" t="n">
        <v>1.208049372989306</v>
      </c>
      <c r="R37" s="15" t="n">
        <v>7</v>
      </c>
      <c r="S37" s="9" t="n">
        <v>0.06361607142857142</v>
      </c>
      <c r="T37" s="13" t="n">
        <v>1.643271088216355</v>
      </c>
      <c r="U37" s="9" t="n">
        <v>0.104538450924478</v>
      </c>
      <c r="V37" s="9" t="n">
        <v>0.1009691031692611</v>
      </c>
      <c r="W37" s="9" t="n">
        <v>0.1050790602553871</v>
      </c>
      <c r="X37" s="9" t="n">
        <v>0.1143313953488372</v>
      </c>
      <c r="Y37" s="8" t="n">
        <v>1345</v>
      </c>
      <c r="Z37" s="9" t="n">
        <v>0.09275157145429358</v>
      </c>
      <c r="AA37" s="9" t="n"/>
      <c r="AB37" s="10">
        <f>IFERROR(D37/O37-1,"")</f>
        <v/>
      </c>
      <c r="AC37" s="10">
        <f>IFERROR(E37/O37-1,"")</f>
        <v/>
      </c>
      <c r="AD37" s="10">
        <f>IFERROR(E37/U37-1,"")</f>
        <v/>
      </c>
      <c r="AE37" s="10">
        <f>IFERROR(Z37/AA37-1,"")</f>
        <v/>
      </c>
    </row>
    <row r="38">
      <c r="A38" s="7" t="inlineStr">
        <is>
          <t>202512</t>
        </is>
      </c>
      <c r="B38" s="8" t="n">
        <v>1962</v>
      </c>
      <c r="C38" s="9" t="n">
        <v>0.1139775064415949</v>
      </c>
      <c r="D38" s="9" t="n">
        <v>0.1089415407528822</v>
      </c>
      <c r="E38" s="9" t="n">
        <v>0.09535898512918593</v>
      </c>
      <c r="F38" s="9" t="n">
        <v>0.006625891946992864</v>
      </c>
      <c r="G38" s="9" t="n">
        <v>0.02752293577981652</v>
      </c>
      <c r="H38" s="9" t="n">
        <v>0.04128440366972477</v>
      </c>
      <c r="I38" s="9" t="n">
        <v>0.05708460754332314</v>
      </c>
      <c r="J38" s="9" t="n"/>
      <c r="K38" s="9" t="n"/>
      <c r="L38" s="9" t="n"/>
      <c r="M38" s="9" t="n"/>
      <c r="N38" s="9" t="n"/>
      <c r="O38" s="9" t="n"/>
      <c r="P38" s="13" t="n">
        <v>-0.0907389631868307</v>
      </c>
      <c r="Q38" s="14" t="n">
        <v>1.309836944027043</v>
      </c>
      <c r="R38" s="15" t="n">
        <v>6</v>
      </c>
      <c r="S38" s="9" t="n">
        <v>0.05708460754332314</v>
      </c>
      <c r="T38" s="13" t="n">
        <v>1.97625193598348</v>
      </c>
      <c r="U38" s="9" t="n">
        <v>0.1128135661723495</v>
      </c>
      <c r="V38" s="9" t="n">
        <v>0.1059957371883977</v>
      </c>
      <c r="W38" s="9" t="n">
        <v>0.1149371498820009</v>
      </c>
      <c r="X38" s="9" t="n">
        <v>0.1325824817881206</v>
      </c>
      <c r="Y38" s="8" t="n">
        <v>1543</v>
      </c>
      <c r="Z38" s="9" t="n">
        <v>0.0947865552076374</v>
      </c>
      <c r="AA38" s="9" t="n"/>
      <c r="AB38" s="10">
        <f>IFERROR(D38/O38-1,"")</f>
        <v/>
      </c>
      <c r="AC38" s="10">
        <f>IFERROR(E38/O38-1,"")</f>
        <v/>
      </c>
      <c r="AD38" s="10">
        <f>IFERROR(E38/U38-1,"")</f>
        <v/>
      </c>
      <c r="AE38" s="10">
        <f>IFERROR(Z38/AA38-1,"")</f>
        <v/>
      </c>
    </row>
    <row r="39">
      <c r="A39" s="7" t="inlineStr">
        <is>
          <t>202601</t>
        </is>
      </c>
      <c r="B39" s="8" t="n">
        <v>2328</v>
      </c>
      <c r="C39" s="9" t="n">
        <v>0.1090098847999138</v>
      </c>
      <c r="D39" s="9" t="n">
        <v>0.1041646591040443</v>
      </c>
      <c r="E39" s="9" t="n">
        <v>0.09052609275110944</v>
      </c>
      <c r="F39" s="9" t="n">
        <v>0.00902061855670103</v>
      </c>
      <c r="G39" s="9" t="n">
        <v>0.03694158075601375</v>
      </c>
      <c r="H39" s="9" t="n">
        <v>0.054553264604811</v>
      </c>
      <c r="I39" s="9" t="n"/>
      <c r="J39" s="9" t="n"/>
      <c r="K39" s="9" t="n"/>
      <c r="L39" s="9" t="n"/>
      <c r="M39" s="9" t="n"/>
      <c r="N39" s="9" t="n"/>
      <c r="O39" s="9" t="n"/>
      <c r="P39" s="13" t="n">
        <v>-0.0827512368458839</v>
      </c>
      <c r="Q39" s="14" t="n">
        <v>1.492295713035885</v>
      </c>
      <c r="R39" s="15" t="n">
        <v>5</v>
      </c>
      <c r="S39" s="9" t="n">
        <v>0.054553264604811</v>
      </c>
      <c r="T39" s="13" t="n">
        <v>2.557114228456914</v>
      </c>
      <c r="U39" s="9" t="n">
        <v>0.1394989291297371</v>
      </c>
      <c r="V39" s="9" t="n">
        <v>0.1324006284495964</v>
      </c>
      <c r="W39" s="9" t="n">
        <v>0.1425750635450753</v>
      </c>
      <c r="X39" s="9" t="n">
        <v>0.1863903207331042</v>
      </c>
      <c r="Y39" s="8" t="n">
        <v>1705</v>
      </c>
      <c r="Z39" s="9" t="n">
        <v>0.08820883866423743</v>
      </c>
      <c r="AA39" s="9" t="n"/>
      <c r="AB39" s="10">
        <f>IFERROR(D39/O39-1,"")</f>
        <v/>
      </c>
      <c r="AC39" s="10">
        <f>IFERROR(E39/O39-1,"")</f>
        <v/>
      </c>
      <c r="AD39" s="10">
        <f>IFERROR(E39/U39-1,"")</f>
        <v/>
      </c>
      <c r="AE39" s="10">
        <f>IFERROR(Z39/AA39-1,"")</f>
        <v/>
      </c>
    </row>
    <row r="40">
      <c r="A40" s="7" t="inlineStr">
        <is>
          <t>202602</t>
        </is>
      </c>
      <c r="B40" s="8" t="n">
        <v>2179</v>
      </c>
      <c r="C40" s="9" t="n">
        <v>0.1120275265497453</v>
      </c>
      <c r="D40" s="9" t="n">
        <v>0.1070917582228274</v>
      </c>
      <c r="E40" s="9" t="n">
        <v>0.1005604605427599</v>
      </c>
      <c r="F40" s="9" t="n">
        <v>0.01376778338687471</v>
      </c>
      <c r="G40" s="9" t="n">
        <v>0.03763194125745755</v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13" t="n">
        <v>-0.0370388932419964</v>
      </c>
      <c r="Q40" s="14" t="n">
        <v>2.53647494332808</v>
      </c>
      <c r="R40" s="15" t="n">
        <v>4</v>
      </c>
      <c r="S40" s="9" t="n">
        <v>0.03763194125745755</v>
      </c>
      <c r="T40" s="13" t="n">
        <v>3.795736241943481</v>
      </c>
      <c r="U40" s="9" t="n">
        <v>0.1428409232856197</v>
      </c>
      <c r="V40" s="9" t="n">
        <v>0.130851924775595</v>
      </c>
      <c r="W40" s="9" t="n">
        <v>0.1529745304412583</v>
      </c>
      <c r="X40" s="9" t="n">
        <v>0.1990895715789758</v>
      </c>
      <c r="Y40" s="8" t="n">
        <v>1660</v>
      </c>
      <c r="Z40" s="9" t="n">
        <v>0.09952462898793311</v>
      </c>
      <c r="AA40" s="9" t="n"/>
      <c r="AB40" s="10">
        <f>IFERROR(D40/O40-1,"")</f>
        <v/>
      </c>
      <c r="AC40" s="10">
        <f>IFERROR(E40/O40-1,"")</f>
        <v/>
      </c>
      <c r="AD40" s="10">
        <f>IFERROR(E40/U40-1,"")</f>
        <v/>
      </c>
      <c r="AE40" s="10">
        <f>IFERROR(Z40/AA40-1,"")</f>
        <v/>
      </c>
    </row>
    <row r="41">
      <c r="A41" s="7" t="inlineStr">
        <is>
          <t>202603</t>
        </is>
      </c>
      <c r="B41" s="8" t="n">
        <v>2658</v>
      </c>
      <c r="C41" s="9" t="n">
        <v>0.1148664726938091</v>
      </c>
      <c r="D41" s="9" t="n">
        <v>0.1098865667793219</v>
      </c>
      <c r="E41" s="9" t="n">
        <v>0.112356256746905</v>
      </c>
      <c r="F41" s="9" t="n">
        <v>0.009029345372460496</v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3" t="n">
        <v>0.014389803325765</v>
      </c>
      <c r="Q41" s="14" t="n">
        <v>3.711229343636036</v>
      </c>
      <c r="R41" s="15" t="n">
        <v>3</v>
      </c>
      <c r="S41" s="9" t="n">
        <v>0.009029345372460496</v>
      </c>
      <c r="T41" s="13" t="n">
        <v>12.67549668874172</v>
      </c>
      <c r="U41" s="9" t="n">
        <v>0.1144514373701284</v>
      </c>
      <c r="V41" s="9" t="n">
        <v>0.09862165674806757</v>
      </c>
      <c r="W41" s="9" t="n">
        <v>0.1236210374747831</v>
      </c>
      <c r="X41" s="9" t="n">
        <v>0.1635700642472651</v>
      </c>
      <c r="Y41" s="8" t="n">
        <v>2012</v>
      </c>
      <c r="Z41" s="9" t="n">
        <v>0.1109853961632212</v>
      </c>
      <c r="AA41" s="9" t="n"/>
      <c r="AB41" s="10">
        <f>IFERROR(D41/O41-1,"")</f>
        <v/>
      </c>
      <c r="AC41" s="10">
        <f>IFERROR(E41/O41-1,"")</f>
        <v/>
      </c>
      <c r="AD41" s="10">
        <f>IFERROR(E41/U41-1,"")</f>
        <v/>
      </c>
      <c r="AE41" s="10">
        <f>IFERROR(Z41/AA41-1,"")</f>
        <v/>
      </c>
    </row>
    <row r="42">
      <c r="A42" s="7" t="inlineStr">
        <is>
          <t>202604</t>
        </is>
      </c>
      <c r="B42" s="8" t="n">
        <v>2576</v>
      </c>
      <c r="C42" s="9" t="n">
        <v>0.1194438033380042</v>
      </c>
      <c r="D42" s="9" t="n">
        <v>0.1126204969199455</v>
      </c>
      <c r="E42" s="9" t="n">
        <v>0.1194971081306508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3" t="n">
        <v>0.0241851909297492</v>
      </c>
      <c r="Q42" s="14" t="n">
        <v>3.934979418175466</v>
      </c>
      <c r="R42" s="15" t="n"/>
      <c r="S42" s="9" t="n"/>
      <c r="T42" s="13" t="n"/>
      <c r="U42" s="9" t="n"/>
      <c r="V42" s="9" t="n"/>
      <c r="W42" s="9" t="n"/>
      <c r="X42" s="9" t="n"/>
      <c r="Y42" s="8" t="n">
        <v>1967</v>
      </c>
      <c r="Z42" s="9" t="n">
        <v>0.1180098209173183</v>
      </c>
      <c r="AA42" s="9" t="n"/>
      <c r="AB42" s="10">
        <f>IFERROR(D42/O42-1,"")</f>
        <v/>
      </c>
      <c r="AC42" s="10">
        <f>IFERROR(E42/O42-1,"")</f>
        <v/>
      </c>
      <c r="AD42" s="10">
        <f>IFERROR(E42/U42-1,"")</f>
        <v/>
      </c>
      <c r="AE42" s="10">
        <f>IFERROR(Z42/AA42-1,"")</f>
        <v/>
      </c>
    </row>
    <row r="43">
      <c r="A43" s="7" t="inlineStr">
        <is>
          <t>202605</t>
        </is>
      </c>
      <c r="B43" s="8" t="n">
        <v>3373</v>
      </c>
      <c r="C43" s="9" t="n">
        <v>0.1193364373685197</v>
      </c>
      <c r="D43" s="9" t="n">
        <v>0.1121046280048251</v>
      </c>
      <c r="E43" s="9" t="n">
        <v>0.1186269798993851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3" t="n">
        <v>0.0192471239254993</v>
      </c>
      <c r="Q43" s="14" t="n">
        <v>3.822182160430176</v>
      </c>
      <c r="R43" s="15" t="n"/>
      <c r="S43" s="9" t="n"/>
      <c r="T43" s="13" t="n"/>
      <c r="U43" s="9" t="n"/>
      <c r="V43" s="9" t="n"/>
      <c r="W43" s="9" t="n"/>
      <c r="X43" s="9" t="n"/>
      <c r="Y43" s="8" t="n">
        <v>2569</v>
      </c>
      <c r="Z43" s="9" t="n">
        <v>0.1178636130446682</v>
      </c>
      <c r="AA43" s="9" t="n"/>
      <c r="AB43" s="10">
        <f>IFERROR(D43/O43-1,"")</f>
        <v/>
      </c>
      <c r="AC43" s="10">
        <f>IFERROR(E43/O43-1,"")</f>
        <v/>
      </c>
      <c r="AD43" s="10">
        <f>IFERROR(E43/U43-1,"")</f>
        <v/>
      </c>
      <c r="AE43" s="10">
        <f>IFERROR(Z43/AA43-1,"")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</cols>
  <sheetData>
    <row r="1">
      <c r="A1" s="1" t="inlineStr">
        <is>
          <t>SSFF con BCP</t>
        </is>
      </c>
    </row>
    <row r="2">
      <c r="A2" s="2" t="inlineStr">
        <is>
          <t>BCP + Scotiabank + BBVA + Falabella (el sistema SIN Interbank)</t>
        </is>
      </c>
    </row>
    <row r="4" ht="30" customHeight="1">
      <c r="A4" s="6" t="inlineStr">
        <is>
          <t>codmes</t>
        </is>
      </c>
      <c r="B4" s="6" t="inlineStr">
        <is>
          <t>n</t>
        </is>
      </c>
      <c r="C4" s="6" t="inlineStr">
        <is>
          <t>PD sin calibrar</t>
        </is>
      </c>
      <c r="D4" s="6" t="inlineStr">
        <is>
          <t>PD cal vigente</t>
        </is>
      </c>
      <c r="E4" s="6" t="inlineStr">
        <is>
          <t>PD cal NUEVA</t>
        </is>
      </c>
      <c r="F4" s="6" t="inlineStr">
        <is>
          <t>mora 3m</t>
        </is>
      </c>
      <c r="G4" s="6" t="inlineStr">
        <is>
          <t>mora 4m</t>
        </is>
      </c>
      <c r="H4" s="6" t="inlineStr">
        <is>
          <t>mora 5m</t>
        </is>
      </c>
      <c r="I4" s="6" t="inlineStr">
        <is>
          <t>mora 6m</t>
        </is>
      </c>
      <c r="J4" s="6" t="inlineStr">
        <is>
          <t>mora 7m</t>
        </is>
      </c>
      <c r="K4" s="6" t="inlineStr">
        <is>
          <t>mora 8m</t>
        </is>
      </c>
      <c r="L4" s="6" t="inlineStr">
        <is>
          <t>mora 9m</t>
        </is>
      </c>
      <c r="M4" s="6" t="inlineStr">
        <is>
          <t>mora 10m</t>
        </is>
      </c>
      <c r="N4" s="6" t="inlineStr">
        <is>
          <t>mora 11m</t>
        </is>
      </c>
      <c r="O4" s="6" t="inlineStr">
        <is>
          <t>mora 12m</t>
        </is>
      </c>
      <c r="P4" s="6" t="inlineStr">
        <is>
          <t>ft ciclo</t>
        </is>
      </c>
      <c r="Q4" s="6" t="inlineStr">
        <is>
          <t>inflacion %</t>
        </is>
      </c>
      <c r="R4" s="6" t="inlineStr">
        <is>
          <t>madurez</t>
        </is>
      </c>
      <c r="S4" s="6" t="inlineStr">
        <is>
          <t>mora base</t>
        </is>
      </c>
      <c r="T4" s="6" t="inlineStr">
        <is>
          <t>factor h-&gt;12</t>
        </is>
      </c>
      <c r="U4" s="6" t="inlineStr">
        <is>
          <t>proy mediana</t>
        </is>
      </c>
      <c r="V4" s="6" t="inlineStr">
        <is>
          <t>n visible IBK</t>
        </is>
      </c>
      <c r="W4" s="6" t="inlineStr">
        <is>
          <t>PD cal NUEVA visible</t>
        </is>
      </c>
      <c r="X4" s="6" t="inlineStr">
        <is>
          <t>mora 12m visible</t>
        </is>
      </c>
      <c r="Y4" s="6" t="inlineStr">
        <is>
          <t>EC vigente</t>
        </is>
      </c>
      <c r="Z4" s="6" t="inlineStr">
        <is>
          <t>EC NUEVA</t>
        </is>
      </c>
      <c r="AA4" s="6" t="inlineStr">
        <is>
          <t>EC NUEVA vs proy</t>
        </is>
      </c>
      <c r="AB4" s="6" t="inlineStr">
        <is>
          <t>EC NUEVA visible</t>
        </is>
      </c>
    </row>
    <row r="5">
      <c r="A5" s="7" t="inlineStr">
        <is>
          <t>202303</t>
        </is>
      </c>
      <c r="B5" s="8" t="n">
        <v>18845</v>
      </c>
      <c r="C5" s="9" t="n">
        <v>0.1345471501433923</v>
      </c>
      <c r="D5" s="9" t="n">
        <v>0.1697302748267528</v>
      </c>
      <c r="E5" s="9" t="n">
        <v>0.1534218648848316</v>
      </c>
      <c r="F5" s="9" t="n">
        <v>0.005412576280180419</v>
      </c>
      <c r="G5" s="9" t="n">
        <v>0.01931546829397718</v>
      </c>
      <c r="H5" s="9" t="n">
        <v>0.0319978774210666</v>
      </c>
      <c r="I5" s="9" t="n">
        <v>0.04287609445476254</v>
      </c>
      <c r="J5" s="9" t="n">
        <v>0.05391350490846378</v>
      </c>
      <c r="K5" s="9" t="n">
        <v>0.06468559299548952</v>
      </c>
      <c r="L5" s="9" t="n">
        <v>0.07439639161581321</v>
      </c>
      <c r="M5" s="9" t="n">
        <v>0.08309896524276997</v>
      </c>
      <c r="N5" s="9" t="n">
        <v>0.09164234544972141</v>
      </c>
      <c r="O5" s="9" t="n">
        <v>0.1004510480233484</v>
      </c>
      <c r="P5" s="13" t="n">
        <v>0.2313077929548288</v>
      </c>
      <c r="Q5" s="14" t="n">
        <v>8.666154897445178</v>
      </c>
      <c r="R5" s="15" t="n">
        <v>12</v>
      </c>
      <c r="S5" s="9" t="n">
        <v>0.1004510480233484</v>
      </c>
      <c r="T5" s="13" t="n">
        <v>1</v>
      </c>
      <c r="U5" s="9" t="n">
        <v>0.1004510480233484</v>
      </c>
      <c r="V5" s="8" t="n">
        <v>6772</v>
      </c>
      <c r="W5" s="9" t="n">
        <v>0.1551253288470388</v>
      </c>
      <c r="X5" s="9" t="n">
        <v>0.1159184878913172</v>
      </c>
      <c r="Y5" s="10">
        <f>IFERROR(D5/O5-1,"")</f>
        <v/>
      </c>
      <c r="Z5" s="10">
        <f>IFERROR(E5/O5-1,"")</f>
        <v/>
      </c>
      <c r="AA5" s="10">
        <f>IFERROR(E5/U5-1,"")</f>
        <v/>
      </c>
      <c r="AB5" s="10">
        <f>IFERROR(W5/X5-1,"")</f>
        <v/>
      </c>
    </row>
    <row r="6">
      <c r="A6" s="7" t="inlineStr">
        <is>
          <t>202304</t>
        </is>
      </c>
      <c r="B6" s="8" t="n">
        <v>20578</v>
      </c>
      <c r="C6" s="9" t="n">
        <v>0.1372161122199717</v>
      </c>
      <c r="D6" s="9" t="n">
        <v>0.1729214610076629</v>
      </c>
      <c r="E6" s="9" t="n">
        <v>0.1565862188532028</v>
      </c>
      <c r="F6" s="9" t="n">
        <v>0.003255904363883759</v>
      </c>
      <c r="G6" s="9" t="n">
        <v>0.01744581591991447</v>
      </c>
      <c r="H6" s="9" t="n">
        <v>0.03032364661288755</v>
      </c>
      <c r="I6" s="9" t="n">
        <v>0.04325007289338128</v>
      </c>
      <c r="J6" s="9" t="n">
        <v>0.05583633006123044</v>
      </c>
      <c r="K6" s="9" t="n">
        <v>0.06711050636602196</v>
      </c>
      <c r="L6" s="9" t="n">
        <v>0.07755855768296238</v>
      </c>
      <c r="M6" s="9" t="n">
        <v>0.08674312372436582</v>
      </c>
      <c r="N6" s="9" t="n">
        <v>0.0963164544659345</v>
      </c>
      <c r="O6" s="9" t="n">
        <v>0.1063757410827097</v>
      </c>
      <c r="P6" s="13" t="n">
        <v>0.2039883111878369</v>
      </c>
      <c r="Q6" s="14" t="n">
        <v>8.042112610516504</v>
      </c>
      <c r="R6" s="15" t="n">
        <v>12</v>
      </c>
      <c r="S6" s="9" t="n">
        <v>0.1063757410827097</v>
      </c>
      <c r="T6" s="13" t="n">
        <v>1</v>
      </c>
      <c r="U6" s="9" t="n">
        <v>0.1063757410827097</v>
      </c>
      <c r="V6" s="8" t="n">
        <v>7676</v>
      </c>
      <c r="W6" s="9" t="n">
        <v>0.1593313861755877</v>
      </c>
      <c r="X6" s="9" t="n">
        <v>0.1198540906722251</v>
      </c>
      <c r="Y6" s="10">
        <f>IFERROR(D6/O6-1,"")</f>
        <v/>
      </c>
      <c r="Z6" s="10">
        <f>IFERROR(E6/O6-1,"")</f>
        <v/>
      </c>
      <c r="AA6" s="10">
        <f>IFERROR(E6/U6-1,"")</f>
        <v/>
      </c>
      <c r="AB6" s="10">
        <f>IFERROR(W6/X6-1,"")</f>
        <v/>
      </c>
    </row>
    <row r="7">
      <c r="A7" s="7" t="inlineStr">
        <is>
          <t>202305</t>
        </is>
      </c>
      <c r="B7" s="8" t="n">
        <v>16149</v>
      </c>
      <c r="C7" s="9" t="n">
        <v>0.1353786819368736</v>
      </c>
      <c r="D7" s="9" t="n">
        <v>0.1706303560993175</v>
      </c>
      <c r="E7" s="9" t="n">
        <v>0.1541876684699905</v>
      </c>
      <c r="F7" s="9" t="n">
        <v>0.004891943773608273</v>
      </c>
      <c r="G7" s="9" t="n">
        <v>0.01919623506099449</v>
      </c>
      <c r="H7" s="9" t="n">
        <v>0.0329432162982228</v>
      </c>
      <c r="I7" s="9" t="n">
        <v>0.04532788407950956</v>
      </c>
      <c r="J7" s="9" t="n">
        <v>0.05542138832125828</v>
      </c>
      <c r="K7" s="9" t="n">
        <v>0.06613412595207134</v>
      </c>
      <c r="L7" s="9" t="n">
        <v>0.07511301009350424</v>
      </c>
      <c r="M7" s="9" t="n">
        <v>0.08402997089603072</v>
      </c>
      <c r="N7" s="9" t="n">
        <v>0.09437116849340517</v>
      </c>
      <c r="O7" s="9" t="n">
        <v>0.1038454393460895</v>
      </c>
      <c r="P7" s="13" t="n">
        <v>0.2015420225900039</v>
      </c>
      <c r="Q7" s="14" t="n">
        <v>7.986233529643028</v>
      </c>
      <c r="R7" s="15" t="n">
        <v>12</v>
      </c>
      <c r="S7" s="9" t="n">
        <v>0.1038454393460895</v>
      </c>
      <c r="T7" s="13" t="n">
        <v>1</v>
      </c>
      <c r="U7" s="9" t="n">
        <v>0.1038454393460895</v>
      </c>
      <c r="V7" s="8" t="n">
        <v>5827</v>
      </c>
      <c r="W7" s="9" t="n">
        <v>0.156223526763479</v>
      </c>
      <c r="X7" s="9" t="n">
        <v>0.1175562038784966</v>
      </c>
      <c r="Y7" s="10">
        <f>IFERROR(D7/O7-1,"")</f>
        <v/>
      </c>
      <c r="Z7" s="10">
        <f>IFERROR(E7/O7-1,"")</f>
        <v/>
      </c>
      <c r="AA7" s="10">
        <f>IFERROR(E7/U7-1,"")</f>
        <v/>
      </c>
      <c r="AB7" s="10">
        <f>IFERROR(W7/X7-1,"")</f>
        <v/>
      </c>
    </row>
    <row r="8">
      <c r="A8" s="7" t="inlineStr">
        <is>
          <t>202306</t>
        </is>
      </c>
      <c r="B8" s="8" t="n">
        <v>12321</v>
      </c>
      <c r="C8" s="9" t="n">
        <v>0.1325364917796838</v>
      </c>
      <c r="D8" s="9" t="n">
        <v>0.1670105832696708</v>
      </c>
      <c r="E8" s="9" t="n">
        <v>0.1503078943403029</v>
      </c>
      <c r="F8" s="9" t="n">
        <v>0.004301598896193491</v>
      </c>
      <c r="G8" s="9" t="n">
        <v>0.01517733950166383</v>
      </c>
      <c r="H8" s="9" t="n">
        <v>0.02637772908043178</v>
      </c>
      <c r="I8" s="9" t="n">
        <v>0.03676649622595569</v>
      </c>
      <c r="J8" s="9" t="n">
        <v>0.04691177664150637</v>
      </c>
      <c r="K8" s="9" t="n">
        <v>0.05445986527067608</v>
      </c>
      <c r="L8" s="9" t="n">
        <v>0.06338771203636069</v>
      </c>
      <c r="M8" s="9" t="n">
        <v>0.07239672104536969</v>
      </c>
      <c r="N8" s="9" t="n">
        <v>0.08099991883775667</v>
      </c>
      <c r="O8" s="9" t="n">
        <v>0.08838568298027757</v>
      </c>
      <c r="P8" s="13" t="n">
        <v>0.145631156252523</v>
      </c>
      <c r="Q8" s="14" t="n">
        <v>6.709095654518293</v>
      </c>
      <c r="R8" s="15" t="n">
        <v>12</v>
      </c>
      <c r="S8" s="9" t="n">
        <v>0.08838568298027757</v>
      </c>
      <c r="T8" s="13" t="n">
        <v>1</v>
      </c>
      <c r="U8" s="9" t="n">
        <v>0.08838568298027757</v>
      </c>
      <c r="V8" s="8" t="n">
        <v>4522</v>
      </c>
      <c r="W8" s="9" t="n">
        <v>0.1530644015208946</v>
      </c>
      <c r="X8" s="9" t="n">
        <v>0.1052631578947368</v>
      </c>
      <c r="Y8" s="10">
        <f>IFERROR(D8/O8-1,"")</f>
        <v/>
      </c>
      <c r="Z8" s="10">
        <f>IFERROR(E8/O8-1,"")</f>
        <v/>
      </c>
      <c r="AA8" s="10">
        <f>IFERROR(E8/U8-1,"")</f>
        <v/>
      </c>
      <c r="AB8" s="10">
        <f>IFERROR(W8/X8-1,"")</f>
        <v/>
      </c>
    </row>
    <row r="9">
      <c r="A9" s="7" t="inlineStr">
        <is>
          <t>202307</t>
        </is>
      </c>
      <c r="B9" s="8" t="n">
        <v>10733</v>
      </c>
      <c r="C9" s="9" t="n">
        <v>0.1304373513909103</v>
      </c>
      <c r="D9" s="9" t="n">
        <v>0.1330364946297469</v>
      </c>
      <c r="E9" s="9" t="n">
        <v>0.1455767905193738</v>
      </c>
      <c r="F9" s="9" t="n">
        <v>0.002701947265443026</v>
      </c>
      <c r="G9" s="9" t="n">
        <v>0.0149072952576167</v>
      </c>
      <c r="H9" s="9" t="n">
        <v>0.02469020777042765</v>
      </c>
      <c r="I9" s="9" t="n">
        <v>0.03298239075747694</v>
      </c>
      <c r="J9" s="9" t="n">
        <v>0.04006335600484487</v>
      </c>
      <c r="K9" s="9" t="n">
        <v>0.04900773315941489</v>
      </c>
      <c r="L9" s="9" t="n">
        <v>0.05869747507686574</v>
      </c>
      <c r="M9" s="9" t="n">
        <v>0.06764185223143576</v>
      </c>
      <c r="N9" s="9" t="n">
        <v>0.07621354700456535</v>
      </c>
      <c r="O9" s="9" t="n">
        <v>0.08599645951737632</v>
      </c>
      <c r="P9" s="13" t="n">
        <v>0.1154476643960626</v>
      </c>
      <c r="Q9" s="14" t="n">
        <v>6.019632529037033</v>
      </c>
      <c r="R9" s="15" t="n">
        <v>12</v>
      </c>
      <c r="S9" s="9" t="n">
        <v>0.08599645951737632</v>
      </c>
      <c r="T9" s="13" t="n">
        <v>1</v>
      </c>
      <c r="U9" s="9" t="n">
        <v>0.08599645951737632</v>
      </c>
      <c r="V9" s="8" t="n">
        <v>4078</v>
      </c>
      <c r="W9" s="9" t="n">
        <v>0.1493835758964713</v>
      </c>
      <c r="X9" s="9" t="n">
        <v>0.1032368808239333</v>
      </c>
      <c r="Y9" s="10">
        <f>IFERROR(D9/O9-1,"")</f>
        <v/>
      </c>
      <c r="Z9" s="10">
        <f>IFERROR(E9/O9-1,"")</f>
        <v/>
      </c>
      <c r="AA9" s="10">
        <f>IFERROR(E9/U9-1,"")</f>
        <v/>
      </c>
      <c r="AB9" s="10">
        <f>IFERROR(W9/X9-1,"")</f>
        <v/>
      </c>
    </row>
    <row r="10">
      <c r="A10" s="7" t="inlineStr">
        <is>
          <t>202308</t>
        </is>
      </c>
      <c r="B10" s="8" t="n">
        <v>11994</v>
      </c>
      <c r="C10" s="9" t="n">
        <v>0.1310328601175267</v>
      </c>
      <c r="D10" s="9" t="n">
        <v>0.133669299163202</v>
      </c>
      <c r="E10" s="9" t="n">
        <v>0.146701299309117</v>
      </c>
      <c r="F10" s="9" t="n">
        <v>0.00383525095881274</v>
      </c>
      <c r="G10" s="9" t="n">
        <v>0.01425712856428214</v>
      </c>
      <c r="H10" s="9" t="n">
        <v>0.0247623811905953</v>
      </c>
      <c r="I10" s="9" t="n">
        <v>0.03226613306653327</v>
      </c>
      <c r="J10" s="9" t="n">
        <v>0.04210438552609638</v>
      </c>
      <c r="K10" s="9" t="n">
        <v>0.05027513756878439</v>
      </c>
      <c r="L10" s="9" t="n">
        <v>0.05969651492412873</v>
      </c>
      <c r="M10" s="9" t="n">
        <v>0.06778389194597299</v>
      </c>
      <c r="N10" s="9" t="n">
        <v>0.07603801900950476</v>
      </c>
      <c r="O10" s="9" t="n">
        <v>0.08237452059363015</v>
      </c>
      <c r="P10" s="13" t="n">
        <v>0.1052420450312428</v>
      </c>
      <c r="Q10" s="14" t="n">
        <v>5.786511780178594</v>
      </c>
      <c r="R10" s="15" t="n">
        <v>12</v>
      </c>
      <c r="S10" s="9" t="n">
        <v>0.08237452059363015</v>
      </c>
      <c r="T10" s="13" t="n">
        <v>1</v>
      </c>
      <c r="U10" s="9" t="n">
        <v>0.08237452059363015</v>
      </c>
      <c r="V10" s="8" t="n">
        <v>4400</v>
      </c>
      <c r="W10" s="9" t="n">
        <v>0.146547445464009</v>
      </c>
      <c r="X10" s="9" t="n">
        <v>0.09931818181818182</v>
      </c>
      <c r="Y10" s="10">
        <f>IFERROR(D10/O10-1,"")</f>
        <v/>
      </c>
      <c r="Z10" s="10">
        <f>IFERROR(E10/O10-1,"")</f>
        <v/>
      </c>
      <c r="AA10" s="10">
        <f>IFERROR(E10/U10-1,"")</f>
        <v/>
      </c>
      <c r="AB10" s="10">
        <f>IFERROR(W10/X10-1,"")</f>
        <v/>
      </c>
    </row>
    <row r="11">
      <c r="A11" s="7" t="inlineStr">
        <is>
          <t>202309</t>
        </is>
      </c>
      <c r="B11" s="8" t="n">
        <v>10921</v>
      </c>
      <c r="C11" s="9" t="n">
        <v>0.1279197107432053</v>
      </c>
      <c r="D11" s="9" t="n">
        <v>0.1228771363216597</v>
      </c>
      <c r="E11" s="9" t="n">
        <v>0.1392427071128185</v>
      </c>
      <c r="F11" s="9" t="n">
        <v>0.00265543448402161</v>
      </c>
      <c r="G11" s="9" t="n">
        <v>0.01318560571376248</v>
      </c>
      <c r="H11" s="9" t="n">
        <v>0.02215914293562861</v>
      </c>
      <c r="I11" s="9" t="n">
        <v>0.0315905136892226</v>
      </c>
      <c r="J11" s="9" t="n">
        <v>0.039648383847633</v>
      </c>
      <c r="K11" s="9" t="n">
        <v>0.049079754601227</v>
      </c>
      <c r="L11" s="9" t="n">
        <v>0.05732075817232854</v>
      </c>
      <c r="M11" s="9" t="n">
        <v>0.06391356102920978</v>
      </c>
      <c r="N11" s="9" t="n">
        <v>0.06968226352898087</v>
      </c>
      <c r="O11" s="9" t="n">
        <v>0.07645819979855324</v>
      </c>
      <c r="P11" s="13" t="n">
        <v>0.0826428782528265</v>
      </c>
      <c r="Q11" s="14" t="n">
        <v>5.270292774292296</v>
      </c>
      <c r="R11" s="15" t="n">
        <v>12</v>
      </c>
      <c r="S11" s="9" t="n">
        <v>0.07645819979855324</v>
      </c>
      <c r="T11" s="13" t="n">
        <v>1</v>
      </c>
      <c r="U11" s="9" t="n">
        <v>0.07645819979855324</v>
      </c>
      <c r="V11" s="8" t="n">
        <v>4017</v>
      </c>
      <c r="W11" s="9" t="n">
        <v>0.1402117979076274</v>
      </c>
      <c r="X11" s="9" t="n">
        <v>0.08663181478715459</v>
      </c>
      <c r="Y11" s="10">
        <f>IFERROR(D11/O11-1,"")</f>
        <v/>
      </c>
      <c r="Z11" s="10">
        <f>IFERROR(E11/O11-1,"")</f>
        <v/>
      </c>
      <c r="AA11" s="10">
        <f>IFERROR(E11/U11-1,"")</f>
        <v/>
      </c>
      <c r="AB11" s="10">
        <f>IFERROR(W11/X11-1,"")</f>
        <v/>
      </c>
    </row>
    <row r="12">
      <c r="A12" s="7" t="inlineStr">
        <is>
          <t>202310</t>
        </is>
      </c>
      <c r="B12" s="8" t="n">
        <v>11826</v>
      </c>
      <c r="C12" s="9" t="n">
        <v>0.1267299757473097</v>
      </c>
      <c r="D12" s="9" t="n">
        <v>0.1285737696440496</v>
      </c>
      <c r="E12" s="9" t="n">
        <v>0.1312924806325065</v>
      </c>
      <c r="F12" s="9" t="n">
        <v>0.002705902249281245</v>
      </c>
      <c r="G12" s="9" t="n">
        <v>0.01192288178589548</v>
      </c>
      <c r="H12" s="9" t="n">
        <v>0.02156265854895992</v>
      </c>
      <c r="I12" s="9" t="n">
        <v>0.03035684085912396</v>
      </c>
      <c r="J12" s="9" t="n">
        <v>0.03889734483341789</v>
      </c>
      <c r="K12" s="9" t="n">
        <v>0.04693049213597159</v>
      </c>
      <c r="L12" s="9" t="n">
        <v>0.05496363943852528</v>
      </c>
      <c r="M12" s="9" t="n">
        <v>0.06223575173346862</v>
      </c>
      <c r="N12" s="9" t="n">
        <v>0.06823947234906139</v>
      </c>
      <c r="O12" s="9" t="n">
        <v>0.07339759851175376</v>
      </c>
      <c r="P12" s="13" t="n">
        <v>0.0496812016861095</v>
      </c>
      <c r="Q12" s="14" t="n">
        <v>4.517369267135951</v>
      </c>
      <c r="R12" s="15" t="n">
        <v>12</v>
      </c>
      <c r="S12" s="9" t="n">
        <v>0.07339759851175376</v>
      </c>
      <c r="T12" s="13" t="n">
        <v>1</v>
      </c>
      <c r="U12" s="9" t="n">
        <v>0.07339759851175376</v>
      </c>
      <c r="V12" s="8" t="n">
        <v>4255</v>
      </c>
      <c r="W12" s="9" t="n">
        <v>0.1298120172878978</v>
      </c>
      <c r="X12" s="9" t="n">
        <v>0.090951821386604</v>
      </c>
      <c r="Y12" s="10">
        <f>IFERROR(D12/O12-1,"")</f>
        <v/>
      </c>
      <c r="Z12" s="10">
        <f>IFERROR(E12/O12-1,"")</f>
        <v/>
      </c>
      <c r="AA12" s="10">
        <f>IFERROR(E12/U12-1,"")</f>
        <v/>
      </c>
      <c r="AB12" s="10">
        <f>IFERROR(W12/X12-1,"")</f>
        <v/>
      </c>
    </row>
    <row r="13">
      <c r="A13" s="7" t="inlineStr">
        <is>
          <t>202311</t>
        </is>
      </c>
      <c r="B13" s="8" t="n">
        <v>12398</v>
      </c>
      <c r="C13" s="9" t="n">
        <v>0.1270722251888446</v>
      </c>
      <c r="D13" s="9" t="n">
        <v>0.1293322652446746</v>
      </c>
      <c r="E13" s="9" t="n">
        <v>0.1256980890682544</v>
      </c>
      <c r="F13" s="9" t="n">
        <v>0.00282303597354412</v>
      </c>
      <c r="G13" s="9" t="n">
        <v>0.01129214389417648</v>
      </c>
      <c r="H13" s="9" t="n">
        <v>0.02089046620422649</v>
      </c>
      <c r="I13" s="9" t="n">
        <v>0.02960154863687691</v>
      </c>
      <c r="J13" s="9" t="n">
        <v>0.03807065655750928</v>
      </c>
      <c r="K13" s="9" t="n">
        <v>0.04629778996612357</v>
      </c>
      <c r="L13" s="9" t="n">
        <v>0.05226649459590257</v>
      </c>
      <c r="M13" s="9" t="n">
        <v>0.05831585739635425</v>
      </c>
      <c r="N13" s="9" t="n">
        <v>0.06452653653815131</v>
      </c>
      <c r="O13" s="9" t="n">
        <v>0.07009195031456686</v>
      </c>
      <c r="P13" s="13" t="n">
        <v>0.0176922115343233</v>
      </c>
      <c r="Q13" s="14" t="n">
        <v>3.786664243478488</v>
      </c>
      <c r="R13" s="15" t="n">
        <v>12</v>
      </c>
      <c r="S13" s="9" t="n">
        <v>0.07009195031456686</v>
      </c>
      <c r="T13" s="13" t="n">
        <v>1</v>
      </c>
      <c r="U13" s="9" t="n">
        <v>0.07009195031456686</v>
      </c>
      <c r="V13" s="8" t="n">
        <v>4503</v>
      </c>
      <c r="W13" s="9" t="n">
        <v>0.1251611343495943</v>
      </c>
      <c r="X13" s="9" t="n">
        <v>0.0861647790361981</v>
      </c>
      <c r="Y13" s="10">
        <f>IFERROR(D13/O13-1,"")</f>
        <v/>
      </c>
      <c r="Z13" s="10">
        <f>IFERROR(E13/O13-1,"")</f>
        <v/>
      </c>
      <c r="AA13" s="10">
        <f>IFERROR(E13/U13-1,"")</f>
        <v/>
      </c>
      <c r="AB13" s="10">
        <f>IFERROR(W13/X13-1,"")</f>
        <v/>
      </c>
    </row>
    <row r="14">
      <c r="A14" s="7" t="inlineStr">
        <is>
          <t>202312</t>
        </is>
      </c>
      <c r="B14" s="8" t="n">
        <v>12132</v>
      </c>
      <c r="C14" s="9" t="n">
        <v>0.1310973543217918</v>
      </c>
      <c r="D14" s="9" t="n">
        <v>0.13342365455931</v>
      </c>
      <c r="E14" s="9" t="n">
        <v>0.1269947189043743</v>
      </c>
      <c r="F14" s="9" t="n">
        <v>0.003214638971315529</v>
      </c>
      <c r="G14" s="9" t="n">
        <v>0.01458951533135509</v>
      </c>
      <c r="H14" s="9" t="n">
        <v>0.02456313880646225</v>
      </c>
      <c r="I14" s="9" t="n">
        <v>0.03486646884272997</v>
      </c>
      <c r="J14" s="9" t="n">
        <v>0.04434553247609627</v>
      </c>
      <c r="K14" s="9" t="n">
        <v>0.05217606330365974</v>
      </c>
      <c r="L14" s="9" t="n">
        <v>0.05769864820309924</v>
      </c>
      <c r="M14" s="9" t="n">
        <v>0.06536432575008243</v>
      </c>
      <c r="N14" s="9" t="n">
        <v>0.07303000329706562</v>
      </c>
      <c r="O14" s="9" t="n">
        <v>0.07954170787998681</v>
      </c>
      <c r="P14" s="13" t="n">
        <v>0.0012463846792965</v>
      </c>
      <c r="Q14" s="14" t="n">
        <v>3.411002234638927</v>
      </c>
      <c r="R14" s="15" t="n">
        <v>12</v>
      </c>
      <c r="S14" s="9" t="n">
        <v>0.07954170787998681</v>
      </c>
      <c r="T14" s="13" t="n">
        <v>1</v>
      </c>
      <c r="U14" s="9" t="n">
        <v>0.07954170787998681</v>
      </c>
      <c r="V14" s="8" t="n">
        <v>4379</v>
      </c>
      <c r="W14" s="9" t="n">
        <v>0.1268845679631825</v>
      </c>
      <c r="X14" s="9" t="n">
        <v>0.09225850650833524</v>
      </c>
      <c r="Y14" s="10">
        <f>IFERROR(D14/O14-1,"")</f>
        <v/>
      </c>
      <c r="Z14" s="10">
        <f>IFERROR(E14/O14-1,"")</f>
        <v/>
      </c>
      <c r="AA14" s="10">
        <f>IFERROR(E14/U14-1,"")</f>
        <v/>
      </c>
      <c r="AB14" s="10">
        <f>IFERROR(W14/X14-1,"")</f>
        <v/>
      </c>
    </row>
    <row r="15">
      <c r="A15" s="7" t="inlineStr">
        <is>
          <t>202401</t>
        </is>
      </c>
      <c r="B15" s="8" t="n">
        <v>14511</v>
      </c>
      <c r="C15" s="9" t="n">
        <v>0.1303063796272349</v>
      </c>
      <c r="D15" s="9" t="n">
        <v>0.1251508938534342</v>
      </c>
      <c r="E15" s="9" t="n">
        <v>0.1224323288920566</v>
      </c>
      <c r="F15" s="9" t="n">
        <v>0.003445661911653229</v>
      </c>
      <c r="G15" s="9" t="n">
        <v>0.01571221831713872</v>
      </c>
      <c r="H15" s="9" t="n">
        <v>0.02591137757563228</v>
      </c>
      <c r="I15" s="9" t="n">
        <v>0.03569705740472745</v>
      </c>
      <c r="J15" s="9" t="n">
        <v>0.04258838122803391</v>
      </c>
      <c r="K15" s="9" t="n">
        <v>0.04947970505134036</v>
      </c>
      <c r="L15" s="9" t="n">
        <v>0.05568189649231618</v>
      </c>
      <c r="M15" s="9" t="n">
        <v>0.06167734821859279</v>
      </c>
      <c r="N15" s="9" t="n">
        <v>0.06657018813314038</v>
      </c>
      <c r="O15" s="9" t="n">
        <v>0.07160085452415409</v>
      </c>
      <c r="P15" s="13" t="n">
        <v>-0.0190642825400903</v>
      </c>
      <c r="Q15" s="14" t="n">
        <v>2.947058030691863</v>
      </c>
      <c r="R15" s="15" t="n">
        <v>12</v>
      </c>
      <c r="S15" s="9" t="n">
        <v>0.07160085452415409</v>
      </c>
      <c r="T15" s="13" t="n">
        <v>1</v>
      </c>
      <c r="U15" s="9" t="n">
        <v>0.07160085452415409</v>
      </c>
      <c r="V15" s="8" t="n">
        <v>5200</v>
      </c>
      <c r="W15" s="9" t="n">
        <v>0.1230603477340007</v>
      </c>
      <c r="X15" s="9" t="n">
        <v>0.08942307692307692</v>
      </c>
      <c r="Y15" s="10">
        <f>IFERROR(D15/O15-1,"")</f>
        <v/>
      </c>
      <c r="Z15" s="10">
        <f>IFERROR(E15/O15-1,"")</f>
        <v/>
      </c>
      <c r="AA15" s="10">
        <f>IFERROR(E15/U15-1,"")</f>
        <v/>
      </c>
      <c r="AB15" s="10">
        <f>IFERROR(W15/X15-1,"")</f>
        <v/>
      </c>
    </row>
    <row r="16">
      <c r="A16" s="7" t="inlineStr">
        <is>
          <t>202402</t>
        </is>
      </c>
      <c r="B16" s="8" t="n">
        <v>14265</v>
      </c>
      <c r="C16" s="9" t="n">
        <v>0.1308672155081557</v>
      </c>
      <c r="D16" s="9" t="n">
        <v>0.125680453106082</v>
      </c>
      <c r="E16" s="9" t="n">
        <v>0.1227929095606655</v>
      </c>
      <c r="F16" s="9" t="n">
        <v>0.004416403785488959</v>
      </c>
      <c r="G16" s="9" t="n">
        <v>0.01626358219418156</v>
      </c>
      <c r="H16" s="9" t="n">
        <v>0.02712933753943218</v>
      </c>
      <c r="I16" s="9" t="n">
        <v>0.03343848580441641</v>
      </c>
      <c r="J16" s="9" t="n">
        <v>0.04121976866456362</v>
      </c>
      <c r="K16" s="9" t="n">
        <v>0.04921135646687697</v>
      </c>
      <c r="L16" s="9" t="n">
        <v>0.05524009814230634</v>
      </c>
      <c r="M16" s="9" t="n">
        <v>0.06098843322818086</v>
      </c>
      <c r="N16" s="9" t="n">
        <v>0.06687697160883281</v>
      </c>
      <c r="O16" s="9" t="n">
        <v>0.07367683140553803</v>
      </c>
      <c r="P16" s="13" t="n">
        <v>-0.0198286684982686</v>
      </c>
      <c r="Q16" s="14" t="n">
        <v>2.929597627690584</v>
      </c>
      <c r="R16" s="15" t="n">
        <v>12</v>
      </c>
      <c r="S16" s="9" t="n">
        <v>0.07367683140553803</v>
      </c>
      <c r="T16" s="13" t="n">
        <v>1</v>
      </c>
      <c r="U16" s="9" t="n">
        <v>0.07367683140553803</v>
      </c>
      <c r="V16" s="8" t="n">
        <v>5285</v>
      </c>
      <c r="W16" s="9" t="n">
        <v>0.1226736055046064</v>
      </c>
      <c r="X16" s="9" t="n">
        <v>0.08703878902554399</v>
      </c>
      <c r="Y16" s="10">
        <f>IFERROR(D16/O16-1,"")</f>
        <v/>
      </c>
      <c r="Z16" s="10">
        <f>IFERROR(E16/O16-1,"")</f>
        <v/>
      </c>
      <c r="AA16" s="10">
        <f>IFERROR(E16/U16-1,"")</f>
        <v/>
      </c>
      <c r="AB16" s="10">
        <f>IFERROR(W16/X16-1,"")</f>
        <v/>
      </c>
    </row>
    <row r="17">
      <c r="A17" s="7" t="inlineStr">
        <is>
          <t>202403</t>
        </is>
      </c>
      <c r="B17" s="8" t="n">
        <v>11315</v>
      </c>
      <c r="C17" s="9" t="n">
        <v>0.1222792388897651</v>
      </c>
      <c r="D17" s="9" t="n">
        <v>0.1173323917087008</v>
      </c>
      <c r="E17" s="9" t="n">
        <v>0.1115609316890239</v>
      </c>
      <c r="F17" s="9" t="n">
        <v>0.004772425983208131</v>
      </c>
      <c r="G17" s="9" t="n">
        <v>0.01670349094122846</v>
      </c>
      <c r="H17" s="9" t="n">
        <v>0.02350861688024746</v>
      </c>
      <c r="I17" s="9" t="n">
        <v>0.02828104286345559</v>
      </c>
      <c r="J17" s="9" t="n">
        <v>0.03561643835616438</v>
      </c>
      <c r="K17" s="9" t="n">
        <v>0.04206805125939019</v>
      </c>
      <c r="L17" s="9" t="n">
        <v>0.0483429076447194</v>
      </c>
      <c r="M17" s="9" t="n">
        <v>0.05444100751215201</v>
      </c>
      <c r="N17" s="9" t="n">
        <v>0.06089262041537782</v>
      </c>
      <c r="O17" s="9" t="n">
        <v>0.06610693769332744</v>
      </c>
      <c r="P17" s="13" t="n">
        <v>-0.0309796378369519</v>
      </c>
      <c r="Q17" s="14" t="n">
        <v>2.67488282501116</v>
      </c>
      <c r="R17" s="15" t="n">
        <v>12</v>
      </c>
      <c r="S17" s="9" t="n">
        <v>0.06610693769332744</v>
      </c>
      <c r="T17" s="13" t="n">
        <v>1</v>
      </c>
      <c r="U17" s="9" t="n">
        <v>0.06610693769332744</v>
      </c>
      <c r="V17" s="8" t="n">
        <v>4200</v>
      </c>
      <c r="W17" s="9" t="n">
        <v>0.1103967002534921</v>
      </c>
      <c r="X17" s="9" t="n">
        <v>0.08</v>
      </c>
      <c r="Y17" s="10">
        <f>IFERROR(D17/O17-1,"")</f>
        <v/>
      </c>
      <c r="Z17" s="10">
        <f>IFERROR(E17/O17-1,"")</f>
        <v/>
      </c>
      <c r="AA17" s="10">
        <f>IFERROR(E17/U17-1,"")</f>
        <v/>
      </c>
      <c r="AB17" s="10">
        <f>IFERROR(W17/X17-1,"")</f>
        <v/>
      </c>
    </row>
    <row r="18">
      <c r="A18" s="7" t="inlineStr">
        <is>
          <t>202404</t>
        </is>
      </c>
      <c r="B18" s="8" t="n">
        <v>16105</v>
      </c>
      <c r="C18" s="9" t="n">
        <v>0.1308780249231921</v>
      </c>
      <c r="D18" s="9" t="n">
        <v>0.1260661151562001</v>
      </c>
      <c r="E18" s="9" t="n">
        <v>0.1162477883052176</v>
      </c>
      <c r="F18" s="9" t="n">
        <v>0.002111145606954362</v>
      </c>
      <c r="G18" s="9" t="n">
        <v>0.011300838248991</v>
      </c>
      <c r="H18" s="9" t="n">
        <v>0.01900031046258926</v>
      </c>
      <c r="I18" s="9" t="n">
        <v>0.0277553554796647</v>
      </c>
      <c r="J18" s="9" t="n">
        <v>0.03663458553244334</v>
      </c>
      <c r="K18" s="9" t="n">
        <v>0.04365104004967402</v>
      </c>
      <c r="L18" s="9" t="n">
        <v>0.05048121701334989</v>
      </c>
      <c r="M18" s="9" t="n">
        <v>0.05650419124495498</v>
      </c>
      <c r="N18" s="9" t="n">
        <v>0.06401738590499845</v>
      </c>
      <c r="O18" s="9" t="n">
        <v>0.07078547035082272</v>
      </c>
      <c r="P18" s="13" t="n">
        <v>-0.0558720181987733</v>
      </c>
      <c r="Q18" s="14" t="n">
        <v>2.106281337597227</v>
      </c>
      <c r="R18" s="15" t="n">
        <v>12</v>
      </c>
      <c r="S18" s="9" t="n">
        <v>0.07078547035082272</v>
      </c>
      <c r="T18" s="13" t="n">
        <v>1</v>
      </c>
      <c r="U18" s="9" t="n">
        <v>0.07078547035082272</v>
      </c>
      <c r="V18" s="8" t="n">
        <v>6086</v>
      </c>
      <c r="W18" s="9" t="n">
        <v>0.1147084620623962</v>
      </c>
      <c r="X18" s="9" t="n">
        <v>0.08199145580019718</v>
      </c>
      <c r="Y18" s="10">
        <f>IFERROR(D18/O18-1,"")</f>
        <v/>
      </c>
      <c r="Z18" s="10">
        <f>IFERROR(E18/O18-1,"")</f>
        <v/>
      </c>
      <c r="AA18" s="10">
        <f>IFERROR(E18/U18-1,"")</f>
        <v/>
      </c>
      <c r="AB18" s="10">
        <f>IFERROR(W18/X18-1,"")</f>
        <v/>
      </c>
    </row>
    <row r="19">
      <c r="A19" s="7" t="inlineStr">
        <is>
          <t>202405</t>
        </is>
      </c>
      <c r="B19" s="8" t="n">
        <v>14797</v>
      </c>
      <c r="C19" s="9" t="n">
        <v>0.1303317915364237</v>
      </c>
      <c r="D19" s="9" t="n">
        <v>0.1255454238294707</v>
      </c>
      <c r="E19" s="9" t="n">
        <v>0.1123657843889724</v>
      </c>
      <c r="F19" s="9" t="n">
        <v>0.00310873825775495</v>
      </c>
      <c r="G19" s="9" t="n">
        <v>0.01121849023450699</v>
      </c>
      <c r="H19" s="9" t="n">
        <v>0.02128809893897412</v>
      </c>
      <c r="I19" s="9" t="n">
        <v>0.02919510711630736</v>
      </c>
      <c r="J19" s="9" t="n">
        <v>0.03703453402716767</v>
      </c>
      <c r="K19" s="9" t="n">
        <v>0.04345475434209637</v>
      </c>
      <c r="L19" s="9" t="n">
        <v>0.04967223085760627</v>
      </c>
      <c r="M19" s="9" t="n">
        <v>0.05636277623842671</v>
      </c>
      <c r="N19" s="9" t="n">
        <v>0.06258025275393661</v>
      </c>
      <c r="O19" s="9" t="n">
        <v>0.06859498547002771</v>
      </c>
      <c r="P19" s="13" t="n">
        <v>-0.0754757595835721</v>
      </c>
      <c r="Q19" s="14" t="n">
        <v>1.658485010036248</v>
      </c>
      <c r="R19" s="15" t="n">
        <v>12</v>
      </c>
      <c r="S19" s="9" t="n">
        <v>0.06859498547002771</v>
      </c>
      <c r="T19" s="13" t="n">
        <v>1</v>
      </c>
      <c r="U19" s="9" t="n">
        <v>0.06859498547002771</v>
      </c>
      <c r="V19" s="8" t="n">
        <v>5478</v>
      </c>
      <c r="W19" s="9" t="n">
        <v>0.112593761450749</v>
      </c>
      <c r="X19" s="9" t="n">
        <v>0.07959109163928441</v>
      </c>
      <c r="Y19" s="10">
        <f>IFERROR(D19/O19-1,"")</f>
        <v/>
      </c>
      <c r="Z19" s="10">
        <f>IFERROR(E19/O19-1,"")</f>
        <v/>
      </c>
      <c r="AA19" s="10">
        <f>IFERROR(E19/U19-1,"")</f>
        <v/>
      </c>
      <c r="AB19" s="10">
        <f>IFERROR(W19/X19-1,"")</f>
        <v/>
      </c>
    </row>
    <row r="20">
      <c r="A20" s="7" t="inlineStr">
        <is>
          <t>202406</t>
        </is>
      </c>
      <c r="B20" s="8" t="n">
        <v>14865</v>
      </c>
      <c r="C20" s="9" t="n">
        <v>0.1306412812827354</v>
      </c>
      <c r="D20" s="9" t="n">
        <v>0.1258153246818414</v>
      </c>
      <c r="E20" s="9" t="n">
        <v>0.1142622723152918</v>
      </c>
      <c r="F20" s="9" t="n">
        <v>0.002892700975445678</v>
      </c>
      <c r="G20" s="9" t="n">
        <v>0.01183989236461487</v>
      </c>
      <c r="H20" s="9" t="n">
        <v>0.02112344433232425</v>
      </c>
      <c r="I20" s="9" t="n">
        <v>0.02959973091153717</v>
      </c>
      <c r="J20" s="9" t="n">
        <v>0.03625967036663303</v>
      </c>
      <c r="K20" s="9" t="n">
        <v>0.04217961654894047</v>
      </c>
      <c r="L20" s="9" t="n">
        <v>0.04944500504540868</v>
      </c>
      <c r="M20" s="9" t="n">
        <v>0.05745038681466532</v>
      </c>
      <c r="N20" s="9" t="n">
        <v>0.06437941473259334</v>
      </c>
      <c r="O20" s="9" t="n">
        <v>0.07124117053481333</v>
      </c>
      <c r="P20" s="13" t="n">
        <v>-0.0653537931038556</v>
      </c>
      <c r="Q20" s="14" t="n">
        <v>1.889694926977259</v>
      </c>
      <c r="R20" s="15" t="n">
        <v>12</v>
      </c>
      <c r="S20" s="9" t="n">
        <v>0.07124117053481333</v>
      </c>
      <c r="T20" s="13" t="n">
        <v>1</v>
      </c>
      <c r="U20" s="9" t="n">
        <v>0.07124117053481333</v>
      </c>
      <c r="V20" s="8" t="n">
        <v>5652</v>
      </c>
      <c r="W20" s="9" t="n">
        <v>0.1161369096221021</v>
      </c>
      <c r="X20" s="9" t="n">
        <v>0.08510261854210899</v>
      </c>
      <c r="Y20" s="10">
        <f>IFERROR(D20/O20-1,"")</f>
        <v/>
      </c>
      <c r="Z20" s="10">
        <f>IFERROR(E20/O20-1,"")</f>
        <v/>
      </c>
      <c r="AA20" s="10">
        <f>IFERROR(E20/U20-1,"")</f>
        <v/>
      </c>
      <c r="AB20" s="10">
        <f>IFERROR(W20/X20-1,"")</f>
        <v/>
      </c>
    </row>
    <row r="21">
      <c r="A21" s="7" t="inlineStr">
        <is>
          <t>202407</t>
        </is>
      </c>
      <c r="B21" s="8" t="n">
        <v>16582</v>
      </c>
      <c r="C21" s="9" t="n">
        <v>0.1337432646779082</v>
      </c>
      <c r="D21" s="9" t="n">
        <v>0.1288403343870299</v>
      </c>
      <c r="E21" s="9" t="n">
        <v>0.1164124240128303</v>
      </c>
      <c r="F21" s="9" t="n">
        <v>0.002774092389337836</v>
      </c>
      <c r="G21" s="9" t="n">
        <v>0.01387046194668918</v>
      </c>
      <c r="H21" s="9" t="n">
        <v>0.02327825352792184</v>
      </c>
      <c r="I21" s="9" t="n">
        <v>0.03190206247738512</v>
      </c>
      <c r="J21" s="9" t="n">
        <v>0.03907851887588952</v>
      </c>
      <c r="K21" s="9" t="n">
        <v>0.04685803883729345</v>
      </c>
      <c r="L21" s="9" t="n">
        <v>0.05403449523579786</v>
      </c>
      <c r="M21" s="9" t="n">
        <v>0.06127125799059221</v>
      </c>
      <c r="N21" s="9" t="n">
        <v>0.06766373175732722</v>
      </c>
      <c r="O21" s="9" t="n">
        <v>0.07465926908696177</v>
      </c>
      <c r="P21" s="13" t="n">
        <v>-0.0704962472517633</v>
      </c>
      <c r="Q21" s="14" t="n">
        <v>1.772228978162538</v>
      </c>
      <c r="R21" s="15" t="n">
        <v>12</v>
      </c>
      <c r="S21" s="9" t="n">
        <v>0.07465926908696177</v>
      </c>
      <c r="T21" s="13" t="n">
        <v>1</v>
      </c>
      <c r="U21" s="9" t="n">
        <v>0.07465926908696177</v>
      </c>
      <c r="V21" s="8" t="n">
        <v>6484</v>
      </c>
      <c r="W21" s="9" t="n">
        <v>0.119229910377976</v>
      </c>
      <c r="X21" s="9" t="n">
        <v>0.09253547193090685</v>
      </c>
      <c r="Y21" s="10">
        <f>IFERROR(D21/O21-1,"")</f>
        <v/>
      </c>
      <c r="Z21" s="10">
        <f>IFERROR(E21/O21-1,"")</f>
        <v/>
      </c>
      <c r="AA21" s="10">
        <f>IFERROR(E21/U21-1,"")</f>
        <v/>
      </c>
      <c r="AB21" s="10">
        <f>IFERROR(W21/X21-1,"")</f>
        <v/>
      </c>
    </row>
    <row r="22">
      <c r="A22" s="7" t="inlineStr">
        <is>
          <t>202408</t>
        </is>
      </c>
      <c r="B22" s="8" t="n">
        <v>15058</v>
      </c>
      <c r="C22" s="9" t="n">
        <v>0.1355932538441152</v>
      </c>
      <c r="D22" s="9" t="n">
        <v>0.1306398721063738</v>
      </c>
      <c r="E22" s="9" t="n">
        <v>0.1176066731372975</v>
      </c>
      <c r="F22" s="9" t="n">
        <v>0.002922034798778058</v>
      </c>
      <c r="G22" s="9" t="n">
        <v>0.01381325541240537</v>
      </c>
      <c r="H22" s="9" t="n">
        <v>0.02377473768096693</v>
      </c>
      <c r="I22" s="9" t="n">
        <v>0.03094700491433125</v>
      </c>
      <c r="J22" s="9" t="n">
        <v>0.03977951919245584</v>
      </c>
      <c r="K22" s="9" t="n">
        <v>0.04841280382520919</v>
      </c>
      <c r="L22" s="9" t="n">
        <v>0.054854562358879</v>
      </c>
      <c r="M22" s="9" t="n">
        <v>0.06182759994687209</v>
      </c>
      <c r="N22" s="9" t="n">
        <v>0.06767166954442821</v>
      </c>
      <c r="O22" s="9" t="n">
        <v>0.07338291937840351</v>
      </c>
      <c r="P22" s="13" t="n">
        <v>-0.0744376341863873</v>
      </c>
      <c r="Q22" s="14" t="n">
        <v>1.68219827636038</v>
      </c>
      <c r="R22" s="15" t="n">
        <v>12</v>
      </c>
      <c r="S22" s="9" t="n">
        <v>0.07338291937840351</v>
      </c>
      <c r="T22" s="13" t="n">
        <v>1</v>
      </c>
      <c r="U22" s="9" t="n">
        <v>0.07338291937840351</v>
      </c>
      <c r="V22" s="8" t="n">
        <v>5661</v>
      </c>
      <c r="W22" s="9" t="n">
        <v>0.1199630559459118</v>
      </c>
      <c r="X22" s="9" t="n">
        <v>0.08973679561914856</v>
      </c>
      <c r="Y22" s="10">
        <f>IFERROR(D22/O22-1,"")</f>
        <v/>
      </c>
      <c r="Z22" s="10">
        <f>IFERROR(E22/O22-1,"")</f>
        <v/>
      </c>
      <c r="AA22" s="10">
        <f>IFERROR(E22/U22-1,"")</f>
        <v/>
      </c>
      <c r="AB22" s="10">
        <f>IFERROR(W22/X22-1,"")</f>
        <v/>
      </c>
    </row>
    <row r="23">
      <c r="A23" s="7" t="inlineStr">
        <is>
          <t>202409</t>
        </is>
      </c>
      <c r="B23" s="8" t="n">
        <v>17972</v>
      </c>
      <c r="C23" s="9" t="n">
        <v>0.1404082260376281</v>
      </c>
      <c r="D23" s="9" t="n">
        <v>0.1353134387269145</v>
      </c>
      <c r="E23" s="9" t="n">
        <v>0.1212493941628916</v>
      </c>
      <c r="F23" s="9" t="n">
        <v>0.002336968617849989</v>
      </c>
      <c r="G23" s="9" t="n">
        <v>0.01251947473848208</v>
      </c>
      <c r="H23" s="9" t="n">
        <v>0.02220120186957489</v>
      </c>
      <c r="I23" s="9" t="n">
        <v>0.03260627643000222</v>
      </c>
      <c r="J23" s="9" t="n">
        <v>0.04290006677053194</v>
      </c>
      <c r="K23" s="9" t="n">
        <v>0.05196973069218785</v>
      </c>
      <c r="L23" s="9" t="n">
        <v>0.060093478744714</v>
      </c>
      <c r="M23" s="9" t="n">
        <v>0.06749387936790563</v>
      </c>
      <c r="N23" s="9" t="n">
        <v>0.07405964834186513</v>
      </c>
      <c r="O23" s="9" t="n">
        <v>0.08107055419541509</v>
      </c>
      <c r="P23" s="13" t="n">
        <v>-0.0828464630159074</v>
      </c>
      <c r="Q23" s="14" t="n">
        <v>1.490120519618099</v>
      </c>
      <c r="R23" s="15" t="n">
        <v>12</v>
      </c>
      <c r="S23" s="9" t="n">
        <v>0.08107055419541509</v>
      </c>
      <c r="T23" s="13" t="n">
        <v>1</v>
      </c>
      <c r="U23" s="9" t="n">
        <v>0.08107055419541509</v>
      </c>
      <c r="V23" s="8" t="n">
        <v>6901</v>
      </c>
      <c r="W23" s="9" t="n">
        <v>0.124608845597811</v>
      </c>
      <c r="X23" s="9" t="n">
        <v>0.09911607013476308</v>
      </c>
      <c r="Y23" s="10">
        <f>IFERROR(D23/O23-1,"")</f>
        <v/>
      </c>
      <c r="Z23" s="10">
        <f>IFERROR(E23/O23-1,"")</f>
        <v/>
      </c>
      <c r="AA23" s="10">
        <f>IFERROR(E23/U23-1,"")</f>
        <v/>
      </c>
      <c r="AB23" s="10">
        <f>IFERROR(W23/X23-1,"")</f>
        <v/>
      </c>
    </row>
    <row r="24">
      <c r="A24" s="7" t="inlineStr">
        <is>
          <t>202410</t>
        </is>
      </c>
      <c r="B24" s="8" t="n">
        <v>19226</v>
      </c>
      <c r="C24" s="9" t="n">
        <v>0.1423691152923897</v>
      </c>
      <c r="D24" s="9" t="n">
        <v>0.1444854483388257</v>
      </c>
      <c r="E24" s="9" t="n">
        <v>0.1250157249217198</v>
      </c>
      <c r="F24" s="9" t="n">
        <v>0.003588890044731093</v>
      </c>
      <c r="G24" s="9" t="n">
        <v>0.01305523769894934</v>
      </c>
      <c r="H24" s="9" t="n">
        <v>0.02631852699469468</v>
      </c>
      <c r="I24" s="9" t="n">
        <v>0.038229480911266</v>
      </c>
      <c r="J24" s="9" t="n">
        <v>0.04779985436388224</v>
      </c>
      <c r="K24" s="9" t="n">
        <v>0.05742224071569749</v>
      </c>
      <c r="L24" s="9" t="n">
        <v>0.0654842400915427</v>
      </c>
      <c r="M24" s="9" t="n">
        <v>0.0733381878705919</v>
      </c>
      <c r="N24" s="9" t="n">
        <v>0.08041194216165609</v>
      </c>
      <c r="O24" s="9" t="n">
        <v>0.08686154166233226</v>
      </c>
      <c r="P24" s="13" t="n">
        <v>-0.0724218660345015</v>
      </c>
      <c r="Q24" s="14" t="n">
        <v>1.728243240834804</v>
      </c>
      <c r="R24" s="15" t="n">
        <v>12</v>
      </c>
      <c r="S24" s="9" t="n">
        <v>0.08686154166233226</v>
      </c>
      <c r="T24" s="13" t="n">
        <v>1</v>
      </c>
      <c r="U24" s="9" t="n">
        <v>0.08686154166233226</v>
      </c>
      <c r="V24" s="8" t="n">
        <v>7657</v>
      </c>
      <c r="W24" s="9" t="n">
        <v>0.1271998102647483</v>
      </c>
      <c r="X24" s="9" t="n">
        <v>0.1063079535065953</v>
      </c>
      <c r="Y24" s="10">
        <f>IFERROR(D24/O24-1,"")</f>
        <v/>
      </c>
      <c r="Z24" s="10">
        <f>IFERROR(E24/O24-1,"")</f>
        <v/>
      </c>
      <c r="AA24" s="10">
        <f>IFERROR(E24/U24-1,"")</f>
        <v/>
      </c>
      <c r="AB24" s="10">
        <f>IFERROR(W24/X24-1,"")</f>
        <v/>
      </c>
    </row>
    <row r="25">
      <c r="A25" s="7" t="inlineStr">
        <is>
          <t>202411</t>
        </is>
      </c>
      <c r="B25" s="8" t="n">
        <v>20716</v>
      </c>
      <c r="C25" s="9" t="n">
        <v>0.1419237906223501</v>
      </c>
      <c r="D25" s="9" t="n">
        <v>0.1440163282410938</v>
      </c>
      <c r="E25" s="9" t="n">
        <v>0.1270970370615382</v>
      </c>
      <c r="F25" s="9" t="n">
        <v>0.002413593357791079</v>
      </c>
      <c r="G25" s="9" t="n">
        <v>0.01621934736435605</v>
      </c>
      <c r="H25" s="9" t="n">
        <v>0.03340413207182854</v>
      </c>
      <c r="I25" s="9" t="n">
        <v>0.04523073952500483</v>
      </c>
      <c r="J25" s="9" t="n">
        <v>0.05565746283066229</v>
      </c>
      <c r="K25" s="9" t="n">
        <v>0.06429812705155435</v>
      </c>
      <c r="L25" s="9" t="n">
        <v>0.07395250048271867</v>
      </c>
      <c r="M25" s="9" t="n">
        <v>0.08302761150801313</v>
      </c>
      <c r="N25" s="9" t="n">
        <v>0.09060629465147711</v>
      </c>
      <c r="O25" s="9" t="n">
        <v>0.09789534659200617</v>
      </c>
      <c r="P25" s="13" t="n">
        <v>-0.0580535033556161</v>
      </c>
      <c r="Q25" s="14" t="n">
        <v>2.056451000485126</v>
      </c>
      <c r="R25" s="15" t="n">
        <v>12</v>
      </c>
      <c r="S25" s="9" t="n">
        <v>0.09789534659200617</v>
      </c>
      <c r="T25" s="13" t="n">
        <v>1</v>
      </c>
      <c r="U25" s="9" t="n">
        <v>0.09789534659200617</v>
      </c>
      <c r="V25" s="8" t="n">
        <v>8564</v>
      </c>
      <c r="W25" s="9" t="n">
        <v>0.1295056240383166</v>
      </c>
      <c r="X25" s="9" t="n">
        <v>0.1118636151331154</v>
      </c>
      <c r="Y25" s="10">
        <f>IFERROR(D25/O25-1,"")</f>
        <v/>
      </c>
      <c r="Z25" s="10">
        <f>IFERROR(E25/O25-1,"")</f>
        <v/>
      </c>
      <c r="AA25" s="10">
        <f>IFERROR(E25/U25-1,"")</f>
        <v/>
      </c>
      <c r="AB25" s="10">
        <f>IFERROR(W25/X25-1,"")</f>
        <v/>
      </c>
    </row>
    <row r="26">
      <c r="A26" s="7" t="inlineStr">
        <is>
          <t>202412</t>
        </is>
      </c>
      <c r="B26" s="8" t="n">
        <v>18526</v>
      </c>
      <c r="C26" s="9" t="n">
        <v>0.1403196980888882</v>
      </c>
      <c r="D26" s="9" t="n">
        <v>0.1423740726484915</v>
      </c>
      <c r="E26" s="9" t="n">
        <v>0.1241486386427458</v>
      </c>
      <c r="F26" s="9" t="n">
        <v>0.005505775666630681</v>
      </c>
      <c r="G26" s="9" t="n">
        <v>0.02132138615999137</v>
      </c>
      <c r="H26" s="9" t="n">
        <v>0.03692108388211163</v>
      </c>
      <c r="I26" s="9" t="n">
        <v>0.05322249811076325</v>
      </c>
      <c r="J26" s="9" t="n">
        <v>0.0640721148655943</v>
      </c>
      <c r="K26" s="9" t="n">
        <v>0.073194429450502</v>
      </c>
      <c r="L26" s="9" t="n">
        <v>0.08210083126416927</v>
      </c>
      <c r="M26" s="9" t="n">
        <v>0.0892259527151031</v>
      </c>
      <c r="N26" s="9" t="n">
        <v>0.09710676886537839</v>
      </c>
      <c r="O26" s="9" t="n">
        <v>0.1036921083882112</v>
      </c>
      <c r="P26" s="13" t="n">
        <v>-0.0650299149850779</v>
      </c>
      <c r="Q26" s="14" t="n">
        <v>1.897093077632239</v>
      </c>
      <c r="R26" s="15" t="n">
        <v>12</v>
      </c>
      <c r="S26" s="9" t="n">
        <v>0.1036921083882112</v>
      </c>
      <c r="T26" s="13" t="n">
        <v>1</v>
      </c>
      <c r="U26" s="9" t="n">
        <v>0.1036921083882112</v>
      </c>
      <c r="V26" s="8" t="n">
        <v>7378</v>
      </c>
      <c r="W26" s="9" t="n">
        <v>0.1258334478988482</v>
      </c>
      <c r="X26" s="9" t="n">
        <v>0.116156139875305</v>
      </c>
      <c r="Y26" s="10">
        <f>IFERROR(D26/O26-1,"")</f>
        <v/>
      </c>
      <c r="Z26" s="10">
        <f>IFERROR(E26/O26-1,"")</f>
        <v/>
      </c>
      <c r="AA26" s="10">
        <f>IFERROR(E26/U26-1,"")</f>
        <v/>
      </c>
      <c r="AB26" s="10">
        <f>IFERROR(W26/X26-1,"")</f>
        <v/>
      </c>
    </row>
    <row r="27">
      <c r="A27" s="7" t="inlineStr">
        <is>
          <t>202501</t>
        </is>
      </c>
      <c r="B27" s="8" t="n">
        <v>21148</v>
      </c>
      <c r="C27" s="9" t="n">
        <v>0.1335015415028337</v>
      </c>
      <c r="D27" s="9" t="n">
        <v>0.135404746365845</v>
      </c>
      <c r="E27" s="9" t="n">
        <v>0.1164022540837809</v>
      </c>
      <c r="F27" s="9" t="n">
        <v>0.003877435218460375</v>
      </c>
      <c r="G27" s="9" t="n">
        <v>0.01498959712502364</v>
      </c>
      <c r="H27" s="9" t="n">
        <v>0.02666918857575185</v>
      </c>
      <c r="I27" s="9" t="n">
        <v>0.03778135048231511</v>
      </c>
      <c r="J27" s="9" t="n">
        <v>0.04596179307735956</v>
      </c>
      <c r="K27" s="9" t="n">
        <v>0.05371666351428031</v>
      </c>
      <c r="L27" s="9" t="n">
        <v>0.06071496122564782</v>
      </c>
      <c r="M27" s="9" t="n">
        <v>0.06870626063930395</v>
      </c>
      <c r="N27" s="9" t="n">
        <v>0.07494798562511822</v>
      </c>
      <c r="O27" s="9" t="n">
        <v>0.08014942311329677</v>
      </c>
      <c r="P27" s="13" t="n">
        <v>-0.0692773689503683</v>
      </c>
      <c r="Q27" s="14" t="n">
        <v>1.800071073015497</v>
      </c>
      <c r="R27" s="15" t="n">
        <v>12</v>
      </c>
      <c r="S27" s="9" t="n">
        <v>0.08014942311329677</v>
      </c>
      <c r="T27" s="13" t="n">
        <v>1</v>
      </c>
      <c r="U27" s="9" t="n">
        <v>0.08014942311329677</v>
      </c>
      <c r="V27" s="8" t="n">
        <v>8176</v>
      </c>
      <c r="W27" s="9" t="n">
        <v>0.1173858303000368</v>
      </c>
      <c r="X27" s="9" t="n">
        <v>0.09564579256360078</v>
      </c>
      <c r="Y27" s="10">
        <f>IFERROR(D27/O27-1,"")</f>
        <v/>
      </c>
      <c r="Z27" s="10">
        <f>IFERROR(E27/O27-1,"")</f>
        <v/>
      </c>
      <c r="AA27" s="10">
        <f>IFERROR(E27/U27-1,"")</f>
        <v/>
      </c>
      <c r="AB27" s="10">
        <f>IFERROR(W27/X27-1,"")</f>
        <v/>
      </c>
    </row>
    <row r="28">
      <c r="A28" s="7" t="inlineStr">
        <is>
          <t>202502</t>
        </is>
      </c>
      <c r="B28" s="8" t="n">
        <v>18207</v>
      </c>
      <c r="C28" s="9" t="n">
        <v>0.1368766578323879</v>
      </c>
      <c r="D28" s="9" t="n">
        <v>0.1387968886190033</v>
      </c>
      <c r="E28" s="9" t="n">
        <v>0.11758096994722</v>
      </c>
      <c r="F28" s="9" t="n">
        <v>0.004119294776734223</v>
      </c>
      <c r="G28" s="9" t="n">
        <v>0.01834459273905641</v>
      </c>
      <c r="H28" s="9" t="n">
        <v>0.03119679244246718</v>
      </c>
      <c r="I28" s="9" t="n">
        <v>0.04069863239413413</v>
      </c>
      <c r="J28" s="9" t="n">
        <v>0.04899214587795903</v>
      </c>
      <c r="K28" s="9" t="n">
        <v>0.05635195254572417</v>
      </c>
      <c r="L28" s="9" t="n">
        <v>0.06409622672598451</v>
      </c>
      <c r="M28" s="9" t="n">
        <v>0.06969846762234305</v>
      </c>
      <c r="N28" s="9" t="n">
        <v>0.07563025210084033</v>
      </c>
      <c r="O28" s="9" t="n">
        <v>0.08051848190256494</v>
      </c>
      <c r="P28" s="13" t="n">
        <v>-0.0821028391221693</v>
      </c>
      <c r="Q28" s="14" t="n">
        <v>1.507106667423574</v>
      </c>
      <c r="R28" s="15" t="n">
        <v>12</v>
      </c>
      <c r="S28" s="9" t="n">
        <v>0.08051848190256494</v>
      </c>
      <c r="T28" s="13" t="n">
        <v>1</v>
      </c>
      <c r="U28" s="9" t="n">
        <v>0.08051848190256494</v>
      </c>
      <c r="V28" s="8" t="n">
        <v>7088</v>
      </c>
      <c r="W28" s="9" t="n">
        <v>0.1198007176658993</v>
      </c>
      <c r="X28" s="9" t="n">
        <v>0.09339729119638826</v>
      </c>
      <c r="Y28" s="10">
        <f>IFERROR(D28/O28-1,"")</f>
        <v/>
      </c>
      <c r="Z28" s="10">
        <f>IFERROR(E28/O28-1,"")</f>
        <v/>
      </c>
      <c r="AA28" s="10">
        <f>IFERROR(E28/U28-1,"")</f>
        <v/>
      </c>
      <c r="AB28" s="10">
        <f>IFERROR(W28/X28-1,"")</f>
        <v/>
      </c>
    </row>
    <row r="29">
      <c r="A29" s="7" t="inlineStr">
        <is>
          <t>202503</t>
        </is>
      </c>
      <c r="B29" s="8" t="n">
        <v>23061</v>
      </c>
      <c r="C29" s="9" t="n">
        <v>0.1432159501367585</v>
      </c>
      <c r="D29" s="9" t="n">
        <v>0.1376506547714917</v>
      </c>
      <c r="E29" s="9" t="n">
        <v>0.1237907176176086</v>
      </c>
      <c r="F29" s="9" t="n">
        <v>0.004596504921729327</v>
      </c>
      <c r="G29" s="9" t="n">
        <v>0.01986037032218898</v>
      </c>
      <c r="H29" s="9" t="n">
        <v>0.0341702441351199</v>
      </c>
      <c r="I29" s="9" t="n">
        <v>0.04475087810589307</v>
      </c>
      <c r="J29" s="9" t="n">
        <v>0.05533151207666624</v>
      </c>
      <c r="K29" s="9" t="n">
        <v>0.06487142795195351</v>
      </c>
      <c r="L29" s="9" t="n">
        <v>0.07311044620788344</v>
      </c>
      <c r="M29" s="9" t="n">
        <v>0.07900784874897013</v>
      </c>
      <c r="N29" s="9" t="n">
        <v>0.08568578986167122</v>
      </c>
      <c r="O29" s="9" t="n">
        <v>0.0925805472442652</v>
      </c>
      <c r="P29" s="13" t="n">
        <v>-0.0901403058799683</v>
      </c>
      <c r="Q29" s="14" t="n">
        <v>1.323511708359959</v>
      </c>
      <c r="R29" s="15" t="n">
        <v>12</v>
      </c>
      <c r="S29" s="9" t="n">
        <v>0.0925805472442652</v>
      </c>
      <c r="T29" s="13" t="n">
        <v>1</v>
      </c>
      <c r="U29" s="9" t="n">
        <v>0.0925805472442652</v>
      </c>
      <c r="V29" s="8" t="n">
        <v>9405</v>
      </c>
      <c r="W29" s="9" t="n">
        <v>0.127665601589912</v>
      </c>
      <c r="X29" s="9" t="n">
        <v>0.1037745879851143</v>
      </c>
      <c r="Y29" s="10">
        <f>IFERROR(D29/O29-1,"")</f>
        <v/>
      </c>
      <c r="Z29" s="10">
        <f>IFERROR(E29/O29-1,"")</f>
        <v/>
      </c>
      <c r="AA29" s="10">
        <f>IFERROR(E29/U29-1,"")</f>
        <v/>
      </c>
      <c r="AB29" s="10">
        <f>IFERROR(W29/X29-1,"")</f>
        <v/>
      </c>
    </row>
    <row r="30">
      <c r="A30" s="7" t="inlineStr">
        <is>
          <t>202504</t>
        </is>
      </c>
      <c r="B30" s="8" t="n">
        <v>23890</v>
      </c>
      <c r="C30" s="9" t="n">
        <v>0.149934998695969</v>
      </c>
      <c r="D30" s="9" t="n">
        <v>0.1441963469977625</v>
      </c>
      <c r="E30" s="9" t="n">
        <v>0.1317557132179211</v>
      </c>
      <c r="F30" s="9" t="n">
        <v>0.005609041439933026</v>
      </c>
      <c r="G30" s="9" t="n">
        <v>0.02080368354960234</v>
      </c>
      <c r="H30" s="9" t="n">
        <v>0.03449141900376727</v>
      </c>
      <c r="I30" s="9" t="n">
        <v>0.04432817078275429</v>
      </c>
      <c r="J30" s="9" t="n">
        <v>0.05680200920887401</v>
      </c>
      <c r="K30" s="9" t="n">
        <v>0.0660946002511511</v>
      </c>
      <c r="L30" s="9" t="n">
        <v>0.0718292172457095</v>
      </c>
      <c r="M30" s="9" t="n">
        <v>0.07928003348681456</v>
      </c>
      <c r="N30" s="9" t="n">
        <v>0.08652155713687736</v>
      </c>
      <c r="O30" s="9" t="n">
        <v>0.09405609041439933</v>
      </c>
      <c r="P30" s="13" t="n">
        <v>-0.0763210869948466</v>
      </c>
      <c r="Q30" s="14" t="n">
        <v>1.639175710707863</v>
      </c>
      <c r="R30" s="15" t="n">
        <v>12</v>
      </c>
      <c r="S30" s="9" t="n">
        <v>0.09405609041439933</v>
      </c>
      <c r="T30" s="13" t="n">
        <v>1</v>
      </c>
      <c r="U30" s="9" t="n">
        <v>0.09405609041439933</v>
      </c>
      <c r="V30" s="8" t="n">
        <v>9628</v>
      </c>
      <c r="W30" s="9" t="n">
        <v>0.1379753767049483</v>
      </c>
      <c r="X30" s="9" t="n">
        <v>0.1097839634399668</v>
      </c>
      <c r="Y30" s="10">
        <f>IFERROR(D30/O30-1,"")</f>
        <v/>
      </c>
      <c r="Z30" s="10">
        <f>IFERROR(E30/O30-1,"")</f>
        <v/>
      </c>
      <c r="AA30" s="10">
        <f>IFERROR(E30/U30-1,"")</f>
        <v/>
      </c>
      <c r="AB30" s="10">
        <f>IFERROR(W30/X30-1,"")</f>
        <v/>
      </c>
    </row>
    <row r="31">
      <c r="A31" s="7" t="inlineStr">
        <is>
          <t>202505</t>
        </is>
      </c>
      <c r="B31" s="8" t="n">
        <v>20575</v>
      </c>
      <c r="C31" s="9" t="n">
        <v>0.1526124657069493</v>
      </c>
      <c r="D31" s="9" t="n">
        <v>0.1467361312606717</v>
      </c>
      <c r="E31" s="9" t="n">
        <v>0.1349971830673408</v>
      </c>
      <c r="F31" s="9" t="n">
        <v>0.005880923450789793</v>
      </c>
      <c r="G31" s="9" t="n">
        <v>0.02493317132442284</v>
      </c>
      <c r="H31" s="9" t="n">
        <v>0.03995139732685297</v>
      </c>
      <c r="I31" s="9" t="n">
        <v>0.05278250303766707</v>
      </c>
      <c r="J31" s="9" t="n">
        <v>0.0633778857837181</v>
      </c>
      <c r="K31" s="9" t="n">
        <v>0.07091130012150668</v>
      </c>
      <c r="L31" s="9" t="n">
        <v>0.07786148238153098</v>
      </c>
      <c r="M31" s="9" t="n">
        <v>0.08524908869987849</v>
      </c>
      <c r="N31" s="9" t="n">
        <v>0.0939003645200486</v>
      </c>
      <c r="O31" s="9" t="n">
        <v>0.1022114216281896</v>
      </c>
      <c r="P31" s="13" t="n">
        <v>-0.0729545842663733</v>
      </c>
      <c r="Q31" s="14" t="n">
        <v>1.716074682641011</v>
      </c>
      <c r="R31" s="15" t="n">
        <v>12</v>
      </c>
      <c r="S31" s="9" t="n">
        <v>0.1022114216281896</v>
      </c>
      <c r="T31" s="13" t="n">
        <v>1</v>
      </c>
      <c r="U31" s="9" t="n">
        <v>0.1022114216281896</v>
      </c>
      <c r="V31" s="8" t="n">
        <v>8337</v>
      </c>
      <c r="W31" s="9" t="n">
        <v>0.1422656159638521</v>
      </c>
      <c r="X31" s="9" t="n">
        <v>0.117428331534125</v>
      </c>
      <c r="Y31" s="10">
        <f>IFERROR(D31/O31-1,"")</f>
        <v/>
      </c>
      <c r="Z31" s="10">
        <f>IFERROR(E31/O31-1,"")</f>
        <v/>
      </c>
      <c r="AA31" s="10">
        <f>IFERROR(E31/U31-1,"")</f>
        <v/>
      </c>
      <c r="AB31" s="10">
        <f>IFERROR(W31/X31-1,"")</f>
        <v/>
      </c>
    </row>
    <row r="32">
      <c r="A32" s="7" t="inlineStr">
        <is>
          <t>202506</t>
        </is>
      </c>
      <c r="B32" s="8" t="n">
        <v>21701</v>
      </c>
      <c r="C32" s="9" t="n">
        <v>0.1569907334456143</v>
      </c>
      <c r="D32" s="9" t="n">
        <v>0.1509895036587559</v>
      </c>
      <c r="E32" s="9" t="n">
        <v>0.1392536978051587</v>
      </c>
      <c r="F32" s="9" t="n">
        <v>0.004746325054144971</v>
      </c>
      <c r="G32" s="9" t="n">
        <v>0.02188839223998894</v>
      </c>
      <c r="H32" s="9" t="n">
        <v>0.03810884291046496</v>
      </c>
      <c r="I32" s="9" t="n">
        <v>0.05059674669370075</v>
      </c>
      <c r="J32" s="9" t="n">
        <v>0.06096493249159025</v>
      </c>
      <c r="K32" s="9" t="n">
        <v>0.06962812773604903</v>
      </c>
      <c r="L32" s="9" t="n">
        <v>0.07856780793511819</v>
      </c>
      <c r="M32" s="9" t="n">
        <v>0.08750748813418736</v>
      </c>
      <c r="N32" s="9" t="n">
        <v>0.09612460255287775</v>
      </c>
      <c r="O32" s="9" t="n">
        <v>0.1041887470623474</v>
      </c>
      <c r="P32" s="13" t="n">
        <v>-0.07376569476056211</v>
      </c>
      <c r="Q32" s="14" t="n">
        <v>1.69754697951463</v>
      </c>
      <c r="R32" s="15" t="n">
        <v>12</v>
      </c>
      <c r="S32" s="9" t="n">
        <v>0.1041887470623474</v>
      </c>
      <c r="T32" s="13" t="n">
        <v>1</v>
      </c>
      <c r="U32" s="9" t="n">
        <v>0.1041887470623474</v>
      </c>
      <c r="V32" s="8" t="n">
        <v>8829</v>
      </c>
      <c r="W32" s="9" t="n">
        <v>0.142703325002518</v>
      </c>
      <c r="X32" s="9" t="n">
        <v>0.1191527919356666</v>
      </c>
      <c r="Y32" s="10">
        <f>IFERROR(D32/O32-1,"")</f>
        <v/>
      </c>
      <c r="Z32" s="10">
        <f>IFERROR(E32/O32-1,"")</f>
        <v/>
      </c>
      <c r="AA32" s="10">
        <f>IFERROR(E32/U32-1,"")</f>
        <v/>
      </c>
      <c r="AB32" s="10">
        <f>IFERROR(W32/X32-1,"")</f>
        <v/>
      </c>
    </row>
    <row r="33">
      <c r="A33" s="7" t="inlineStr">
        <is>
          <t>202507</t>
        </is>
      </c>
      <c r="B33" s="8" t="n">
        <v>20916</v>
      </c>
      <c r="C33" s="9" t="n">
        <v>0.1585926549253762</v>
      </c>
      <c r="D33" s="9" t="n">
        <v>0.1525839430537038</v>
      </c>
      <c r="E33" s="9" t="n">
        <v>0.1407132264491822</v>
      </c>
      <c r="F33" s="9" t="n">
        <v>0.004828839166188563</v>
      </c>
      <c r="G33" s="9" t="n">
        <v>0.02242302543507363</v>
      </c>
      <c r="H33" s="9" t="n">
        <v>0.0366704914897686</v>
      </c>
      <c r="I33" s="9" t="n">
        <v>0.04637598011091987</v>
      </c>
      <c r="J33" s="9" t="n">
        <v>0.05550774526678141</v>
      </c>
      <c r="K33" s="9" t="n">
        <v>0.06506980302161025</v>
      </c>
      <c r="L33" s="9" t="n">
        <v>0.07415375788869764</v>
      </c>
      <c r="M33" s="9" t="n">
        <v>0.08275960986804361</v>
      </c>
      <c r="N33" s="9" t="n">
        <v>0.09093516924842227</v>
      </c>
      <c r="O33" s="9" t="n"/>
      <c r="P33" s="13" t="n">
        <v>-0.0736408959148164</v>
      </c>
      <c r="Q33" s="14" t="n">
        <v>1.700397683556876</v>
      </c>
      <c r="R33" s="15" t="n">
        <v>11</v>
      </c>
      <c r="S33" s="9" t="n">
        <v>0.09093516924842227</v>
      </c>
      <c r="T33" s="13" t="n">
        <v>1.088300644630366</v>
      </c>
      <c r="U33" s="9" t="n">
        <v>0.09896480331262941</v>
      </c>
      <c r="V33" s="8" t="n">
        <v>8617</v>
      </c>
      <c r="W33" s="9" t="n">
        <v>0.1481244122538703</v>
      </c>
      <c r="X33" s="9" t="n"/>
      <c r="Y33" s="10">
        <f>IFERROR(D33/O33-1,"")</f>
        <v/>
      </c>
      <c r="Z33" s="10">
        <f>IFERROR(E33/O33-1,"")</f>
        <v/>
      </c>
      <c r="AA33" s="10">
        <f>IFERROR(E33/U33-1,"")</f>
        <v/>
      </c>
      <c r="AB33" s="10">
        <f>IFERROR(W33/X33-1,"")</f>
        <v/>
      </c>
    </row>
    <row r="34">
      <c r="A34" s="7" t="inlineStr">
        <is>
          <t>202508</t>
        </is>
      </c>
      <c r="B34" s="8" t="n">
        <v>20638</v>
      </c>
      <c r="C34" s="9" t="n">
        <v>0.1681765671692643</v>
      </c>
      <c r="D34" s="9" t="n">
        <v>0.1619306871061364</v>
      </c>
      <c r="E34" s="9" t="n">
        <v>0.1483618616706517</v>
      </c>
      <c r="F34" s="9" t="n">
        <v>0.005717608295377459</v>
      </c>
      <c r="G34" s="9" t="n">
        <v>0.0276189553251284</v>
      </c>
      <c r="H34" s="9" t="n">
        <v>0.04234906483186356</v>
      </c>
      <c r="I34" s="9" t="n">
        <v>0.05475336757437736</v>
      </c>
      <c r="J34" s="9" t="n">
        <v>0.0659947669347805</v>
      </c>
      <c r="K34" s="9" t="n">
        <v>0.07757534644829925</v>
      </c>
      <c r="L34" s="9" t="n">
        <v>0.08891365442387829</v>
      </c>
      <c r="M34" s="9" t="n">
        <v>0.1000096908615176</v>
      </c>
      <c r="N34" s="9" t="n"/>
      <c r="O34" s="9" t="n"/>
      <c r="P34" s="13" t="n">
        <v>-0.1003314429254493</v>
      </c>
      <c r="Q34" s="14" t="n">
        <v>1.090721770303759</v>
      </c>
      <c r="R34" s="15" t="n">
        <v>10</v>
      </c>
      <c r="S34" s="9" t="n">
        <v>0.1000096908615176</v>
      </c>
      <c r="T34" s="13" t="n">
        <v>1.198537852697722</v>
      </c>
      <c r="U34" s="9" t="n">
        <v>0.1198654001341263</v>
      </c>
      <c r="V34" s="8" t="n">
        <v>8694</v>
      </c>
      <c r="W34" s="9" t="n">
        <v>0.1578718191391297</v>
      </c>
      <c r="X34" s="9" t="n"/>
      <c r="Y34" s="10">
        <f>IFERROR(D34/O34-1,"")</f>
        <v/>
      </c>
      <c r="Z34" s="10">
        <f>IFERROR(E34/O34-1,"")</f>
        <v/>
      </c>
      <c r="AA34" s="10">
        <f>IFERROR(E34/U34-1,"")</f>
        <v/>
      </c>
      <c r="AB34" s="10">
        <f>IFERROR(W34/X34-1,"")</f>
        <v/>
      </c>
    </row>
    <row r="35">
      <c r="A35" s="7" t="inlineStr">
        <is>
          <t>202509</t>
        </is>
      </c>
      <c r="B35" s="8" t="n">
        <v>23394</v>
      </c>
      <c r="C35" s="9" t="n">
        <v>0.1683139256104547</v>
      </c>
      <c r="D35" s="9" t="n">
        <v>0.1620798449778373</v>
      </c>
      <c r="E35" s="9" t="n">
        <v>0.1487668844985111</v>
      </c>
      <c r="F35" s="9" t="n">
        <v>0.006924852526288792</v>
      </c>
      <c r="G35" s="9" t="n">
        <v>0.02769941010515517</v>
      </c>
      <c r="H35" s="9" t="n">
        <v>0.04266051124219886</v>
      </c>
      <c r="I35" s="9" t="n">
        <v>0.05680943831751731</v>
      </c>
      <c r="J35" s="9" t="n">
        <v>0.06933401726938532</v>
      </c>
      <c r="K35" s="9" t="n">
        <v>0.08006326408480807</v>
      </c>
      <c r="L35" s="9" t="n">
        <v>0.09096349491322561</v>
      </c>
      <c r="M35" s="9" t="n"/>
      <c r="N35" s="9" t="n"/>
      <c r="O35" s="9" t="n"/>
      <c r="P35" s="13" t="n">
        <v>-0.0943381636827425</v>
      </c>
      <c r="Q35" s="14" t="n">
        <v>1.227622598684031</v>
      </c>
      <c r="R35" s="15" t="n">
        <v>9</v>
      </c>
      <c r="S35" s="9" t="n">
        <v>0.09096349491322561</v>
      </c>
      <c r="T35" s="13" t="n">
        <v>1.337536241655991</v>
      </c>
      <c r="U35" s="9" t="n">
        <v>0.1216669711141296</v>
      </c>
      <c r="V35" s="8" t="n">
        <v>9531</v>
      </c>
      <c r="W35" s="9" t="n">
        <v>0.1581534652364461</v>
      </c>
      <c r="X35" s="9" t="n"/>
      <c r="Y35" s="10">
        <f>IFERROR(D35/O35-1,"")</f>
        <v/>
      </c>
      <c r="Z35" s="10">
        <f>IFERROR(E35/O35-1,"")</f>
        <v/>
      </c>
      <c r="AA35" s="10">
        <f>IFERROR(E35/U35-1,"")</f>
        <v/>
      </c>
      <c r="AB35" s="10">
        <f>IFERROR(W35/X35-1,"")</f>
        <v/>
      </c>
    </row>
    <row r="36">
      <c r="A36" s="7" t="inlineStr">
        <is>
          <t>202510</t>
        </is>
      </c>
      <c r="B36" s="8" t="n">
        <v>25164</v>
      </c>
      <c r="C36" s="9" t="n">
        <v>0.1735434597012433</v>
      </c>
      <c r="D36" s="9" t="n">
        <v>0.1671436943860002</v>
      </c>
      <c r="E36" s="9" t="n">
        <v>0.1538036629825614</v>
      </c>
      <c r="F36" s="9" t="n">
        <v>0.007033857892226991</v>
      </c>
      <c r="G36" s="9" t="n">
        <v>0.02972500397393101</v>
      </c>
      <c r="H36" s="9" t="n">
        <v>0.04959465903671912</v>
      </c>
      <c r="I36" s="9" t="n">
        <v>0.06509298998569385</v>
      </c>
      <c r="J36" s="9" t="n">
        <v>0.07761087267525035</v>
      </c>
      <c r="K36" s="9" t="n">
        <v>0.08989031950405341</v>
      </c>
      <c r="L36" s="9" t="n"/>
      <c r="M36" s="9" t="n"/>
      <c r="N36" s="9" t="n"/>
      <c r="O36" s="9" t="n"/>
      <c r="P36" s="13" t="n">
        <v>-0.0971864626399724</v>
      </c>
      <c r="Q36" s="14" t="n">
        <v>1.162560639958521</v>
      </c>
      <c r="R36" s="15" t="n">
        <v>8</v>
      </c>
      <c r="S36" s="9" t="n">
        <v>0.08989031950405341</v>
      </c>
      <c r="T36" s="13" t="n">
        <v>1.521592390887474</v>
      </c>
      <c r="U36" s="9" t="n">
        <v>0.1367764261718116</v>
      </c>
      <c r="V36" s="8" t="n">
        <v>10281</v>
      </c>
      <c r="W36" s="9" t="n">
        <v>0.1639765109756945</v>
      </c>
      <c r="X36" s="9" t="n"/>
      <c r="Y36" s="10">
        <f>IFERROR(D36/O36-1,"")</f>
        <v/>
      </c>
      <c r="Z36" s="10">
        <f>IFERROR(E36/O36-1,"")</f>
        <v/>
      </c>
      <c r="AA36" s="10">
        <f>IFERROR(E36/U36-1,"")</f>
        <v/>
      </c>
      <c r="AB36" s="10">
        <f>IFERROR(W36/X36-1,"")</f>
        <v/>
      </c>
    </row>
    <row r="37">
      <c r="A37" s="7" t="inlineStr">
        <is>
          <t>202511</t>
        </is>
      </c>
      <c r="B37" s="8" t="n">
        <v>25402</v>
      </c>
      <c r="C37" s="9" t="n">
        <v>0.1731558967265933</v>
      </c>
      <c r="D37" s="9" t="n">
        <v>0.1667386872219692</v>
      </c>
      <c r="E37" s="9" t="n">
        <v>0.1531433164079337</v>
      </c>
      <c r="F37" s="9" t="n">
        <v>0.007558459963782379</v>
      </c>
      <c r="G37" s="9" t="n">
        <v>0.03739863002913157</v>
      </c>
      <c r="H37" s="9" t="n">
        <v>0.05775135816077474</v>
      </c>
      <c r="I37" s="9" t="n">
        <v>0.07290764506731753</v>
      </c>
      <c r="J37" s="9" t="n">
        <v>0.08605621604598063</v>
      </c>
      <c r="K37" s="9" t="n"/>
      <c r="L37" s="9" t="n"/>
      <c r="M37" s="9" t="n"/>
      <c r="N37" s="9" t="n"/>
      <c r="O37" s="9" t="n"/>
      <c r="P37" s="13" t="n">
        <v>-0.0951950453295296</v>
      </c>
      <c r="Q37" s="14" t="n">
        <v>1.208049372989306</v>
      </c>
      <c r="R37" s="15" t="n">
        <v>7</v>
      </c>
      <c r="S37" s="9" t="n">
        <v>0.08605621604598063</v>
      </c>
      <c r="T37" s="13" t="n">
        <v>1.790100618147363</v>
      </c>
      <c r="U37" s="9" t="n">
        <v>0.1540492855393329</v>
      </c>
      <c r="V37" s="8" t="n">
        <v>10557</v>
      </c>
      <c r="W37" s="9" t="n">
        <v>0.1621914871254051</v>
      </c>
      <c r="X37" s="9" t="n"/>
      <c r="Y37" s="10">
        <f>IFERROR(D37/O37-1,"")</f>
        <v/>
      </c>
      <c r="Z37" s="10">
        <f>IFERROR(E37/O37-1,"")</f>
        <v/>
      </c>
      <c r="AA37" s="10">
        <f>IFERROR(E37/U37-1,"")</f>
        <v/>
      </c>
      <c r="AB37" s="10">
        <f>IFERROR(W37/X37-1,"")</f>
        <v/>
      </c>
    </row>
    <row r="38">
      <c r="A38" s="7" t="inlineStr">
        <is>
          <t>202512</t>
        </is>
      </c>
      <c r="B38" s="8" t="n">
        <v>25171</v>
      </c>
      <c r="C38" s="9" t="n">
        <v>0.1685233926475652</v>
      </c>
      <c r="D38" s="9" t="n">
        <v>0.162238671324329</v>
      </c>
      <c r="E38" s="9" t="n">
        <v>0.1487810892617213</v>
      </c>
      <c r="F38" s="9" t="n">
        <v>0.007548369154979937</v>
      </c>
      <c r="G38" s="9" t="n">
        <v>0.03206070477930952</v>
      </c>
      <c r="H38" s="9" t="n">
        <v>0.05077271463191768</v>
      </c>
      <c r="I38" s="9" t="n">
        <v>0.06459814866314409</v>
      </c>
      <c r="J38" s="9" t="n"/>
      <c r="K38" s="9" t="n"/>
      <c r="L38" s="9" t="n"/>
      <c r="M38" s="9" t="n"/>
      <c r="N38" s="9" t="n"/>
      <c r="O38" s="9" t="n"/>
      <c r="P38" s="13" t="n">
        <v>-0.0907389631868307</v>
      </c>
      <c r="Q38" s="14" t="n">
        <v>1.309836944027043</v>
      </c>
      <c r="R38" s="15" t="n">
        <v>6</v>
      </c>
      <c r="S38" s="9" t="n">
        <v>0.06459814866314409</v>
      </c>
      <c r="T38" s="13" t="n">
        <v>2.228125351005279</v>
      </c>
      <c r="U38" s="9" t="n">
        <v>0.1439327726643591</v>
      </c>
      <c r="V38" s="8" t="n">
        <v>10221</v>
      </c>
      <c r="W38" s="9" t="n">
        <v>0.1584726130646868</v>
      </c>
      <c r="X38" s="9" t="n"/>
      <c r="Y38" s="10">
        <f>IFERROR(D38/O38-1,"")</f>
        <v/>
      </c>
      <c r="Z38" s="10">
        <f>IFERROR(E38/O38-1,"")</f>
        <v/>
      </c>
      <c r="AA38" s="10">
        <f>IFERROR(E38/U38-1,"")</f>
        <v/>
      </c>
      <c r="AB38" s="10">
        <f>IFERROR(W38/X38-1,"")</f>
        <v/>
      </c>
    </row>
    <row r="39">
      <c r="A39" s="7" t="inlineStr">
        <is>
          <t>202601</t>
        </is>
      </c>
      <c r="B39" s="8" t="n">
        <v>26557</v>
      </c>
      <c r="C39" s="9" t="n">
        <v>0.1632858110410744</v>
      </c>
      <c r="D39" s="9" t="n">
        <v>0.1571303069685226</v>
      </c>
      <c r="E39" s="9" t="n">
        <v>0.1434684890706845</v>
      </c>
      <c r="F39" s="9" t="n">
        <v>0.005911812328199722</v>
      </c>
      <c r="G39" s="9" t="n">
        <v>0.02854238053997063</v>
      </c>
      <c r="H39" s="9" t="n">
        <v>0.04575064954625899</v>
      </c>
      <c r="I39" s="9" t="n"/>
      <c r="J39" s="9" t="n"/>
      <c r="K39" s="9" t="n"/>
      <c r="L39" s="9" t="n"/>
      <c r="M39" s="9" t="n"/>
      <c r="N39" s="9" t="n"/>
      <c r="O39" s="9" t="n"/>
      <c r="P39" s="13" t="n">
        <v>-0.0827512368458839</v>
      </c>
      <c r="Q39" s="14" t="n">
        <v>1.492295713035885</v>
      </c>
      <c r="R39" s="15" t="n">
        <v>5</v>
      </c>
      <c r="S39" s="9" t="n">
        <v>0.04575064954625899</v>
      </c>
      <c r="T39" s="13" t="n">
        <v>3.032716709983183</v>
      </c>
      <c r="U39" s="9" t="n">
        <v>0.1387487593715242</v>
      </c>
      <c r="V39" s="8" t="n">
        <v>10946</v>
      </c>
      <c r="W39" s="9" t="n">
        <v>0.1492930110860491</v>
      </c>
      <c r="X39" s="9" t="n"/>
      <c r="Y39" s="10">
        <f>IFERROR(D39/O39-1,"")</f>
        <v/>
      </c>
      <c r="Z39" s="10">
        <f>IFERROR(E39/O39-1,"")</f>
        <v/>
      </c>
      <c r="AA39" s="10">
        <f>IFERROR(E39/U39-1,"")</f>
        <v/>
      </c>
      <c r="AB39" s="10">
        <f>IFERROR(W39/X39-1,"")</f>
        <v/>
      </c>
    </row>
    <row r="40">
      <c r="A40" s="7" t="inlineStr">
        <is>
          <t>202602</t>
        </is>
      </c>
      <c r="B40" s="8" t="n">
        <v>24910</v>
      </c>
      <c r="C40" s="9" t="n">
        <v>0.166912828296586</v>
      </c>
      <c r="D40" s="9" t="n">
        <v>0.1606724742328915</v>
      </c>
      <c r="E40" s="9" t="n">
        <v>0.1568882277536311</v>
      </c>
      <c r="F40" s="9" t="n">
        <v>0.009152950622240065</v>
      </c>
      <c r="G40" s="9" t="n">
        <v>0.03239662786029707</v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13" t="n">
        <v>-0.0370388932419964</v>
      </c>
      <c r="Q40" s="14" t="n">
        <v>2.53647494332808</v>
      </c>
      <c r="R40" s="15" t="n">
        <v>4</v>
      </c>
      <c r="S40" s="9" t="n">
        <v>0.03239662786029707</v>
      </c>
      <c r="T40" s="13" t="n">
        <v>5.244415069398546</v>
      </c>
      <c r="U40" s="9" t="n">
        <v>0.1699013633482387</v>
      </c>
      <c r="V40" s="8" t="n">
        <v>10146</v>
      </c>
      <c r="W40" s="9" t="n">
        <v>0.1650335748511532</v>
      </c>
      <c r="X40" s="9" t="n"/>
      <c r="Y40" s="10">
        <f>IFERROR(D40/O40-1,"")</f>
        <v/>
      </c>
      <c r="Z40" s="10">
        <f>IFERROR(E40/O40-1,"")</f>
        <v/>
      </c>
      <c r="AA40" s="10">
        <f>IFERROR(E40/U40-1,"")</f>
        <v/>
      </c>
      <c r="AB40" s="10">
        <f>IFERROR(W40/X40-1,"")</f>
        <v/>
      </c>
    </row>
    <row r="41">
      <c r="A41" s="7" t="inlineStr">
        <is>
          <t>202603</t>
        </is>
      </c>
      <c r="B41" s="8" t="n">
        <v>27126</v>
      </c>
      <c r="C41" s="9" t="n">
        <v>0.1649948273388383</v>
      </c>
      <c r="D41" s="9" t="n">
        <v>0.1588283715302923</v>
      </c>
      <c r="E41" s="9" t="n">
        <v>0.1663230895796254</v>
      </c>
      <c r="F41" s="9" t="n">
        <v>0.007336135073361351</v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3" t="n">
        <v>0.014389803325765</v>
      </c>
      <c r="Q41" s="14" t="n">
        <v>3.711229343636036</v>
      </c>
      <c r="R41" s="15" t="n">
        <v>3</v>
      </c>
      <c r="S41" s="9" t="n">
        <v>0.007336135073361351</v>
      </c>
      <c r="T41" s="13" t="n">
        <v>22.35154929577465</v>
      </c>
      <c r="U41" s="9" t="n">
        <v>0.1639739847326976</v>
      </c>
      <c r="V41" s="8" t="n">
        <v>11250</v>
      </c>
      <c r="W41" s="9" t="n">
        <v>0.1749719599557731</v>
      </c>
      <c r="X41" s="9" t="n"/>
      <c r="Y41" s="10">
        <f>IFERROR(D41/O41-1,"")</f>
        <v/>
      </c>
      <c r="Z41" s="10">
        <f>IFERROR(E41/O41-1,"")</f>
        <v/>
      </c>
      <c r="AA41" s="10">
        <f>IFERROR(E41/U41-1,"")</f>
        <v/>
      </c>
      <c r="AB41" s="10">
        <f>IFERROR(W41/X41-1,"")</f>
        <v/>
      </c>
    </row>
    <row r="42">
      <c r="A42" s="7" t="inlineStr">
        <is>
          <t>202604</t>
        </is>
      </c>
      <c r="B42" s="8" t="n">
        <v>24689</v>
      </c>
      <c r="C42" s="9" t="n">
        <v>0.1623140421534821</v>
      </c>
      <c r="D42" s="9" t="n">
        <v>0.1539917064107829</v>
      </c>
      <c r="E42" s="9" t="n">
        <v>0.165520221475138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3" t="n">
        <v>0.0241851909297492</v>
      </c>
      <c r="Q42" s="14" t="n">
        <v>3.934979418175466</v>
      </c>
      <c r="R42" s="15" t="n"/>
      <c r="S42" s="9" t="n"/>
      <c r="T42" s="13" t="n"/>
      <c r="U42" s="9" t="n"/>
      <c r="V42" s="8" t="n">
        <v>10250</v>
      </c>
      <c r="W42" s="9" t="n">
        <v>0.1705826216101874</v>
      </c>
      <c r="X42" s="9" t="n"/>
      <c r="Y42" s="10">
        <f>IFERROR(D42/O42-1,"")</f>
        <v/>
      </c>
      <c r="Z42" s="10">
        <f>IFERROR(E42/O42-1,"")</f>
        <v/>
      </c>
      <c r="AA42" s="10">
        <f>IFERROR(E42/U42-1,"")</f>
        <v/>
      </c>
      <c r="AB42" s="10">
        <f>IFERROR(W42/X42-1,"")</f>
        <v/>
      </c>
    </row>
    <row r="43">
      <c r="A43" s="7" t="inlineStr">
        <is>
          <t>202605</t>
        </is>
      </c>
      <c r="B43" s="8" t="n">
        <v>25907</v>
      </c>
      <c r="C43" s="9" t="n">
        <v>0.1623631115920404</v>
      </c>
      <c r="D43" s="9" t="n">
        <v>0.1540411035862974</v>
      </c>
      <c r="E43" s="9" t="n">
        <v>0.1644306082276787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3" t="n">
        <v>0.0192471239254993</v>
      </c>
      <c r="Q43" s="14" t="n">
        <v>3.822182160430176</v>
      </c>
      <c r="R43" s="15" t="n"/>
      <c r="S43" s="9" t="n"/>
      <c r="T43" s="13" t="n"/>
      <c r="U43" s="9" t="n"/>
      <c r="V43" s="8" t="n">
        <v>10639</v>
      </c>
      <c r="W43" s="9" t="n">
        <v>0.1706906975257745</v>
      </c>
      <c r="X43" s="9" t="n"/>
      <c r="Y43" s="10">
        <f>IFERROR(D43/O43-1,"")</f>
        <v/>
      </c>
      <c r="Z43" s="10">
        <f>IFERROR(E43/O43-1,"")</f>
        <v/>
      </c>
      <c r="AA43" s="10">
        <f>IFERROR(E43/U43-1,"")</f>
        <v/>
      </c>
      <c r="AB43" s="10">
        <f>IFERROR(W43/X43-1,"")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</cols>
  <sheetData>
    <row r="1">
      <c r="A1" s="1" t="inlineStr">
        <is>
          <t>SSFF sin BCP</t>
        </is>
      </c>
    </row>
    <row r="2">
      <c r="A2" s="2" t="inlineStr">
        <is>
          <t>Scotiabank + BBVA + Falabella</t>
        </is>
      </c>
    </row>
    <row r="4" ht="30" customHeight="1">
      <c r="A4" s="6" t="inlineStr">
        <is>
          <t>codmes</t>
        </is>
      </c>
      <c r="B4" s="6" t="inlineStr">
        <is>
          <t>n</t>
        </is>
      </c>
      <c r="C4" s="6" t="inlineStr">
        <is>
          <t>PD sin calibrar</t>
        </is>
      </c>
      <c r="D4" s="6" t="inlineStr">
        <is>
          <t>PD cal vigente</t>
        </is>
      </c>
      <c r="E4" s="6" t="inlineStr">
        <is>
          <t>PD cal NUEVA</t>
        </is>
      </c>
      <c r="F4" s="6" t="inlineStr">
        <is>
          <t>mora 3m</t>
        </is>
      </c>
      <c r="G4" s="6" t="inlineStr">
        <is>
          <t>mora 4m</t>
        </is>
      </c>
      <c r="H4" s="6" t="inlineStr">
        <is>
          <t>mora 5m</t>
        </is>
      </c>
      <c r="I4" s="6" t="inlineStr">
        <is>
          <t>mora 6m</t>
        </is>
      </c>
      <c r="J4" s="6" t="inlineStr">
        <is>
          <t>mora 7m</t>
        </is>
      </c>
      <c r="K4" s="6" t="inlineStr">
        <is>
          <t>mora 8m</t>
        </is>
      </c>
      <c r="L4" s="6" t="inlineStr">
        <is>
          <t>mora 9m</t>
        </is>
      </c>
      <c r="M4" s="6" t="inlineStr">
        <is>
          <t>mora 10m</t>
        </is>
      </c>
      <c r="N4" s="6" t="inlineStr">
        <is>
          <t>mora 11m</t>
        </is>
      </c>
      <c r="O4" s="6" t="inlineStr">
        <is>
          <t>mora 12m</t>
        </is>
      </c>
      <c r="P4" s="6" t="inlineStr">
        <is>
          <t>ft ciclo</t>
        </is>
      </c>
      <c r="Q4" s="6" t="inlineStr">
        <is>
          <t>inflacion %</t>
        </is>
      </c>
      <c r="R4" s="6" t="inlineStr">
        <is>
          <t>madurez</t>
        </is>
      </c>
      <c r="S4" s="6" t="inlineStr">
        <is>
          <t>mora base</t>
        </is>
      </c>
      <c r="T4" s="6" t="inlineStr">
        <is>
          <t>factor h-&gt;12</t>
        </is>
      </c>
      <c r="U4" s="6" t="inlineStr">
        <is>
          <t>proy mediana</t>
        </is>
      </c>
      <c r="V4" s="6" t="inlineStr">
        <is>
          <t>n visible IBK</t>
        </is>
      </c>
      <c r="W4" s="6" t="inlineStr">
        <is>
          <t>PD cal NUEVA visible</t>
        </is>
      </c>
      <c r="X4" s="6" t="inlineStr">
        <is>
          <t>mora 12m visible</t>
        </is>
      </c>
      <c r="Y4" s="6" t="inlineStr">
        <is>
          <t>EC vigente</t>
        </is>
      </c>
      <c r="Z4" s="6" t="inlineStr">
        <is>
          <t>EC NUEVA</t>
        </is>
      </c>
      <c r="AA4" s="6" t="inlineStr">
        <is>
          <t>EC NUEVA vs proy</t>
        </is>
      </c>
      <c r="AB4" s="6" t="inlineStr">
        <is>
          <t>EC NUEVA visible</t>
        </is>
      </c>
    </row>
    <row r="5">
      <c r="A5" s="7" t="inlineStr">
        <is>
          <t>202303</t>
        </is>
      </c>
      <c r="B5" s="8" t="n">
        <v>10958</v>
      </c>
      <c r="C5" s="9" t="n">
        <v>0.1375831620249952</v>
      </c>
      <c r="D5" s="9" t="n">
        <v>0.1732909724914043</v>
      </c>
      <c r="E5" s="9" t="n">
        <v>0.1571700622679238</v>
      </c>
      <c r="F5" s="9" t="n">
        <v>0.007391859828435846</v>
      </c>
      <c r="G5" s="9" t="n">
        <v>0.02573462310640628</v>
      </c>
      <c r="H5" s="9" t="n">
        <v>0.04216097828070816</v>
      </c>
      <c r="I5" s="9" t="n">
        <v>0.05639715276510312</v>
      </c>
      <c r="J5" s="9" t="n">
        <v>0.06981200949078299</v>
      </c>
      <c r="K5" s="9" t="n">
        <v>0.08204051834276328</v>
      </c>
      <c r="L5" s="9" t="n">
        <v>0.09317393684979011</v>
      </c>
      <c r="M5" s="9" t="n">
        <v>0.1040335827705786</v>
      </c>
      <c r="N5" s="9" t="n">
        <v>0.1141631684613981</v>
      </c>
      <c r="O5" s="9" t="n">
        <v>0.1247490417959482</v>
      </c>
      <c r="P5" s="13" t="n">
        <v>0.2313077929548288</v>
      </c>
      <c r="Q5" s="14" t="n">
        <v>8.666154897445178</v>
      </c>
      <c r="R5" s="15" t="n">
        <v>12</v>
      </c>
      <c r="S5" s="9" t="n">
        <v>0.1247490417959482</v>
      </c>
      <c r="T5" s="13" t="n">
        <v>1</v>
      </c>
      <c r="U5" s="9" t="n">
        <v>0.1247490417959482</v>
      </c>
      <c r="V5" s="8" t="n">
        <v>3883</v>
      </c>
      <c r="W5" s="9" t="n">
        <v>0.162167521864204</v>
      </c>
      <c r="X5" s="9" t="n">
        <v>0.1473087818696884</v>
      </c>
      <c r="Y5" s="10">
        <f>IFERROR(D5/O5-1,"")</f>
        <v/>
      </c>
      <c r="Z5" s="10">
        <f>IFERROR(E5/O5-1,"")</f>
        <v/>
      </c>
      <c r="AA5" s="10">
        <f>IFERROR(E5/U5-1,"")</f>
        <v/>
      </c>
      <c r="AB5" s="10">
        <f>IFERROR(W5/X5-1,"")</f>
        <v/>
      </c>
    </row>
    <row r="6">
      <c r="A6" s="7" t="inlineStr">
        <is>
          <t>202304</t>
        </is>
      </c>
      <c r="B6" s="8" t="n">
        <v>12457</v>
      </c>
      <c r="C6" s="9" t="n">
        <v>0.1395029138772633</v>
      </c>
      <c r="D6" s="9" t="n">
        <v>0.1756337579513791</v>
      </c>
      <c r="E6" s="9" t="n">
        <v>0.1595238532076413</v>
      </c>
      <c r="F6" s="9" t="n">
        <v>0.004575740547483343</v>
      </c>
      <c r="G6" s="9" t="n">
        <v>0.02456450188648952</v>
      </c>
      <c r="H6" s="9" t="n">
        <v>0.04118166492735009</v>
      </c>
      <c r="I6" s="9" t="n">
        <v>0.0573974472184314</v>
      </c>
      <c r="J6" s="9" t="n">
        <v>0.0722485349602633</v>
      </c>
      <c r="K6" s="9" t="n">
        <v>0.08661796580236011</v>
      </c>
      <c r="L6" s="9" t="n">
        <v>0.09809745524604641</v>
      </c>
      <c r="M6" s="9" t="n">
        <v>0.1095769446897327</v>
      </c>
      <c r="N6" s="9" t="n">
        <v>0.1211367102833748</v>
      </c>
      <c r="O6" s="9" t="n">
        <v>0.1330175804768403</v>
      </c>
      <c r="P6" s="13" t="n">
        <v>0.2039883111878369</v>
      </c>
      <c r="Q6" s="14" t="n">
        <v>8.042112610516504</v>
      </c>
      <c r="R6" s="15" t="n">
        <v>12</v>
      </c>
      <c r="S6" s="9" t="n">
        <v>0.1330175804768403</v>
      </c>
      <c r="T6" s="13" t="n">
        <v>1</v>
      </c>
      <c r="U6" s="9" t="n">
        <v>0.1330175804768403</v>
      </c>
      <c r="V6" s="8" t="n">
        <v>4636</v>
      </c>
      <c r="W6" s="9" t="n">
        <v>0.1649301523725138</v>
      </c>
      <c r="X6" s="9" t="n">
        <v>0.1529335634167386</v>
      </c>
      <c r="Y6" s="10">
        <f>IFERROR(D6/O6-1,"")</f>
        <v/>
      </c>
      <c r="Z6" s="10">
        <f>IFERROR(E6/O6-1,"")</f>
        <v/>
      </c>
      <c r="AA6" s="10">
        <f>IFERROR(E6/U6-1,"")</f>
        <v/>
      </c>
      <c r="AB6" s="10">
        <f>IFERROR(W6/X6-1,"")</f>
        <v/>
      </c>
    </row>
    <row r="7">
      <c r="A7" s="7" t="inlineStr">
        <is>
          <t>202305</t>
        </is>
      </c>
      <c r="B7" s="8" t="n">
        <v>10971</v>
      </c>
      <c r="C7" s="9" t="n">
        <v>0.1395587733846656</v>
      </c>
      <c r="D7" s="9" t="n">
        <v>0.1755978056804268</v>
      </c>
      <c r="E7" s="9" t="n">
        <v>0.1592528053281282</v>
      </c>
      <c r="F7" s="9" t="n">
        <v>0.006562756357670222</v>
      </c>
      <c r="G7" s="9" t="n">
        <v>0.0257041290675417</v>
      </c>
      <c r="H7" s="9" t="n">
        <v>0.04366055965727828</v>
      </c>
      <c r="I7" s="9" t="n">
        <v>0.05961170358217118</v>
      </c>
      <c r="J7" s="9" t="n">
        <v>0.07273721629751162</v>
      </c>
      <c r="K7" s="9" t="n">
        <v>0.08595387840670859</v>
      </c>
      <c r="L7" s="9" t="n">
        <v>0.09716525385106189</v>
      </c>
      <c r="M7" s="9" t="n">
        <v>0.1075562847507064</v>
      </c>
      <c r="N7" s="9" t="n">
        <v>0.1198614529213381</v>
      </c>
      <c r="O7" s="9" t="n">
        <v>0.1316197247288305</v>
      </c>
      <c r="P7" s="13" t="n">
        <v>0.2015420225900039</v>
      </c>
      <c r="Q7" s="14" t="n">
        <v>7.986233529643028</v>
      </c>
      <c r="R7" s="15" t="n">
        <v>12</v>
      </c>
      <c r="S7" s="9" t="n">
        <v>0.1316197247288305</v>
      </c>
      <c r="T7" s="13" t="n">
        <v>1</v>
      </c>
      <c r="U7" s="9" t="n">
        <v>0.1316197247288305</v>
      </c>
      <c r="V7" s="8" t="n">
        <v>4027</v>
      </c>
      <c r="W7" s="9" t="n">
        <v>0.1628678915338408</v>
      </c>
      <c r="X7" s="9" t="n">
        <v>0.1499875838092873</v>
      </c>
      <c r="Y7" s="10">
        <f>IFERROR(D7/O7-1,"")</f>
        <v/>
      </c>
      <c r="Z7" s="10">
        <f>IFERROR(E7/O7-1,"")</f>
        <v/>
      </c>
      <c r="AA7" s="10">
        <f>IFERROR(E7/U7-1,"")</f>
        <v/>
      </c>
      <c r="AB7" s="10">
        <f>IFERROR(W7/X7-1,"")</f>
        <v/>
      </c>
    </row>
    <row r="8">
      <c r="A8" s="7" t="inlineStr">
        <is>
          <t>202306</t>
        </is>
      </c>
      <c r="B8" s="8" t="n">
        <v>7877</v>
      </c>
      <c r="C8" s="9" t="n">
        <v>0.1371495328932032</v>
      </c>
      <c r="D8" s="9" t="n">
        <v>0.1723775980095297</v>
      </c>
      <c r="E8" s="9" t="n">
        <v>0.1558720860048862</v>
      </c>
      <c r="F8" s="9" t="n">
        <v>0.006347594261774787</v>
      </c>
      <c r="G8" s="9" t="n">
        <v>0.02158182049003428</v>
      </c>
      <c r="H8" s="9" t="n">
        <v>0.0359273835216453</v>
      </c>
      <c r="I8" s="9" t="n">
        <v>0.04963818712707883</v>
      </c>
      <c r="J8" s="9" t="n">
        <v>0.0627142313063349</v>
      </c>
      <c r="K8" s="9" t="n">
        <v>0.0717278151580551</v>
      </c>
      <c r="L8" s="9" t="n">
        <v>0.0834073885997207</v>
      </c>
      <c r="M8" s="9" t="n">
        <v>0.09483305827091533</v>
      </c>
      <c r="N8" s="9" t="n">
        <v>0.106004824171639</v>
      </c>
      <c r="O8" s="9" t="n">
        <v>0.1153992636790656</v>
      </c>
      <c r="P8" s="13" t="n">
        <v>0.145631156252523</v>
      </c>
      <c r="Q8" s="14" t="n">
        <v>6.709095654518293</v>
      </c>
      <c r="R8" s="15" t="n">
        <v>12</v>
      </c>
      <c r="S8" s="9" t="n">
        <v>0.1153992636790656</v>
      </c>
      <c r="T8" s="13" t="n">
        <v>1</v>
      </c>
      <c r="U8" s="9" t="n">
        <v>0.1153992636790656</v>
      </c>
      <c r="V8" s="8" t="n">
        <v>3019</v>
      </c>
      <c r="W8" s="9" t="n">
        <v>0.1605503772386806</v>
      </c>
      <c r="X8" s="9" t="n">
        <v>0.1338191454123882</v>
      </c>
      <c r="Y8" s="10">
        <f>IFERROR(D8/O8-1,"")</f>
        <v/>
      </c>
      <c r="Z8" s="10">
        <f>IFERROR(E8/O8-1,"")</f>
        <v/>
      </c>
      <c r="AA8" s="10">
        <f>IFERROR(E8/U8-1,"")</f>
        <v/>
      </c>
      <c r="AB8" s="10">
        <f>IFERROR(W8/X8-1,"")</f>
        <v/>
      </c>
    </row>
    <row r="9">
      <c r="A9" s="7" t="inlineStr">
        <is>
          <t>202307</t>
        </is>
      </c>
      <c r="B9" s="8" t="n">
        <v>6313</v>
      </c>
      <c r="C9" s="9" t="n">
        <v>0.1363115121970275</v>
      </c>
      <c r="D9" s="9" t="n">
        <v>0.1390337273522765</v>
      </c>
      <c r="E9" s="9" t="n">
        <v>0.152566973210975</v>
      </c>
      <c r="F9" s="9" t="n">
        <v>0.004593695548867417</v>
      </c>
      <c r="G9" s="9" t="n">
        <v>0.02312688103912561</v>
      </c>
      <c r="H9" s="9" t="n">
        <v>0.03801679074924758</v>
      </c>
      <c r="I9" s="9" t="n">
        <v>0.04926342467923333</v>
      </c>
      <c r="J9" s="9" t="n">
        <v>0.05876762236654522</v>
      </c>
      <c r="K9" s="9" t="n">
        <v>0.07128148265483922</v>
      </c>
      <c r="L9" s="9" t="n">
        <v>0.08411214953271028</v>
      </c>
      <c r="M9" s="9" t="n">
        <v>0.09630920323142722</v>
      </c>
      <c r="N9" s="9" t="n">
        <v>0.1077142404562015</v>
      </c>
      <c r="O9" s="9" t="n">
        <v>0.1197528908601299</v>
      </c>
      <c r="P9" s="13" t="n">
        <v>0.1154476643960626</v>
      </c>
      <c r="Q9" s="14" t="n">
        <v>6.019632529037033</v>
      </c>
      <c r="R9" s="15" t="n">
        <v>12</v>
      </c>
      <c r="S9" s="9" t="n">
        <v>0.1197528908601299</v>
      </c>
      <c r="T9" s="13" t="n">
        <v>1</v>
      </c>
      <c r="U9" s="9" t="n">
        <v>0.1197528908601299</v>
      </c>
      <c r="V9" s="8" t="n">
        <v>2463</v>
      </c>
      <c r="W9" s="9" t="n">
        <v>0.1577669517316854</v>
      </c>
      <c r="X9" s="9" t="n">
        <v>0.1388550548112059</v>
      </c>
      <c r="Y9" s="10">
        <f>IFERROR(D9/O9-1,"")</f>
        <v/>
      </c>
      <c r="Z9" s="10">
        <f>IFERROR(E9/O9-1,"")</f>
        <v/>
      </c>
      <c r="AA9" s="10">
        <f>IFERROR(E9/U9-1,"")</f>
        <v/>
      </c>
      <c r="AB9" s="10">
        <f>IFERROR(W9/X9-1,"")</f>
        <v/>
      </c>
    </row>
    <row r="10">
      <c r="A10" s="7" t="inlineStr">
        <is>
          <t>202308</t>
        </is>
      </c>
      <c r="B10" s="8" t="n">
        <v>6452</v>
      </c>
      <c r="C10" s="9" t="n">
        <v>0.132891446410754</v>
      </c>
      <c r="D10" s="9" t="n">
        <v>0.1356285432668579</v>
      </c>
      <c r="E10" s="9" t="n">
        <v>0.1489476296466067</v>
      </c>
      <c r="F10" s="9" t="n">
        <v>0.005889646621202728</v>
      </c>
      <c r="G10" s="9" t="n">
        <v>0.02200867947923124</v>
      </c>
      <c r="H10" s="9" t="n">
        <v>0.03812771233725976</v>
      </c>
      <c r="I10" s="9" t="n">
        <v>0.04882207067575946</v>
      </c>
      <c r="J10" s="9" t="n">
        <v>0.06323620582765034</v>
      </c>
      <c r="K10" s="9" t="n">
        <v>0.0736205827650341</v>
      </c>
      <c r="L10" s="9" t="n">
        <v>0.08772473651580905</v>
      </c>
      <c r="M10" s="9" t="n">
        <v>0.09795412275263485</v>
      </c>
      <c r="N10" s="9" t="n">
        <v>0.1080285182889027</v>
      </c>
      <c r="O10" s="9" t="n">
        <v>0.1173279603223807</v>
      </c>
      <c r="P10" s="13" t="n">
        <v>0.1052420450312428</v>
      </c>
      <c r="Q10" s="14" t="n">
        <v>5.786511780178594</v>
      </c>
      <c r="R10" s="15" t="n">
        <v>12</v>
      </c>
      <c r="S10" s="9" t="n">
        <v>0.1173279603223807</v>
      </c>
      <c r="T10" s="13" t="n">
        <v>1</v>
      </c>
      <c r="U10" s="9" t="n">
        <v>0.1173279603223807</v>
      </c>
      <c r="V10" s="8" t="n">
        <v>2439</v>
      </c>
      <c r="W10" s="9" t="n">
        <v>0.1501041144186575</v>
      </c>
      <c r="X10" s="9" t="n">
        <v>0.1373513735137351</v>
      </c>
      <c r="Y10" s="10">
        <f>IFERROR(D10/O10-1,"")</f>
        <v/>
      </c>
      <c r="Z10" s="10">
        <f>IFERROR(E10/O10-1,"")</f>
        <v/>
      </c>
      <c r="AA10" s="10">
        <f>IFERROR(E10/U10-1,"")</f>
        <v/>
      </c>
      <c r="AB10" s="10">
        <f>IFERROR(W10/X10-1,"")</f>
        <v/>
      </c>
    </row>
    <row r="11">
      <c r="A11" s="7" t="inlineStr">
        <is>
          <t>202309</t>
        </is>
      </c>
      <c r="B11" s="8" t="n">
        <v>6294</v>
      </c>
      <c r="C11" s="9" t="n">
        <v>0.1319417916658542</v>
      </c>
      <c r="D11" s="9" t="n">
        <v>0.1266850570595874</v>
      </c>
      <c r="E11" s="9" t="n">
        <v>0.1439337080863779</v>
      </c>
      <c r="F11" s="9" t="n">
        <v>0.003972036860502065</v>
      </c>
      <c r="G11" s="9" t="n">
        <v>0.01922465840483</v>
      </c>
      <c r="H11" s="9" t="n">
        <v>0.03114076898633619</v>
      </c>
      <c r="I11" s="9" t="n">
        <v>0.04464569431204322</v>
      </c>
      <c r="J11" s="9" t="n">
        <v>0.05672068636796949</v>
      </c>
      <c r="K11" s="9" t="n">
        <v>0.06943120432157611</v>
      </c>
      <c r="L11" s="9" t="n">
        <v>0.07991738163330156</v>
      </c>
      <c r="M11" s="9" t="n">
        <v>0.08833809977756593</v>
      </c>
      <c r="N11" s="9" t="n">
        <v>0.09675881792183032</v>
      </c>
      <c r="O11" s="9" t="n">
        <v>0.1053384175405148</v>
      </c>
      <c r="P11" s="13" t="n">
        <v>0.0826428782528265</v>
      </c>
      <c r="Q11" s="14" t="n">
        <v>5.270292774292296</v>
      </c>
      <c r="R11" s="15" t="n">
        <v>12</v>
      </c>
      <c r="S11" s="9" t="n">
        <v>0.1053384175405148</v>
      </c>
      <c r="T11" s="13" t="n">
        <v>1</v>
      </c>
      <c r="U11" s="9" t="n">
        <v>0.1053384175405148</v>
      </c>
      <c r="V11" s="8" t="n">
        <v>2360</v>
      </c>
      <c r="W11" s="9" t="n">
        <v>0.1492052193197689</v>
      </c>
      <c r="X11" s="9" t="n">
        <v>0.1177966101694915</v>
      </c>
      <c r="Y11" s="10">
        <f>IFERROR(D11/O11-1,"")</f>
        <v/>
      </c>
      <c r="Z11" s="10">
        <f>IFERROR(E11/O11-1,"")</f>
        <v/>
      </c>
      <c r="AA11" s="10">
        <f>IFERROR(E11/U11-1,"")</f>
        <v/>
      </c>
      <c r="AB11" s="10">
        <f>IFERROR(W11/X11-1,"")</f>
        <v/>
      </c>
    </row>
    <row r="12">
      <c r="A12" s="7" t="inlineStr">
        <is>
          <t>202310</t>
        </is>
      </c>
      <c r="B12" s="8" t="n">
        <v>6796</v>
      </c>
      <c r="C12" s="9" t="n">
        <v>0.13135571129403</v>
      </c>
      <c r="D12" s="9" t="n">
        <v>0.1331771307503185</v>
      </c>
      <c r="E12" s="9" t="n">
        <v>0.1366875690687477</v>
      </c>
      <c r="F12" s="9" t="n">
        <v>0.003972925250147146</v>
      </c>
      <c r="G12" s="9" t="n">
        <v>0.01706886403766922</v>
      </c>
      <c r="H12" s="9" t="n">
        <v>0.03075338434373161</v>
      </c>
      <c r="I12" s="9" t="n">
        <v>0.04326074161271336</v>
      </c>
      <c r="J12" s="9" t="n">
        <v>0.05562095350206003</v>
      </c>
      <c r="K12" s="9" t="n">
        <v>0.0673925838728664</v>
      </c>
      <c r="L12" s="9" t="n">
        <v>0.07813419658622719</v>
      </c>
      <c r="M12" s="9" t="n">
        <v>0.08755150088287228</v>
      </c>
      <c r="N12" s="9" t="n">
        <v>0.09476162448499117</v>
      </c>
      <c r="O12" s="9" t="n">
        <v>0.1009417304296645</v>
      </c>
      <c r="P12" s="13" t="n">
        <v>0.0496812016861095</v>
      </c>
      <c r="Q12" s="14" t="n">
        <v>4.517369267135951</v>
      </c>
      <c r="R12" s="15" t="n">
        <v>12</v>
      </c>
      <c r="S12" s="9" t="n">
        <v>0.1009417304296645</v>
      </c>
      <c r="T12" s="13" t="n">
        <v>1</v>
      </c>
      <c r="U12" s="9" t="n">
        <v>0.1009417304296645</v>
      </c>
      <c r="V12" s="8" t="n">
        <v>2432</v>
      </c>
      <c r="W12" s="9" t="n">
        <v>0.1403280866658841</v>
      </c>
      <c r="X12" s="9" t="n">
        <v>0.1217105263157895</v>
      </c>
      <c r="Y12" s="10">
        <f>IFERROR(D12/O12-1,"")</f>
        <v/>
      </c>
      <c r="Z12" s="10">
        <f>IFERROR(E12/O12-1,"")</f>
        <v/>
      </c>
      <c r="AA12" s="10">
        <f>IFERROR(E12/U12-1,"")</f>
        <v/>
      </c>
      <c r="AB12" s="10">
        <f>IFERROR(W12/X12-1,"")</f>
        <v/>
      </c>
    </row>
    <row r="13">
      <c r="A13" s="7" t="inlineStr">
        <is>
          <t>202311</t>
        </is>
      </c>
      <c r="B13" s="8" t="n">
        <v>6764</v>
      </c>
      <c r="C13" s="9" t="n">
        <v>0.1324756675185597</v>
      </c>
      <c r="D13" s="9" t="n">
        <v>0.1347958543968493</v>
      </c>
      <c r="E13" s="9" t="n">
        <v>0.1317443835354692</v>
      </c>
      <c r="F13" s="9" t="n">
        <v>0.003696037847427557</v>
      </c>
      <c r="G13" s="9" t="n">
        <v>0.01774098166765228</v>
      </c>
      <c r="H13" s="9" t="n">
        <v>0.03075103489059728</v>
      </c>
      <c r="I13" s="9" t="n">
        <v>0.04302188054405677</v>
      </c>
      <c r="J13" s="9" t="n">
        <v>0.05573625073920757</v>
      </c>
      <c r="K13" s="9" t="n">
        <v>0.06756357185097575</v>
      </c>
      <c r="L13" s="9" t="n">
        <v>0.07554701360141927</v>
      </c>
      <c r="M13" s="9" t="n">
        <v>0.08293908929627439</v>
      </c>
      <c r="N13" s="9" t="n">
        <v>0.09092253104671792</v>
      </c>
      <c r="O13" s="9" t="n">
        <v>0.09787108219988172</v>
      </c>
      <c r="P13" s="13" t="n">
        <v>0.0176922115343233</v>
      </c>
      <c r="Q13" s="14" t="n">
        <v>3.786664243478488</v>
      </c>
      <c r="R13" s="15" t="n">
        <v>12</v>
      </c>
      <c r="S13" s="9" t="n">
        <v>0.09787108219988172</v>
      </c>
      <c r="T13" s="13" t="n">
        <v>1</v>
      </c>
      <c r="U13" s="9" t="n">
        <v>0.09787108219988172</v>
      </c>
      <c r="V13" s="8" t="n">
        <v>2457</v>
      </c>
      <c r="W13" s="9" t="n">
        <v>0.1343245555987095</v>
      </c>
      <c r="X13" s="9" t="n">
        <v>0.1200651200651201</v>
      </c>
      <c r="Y13" s="10">
        <f>IFERROR(D13/O13-1,"")</f>
        <v/>
      </c>
      <c r="Z13" s="10">
        <f>IFERROR(E13/O13-1,"")</f>
        <v/>
      </c>
      <c r="AA13" s="10">
        <f>IFERROR(E13/U13-1,"")</f>
        <v/>
      </c>
      <c r="AB13" s="10">
        <f>IFERROR(W13/X13-1,"")</f>
        <v/>
      </c>
    </row>
    <row r="14">
      <c r="A14" s="7" t="inlineStr">
        <is>
          <t>202312</t>
        </is>
      </c>
      <c r="B14" s="8" t="n">
        <v>6870</v>
      </c>
      <c r="C14" s="9" t="n">
        <v>0.1364971571504321</v>
      </c>
      <c r="D14" s="9" t="n">
        <v>0.1388767314459342</v>
      </c>
      <c r="E14" s="9" t="n">
        <v>0.1328449129678636</v>
      </c>
      <c r="F14" s="9" t="n">
        <v>0.004949053857350801</v>
      </c>
      <c r="G14" s="9" t="n">
        <v>0.02241630276564774</v>
      </c>
      <c r="H14" s="9" t="n">
        <v>0.03580786026200873</v>
      </c>
      <c r="I14" s="9" t="n">
        <v>0.04847161572052402</v>
      </c>
      <c r="J14" s="9" t="n">
        <v>0.06069868995633187</v>
      </c>
      <c r="K14" s="9" t="n">
        <v>0.07161572052401746</v>
      </c>
      <c r="L14" s="9" t="n">
        <v>0.07918486171761281</v>
      </c>
      <c r="M14" s="9" t="n">
        <v>0.08995633187772925</v>
      </c>
      <c r="N14" s="9" t="n">
        <v>0.09927219796215429</v>
      </c>
      <c r="O14" s="9" t="n">
        <v>0.1082969432314411</v>
      </c>
      <c r="P14" s="13" t="n">
        <v>0.0012463846792965</v>
      </c>
      <c r="Q14" s="14" t="n">
        <v>3.411002234638927</v>
      </c>
      <c r="R14" s="15" t="n">
        <v>12</v>
      </c>
      <c r="S14" s="9" t="n">
        <v>0.1082969432314411</v>
      </c>
      <c r="T14" s="13" t="n">
        <v>1</v>
      </c>
      <c r="U14" s="9" t="n">
        <v>0.1082969432314411</v>
      </c>
      <c r="V14" s="8" t="n">
        <v>2501</v>
      </c>
      <c r="W14" s="9" t="n">
        <v>0.1378189650094567</v>
      </c>
      <c r="X14" s="9" t="n">
        <v>0.1275489804078369</v>
      </c>
      <c r="Y14" s="10">
        <f>IFERROR(D14/O14-1,"")</f>
        <v/>
      </c>
      <c r="Z14" s="10">
        <f>IFERROR(E14/O14-1,"")</f>
        <v/>
      </c>
      <c r="AA14" s="10">
        <f>IFERROR(E14/U14-1,"")</f>
        <v/>
      </c>
      <c r="AB14" s="10">
        <f>IFERROR(W14/X14-1,"")</f>
        <v/>
      </c>
    </row>
    <row r="15">
      <c r="A15" s="7" t="inlineStr">
        <is>
          <t>202401</t>
        </is>
      </c>
      <c r="B15" s="8" t="n">
        <v>8014</v>
      </c>
      <c r="C15" s="9" t="n">
        <v>0.1376555200833767</v>
      </c>
      <c r="D15" s="9" t="n">
        <v>0.1322113377930439</v>
      </c>
      <c r="E15" s="9" t="n">
        <v>0.1303515517244467</v>
      </c>
      <c r="F15" s="9" t="n">
        <v>0.005240828550037434</v>
      </c>
      <c r="G15" s="9" t="n">
        <v>0.02333416521088096</v>
      </c>
      <c r="H15" s="9" t="n">
        <v>0.03918143249313701</v>
      </c>
      <c r="I15" s="9" t="n">
        <v>0.05340653855752434</v>
      </c>
      <c r="J15" s="9" t="n">
        <v>0.06388819565759921</v>
      </c>
      <c r="K15" s="9" t="n">
        <v>0.07424507112553032</v>
      </c>
      <c r="L15" s="9" t="n">
        <v>0.08322934863988021</v>
      </c>
      <c r="M15" s="9" t="n">
        <v>0.09158971799351136</v>
      </c>
      <c r="N15" s="9" t="n">
        <v>0.09870227102570502</v>
      </c>
      <c r="O15" s="9" t="n">
        <v>0.1053156975293237</v>
      </c>
      <c r="P15" s="13" t="n">
        <v>-0.0190642825400903</v>
      </c>
      <c r="Q15" s="14" t="n">
        <v>2.947058030691863</v>
      </c>
      <c r="R15" s="15" t="n">
        <v>12</v>
      </c>
      <c r="S15" s="9" t="n">
        <v>0.1053156975293237</v>
      </c>
      <c r="T15" s="13" t="n">
        <v>1</v>
      </c>
      <c r="U15" s="9" t="n">
        <v>0.1053156975293237</v>
      </c>
      <c r="V15" s="8" t="n">
        <v>2905</v>
      </c>
      <c r="W15" s="9" t="n">
        <v>0.136163021271737</v>
      </c>
      <c r="X15" s="9" t="n">
        <v>0.1308089500860585</v>
      </c>
      <c r="Y15" s="10">
        <f>IFERROR(D15/O15-1,"")</f>
        <v/>
      </c>
      <c r="Z15" s="10">
        <f>IFERROR(E15/O15-1,"")</f>
        <v/>
      </c>
      <c r="AA15" s="10">
        <f>IFERROR(E15/U15-1,"")</f>
        <v/>
      </c>
      <c r="AB15" s="10">
        <f>IFERROR(W15/X15-1,"")</f>
        <v/>
      </c>
    </row>
    <row r="16">
      <c r="A16" s="7" t="inlineStr">
        <is>
          <t>202402</t>
        </is>
      </c>
      <c r="B16" s="8" t="n">
        <v>8096</v>
      </c>
      <c r="C16" s="9" t="n">
        <v>0.1368949960551654</v>
      </c>
      <c r="D16" s="9" t="n">
        <v>0.1314421071813133</v>
      </c>
      <c r="E16" s="9" t="n">
        <v>0.1292614590962301</v>
      </c>
      <c r="F16" s="9" t="n">
        <v>0.00691699604743083</v>
      </c>
      <c r="G16" s="9" t="n">
        <v>0.02445652173913044</v>
      </c>
      <c r="H16" s="9" t="n">
        <v>0.04063735177865613</v>
      </c>
      <c r="I16" s="9" t="n">
        <v>0.05002470355731226</v>
      </c>
      <c r="J16" s="9" t="n">
        <v>0.06126482213438735</v>
      </c>
      <c r="K16" s="9" t="n">
        <v>0.07312252964426877</v>
      </c>
      <c r="L16" s="9" t="n">
        <v>0.0821393280632411</v>
      </c>
      <c r="M16" s="9" t="n">
        <v>0.09090909090909091</v>
      </c>
      <c r="N16" s="9" t="n">
        <v>0.09906126482213438</v>
      </c>
      <c r="O16" s="9" t="n">
        <v>0.108201581027668</v>
      </c>
      <c r="P16" s="13" t="n">
        <v>-0.0198286684982686</v>
      </c>
      <c r="Q16" s="14" t="n">
        <v>2.929597627690584</v>
      </c>
      <c r="R16" s="15" t="n">
        <v>12</v>
      </c>
      <c r="S16" s="9" t="n">
        <v>0.108201581027668</v>
      </c>
      <c r="T16" s="13" t="n">
        <v>1</v>
      </c>
      <c r="U16" s="9" t="n">
        <v>0.108201581027668</v>
      </c>
      <c r="V16" s="8" t="n">
        <v>3028</v>
      </c>
      <c r="W16" s="9" t="n">
        <v>0.1338994433500689</v>
      </c>
      <c r="X16" s="9" t="n">
        <v>0.1287978863936592</v>
      </c>
      <c r="Y16" s="10">
        <f>IFERROR(D16/O16-1,"")</f>
        <v/>
      </c>
      <c r="Z16" s="10">
        <f>IFERROR(E16/O16-1,"")</f>
        <v/>
      </c>
      <c r="AA16" s="10">
        <f>IFERROR(E16/U16-1,"")</f>
        <v/>
      </c>
      <c r="AB16" s="10">
        <f>IFERROR(W16/X16-1,"")</f>
        <v/>
      </c>
    </row>
    <row r="17">
      <c r="A17" s="7" t="inlineStr">
        <is>
          <t>202403</t>
        </is>
      </c>
      <c r="B17" s="8" t="n">
        <v>5435</v>
      </c>
      <c r="C17" s="9" t="n">
        <v>0.1272936288980217</v>
      </c>
      <c r="D17" s="9" t="n">
        <v>0.1220893452913871</v>
      </c>
      <c r="E17" s="9" t="n">
        <v>0.1165621536728785</v>
      </c>
      <c r="F17" s="9" t="n">
        <v>0.007727690892364305</v>
      </c>
      <c r="G17" s="9" t="n">
        <v>0.02907083716651334</v>
      </c>
      <c r="H17" s="9" t="n">
        <v>0.04084636614535419</v>
      </c>
      <c r="I17" s="9" t="n">
        <v>0.04857405703771849</v>
      </c>
      <c r="J17" s="9" t="n">
        <v>0.05998160073597056</v>
      </c>
      <c r="K17" s="9" t="n">
        <v>0.0702851885924563</v>
      </c>
      <c r="L17" s="9" t="n">
        <v>0.07948482060717571</v>
      </c>
      <c r="M17" s="9" t="n">
        <v>0.08776448942042318</v>
      </c>
      <c r="N17" s="9" t="n">
        <v>0.09843606255749771</v>
      </c>
      <c r="O17" s="9" t="n">
        <v>0.1054277828886845</v>
      </c>
      <c r="P17" s="13" t="n">
        <v>-0.0309796378369519</v>
      </c>
      <c r="Q17" s="14" t="n">
        <v>2.67488282501116</v>
      </c>
      <c r="R17" s="15" t="n">
        <v>12</v>
      </c>
      <c r="S17" s="9" t="n">
        <v>0.1054277828886845</v>
      </c>
      <c r="T17" s="13" t="n">
        <v>1</v>
      </c>
      <c r="U17" s="9" t="n">
        <v>0.1054277828886845</v>
      </c>
      <c r="V17" s="8" t="n">
        <v>2141</v>
      </c>
      <c r="W17" s="9" t="n">
        <v>0.1208438621854017</v>
      </c>
      <c r="X17" s="9" t="n">
        <v>0.1247080803362915</v>
      </c>
      <c r="Y17" s="10">
        <f>IFERROR(D17/O17-1,"")</f>
        <v/>
      </c>
      <c r="Z17" s="10">
        <f>IFERROR(E17/O17-1,"")</f>
        <v/>
      </c>
      <c r="AA17" s="10">
        <f>IFERROR(E17/U17-1,"")</f>
        <v/>
      </c>
      <c r="AB17" s="10">
        <f>IFERROR(W17/X17-1,"")</f>
        <v/>
      </c>
    </row>
    <row r="18">
      <c r="A18" s="7" t="inlineStr">
        <is>
          <t>202404</t>
        </is>
      </c>
      <c r="B18" s="8" t="n">
        <v>7660</v>
      </c>
      <c r="C18" s="9" t="n">
        <v>0.1396442617616779</v>
      </c>
      <c r="D18" s="9" t="n">
        <v>0.134596523378949</v>
      </c>
      <c r="E18" s="9" t="n">
        <v>0.125284375838982</v>
      </c>
      <c r="F18" s="9" t="n">
        <v>0.003394255874673629</v>
      </c>
      <c r="G18" s="9" t="n">
        <v>0.01723237597911227</v>
      </c>
      <c r="H18" s="9" t="n">
        <v>0.02911227154046997</v>
      </c>
      <c r="I18" s="9" t="n">
        <v>0.04295039164490862</v>
      </c>
      <c r="J18" s="9" t="n">
        <v>0.05835509138381201</v>
      </c>
      <c r="K18" s="9" t="n">
        <v>0.06945169712793733</v>
      </c>
      <c r="L18" s="9" t="n">
        <v>0.08028720626631854</v>
      </c>
      <c r="M18" s="9" t="n">
        <v>0.08890339425587468</v>
      </c>
      <c r="N18" s="9" t="n">
        <v>0.0989556135770235</v>
      </c>
      <c r="O18" s="9" t="n">
        <v>0.108355091383812</v>
      </c>
      <c r="P18" s="13" t="n">
        <v>-0.0558720181987733</v>
      </c>
      <c r="Q18" s="14" t="n">
        <v>2.106281337597227</v>
      </c>
      <c r="R18" s="15" t="n">
        <v>12</v>
      </c>
      <c r="S18" s="9" t="n">
        <v>0.108355091383812</v>
      </c>
      <c r="T18" s="13" t="n">
        <v>1</v>
      </c>
      <c r="U18" s="9" t="n">
        <v>0.108355091383812</v>
      </c>
      <c r="V18" s="8" t="n">
        <v>2977</v>
      </c>
      <c r="W18" s="9" t="n">
        <v>0.1284805683339543</v>
      </c>
      <c r="X18" s="9" t="n">
        <v>0.1232784682566342</v>
      </c>
      <c r="Y18" s="10">
        <f>IFERROR(D18/O18-1,"")</f>
        <v/>
      </c>
      <c r="Z18" s="10">
        <f>IFERROR(E18/O18-1,"")</f>
        <v/>
      </c>
      <c r="AA18" s="10">
        <f>IFERROR(E18/U18-1,"")</f>
        <v/>
      </c>
      <c r="AB18" s="10">
        <f>IFERROR(W18/X18-1,"")</f>
        <v/>
      </c>
    </row>
    <row r="19">
      <c r="A19" s="7" t="inlineStr">
        <is>
          <t>202405</t>
        </is>
      </c>
      <c r="B19" s="8" t="n">
        <v>7382</v>
      </c>
      <c r="C19" s="9" t="n">
        <v>0.1366294356527534</v>
      </c>
      <c r="D19" s="9" t="n">
        <v>0.1316885695210122</v>
      </c>
      <c r="E19" s="9" t="n">
        <v>0.1186792952345591</v>
      </c>
      <c r="F19" s="9" t="n">
        <v>0.005147656461663506</v>
      </c>
      <c r="G19" s="9" t="n">
        <v>0.01855865619073422</v>
      </c>
      <c r="H19" s="9" t="n">
        <v>0.03467894879436467</v>
      </c>
      <c r="I19" s="9" t="n">
        <v>0.04727716066106746</v>
      </c>
      <c r="J19" s="9" t="n">
        <v>0.05906258466540233</v>
      </c>
      <c r="K19" s="9" t="n">
        <v>0.06840964508263343</v>
      </c>
      <c r="L19" s="9" t="n">
        <v>0.07775670549986453</v>
      </c>
      <c r="M19" s="9" t="n">
        <v>0.0875101598482796</v>
      </c>
      <c r="N19" s="9" t="n">
        <v>0.0957735031156868</v>
      </c>
      <c r="O19" s="9" t="n">
        <v>0.104172311026822</v>
      </c>
      <c r="P19" s="13" t="n">
        <v>-0.0754757595835721</v>
      </c>
      <c r="Q19" s="14" t="n">
        <v>1.658485010036248</v>
      </c>
      <c r="R19" s="15" t="n">
        <v>12</v>
      </c>
      <c r="S19" s="9" t="n">
        <v>0.104172311026822</v>
      </c>
      <c r="T19" s="13" t="n">
        <v>1</v>
      </c>
      <c r="U19" s="9" t="n">
        <v>0.104172311026822</v>
      </c>
      <c r="V19" s="8" t="n">
        <v>2840</v>
      </c>
      <c r="W19" s="9" t="n">
        <v>0.124571056043046</v>
      </c>
      <c r="X19" s="9" t="n">
        <v>0.1197183098591549</v>
      </c>
      <c r="Y19" s="10">
        <f>IFERROR(D19/O19-1,"")</f>
        <v/>
      </c>
      <c r="Z19" s="10">
        <f>IFERROR(E19/O19-1,"")</f>
        <v/>
      </c>
      <c r="AA19" s="10">
        <f>IFERROR(E19/U19-1,"")</f>
        <v/>
      </c>
      <c r="AB19" s="10">
        <f>IFERROR(W19/X19-1,"")</f>
        <v/>
      </c>
    </row>
    <row r="20">
      <c r="A20" s="7" t="inlineStr">
        <is>
          <t>202406</t>
        </is>
      </c>
      <c r="B20" s="8" t="n">
        <v>7278</v>
      </c>
      <c r="C20" s="9" t="n">
        <v>0.1368038079617676</v>
      </c>
      <c r="D20" s="9" t="n">
        <v>0.1318341203346924</v>
      </c>
      <c r="E20" s="9" t="n">
        <v>0.1203503203607123</v>
      </c>
      <c r="F20" s="9" t="n">
        <v>0.005221214619400934</v>
      </c>
      <c r="G20" s="9" t="n">
        <v>0.02061005770816158</v>
      </c>
      <c r="H20" s="9" t="n">
        <v>0.03654850233580654</v>
      </c>
      <c r="I20" s="9" t="n">
        <v>0.05070074196207749</v>
      </c>
      <c r="J20" s="9" t="n">
        <v>0.05990656773838967</v>
      </c>
      <c r="K20" s="9" t="n">
        <v>0.06746358889804892</v>
      </c>
      <c r="L20" s="9" t="n">
        <v>0.0784556196757351</v>
      </c>
      <c r="M20" s="9" t="n">
        <v>0.08958505083814235</v>
      </c>
      <c r="N20" s="9" t="n">
        <v>0.1001648804616653</v>
      </c>
      <c r="O20" s="9" t="n">
        <v>0.1090959054685353</v>
      </c>
      <c r="P20" s="13" t="n">
        <v>-0.0653537931038556</v>
      </c>
      <c r="Q20" s="14" t="n">
        <v>1.889694926977259</v>
      </c>
      <c r="R20" s="15" t="n">
        <v>12</v>
      </c>
      <c r="S20" s="9" t="n">
        <v>0.1090959054685353</v>
      </c>
      <c r="T20" s="13" t="n">
        <v>1</v>
      </c>
      <c r="U20" s="9" t="n">
        <v>0.1090959054685353</v>
      </c>
      <c r="V20" s="8" t="n">
        <v>2862</v>
      </c>
      <c r="W20" s="9" t="n">
        <v>0.127168357779699</v>
      </c>
      <c r="X20" s="9" t="n">
        <v>0.129979035639413</v>
      </c>
      <c r="Y20" s="10">
        <f>IFERROR(D20/O20-1,"")</f>
        <v/>
      </c>
      <c r="Z20" s="10">
        <f>IFERROR(E20/O20-1,"")</f>
        <v/>
      </c>
      <c r="AA20" s="10">
        <f>IFERROR(E20/U20-1,"")</f>
        <v/>
      </c>
      <c r="AB20" s="10">
        <f>IFERROR(W20/X20-1,"")</f>
        <v/>
      </c>
    </row>
    <row r="21">
      <c r="A21" s="7" t="inlineStr">
        <is>
          <t>202407</t>
        </is>
      </c>
      <c r="B21" s="8" t="n">
        <v>8267</v>
      </c>
      <c r="C21" s="9" t="n">
        <v>0.1417781118962797</v>
      </c>
      <c r="D21" s="9" t="n">
        <v>0.1366513113645463</v>
      </c>
      <c r="E21" s="9" t="n">
        <v>0.1244084474932841</v>
      </c>
      <c r="F21" s="9" t="n">
        <v>0.004112737389621386</v>
      </c>
      <c r="G21" s="9" t="n">
        <v>0.02298294423611951</v>
      </c>
      <c r="H21" s="9" t="n">
        <v>0.03870811660820128</v>
      </c>
      <c r="I21" s="9" t="n">
        <v>0.05080440304826418</v>
      </c>
      <c r="J21" s="9" t="n">
        <v>0.0613281722511189</v>
      </c>
      <c r="K21" s="9" t="n">
        <v>0.0737873472843837</v>
      </c>
      <c r="L21" s="9" t="n">
        <v>0.08419015362283779</v>
      </c>
      <c r="M21" s="9" t="n">
        <v>0.09447199709689126</v>
      </c>
      <c r="N21" s="9" t="n">
        <v>0.1029393976049353</v>
      </c>
      <c r="O21" s="9" t="n">
        <v>0.1123745010281843</v>
      </c>
      <c r="P21" s="13" t="n">
        <v>-0.0704962472517633</v>
      </c>
      <c r="Q21" s="14" t="n">
        <v>1.772228978162538</v>
      </c>
      <c r="R21" s="15" t="n">
        <v>12</v>
      </c>
      <c r="S21" s="9" t="n">
        <v>0.1123745010281843</v>
      </c>
      <c r="T21" s="13" t="n">
        <v>1</v>
      </c>
      <c r="U21" s="9" t="n">
        <v>0.1123745010281843</v>
      </c>
      <c r="V21" s="8" t="n">
        <v>3422</v>
      </c>
      <c r="W21" s="9" t="n">
        <v>0.133046162227061</v>
      </c>
      <c r="X21" s="9" t="n">
        <v>0.1355932203389831</v>
      </c>
      <c r="Y21" s="10">
        <f>IFERROR(D21/O21-1,"")</f>
        <v/>
      </c>
      <c r="Z21" s="10">
        <f>IFERROR(E21/O21-1,"")</f>
        <v/>
      </c>
      <c r="AA21" s="10">
        <f>IFERROR(E21/U21-1,"")</f>
        <v/>
      </c>
      <c r="AB21" s="10">
        <f>IFERROR(W21/X21-1,"")</f>
        <v/>
      </c>
    </row>
    <row r="22">
      <c r="A22" s="7" t="inlineStr">
        <is>
          <t>202408</t>
        </is>
      </c>
      <c r="B22" s="8" t="n">
        <v>7720</v>
      </c>
      <c r="C22" s="9" t="n">
        <v>0.1416149982101636</v>
      </c>
      <c r="D22" s="9" t="n">
        <v>0.136495503995307</v>
      </c>
      <c r="E22" s="9" t="n">
        <v>0.1237792344537759</v>
      </c>
      <c r="F22" s="9" t="n">
        <v>0.004792746113989638</v>
      </c>
      <c r="G22" s="9" t="n">
        <v>0.02266839378238342</v>
      </c>
      <c r="H22" s="9" t="n">
        <v>0.0383419689119171</v>
      </c>
      <c r="I22" s="9" t="n">
        <v>0.04948186528497409</v>
      </c>
      <c r="J22" s="9" t="n">
        <v>0.06243523316062176</v>
      </c>
      <c r="K22" s="9" t="n">
        <v>0.07538860103626943</v>
      </c>
      <c r="L22" s="9" t="n">
        <v>0.0844559585492228</v>
      </c>
      <c r="M22" s="9" t="n">
        <v>0.09404145077720208</v>
      </c>
      <c r="N22" s="9" t="n">
        <v>0.1014248704663212</v>
      </c>
      <c r="O22" s="9" t="n">
        <v>0.1089378238341969</v>
      </c>
      <c r="P22" s="13" t="n">
        <v>-0.0744376341863873</v>
      </c>
      <c r="Q22" s="14" t="n">
        <v>1.68219827636038</v>
      </c>
      <c r="R22" s="15" t="n">
        <v>12</v>
      </c>
      <c r="S22" s="9" t="n">
        <v>0.1089378238341969</v>
      </c>
      <c r="T22" s="13" t="n">
        <v>1</v>
      </c>
      <c r="U22" s="9" t="n">
        <v>0.1089378238341969</v>
      </c>
      <c r="V22" s="8" t="n">
        <v>3035</v>
      </c>
      <c r="W22" s="9" t="n">
        <v>0.1307199316574447</v>
      </c>
      <c r="X22" s="9" t="n">
        <v>0.128171334431631</v>
      </c>
      <c r="Y22" s="10">
        <f>IFERROR(D22/O22-1,"")</f>
        <v/>
      </c>
      <c r="Z22" s="10">
        <f>IFERROR(E22/O22-1,"")</f>
        <v/>
      </c>
      <c r="AA22" s="10">
        <f>IFERROR(E22/U22-1,"")</f>
        <v/>
      </c>
      <c r="AB22" s="10">
        <f>IFERROR(W22/X22-1,"")</f>
        <v/>
      </c>
    </row>
    <row r="23">
      <c r="A23" s="7" t="inlineStr">
        <is>
          <t>202409</t>
        </is>
      </c>
      <c r="B23" s="8" t="n">
        <v>10318</v>
      </c>
      <c r="C23" s="9" t="n">
        <v>0.1494523137833119</v>
      </c>
      <c r="D23" s="9" t="n">
        <v>0.1441044519517486</v>
      </c>
      <c r="E23" s="9" t="n">
        <v>0.1305147070023064</v>
      </c>
      <c r="F23" s="9" t="n">
        <v>0.003585966272533437</v>
      </c>
      <c r="G23" s="9" t="n">
        <v>0.01899592944369064</v>
      </c>
      <c r="H23" s="9" t="n">
        <v>0.03295212250436131</v>
      </c>
      <c r="I23" s="9" t="n">
        <v>0.04845900368288428</v>
      </c>
      <c r="J23" s="9" t="n">
        <v>0.0631905408024811</v>
      </c>
      <c r="K23" s="9" t="n">
        <v>0.07559604574529948</v>
      </c>
      <c r="L23" s="9" t="n">
        <v>0.08654778057763132</v>
      </c>
      <c r="M23" s="9" t="n">
        <v>0.09623958131420818</v>
      </c>
      <c r="N23" s="9" t="n">
        <v>0.1051560379918589</v>
      </c>
      <c r="O23" s="9" t="n">
        <v>0.1145570847063384</v>
      </c>
      <c r="P23" s="13" t="n">
        <v>-0.0828464630159074</v>
      </c>
      <c r="Q23" s="14" t="n">
        <v>1.490120519618099</v>
      </c>
      <c r="R23" s="15" t="n">
        <v>12</v>
      </c>
      <c r="S23" s="9" t="n">
        <v>0.1145570847063384</v>
      </c>
      <c r="T23" s="13" t="n">
        <v>1</v>
      </c>
      <c r="U23" s="9" t="n">
        <v>0.1145570847063384</v>
      </c>
      <c r="V23" s="8" t="n">
        <v>4003</v>
      </c>
      <c r="W23" s="9" t="n">
        <v>0.1384728480311286</v>
      </c>
      <c r="X23" s="9" t="n">
        <v>0.1383962028478641</v>
      </c>
      <c r="Y23" s="10">
        <f>IFERROR(D23/O23-1,"")</f>
        <v/>
      </c>
      <c r="Z23" s="10">
        <f>IFERROR(E23/O23-1,"")</f>
        <v/>
      </c>
      <c r="AA23" s="10">
        <f>IFERROR(E23/U23-1,"")</f>
        <v/>
      </c>
      <c r="AB23" s="10">
        <f>IFERROR(W23/X23-1,"")</f>
        <v/>
      </c>
    </row>
    <row r="24">
      <c r="A24" s="7" t="inlineStr">
        <is>
          <t>202410</t>
        </is>
      </c>
      <c r="B24" s="8" t="n">
        <v>11860</v>
      </c>
      <c r="C24" s="9" t="n">
        <v>0.1513702056863821</v>
      </c>
      <c r="D24" s="9" t="n">
        <v>0.1535674232059798</v>
      </c>
      <c r="E24" s="9" t="n">
        <v>0.1342829346120025</v>
      </c>
      <c r="F24" s="9" t="n">
        <v>0.00505902192242833</v>
      </c>
      <c r="G24" s="9" t="n">
        <v>0.01821247892074199</v>
      </c>
      <c r="H24" s="9" t="n">
        <v>0.03676222596964587</v>
      </c>
      <c r="I24" s="9" t="n">
        <v>0.0536256323777403</v>
      </c>
      <c r="J24" s="9" t="n">
        <v>0.06703204047217538</v>
      </c>
      <c r="K24" s="9" t="n">
        <v>0.08035413153456998</v>
      </c>
      <c r="L24" s="9" t="n">
        <v>0.09097807757166948</v>
      </c>
      <c r="M24" s="9" t="n">
        <v>0.1012647554806071</v>
      </c>
      <c r="N24" s="9" t="n">
        <v>0.1109612141652614</v>
      </c>
      <c r="O24" s="9" t="n">
        <v>0.11964586846543</v>
      </c>
      <c r="P24" s="13" t="n">
        <v>-0.0724218660345015</v>
      </c>
      <c r="Q24" s="14" t="n">
        <v>1.728243240834804</v>
      </c>
      <c r="R24" s="15" t="n">
        <v>12</v>
      </c>
      <c r="S24" s="9" t="n">
        <v>0.11964586846543</v>
      </c>
      <c r="T24" s="13" t="n">
        <v>1</v>
      </c>
      <c r="U24" s="9" t="n">
        <v>0.11964586846543</v>
      </c>
      <c r="V24" s="8" t="n">
        <v>4838</v>
      </c>
      <c r="W24" s="9" t="n">
        <v>0.1404306796778193</v>
      </c>
      <c r="X24" s="9" t="n">
        <v>0.1448945845390657</v>
      </c>
      <c r="Y24" s="10">
        <f>IFERROR(D24/O24-1,"")</f>
        <v/>
      </c>
      <c r="Z24" s="10">
        <f>IFERROR(E24/O24-1,"")</f>
        <v/>
      </c>
      <c r="AA24" s="10">
        <f>IFERROR(E24/U24-1,"")</f>
        <v/>
      </c>
      <c r="AB24" s="10">
        <f>IFERROR(W24/X24-1,"")</f>
        <v/>
      </c>
    </row>
    <row r="25">
      <c r="A25" s="7" t="inlineStr">
        <is>
          <t>202411</t>
        </is>
      </c>
      <c r="B25" s="8" t="n">
        <v>13678</v>
      </c>
      <c r="C25" s="9" t="n">
        <v>0.1526623142918316</v>
      </c>
      <c r="D25" s="9" t="n">
        <v>0.1549440213898667</v>
      </c>
      <c r="E25" s="9" t="n">
        <v>0.1381177842321906</v>
      </c>
      <c r="F25" s="9" t="n">
        <v>0.003143734464102939</v>
      </c>
      <c r="G25" s="9" t="n">
        <v>0.02164059072963884</v>
      </c>
      <c r="H25" s="9" t="n">
        <v>0.04554759467758444</v>
      </c>
      <c r="I25" s="9" t="n">
        <v>0.06119315689428279</v>
      </c>
      <c r="J25" s="9" t="n">
        <v>0.07471852610030706</v>
      </c>
      <c r="K25" s="9" t="n">
        <v>0.08546571136131013</v>
      </c>
      <c r="L25" s="9" t="n">
        <v>0.09774820880245649</v>
      </c>
      <c r="M25" s="9" t="n">
        <v>0.109007164790174</v>
      </c>
      <c r="N25" s="9" t="n">
        <v>0.1185845883901155</v>
      </c>
      <c r="O25" s="9" t="n">
        <v>0.1276502412633426</v>
      </c>
      <c r="P25" s="13" t="n">
        <v>-0.0580535033556161</v>
      </c>
      <c r="Q25" s="14" t="n">
        <v>2.056451000485126</v>
      </c>
      <c r="R25" s="15" t="n">
        <v>12</v>
      </c>
      <c r="S25" s="9" t="n">
        <v>0.1276502412633426</v>
      </c>
      <c r="T25" s="13" t="n">
        <v>1</v>
      </c>
      <c r="U25" s="9" t="n">
        <v>0.1276502412633426</v>
      </c>
      <c r="V25" s="8" t="n">
        <v>5802</v>
      </c>
      <c r="W25" s="9" t="n">
        <v>0.1430494722351481</v>
      </c>
      <c r="X25" s="9" t="n">
        <v>0.1440882454326095</v>
      </c>
      <c r="Y25" s="10">
        <f>IFERROR(D25/O25-1,"")</f>
        <v/>
      </c>
      <c r="Z25" s="10">
        <f>IFERROR(E25/O25-1,"")</f>
        <v/>
      </c>
      <c r="AA25" s="10">
        <f>IFERROR(E25/U25-1,"")</f>
        <v/>
      </c>
      <c r="AB25" s="10">
        <f>IFERROR(W25/X25-1,"")</f>
        <v/>
      </c>
    </row>
    <row r="26">
      <c r="A26" s="7" t="inlineStr">
        <is>
          <t>202412</t>
        </is>
      </c>
      <c r="B26" s="8" t="n">
        <v>12300</v>
      </c>
      <c r="C26" s="9" t="n">
        <v>0.1501134191174817</v>
      </c>
      <c r="D26" s="9" t="n">
        <v>0.1523437579512233</v>
      </c>
      <c r="E26" s="9" t="n">
        <v>0.1341966343905792</v>
      </c>
      <c r="F26" s="9" t="n">
        <v>0.007804878048780488</v>
      </c>
      <c r="G26" s="9" t="n">
        <v>0.02983739837398374</v>
      </c>
      <c r="H26" s="9" t="n">
        <v>0.05113821138211382</v>
      </c>
      <c r="I26" s="9" t="n">
        <v>0.07365853658536585</v>
      </c>
      <c r="J26" s="9" t="n">
        <v>0.08780487804878048</v>
      </c>
      <c r="K26" s="9" t="n">
        <v>0.09959349593495935</v>
      </c>
      <c r="L26" s="9" t="n">
        <v>0.110650406504065</v>
      </c>
      <c r="M26" s="9" t="n">
        <v>0.1188617886178862</v>
      </c>
      <c r="N26" s="9" t="n">
        <v>0.1287804878048781</v>
      </c>
      <c r="O26" s="9" t="n">
        <v>0.1366666666666667</v>
      </c>
      <c r="P26" s="13" t="n">
        <v>-0.0650299149850779</v>
      </c>
      <c r="Q26" s="14" t="n">
        <v>1.897093077632239</v>
      </c>
      <c r="R26" s="15" t="n">
        <v>12</v>
      </c>
      <c r="S26" s="9" t="n">
        <v>0.1366666666666667</v>
      </c>
      <c r="T26" s="13" t="n">
        <v>1</v>
      </c>
      <c r="U26" s="9" t="n">
        <v>0.1366666666666667</v>
      </c>
      <c r="V26" s="8" t="n">
        <v>5020</v>
      </c>
      <c r="W26" s="9" t="n">
        <v>0.138716474663886</v>
      </c>
      <c r="X26" s="9" t="n">
        <v>0.149003984063745</v>
      </c>
      <c r="Y26" s="10">
        <f>IFERROR(D26/O26-1,"")</f>
        <v/>
      </c>
      <c r="Z26" s="10">
        <f>IFERROR(E26/O26-1,"")</f>
        <v/>
      </c>
      <c r="AA26" s="10">
        <f>IFERROR(E26/U26-1,"")</f>
        <v/>
      </c>
      <c r="AB26" s="10">
        <f>IFERROR(W26/X26-1,"")</f>
        <v/>
      </c>
    </row>
    <row r="27">
      <c r="A27" s="7" t="inlineStr">
        <is>
          <t>202501</t>
        </is>
      </c>
      <c r="B27" s="8" t="n">
        <v>12035</v>
      </c>
      <c r="C27" s="9" t="n">
        <v>0.1468678188130668</v>
      </c>
      <c r="D27" s="9" t="n">
        <v>0.1488532477511557</v>
      </c>
      <c r="E27" s="9" t="n">
        <v>0.1300498215374358</v>
      </c>
      <c r="F27" s="9" t="n">
        <v>0.005982550893228085</v>
      </c>
      <c r="G27" s="9" t="n">
        <v>0.02309929372663066</v>
      </c>
      <c r="H27" s="9" t="n">
        <v>0.04063149148317408</v>
      </c>
      <c r="I27" s="9" t="n">
        <v>0.0565849605317823</v>
      </c>
      <c r="J27" s="9" t="n">
        <v>0.06805151641046947</v>
      </c>
      <c r="K27" s="9" t="n">
        <v>0.07893643539675946</v>
      </c>
      <c r="L27" s="9" t="n">
        <v>0.08815953469048608</v>
      </c>
      <c r="M27" s="9" t="n">
        <v>0.09904445367677607</v>
      </c>
      <c r="N27" s="9" t="n">
        <v>0.107436643124221</v>
      </c>
      <c r="O27" s="9" t="n">
        <v>0.114333194848359</v>
      </c>
      <c r="P27" s="13" t="n">
        <v>-0.0692773689503683</v>
      </c>
      <c r="Q27" s="14" t="n">
        <v>1.800071073015497</v>
      </c>
      <c r="R27" s="15" t="n">
        <v>12</v>
      </c>
      <c r="S27" s="9" t="n">
        <v>0.114333194848359</v>
      </c>
      <c r="T27" s="13" t="n">
        <v>1</v>
      </c>
      <c r="U27" s="9" t="n">
        <v>0.114333194848359</v>
      </c>
      <c r="V27" s="8" t="n">
        <v>4727</v>
      </c>
      <c r="W27" s="9" t="n">
        <v>0.134668133881804</v>
      </c>
      <c r="X27" s="9" t="n">
        <v>0.1406811931457584</v>
      </c>
      <c r="Y27" s="10">
        <f>IFERROR(D27/O27-1,"")</f>
        <v/>
      </c>
      <c r="Z27" s="10">
        <f>IFERROR(E27/O27-1,"")</f>
        <v/>
      </c>
      <c r="AA27" s="10">
        <f>IFERROR(E27/U27-1,"")</f>
        <v/>
      </c>
      <c r="AB27" s="10">
        <f>IFERROR(W27/X27-1,"")</f>
        <v/>
      </c>
    </row>
    <row r="28">
      <c r="A28" s="7" t="inlineStr">
        <is>
          <t>202502</t>
        </is>
      </c>
      <c r="B28" s="8" t="n">
        <v>10764</v>
      </c>
      <c r="C28" s="9" t="n">
        <v>0.1478320327044068</v>
      </c>
      <c r="D28" s="9" t="n">
        <v>0.1498241667129239</v>
      </c>
      <c r="E28" s="9" t="n">
        <v>0.1286170063993093</v>
      </c>
      <c r="F28" s="9" t="n">
        <v>0.00641025641025641</v>
      </c>
      <c r="G28" s="9" t="n">
        <v>0.02749907097733185</v>
      </c>
      <c r="H28" s="9" t="n">
        <v>0.04552211073950204</v>
      </c>
      <c r="I28" s="9" t="n">
        <v>0.05917874396135266</v>
      </c>
      <c r="J28" s="9" t="n">
        <v>0.07014121144555927</v>
      </c>
      <c r="K28" s="9" t="n">
        <v>0.08082497212931995</v>
      </c>
      <c r="L28" s="9" t="n">
        <v>0.09113712374581939</v>
      </c>
      <c r="M28" s="9" t="n">
        <v>0.09894091415830546</v>
      </c>
      <c r="N28" s="9" t="n">
        <v>0.1068376068376068</v>
      </c>
      <c r="O28" s="9" t="n">
        <v>0.1131549609810479</v>
      </c>
      <c r="P28" s="13" t="n">
        <v>-0.0821028391221693</v>
      </c>
      <c r="Q28" s="14" t="n">
        <v>1.507106667423574</v>
      </c>
      <c r="R28" s="15" t="n">
        <v>12</v>
      </c>
      <c r="S28" s="9" t="n">
        <v>0.1131549609810479</v>
      </c>
      <c r="T28" s="13" t="n">
        <v>1</v>
      </c>
      <c r="U28" s="9" t="n">
        <v>0.1131549609810479</v>
      </c>
      <c r="V28" s="8" t="n">
        <v>4278</v>
      </c>
      <c r="W28" s="9" t="n">
        <v>0.1344970660626239</v>
      </c>
      <c r="X28" s="9" t="n">
        <v>0.1323048153342684</v>
      </c>
      <c r="Y28" s="10">
        <f>IFERROR(D28/O28-1,"")</f>
        <v/>
      </c>
      <c r="Z28" s="10">
        <f>IFERROR(E28/O28-1,"")</f>
        <v/>
      </c>
      <c r="AA28" s="10">
        <f>IFERROR(E28/U28-1,"")</f>
        <v/>
      </c>
      <c r="AB28" s="10">
        <f>IFERROR(W28/X28-1,"")</f>
        <v/>
      </c>
    </row>
    <row r="29">
      <c r="A29" s="7" t="inlineStr">
        <is>
          <t>202503</t>
        </is>
      </c>
      <c r="B29" s="8" t="n">
        <v>14294</v>
      </c>
      <c r="C29" s="9" t="n">
        <v>0.1620088586133123</v>
      </c>
      <c r="D29" s="9" t="n">
        <v>0.155820929244389</v>
      </c>
      <c r="E29" s="9" t="n">
        <v>0.1427301104164329</v>
      </c>
      <c r="F29" s="9" t="n">
        <v>0.006856023506366308</v>
      </c>
      <c r="G29" s="9" t="n">
        <v>0.02924303903735833</v>
      </c>
      <c r="H29" s="9" t="n">
        <v>0.04953127186231986</v>
      </c>
      <c r="I29" s="9" t="n">
        <v>0.06443262907513642</v>
      </c>
      <c r="J29" s="9" t="n">
        <v>0.07877431089967819</v>
      </c>
      <c r="K29" s="9" t="n">
        <v>0.09192668252413601</v>
      </c>
      <c r="L29" s="9" t="n">
        <v>0.1030502308660977</v>
      </c>
      <c r="M29" s="9" t="n">
        <v>0.1110955645725479</v>
      </c>
      <c r="N29" s="9" t="n">
        <v>0.119910451937876</v>
      </c>
      <c r="O29" s="9" t="n">
        <v>0.1289352175738072</v>
      </c>
      <c r="P29" s="13" t="n">
        <v>-0.0901403058799683</v>
      </c>
      <c r="Q29" s="14" t="n">
        <v>1.323511708359959</v>
      </c>
      <c r="R29" s="15" t="n">
        <v>12</v>
      </c>
      <c r="S29" s="9" t="n">
        <v>0.1289352175738072</v>
      </c>
      <c r="T29" s="13" t="n">
        <v>1</v>
      </c>
      <c r="U29" s="9" t="n">
        <v>0.1289352175738072</v>
      </c>
      <c r="V29" s="8" t="n">
        <v>5929</v>
      </c>
      <c r="W29" s="9" t="n">
        <v>0.150960533905578</v>
      </c>
      <c r="X29" s="9" t="n">
        <v>0.1437004553887671</v>
      </c>
      <c r="Y29" s="10">
        <f>IFERROR(D29/O29-1,"")</f>
        <v/>
      </c>
      <c r="Z29" s="10">
        <f>IFERROR(E29/O29-1,"")</f>
        <v/>
      </c>
      <c r="AA29" s="10">
        <f>IFERROR(E29/U29-1,"")</f>
        <v/>
      </c>
      <c r="AB29" s="10">
        <f>IFERROR(W29/X29-1,"")</f>
        <v/>
      </c>
    </row>
    <row r="30">
      <c r="A30" s="7" t="inlineStr">
        <is>
          <t>202504</t>
        </is>
      </c>
      <c r="B30" s="8" t="n">
        <v>15565</v>
      </c>
      <c r="C30" s="9" t="n">
        <v>0.165306592441753</v>
      </c>
      <c r="D30" s="9" t="n">
        <v>0.159091493946647</v>
      </c>
      <c r="E30" s="9" t="n">
        <v>0.1472910982140388</v>
      </c>
      <c r="F30" s="9" t="n">
        <v>0.008030838419530999</v>
      </c>
      <c r="G30" s="9" t="n">
        <v>0.0287825248955991</v>
      </c>
      <c r="H30" s="9" t="n">
        <v>0.04696434307741728</v>
      </c>
      <c r="I30" s="9" t="n">
        <v>0.06039190491487311</v>
      </c>
      <c r="J30" s="9" t="n">
        <v>0.07728878894956634</v>
      </c>
      <c r="K30" s="9" t="n">
        <v>0.0894314166398972</v>
      </c>
      <c r="L30" s="9" t="n">
        <v>0.09720526823000321</v>
      </c>
      <c r="M30" s="9" t="n">
        <v>0.1063925473819467</v>
      </c>
      <c r="N30" s="9" t="n">
        <v>0.1159010600706714</v>
      </c>
      <c r="O30" s="9" t="n">
        <v>0.1250240925152586</v>
      </c>
      <c r="P30" s="13" t="n">
        <v>-0.0763210869948466</v>
      </c>
      <c r="Q30" s="14" t="n">
        <v>1.639175710707863</v>
      </c>
      <c r="R30" s="15" t="n">
        <v>12</v>
      </c>
      <c r="S30" s="9" t="n">
        <v>0.1250240925152586</v>
      </c>
      <c r="T30" s="13" t="n">
        <v>1</v>
      </c>
      <c r="U30" s="9" t="n">
        <v>0.1250240925152586</v>
      </c>
      <c r="V30" s="8" t="n">
        <v>6398</v>
      </c>
      <c r="W30" s="9" t="n">
        <v>0.157677915068945</v>
      </c>
      <c r="X30" s="9" t="n">
        <v>0.1447327289778056</v>
      </c>
      <c r="Y30" s="10">
        <f>IFERROR(D30/O30-1,"")</f>
        <v/>
      </c>
      <c r="Z30" s="10">
        <f>IFERROR(E30/O30-1,"")</f>
        <v/>
      </c>
      <c r="AA30" s="10">
        <f>IFERROR(E30/U30-1,"")</f>
        <v/>
      </c>
      <c r="AB30" s="10">
        <f>IFERROR(W30/X30-1,"")</f>
        <v/>
      </c>
    </row>
    <row r="31">
      <c r="A31" s="7" t="inlineStr">
        <is>
          <t>202505</t>
        </is>
      </c>
      <c r="B31" s="8" t="n">
        <v>13964</v>
      </c>
      <c r="C31" s="9" t="n">
        <v>0.1659096830262528</v>
      </c>
      <c r="D31" s="9" t="n">
        <v>0.1596249955524489</v>
      </c>
      <c r="E31" s="9" t="n">
        <v>0.1483643050119294</v>
      </c>
      <c r="F31" s="9" t="n">
        <v>0.008378688054998567</v>
      </c>
      <c r="G31" s="9" t="n">
        <v>0.03473216843311372</v>
      </c>
      <c r="H31" s="9" t="n">
        <v>0.05578630764823832</v>
      </c>
      <c r="I31" s="9" t="n">
        <v>0.07290174735032942</v>
      </c>
      <c r="J31" s="9" t="n">
        <v>0.08643655113148095</v>
      </c>
      <c r="K31" s="9" t="n">
        <v>0.09610426811801775</v>
      </c>
      <c r="L31" s="9" t="n">
        <v>0.1047694070466915</v>
      </c>
      <c r="M31" s="9" t="n">
        <v>0.1137926095674592</v>
      </c>
      <c r="N31" s="9" t="n">
        <v>0.1248925809223718</v>
      </c>
      <c r="O31" s="9" t="n">
        <v>0.1351331996562589</v>
      </c>
      <c r="P31" s="13" t="n">
        <v>-0.0729545842663733</v>
      </c>
      <c r="Q31" s="14" t="n">
        <v>1.716074682641011</v>
      </c>
      <c r="R31" s="15" t="n">
        <v>12</v>
      </c>
      <c r="S31" s="9" t="n">
        <v>0.1351331996562589</v>
      </c>
      <c r="T31" s="13" t="n">
        <v>1</v>
      </c>
      <c r="U31" s="9" t="n">
        <v>0.1351331996562589</v>
      </c>
      <c r="V31" s="8" t="n">
        <v>5856</v>
      </c>
      <c r="W31" s="9" t="n">
        <v>0.1576415737980268</v>
      </c>
      <c r="X31" s="9" t="n">
        <v>0.1506147540983606</v>
      </c>
      <c r="Y31" s="10">
        <f>IFERROR(D31/O31-1,"")</f>
        <v/>
      </c>
      <c r="Z31" s="10">
        <f>IFERROR(E31/O31-1,"")</f>
        <v/>
      </c>
      <c r="AA31" s="10">
        <f>IFERROR(E31/U31-1,"")</f>
        <v/>
      </c>
      <c r="AB31" s="10">
        <f>IFERROR(W31/X31-1,"")</f>
        <v/>
      </c>
    </row>
    <row r="32">
      <c r="A32" s="7" t="inlineStr">
        <is>
          <t>202506</t>
        </is>
      </c>
      <c r="B32" s="8" t="n">
        <v>15852</v>
      </c>
      <c r="C32" s="9" t="n">
        <v>0.169793722446662</v>
      </c>
      <c r="D32" s="9" t="n">
        <v>0.1633920741361857</v>
      </c>
      <c r="E32" s="9" t="n">
        <v>0.1521794044201584</v>
      </c>
      <c r="F32" s="9" t="n">
        <v>0.006245268735806208</v>
      </c>
      <c r="G32" s="9" t="n">
        <v>0.02882916982084279</v>
      </c>
      <c r="H32" s="9" t="n">
        <v>0.04989906636386576</v>
      </c>
      <c r="I32" s="9" t="n">
        <v>0.06592228110017663</v>
      </c>
      <c r="J32" s="9" t="n">
        <v>0.07872823618470856</v>
      </c>
      <c r="K32" s="9" t="n">
        <v>0.08951551854655564</v>
      </c>
      <c r="L32" s="9" t="n">
        <v>0.10074438556649</v>
      </c>
      <c r="M32" s="9" t="n">
        <v>0.1117840020186727</v>
      </c>
      <c r="N32" s="9" t="n">
        <v>0.1225712843805198</v>
      </c>
      <c r="O32" s="9" t="n">
        <v>0.1324123139036084</v>
      </c>
      <c r="P32" s="13" t="n">
        <v>-0.07376569476056211</v>
      </c>
      <c r="Q32" s="14" t="n">
        <v>1.69754697951463</v>
      </c>
      <c r="R32" s="15" t="n">
        <v>12</v>
      </c>
      <c r="S32" s="9" t="n">
        <v>0.1324123139036084</v>
      </c>
      <c r="T32" s="13" t="n">
        <v>1</v>
      </c>
      <c r="U32" s="9" t="n">
        <v>0.1324123139036084</v>
      </c>
      <c r="V32" s="8" t="n">
        <v>6575</v>
      </c>
      <c r="W32" s="9" t="n">
        <v>0.1570936359471409</v>
      </c>
      <c r="X32" s="9" t="n">
        <v>0.1498098859315589</v>
      </c>
      <c r="Y32" s="10">
        <f>IFERROR(D32/O32-1,"")</f>
        <v/>
      </c>
      <c r="Z32" s="10">
        <f>IFERROR(E32/O32-1,"")</f>
        <v/>
      </c>
      <c r="AA32" s="10">
        <f>IFERROR(E32/U32-1,"")</f>
        <v/>
      </c>
      <c r="AB32" s="10">
        <f>IFERROR(W32/X32-1,"")</f>
        <v/>
      </c>
    </row>
    <row r="33">
      <c r="A33" s="7" t="inlineStr">
        <is>
          <t>202507</t>
        </is>
      </c>
      <c r="B33" s="8" t="n">
        <v>15111</v>
      </c>
      <c r="C33" s="9" t="n">
        <v>0.1739442068815353</v>
      </c>
      <c r="D33" s="9" t="n">
        <v>0.1674755963831341</v>
      </c>
      <c r="E33" s="9" t="n">
        <v>0.1561546624726035</v>
      </c>
      <c r="F33" s="9" t="n">
        <v>0.006419164846800344</v>
      </c>
      <c r="G33" s="9" t="n">
        <v>0.02991198464694593</v>
      </c>
      <c r="H33" s="9" t="n">
        <v>0.0487062404870624</v>
      </c>
      <c r="I33" s="9" t="n">
        <v>0.06094897756601152</v>
      </c>
      <c r="J33" s="9" t="n">
        <v>0.07272847594467606</v>
      </c>
      <c r="K33" s="9" t="n">
        <v>0.08510356693799219</v>
      </c>
      <c r="L33" s="9" t="n">
        <v>0.09668453444510622</v>
      </c>
      <c r="M33" s="9" t="n">
        <v>0.1076699093375687</v>
      </c>
      <c r="N33" s="9" t="n">
        <v>0.1175302759579115</v>
      </c>
      <c r="O33" s="9" t="n"/>
      <c r="P33" s="13" t="n">
        <v>-0.0736408959148164</v>
      </c>
      <c r="Q33" s="14" t="n">
        <v>1.700397683556876</v>
      </c>
      <c r="R33" s="15" t="n">
        <v>11</v>
      </c>
      <c r="S33" s="9" t="n">
        <v>0.1175302759579115</v>
      </c>
      <c r="T33" s="13" t="n">
        <v>1.081536208732694</v>
      </c>
      <c r="U33" s="9" t="n">
        <v>0.1271132490708269</v>
      </c>
      <c r="V33" s="8" t="n">
        <v>6429</v>
      </c>
      <c r="W33" s="9" t="n">
        <v>0.1656316309890702</v>
      </c>
      <c r="X33" s="9" t="n"/>
      <c r="Y33" s="10">
        <f>IFERROR(D33/O33-1,"")</f>
        <v/>
      </c>
      <c r="Z33" s="10">
        <f>IFERROR(E33/O33-1,"")</f>
        <v/>
      </c>
      <c r="AA33" s="10">
        <f>IFERROR(E33/U33-1,"")</f>
        <v/>
      </c>
      <c r="AB33" s="10">
        <f>IFERROR(W33/X33-1,"")</f>
        <v/>
      </c>
    </row>
    <row r="34">
      <c r="A34" s="7" t="inlineStr">
        <is>
          <t>202508</t>
        </is>
      </c>
      <c r="B34" s="8" t="n">
        <v>15261</v>
      </c>
      <c r="C34" s="9" t="n">
        <v>0.1854857380176839</v>
      </c>
      <c r="D34" s="9" t="n">
        <v>0.1787401838671158</v>
      </c>
      <c r="E34" s="9" t="n">
        <v>0.1655456321467256</v>
      </c>
      <c r="F34" s="9" t="n">
        <v>0.007535548129218268</v>
      </c>
      <c r="G34" s="9" t="n">
        <v>0.03630168403119061</v>
      </c>
      <c r="H34" s="9" t="n">
        <v>0.05523884411244348</v>
      </c>
      <c r="I34" s="9" t="n">
        <v>0.07109625843653758</v>
      </c>
      <c r="J34" s="9" t="n">
        <v>0.08538103662931656</v>
      </c>
      <c r="K34" s="9" t="n">
        <v>0.1000589738549243</v>
      </c>
      <c r="L34" s="9" t="n">
        <v>0.114016119520346</v>
      </c>
      <c r="M34" s="9" t="n">
        <v>0.1280387916912391</v>
      </c>
      <c r="N34" s="9" t="n"/>
      <c r="O34" s="9" t="n"/>
      <c r="P34" s="13" t="n">
        <v>-0.1003314429254493</v>
      </c>
      <c r="Q34" s="14" t="n">
        <v>1.090721770303759</v>
      </c>
      <c r="R34" s="15" t="n">
        <v>10</v>
      </c>
      <c r="S34" s="9" t="n">
        <v>0.1280387916912391</v>
      </c>
      <c r="T34" s="13" t="n">
        <v>1.184156828450663</v>
      </c>
      <c r="U34" s="9" t="n">
        <v>0.1516180094877528</v>
      </c>
      <c r="V34" s="8" t="n">
        <v>6618</v>
      </c>
      <c r="W34" s="9" t="n">
        <v>0.1780364619891863</v>
      </c>
      <c r="X34" s="9" t="n"/>
      <c r="Y34" s="10">
        <f>IFERROR(D34/O34-1,"")</f>
        <v/>
      </c>
      <c r="Z34" s="10">
        <f>IFERROR(E34/O34-1,"")</f>
        <v/>
      </c>
      <c r="AA34" s="10">
        <f>IFERROR(E34/U34-1,"")</f>
        <v/>
      </c>
      <c r="AB34" s="10">
        <f>IFERROR(W34/X34-1,"")</f>
        <v/>
      </c>
    </row>
    <row r="35">
      <c r="A35" s="7" t="inlineStr">
        <is>
          <t>202509</t>
        </is>
      </c>
      <c r="B35" s="8" t="n">
        <v>16147</v>
      </c>
      <c r="C35" s="9" t="n">
        <v>0.1855431305097025</v>
      </c>
      <c r="D35" s="9" t="n">
        <v>0.1788239576741628</v>
      </c>
      <c r="E35" s="9" t="n">
        <v>0.1658711239570365</v>
      </c>
      <c r="F35" s="9" t="n">
        <v>0.009661237381556945</v>
      </c>
      <c r="G35" s="9" t="n">
        <v>0.03901653557936459</v>
      </c>
      <c r="H35" s="9" t="n">
        <v>0.05926797547532049</v>
      </c>
      <c r="I35" s="9" t="n">
        <v>0.07852851922957825</v>
      </c>
      <c r="J35" s="9" t="n">
        <v>0.09549761565615904</v>
      </c>
      <c r="K35" s="9" t="n">
        <v>0.1101133337462067</v>
      </c>
      <c r="L35" s="9" t="n">
        <v>0.1236762246857001</v>
      </c>
      <c r="M35" s="9" t="n"/>
      <c r="N35" s="9" t="n"/>
      <c r="O35" s="9" t="n"/>
      <c r="P35" s="13" t="n">
        <v>-0.0943381636827425</v>
      </c>
      <c r="Q35" s="14" t="n">
        <v>1.227622598684031</v>
      </c>
      <c r="R35" s="15" t="n">
        <v>9</v>
      </c>
      <c r="S35" s="9" t="n">
        <v>0.1236762246857001</v>
      </c>
      <c r="T35" s="13" t="n">
        <v>1.311355015737229</v>
      </c>
      <c r="U35" s="9" t="n">
        <v>0.1621834375690373</v>
      </c>
      <c r="V35" s="8" t="n">
        <v>6775</v>
      </c>
      <c r="W35" s="9" t="n">
        <v>0.1788263301001142</v>
      </c>
      <c r="X35" s="9" t="n"/>
      <c r="Y35" s="10">
        <f>IFERROR(D35/O35-1,"")</f>
        <v/>
      </c>
      <c r="Z35" s="10">
        <f>IFERROR(E35/O35-1,"")</f>
        <v/>
      </c>
      <c r="AA35" s="10">
        <f>IFERROR(E35/U35-1,"")</f>
        <v/>
      </c>
      <c r="AB35" s="10">
        <f>IFERROR(W35/X35-1,"")</f>
        <v/>
      </c>
    </row>
    <row r="36">
      <c r="A36" s="7" t="inlineStr">
        <is>
          <t>202510</t>
        </is>
      </c>
      <c r="B36" s="8" t="n">
        <v>17843</v>
      </c>
      <c r="C36" s="9" t="n">
        <v>0.1910454466319309</v>
      </c>
      <c r="D36" s="9" t="n">
        <v>0.1841697057937505</v>
      </c>
      <c r="E36" s="9" t="n">
        <v>0.1711064330620714</v>
      </c>
      <c r="F36" s="9" t="n">
        <v>0.009639634590595752</v>
      </c>
      <c r="G36" s="9" t="n">
        <v>0.04029591436417643</v>
      </c>
      <c r="H36" s="9" t="n">
        <v>0.06702908703693325</v>
      </c>
      <c r="I36" s="9" t="n">
        <v>0.08770946589699041</v>
      </c>
      <c r="J36" s="9" t="n">
        <v>0.1042986044947598</v>
      </c>
      <c r="K36" s="9" t="n">
        <v>0.1201591660595191</v>
      </c>
      <c r="L36" s="9" t="n"/>
      <c r="M36" s="9" t="n"/>
      <c r="N36" s="9" t="n"/>
      <c r="O36" s="9" t="n"/>
      <c r="P36" s="13" t="n">
        <v>-0.0971864626399724</v>
      </c>
      <c r="Q36" s="14" t="n">
        <v>1.162560639958521</v>
      </c>
      <c r="R36" s="15" t="n">
        <v>8</v>
      </c>
      <c r="S36" s="9" t="n">
        <v>0.1201591660595191</v>
      </c>
      <c r="T36" s="13" t="n">
        <v>1.480007286638127</v>
      </c>
      <c r="U36" s="9" t="n">
        <v>0.1778364413244491</v>
      </c>
      <c r="V36" s="8" t="n">
        <v>7516</v>
      </c>
      <c r="W36" s="9" t="n">
        <v>0.1852110020562486</v>
      </c>
      <c r="X36" s="9" t="n"/>
      <c r="Y36" s="10">
        <f>IFERROR(D36/O36-1,"")</f>
        <v/>
      </c>
      <c r="Z36" s="10">
        <f>IFERROR(E36/O36-1,"")</f>
        <v/>
      </c>
      <c r="AA36" s="10">
        <f>IFERROR(E36/U36-1,"")</f>
        <v/>
      </c>
      <c r="AB36" s="10">
        <f>IFERROR(W36/X36-1,"")</f>
        <v/>
      </c>
    </row>
    <row r="37">
      <c r="A37" s="7" t="inlineStr">
        <is>
          <t>202511</t>
        </is>
      </c>
      <c r="B37" s="8" t="n">
        <v>17413</v>
      </c>
      <c r="C37" s="9" t="n">
        <v>0.1912062269186925</v>
      </c>
      <c r="D37" s="9" t="n">
        <v>0.1842804838121468</v>
      </c>
      <c r="E37" s="9" t="n">
        <v>0.1709980894145604</v>
      </c>
      <c r="F37" s="9" t="n">
        <v>0.01062424625279963</v>
      </c>
      <c r="G37" s="9" t="n">
        <v>0.05294894618962844</v>
      </c>
      <c r="H37" s="9" t="n">
        <v>0.08097398495377017</v>
      </c>
      <c r="I37" s="9" t="n">
        <v>0.1008441968644117</v>
      </c>
      <c r="J37" s="9" t="n">
        <v>0.1187044162407397</v>
      </c>
      <c r="K37" s="9" t="n"/>
      <c r="L37" s="9" t="n"/>
      <c r="M37" s="9" t="n"/>
      <c r="N37" s="9" t="n"/>
      <c r="O37" s="9" t="n"/>
      <c r="P37" s="13" t="n">
        <v>-0.0951950453295296</v>
      </c>
      <c r="Q37" s="14" t="n">
        <v>1.208049372989306</v>
      </c>
      <c r="R37" s="15" t="n">
        <v>7</v>
      </c>
      <c r="S37" s="9" t="n">
        <v>0.1187044162407397</v>
      </c>
      <c r="T37" s="13" t="n">
        <v>1.727330711172531</v>
      </c>
      <c r="U37" s="9" t="n">
        <v>0.205041783724437</v>
      </c>
      <c r="V37" s="8" t="n">
        <v>7360</v>
      </c>
      <c r="W37" s="9" t="n">
        <v>0.1852912585338429</v>
      </c>
      <c r="X37" s="9" t="n"/>
      <c r="Y37" s="10">
        <f>IFERROR(D37/O37-1,"")</f>
        <v/>
      </c>
      <c r="Z37" s="10">
        <f>IFERROR(E37/O37-1,"")</f>
        <v/>
      </c>
      <c r="AA37" s="10">
        <f>IFERROR(E37/U37-1,"")</f>
        <v/>
      </c>
      <c r="AB37" s="10">
        <f>IFERROR(W37/X37-1,"")</f>
        <v/>
      </c>
    </row>
    <row r="38">
      <c r="A38" s="7" t="inlineStr">
        <is>
          <t>202512</t>
        </is>
      </c>
      <c r="B38" s="8" t="n">
        <v>16530</v>
      </c>
      <c r="C38" s="9" t="n">
        <v>0.1870606247303558</v>
      </c>
      <c r="D38" s="9" t="n">
        <v>0.1802566312334607</v>
      </c>
      <c r="E38" s="9" t="n">
        <v>0.1670926522120048</v>
      </c>
      <c r="F38" s="9" t="n">
        <v>0.01101028433151845</v>
      </c>
      <c r="G38" s="9" t="n">
        <v>0.0470659407138536</v>
      </c>
      <c r="H38" s="9" t="n">
        <v>0.07265577737447065</v>
      </c>
      <c r="I38" s="9" t="n">
        <v>0.09201451905626135</v>
      </c>
      <c r="J38" s="9" t="n"/>
      <c r="K38" s="9" t="n"/>
      <c r="L38" s="9" t="n"/>
      <c r="M38" s="9" t="n"/>
      <c r="N38" s="9" t="n"/>
      <c r="O38" s="9" t="n"/>
      <c r="P38" s="13" t="n">
        <v>-0.0907389631868307</v>
      </c>
      <c r="Q38" s="14" t="n">
        <v>1.309836944027043</v>
      </c>
      <c r="R38" s="15" t="n">
        <v>6</v>
      </c>
      <c r="S38" s="9" t="n">
        <v>0.09201451905626135</v>
      </c>
      <c r="T38" s="13" t="n">
        <v>2.12822527832351</v>
      </c>
      <c r="U38" s="9" t="n">
        <v>0.1958276254283157</v>
      </c>
      <c r="V38" s="8" t="n">
        <v>6936</v>
      </c>
      <c r="W38" s="9" t="n">
        <v>0.1819924084180362</v>
      </c>
      <c r="X38" s="9" t="n"/>
      <c r="Y38" s="10">
        <f>IFERROR(D38/O38-1,"")</f>
        <v/>
      </c>
      <c r="Z38" s="10">
        <f>IFERROR(E38/O38-1,"")</f>
        <v/>
      </c>
      <c r="AA38" s="10">
        <f>IFERROR(E38/U38-1,"")</f>
        <v/>
      </c>
      <c r="AB38" s="10">
        <f>IFERROR(W38/X38-1,"")</f>
        <v/>
      </c>
    </row>
    <row r="39">
      <c r="A39" s="7" t="inlineStr">
        <is>
          <t>202601</t>
        </is>
      </c>
      <c r="B39" s="8" t="n">
        <v>15788</v>
      </c>
      <c r="C39" s="9" t="n">
        <v>0.1826016444205923</v>
      </c>
      <c r="D39" s="9" t="n">
        <v>0.1759139432958562</v>
      </c>
      <c r="E39" s="9" t="n">
        <v>0.1626157436982848</v>
      </c>
      <c r="F39" s="9" t="n">
        <v>0.008867494299467951</v>
      </c>
      <c r="G39" s="9" t="n">
        <v>0.04395743602736255</v>
      </c>
      <c r="H39" s="9" t="n">
        <v>0.06973650874081581</v>
      </c>
      <c r="I39" s="9" t="n"/>
      <c r="J39" s="9" t="n"/>
      <c r="K39" s="9" t="n"/>
      <c r="L39" s="9" t="n"/>
      <c r="M39" s="9" t="n"/>
      <c r="N39" s="9" t="n"/>
      <c r="O39" s="9" t="n"/>
      <c r="P39" s="13" t="n">
        <v>-0.0827512368458839</v>
      </c>
      <c r="Q39" s="14" t="n">
        <v>1.492295713035885</v>
      </c>
      <c r="R39" s="15" t="n">
        <v>5</v>
      </c>
      <c r="S39" s="9" t="n">
        <v>0.06973650874081581</v>
      </c>
      <c r="T39" s="13" t="n">
        <v>2.869833980925468</v>
      </c>
      <c r="U39" s="9" t="n">
        <v>0.2001322024954991</v>
      </c>
      <c r="V39" s="8" t="n">
        <v>6592</v>
      </c>
      <c r="W39" s="9" t="n">
        <v>0.1730131621764104</v>
      </c>
      <c r="X39" s="9" t="n"/>
      <c r="Y39" s="10">
        <f>IFERROR(D39/O39-1,"")</f>
        <v/>
      </c>
      <c r="Z39" s="10">
        <f>IFERROR(E39/O39-1,"")</f>
        <v/>
      </c>
      <c r="AA39" s="10">
        <f>IFERROR(E39/U39-1,"")</f>
        <v/>
      </c>
      <c r="AB39" s="10">
        <f>IFERROR(W39/X39-1,"")</f>
        <v/>
      </c>
    </row>
    <row r="40">
      <c r="A40" s="7" t="inlineStr">
        <is>
          <t>202602</t>
        </is>
      </c>
      <c r="B40" s="8" t="n">
        <v>14754</v>
      </c>
      <c r="C40" s="9" t="n">
        <v>0.182788963063451</v>
      </c>
      <c r="D40" s="9" t="n">
        <v>0.1760777942812929</v>
      </c>
      <c r="E40" s="9" t="n">
        <v>0.1733085039477379</v>
      </c>
      <c r="F40" s="9" t="n">
        <v>0.01314897654873255</v>
      </c>
      <c r="G40" s="9" t="n">
        <v>0.04778365189101261</v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13" t="n">
        <v>-0.0370388932419964</v>
      </c>
      <c r="Q40" s="14" t="n">
        <v>2.53647494332808</v>
      </c>
      <c r="R40" s="15" t="n">
        <v>4</v>
      </c>
      <c r="S40" s="9" t="n">
        <v>0.04778365189101261</v>
      </c>
      <c r="T40" s="13" t="n">
        <v>4.90683980069455</v>
      </c>
      <c r="U40" s="9" t="n">
        <v>0.234466724921354</v>
      </c>
      <c r="V40" s="8" t="n">
        <v>6094</v>
      </c>
      <c r="W40" s="9" t="n">
        <v>0.1860423153012565</v>
      </c>
      <c r="X40" s="9" t="n"/>
      <c r="Y40" s="10">
        <f>IFERROR(D40/O40-1,"")</f>
        <v/>
      </c>
      <c r="Z40" s="10">
        <f>IFERROR(E40/O40-1,"")</f>
        <v/>
      </c>
      <c r="AA40" s="10">
        <f>IFERROR(E40/U40-1,"")</f>
        <v/>
      </c>
      <c r="AB40" s="10">
        <f>IFERROR(W40/X40-1,"")</f>
        <v/>
      </c>
    </row>
    <row r="41">
      <c r="A41" s="7" t="inlineStr">
        <is>
          <t>202603</t>
        </is>
      </c>
      <c r="B41" s="8" t="n">
        <v>16591</v>
      </c>
      <c r="C41" s="9" t="n">
        <v>0.1797927052240551</v>
      </c>
      <c r="D41" s="9" t="n">
        <v>0.1732345758754582</v>
      </c>
      <c r="E41" s="9" t="n">
        <v>0.182308366754403</v>
      </c>
      <c r="F41" s="9" t="n">
        <v>0.01096980290518956</v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3" t="n">
        <v>0.014389803325765</v>
      </c>
      <c r="Q41" s="14" t="n">
        <v>3.711229343636036</v>
      </c>
      <c r="R41" s="15" t="n">
        <v>3</v>
      </c>
      <c r="S41" s="9" t="n">
        <v>0.01096980290518956</v>
      </c>
      <c r="T41" s="13" t="n">
        <v>20.73899170389279</v>
      </c>
      <c r="U41" s="9" t="n">
        <v>0.2275026514440653</v>
      </c>
      <c r="V41" s="8" t="n">
        <v>6949</v>
      </c>
      <c r="W41" s="9" t="n">
        <v>0.1963523123145427</v>
      </c>
      <c r="X41" s="9" t="n"/>
      <c r="Y41" s="10">
        <f>IFERROR(D41/O41-1,"")</f>
        <v/>
      </c>
      <c r="Z41" s="10">
        <f>IFERROR(E41/O41-1,"")</f>
        <v/>
      </c>
      <c r="AA41" s="10">
        <f>IFERROR(E41/U41-1,"")</f>
        <v/>
      </c>
      <c r="AB41" s="10">
        <f>IFERROR(W41/X41-1,"")</f>
        <v/>
      </c>
    </row>
    <row r="42">
      <c r="A42" s="7" t="inlineStr">
        <is>
          <t>202604</t>
        </is>
      </c>
      <c r="B42" s="8" t="n">
        <v>15347</v>
      </c>
      <c r="C42" s="9" t="n">
        <v>0.1762603464730377</v>
      </c>
      <c r="D42" s="9" t="n">
        <v>0.1672698734027157</v>
      </c>
      <c r="E42" s="9" t="n">
        <v>0.1806066541663339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3" t="n">
        <v>0.0241851909297492</v>
      </c>
      <c r="Q42" s="14" t="n">
        <v>3.934979418175466</v>
      </c>
      <c r="R42" s="15" t="n"/>
      <c r="S42" s="9" t="n"/>
      <c r="T42" s="13" t="n"/>
      <c r="U42" s="9" t="n"/>
      <c r="V42" s="8" t="n">
        <v>6441</v>
      </c>
      <c r="W42" s="9" t="n">
        <v>0.1899771968645962</v>
      </c>
      <c r="X42" s="9" t="n"/>
      <c r="Y42" s="10">
        <f>IFERROR(D42/O42-1,"")</f>
        <v/>
      </c>
      <c r="Z42" s="10">
        <f>IFERROR(E42/O42-1,"")</f>
        <v/>
      </c>
      <c r="AA42" s="10">
        <f>IFERROR(E42/U42-1,"")</f>
        <v/>
      </c>
      <c r="AB42" s="10">
        <f>IFERROR(W42/X42-1,"")</f>
        <v/>
      </c>
    </row>
    <row r="43">
      <c r="A43" s="7" t="inlineStr">
        <is>
          <t>202605</t>
        </is>
      </c>
      <c r="B43" s="8" t="n">
        <v>16743</v>
      </c>
      <c r="C43" s="9" t="n">
        <v>0.1765601401358735</v>
      </c>
      <c r="D43" s="9" t="n">
        <v>0.1676577103942724</v>
      </c>
      <c r="E43" s="9" t="n">
        <v>0.1797768587576279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3" t="n">
        <v>0.0192471239254993</v>
      </c>
      <c r="Q43" s="14" t="n">
        <v>3.822182160430176</v>
      </c>
      <c r="R43" s="15" t="n"/>
      <c r="S43" s="9" t="n"/>
      <c r="T43" s="13" t="n"/>
      <c r="U43" s="9" t="n"/>
      <c r="V43" s="8" t="n">
        <v>6989</v>
      </c>
      <c r="W43" s="9" t="n">
        <v>0.1900751805930624</v>
      </c>
      <c r="X43" s="9" t="n"/>
      <c r="Y43" s="10">
        <f>IFERROR(D43/O43-1,"")</f>
        <v/>
      </c>
      <c r="Z43" s="10">
        <f>IFERROR(E43/O43-1,"")</f>
        <v/>
      </c>
      <c r="AA43" s="10">
        <f>IFERROR(E43/U43-1,"")</f>
        <v/>
      </c>
      <c r="AB43" s="10">
        <f>IFERROR(W43/X43-1,"")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</cols>
  <sheetData>
    <row r="1">
      <c r="A1" s="1" t="inlineStr">
        <is>
          <t>SISTEMA 5</t>
        </is>
      </c>
    </row>
    <row r="2">
      <c r="A2" s="2" t="inlineStr">
        <is>
          <t>Las cinco entidades del alcance, Interbank incluido</t>
        </is>
      </c>
    </row>
    <row r="4" ht="30" customHeight="1">
      <c r="A4" s="6" t="inlineStr">
        <is>
          <t>codmes</t>
        </is>
      </c>
      <c r="B4" s="6" t="inlineStr">
        <is>
          <t>n</t>
        </is>
      </c>
      <c r="C4" s="6" t="inlineStr">
        <is>
          <t>PD sin calibrar</t>
        </is>
      </c>
      <c r="D4" s="6" t="inlineStr">
        <is>
          <t>PD cal vigente</t>
        </is>
      </c>
      <c r="E4" s="6" t="inlineStr">
        <is>
          <t>PD cal NUEVA</t>
        </is>
      </c>
      <c r="F4" s="6" t="inlineStr">
        <is>
          <t>mora 3m</t>
        </is>
      </c>
      <c r="G4" s="6" t="inlineStr">
        <is>
          <t>mora 4m</t>
        </is>
      </c>
      <c r="H4" s="6" t="inlineStr">
        <is>
          <t>mora 5m</t>
        </is>
      </c>
      <c r="I4" s="6" t="inlineStr">
        <is>
          <t>mora 6m</t>
        </is>
      </c>
      <c r="J4" s="6" t="inlineStr">
        <is>
          <t>mora 7m</t>
        </is>
      </c>
      <c r="K4" s="6" t="inlineStr">
        <is>
          <t>mora 8m</t>
        </is>
      </c>
      <c r="L4" s="6" t="inlineStr">
        <is>
          <t>mora 9m</t>
        </is>
      </c>
      <c r="M4" s="6" t="inlineStr">
        <is>
          <t>mora 10m</t>
        </is>
      </c>
      <c r="N4" s="6" t="inlineStr">
        <is>
          <t>mora 11m</t>
        </is>
      </c>
      <c r="O4" s="6" t="inlineStr">
        <is>
          <t>mora 12m</t>
        </is>
      </c>
      <c r="P4" s="6" t="inlineStr">
        <is>
          <t>ft ciclo</t>
        </is>
      </c>
      <c r="Q4" s="6" t="inlineStr">
        <is>
          <t>inflacion %</t>
        </is>
      </c>
      <c r="R4" s="6" t="inlineStr">
        <is>
          <t>madurez</t>
        </is>
      </c>
      <c r="S4" s="6" t="inlineStr">
        <is>
          <t>mora base</t>
        </is>
      </c>
      <c r="T4" s="6" t="inlineStr">
        <is>
          <t>factor h-&gt;12</t>
        </is>
      </c>
      <c r="U4" s="6" t="inlineStr">
        <is>
          <t>proy mediana</t>
        </is>
      </c>
      <c r="V4" s="6" t="inlineStr">
        <is>
          <t>n visible IBK</t>
        </is>
      </c>
      <c r="W4" s="6" t="inlineStr">
        <is>
          <t>PD cal NUEVA visible</t>
        </is>
      </c>
      <c r="X4" s="6" t="inlineStr">
        <is>
          <t>mora 12m visible</t>
        </is>
      </c>
      <c r="Y4" s="6" t="inlineStr">
        <is>
          <t>EC vigente</t>
        </is>
      </c>
      <c r="Z4" s="6" t="inlineStr">
        <is>
          <t>EC NUEVA</t>
        </is>
      </c>
      <c r="AA4" s="6" t="inlineStr">
        <is>
          <t>EC NUEVA vs proy</t>
        </is>
      </c>
      <c r="AB4" s="6" t="inlineStr">
        <is>
          <t>EC NUEVA visible</t>
        </is>
      </c>
    </row>
    <row r="5">
      <c r="A5" s="7" t="inlineStr">
        <is>
          <t>202303</t>
        </is>
      </c>
      <c r="B5" s="8" t="n">
        <v>25592</v>
      </c>
      <c r="C5" s="9" t="n">
        <v>0.1316926594373513</v>
      </c>
      <c r="D5" s="9" t="n">
        <v>0.1660379595796832</v>
      </c>
      <c r="E5" s="9" t="n">
        <v>0.1476113205422589</v>
      </c>
      <c r="F5" s="9" t="n">
        <v>0.007111597374179431</v>
      </c>
      <c r="G5" s="9" t="n">
        <v>0.02508596436386371</v>
      </c>
      <c r="H5" s="9" t="n">
        <v>0.03880118787120975</v>
      </c>
      <c r="I5" s="9" t="n">
        <v>0.05185214129415442</v>
      </c>
      <c r="J5" s="9" t="n">
        <v>0.06505939356048765</v>
      </c>
      <c r="K5" s="9" t="n">
        <v>0.07869646764613941</v>
      </c>
      <c r="L5" s="9" t="n">
        <v>0.08991090965926853</v>
      </c>
      <c r="M5" s="9" t="n">
        <v>0.09987496092528915</v>
      </c>
      <c r="N5" s="9" t="n">
        <v>0.1084323226008128</v>
      </c>
      <c r="O5" s="9" t="n">
        <v>0.1173022819631135</v>
      </c>
      <c r="P5" s="13" t="n">
        <v>0.2313077929548288</v>
      </c>
      <c r="Q5" s="14" t="n">
        <v>8.666154897445178</v>
      </c>
      <c r="R5" s="15" t="n">
        <v>12</v>
      </c>
      <c r="S5" s="9" t="n">
        <v>0.1173022819631135</v>
      </c>
      <c r="T5" s="13" t="n">
        <v>1</v>
      </c>
      <c r="U5" s="9" t="n">
        <v>0.1173022819631135</v>
      </c>
      <c r="V5" s="8" t="n">
        <v>13177</v>
      </c>
      <c r="W5" s="9" t="n">
        <v>0.1437987657481879</v>
      </c>
      <c r="X5" s="9" t="n">
        <v>0.1388024588297792</v>
      </c>
      <c r="Y5" s="10">
        <f>IFERROR(D5/O5-1,"")</f>
        <v/>
      </c>
      <c r="Z5" s="10">
        <f>IFERROR(E5/O5-1,"")</f>
        <v/>
      </c>
      <c r="AA5" s="10">
        <f>IFERROR(E5/U5-1,"")</f>
        <v/>
      </c>
      <c r="AB5" s="10">
        <f>IFERROR(W5/X5-1,"")</f>
        <v/>
      </c>
    </row>
    <row r="6">
      <c r="A6" s="7" t="inlineStr">
        <is>
          <t>202304</t>
        </is>
      </c>
      <c r="B6" s="8" t="n">
        <v>26520</v>
      </c>
      <c r="C6" s="9" t="n">
        <v>0.1320401039306738</v>
      </c>
      <c r="D6" s="9" t="n">
        <v>0.1664079985963771</v>
      </c>
      <c r="E6" s="9" t="n">
        <v>0.1478658155043509</v>
      </c>
      <c r="F6" s="9" t="n">
        <v>0.00471342383107089</v>
      </c>
      <c r="G6" s="9" t="n">
        <v>0.02107843137254902</v>
      </c>
      <c r="H6" s="9" t="n">
        <v>0.03484162895927602</v>
      </c>
      <c r="I6" s="9" t="n">
        <v>0.04894419306184012</v>
      </c>
      <c r="J6" s="9" t="n">
        <v>0.06233031674208145</v>
      </c>
      <c r="K6" s="9" t="n">
        <v>0.07515082956259427</v>
      </c>
      <c r="L6" s="9" t="n">
        <v>0.08665158371040724</v>
      </c>
      <c r="M6" s="9" t="n">
        <v>0.0965686274509804</v>
      </c>
      <c r="N6" s="9" t="n">
        <v>0.1061463046757164</v>
      </c>
      <c r="O6" s="9" t="n">
        <v>0.1154600301659125</v>
      </c>
      <c r="P6" s="13" t="n">
        <v>0.2039883111878369</v>
      </c>
      <c r="Q6" s="14" t="n">
        <v>8.042112610516504</v>
      </c>
      <c r="R6" s="15" t="n">
        <v>12</v>
      </c>
      <c r="S6" s="9" t="n">
        <v>0.1154600301659125</v>
      </c>
      <c r="T6" s="13" t="n">
        <v>1</v>
      </c>
      <c r="U6" s="9" t="n">
        <v>0.1154600301659125</v>
      </c>
      <c r="V6" s="8" t="n">
        <v>13384</v>
      </c>
      <c r="W6" s="9" t="n">
        <v>0.1415981592051811</v>
      </c>
      <c r="X6" s="9" t="n">
        <v>0.1315002988643156</v>
      </c>
      <c r="Y6" s="10">
        <f>IFERROR(D6/O6-1,"")</f>
        <v/>
      </c>
      <c r="Z6" s="10">
        <f>IFERROR(E6/O6-1,"")</f>
        <v/>
      </c>
      <c r="AA6" s="10">
        <f>IFERROR(E6/U6-1,"")</f>
        <v/>
      </c>
      <c r="AB6" s="10">
        <f>IFERROR(W6/X6-1,"")</f>
        <v/>
      </c>
    </row>
    <row r="7">
      <c r="A7" s="7" t="inlineStr">
        <is>
          <t>202305</t>
        </is>
      </c>
      <c r="B7" s="8" t="n">
        <v>23566</v>
      </c>
      <c r="C7" s="9" t="n">
        <v>0.1293201196688119</v>
      </c>
      <c r="D7" s="9" t="n">
        <v>0.1629954402597873</v>
      </c>
      <c r="E7" s="9" t="n">
        <v>0.1437745887725968</v>
      </c>
      <c r="F7" s="9" t="n">
        <v>0.006322668250869897</v>
      </c>
      <c r="G7" s="9" t="n">
        <v>0.02469659679198846</v>
      </c>
      <c r="H7" s="9" t="n">
        <v>0.040736654502249</v>
      </c>
      <c r="I7" s="9" t="n">
        <v>0.05495204956292964</v>
      </c>
      <c r="J7" s="9" t="n">
        <v>0.06747008401934991</v>
      </c>
      <c r="K7" s="9" t="n">
        <v>0.08113383688364594</v>
      </c>
      <c r="L7" s="9" t="n">
        <v>0.09225154884155139</v>
      </c>
      <c r="M7" s="9" t="n">
        <v>0.1026054485275397</v>
      </c>
      <c r="N7" s="9" t="n">
        <v>0.1122804039718238</v>
      </c>
      <c r="O7" s="9" t="n">
        <v>0.1208096410082322</v>
      </c>
      <c r="P7" s="13" t="n">
        <v>0.2015420225900039</v>
      </c>
      <c r="Q7" s="14" t="n">
        <v>7.986233529643028</v>
      </c>
      <c r="R7" s="15" t="n">
        <v>12</v>
      </c>
      <c r="S7" s="9" t="n">
        <v>0.1208096410082322</v>
      </c>
      <c r="T7" s="13" t="n">
        <v>1</v>
      </c>
      <c r="U7" s="9" t="n">
        <v>0.1208096410082322</v>
      </c>
      <c r="V7" s="8" t="n">
        <v>12897</v>
      </c>
      <c r="W7" s="9" t="n">
        <v>0.1369366761037369</v>
      </c>
      <c r="X7" s="9" t="n">
        <v>0.139412266418547</v>
      </c>
      <c r="Y7" s="10">
        <f>IFERROR(D7/O7-1,"")</f>
        <v/>
      </c>
      <c r="Z7" s="10">
        <f>IFERROR(E7/O7-1,"")</f>
        <v/>
      </c>
      <c r="AA7" s="10">
        <f>IFERROR(E7/U7-1,"")</f>
        <v/>
      </c>
      <c r="AB7" s="10">
        <f>IFERROR(W7/X7-1,"")</f>
        <v/>
      </c>
    </row>
    <row r="8">
      <c r="A8" s="7" t="inlineStr">
        <is>
          <t>202306</t>
        </is>
      </c>
      <c r="B8" s="8" t="n">
        <v>17557</v>
      </c>
      <c r="C8" s="9" t="n">
        <v>0.125277492341422</v>
      </c>
      <c r="D8" s="9" t="n">
        <v>0.1578369241884913</v>
      </c>
      <c r="E8" s="9" t="n">
        <v>0.1384925472961645</v>
      </c>
      <c r="F8" s="9" t="n">
        <v>0.006436179301703025</v>
      </c>
      <c r="G8" s="9" t="n">
        <v>0.02050464202312468</v>
      </c>
      <c r="H8" s="9" t="n">
        <v>0.03468701942245259</v>
      </c>
      <c r="I8" s="9" t="n">
        <v>0.04704676197528052</v>
      </c>
      <c r="J8" s="9" t="n">
        <v>0.05798257105428034</v>
      </c>
      <c r="K8" s="9" t="n">
        <v>0.06834880674374894</v>
      </c>
      <c r="L8" s="9" t="n">
        <v>0.0782024263826394</v>
      </c>
      <c r="M8" s="9" t="n">
        <v>0.08685994190351427</v>
      </c>
      <c r="N8" s="9" t="n">
        <v>0.095916158797061</v>
      </c>
      <c r="O8" s="9" t="n">
        <v>0.1030927835051546</v>
      </c>
      <c r="P8" s="13" t="n">
        <v>0.145631156252523</v>
      </c>
      <c r="Q8" s="14" t="n">
        <v>6.709095654518293</v>
      </c>
      <c r="R8" s="15" t="n">
        <v>12</v>
      </c>
      <c r="S8" s="9" t="n">
        <v>0.1030927835051546</v>
      </c>
      <c r="T8" s="13" t="n">
        <v>1</v>
      </c>
      <c r="U8" s="9" t="n">
        <v>0.1030927835051546</v>
      </c>
      <c r="V8" s="8" t="n">
        <v>9471</v>
      </c>
      <c r="W8" s="9" t="n">
        <v>0.1307403333209307</v>
      </c>
      <c r="X8" s="9" t="n">
        <v>0.1205786083834864</v>
      </c>
      <c r="Y8" s="10">
        <f>IFERROR(D8/O8-1,"")</f>
        <v/>
      </c>
      <c r="Z8" s="10">
        <f>IFERROR(E8/O8-1,"")</f>
        <v/>
      </c>
      <c r="AA8" s="10">
        <f>IFERROR(E8/U8-1,"")</f>
        <v/>
      </c>
      <c r="AB8" s="10">
        <f>IFERROR(W8/X8-1,"")</f>
        <v/>
      </c>
    </row>
    <row r="9">
      <c r="A9" s="7" t="inlineStr">
        <is>
          <t>202307</t>
        </is>
      </c>
      <c r="B9" s="8" t="n">
        <v>14094</v>
      </c>
      <c r="C9" s="9" t="n">
        <v>0.1207511405337893</v>
      </c>
      <c r="D9" s="9" t="n">
        <v>0.1233364785159737</v>
      </c>
      <c r="E9" s="9" t="n">
        <v>0.1313872620388031</v>
      </c>
      <c r="F9" s="9" t="n">
        <v>0.003405704555129843</v>
      </c>
      <c r="G9" s="9" t="n">
        <v>0.01582233574570739</v>
      </c>
      <c r="H9" s="9" t="n">
        <v>0.02511707109408259</v>
      </c>
      <c r="I9" s="9" t="n">
        <v>0.03377323683837094</v>
      </c>
      <c r="J9" s="9" t="n">
        <v>0.04136511990918122</v>
      </c>
      <c r="K9" s="9" t="n">
        <v>0.05051795090109266</v>
      </c>
      <c r="L9" s="9" t="n">
        <v>0.05931602100184476</v>
      </c>
      <c r="M9" s="9" t="n">
        <v>0.06775933021143749</v>
      </c>
      <c r="N9" s="9" t="n">
        <v>0.07598978288633461</v>
      </c>
      <c r="O9" s="9" t="n">
        <v>0.08436213991769548</v>
      </c>
      <c r="P9" s="13" t="n">
        <v>0.1154476643960626</v>
      </c>
      <c r="Q9" s="14" t="n">
        <v>6.019632529037033</v>
      </c>
      <c r="R9" s="15" t="n">
        <v>12</v>
      </c>
      <c r="S9" s="9" t="n">
        <v>0.08436213991769548</v>
      </c>
      <c r="T9" s="13" t="n">
        <v>1</v>
      </c>
      <c r="U9" s="9" t="n">
        <v>0.08436213991769548</v>
      </c>
      <c r="V9" s="8" t="n">
        <v>7211</v>
      </c>
      <c r="W9" s="9" t="n">
        <v>0.1211018562554437</v>
      </c>
      <c r="X9" s="9" t="n">
        <v>0.09124947996117043</v>
      </c>
      <c r="Y9" s="10">
        <f>IFERROR(D9/O9-1,"")</f>
        <v/>
      </c>
      <c r="Z9" s="10">
        <f>IFERROR(E9/O9-1,"")</f>
        <v/>
      </c>
      <c r="AA9" s="10">
        <f>IFERROR(E9/U9-1,"")</f>
        <v/>
      </c>
      <c r="AB9" s="10">
        <f>IFERROR(W9/X9-1,"")</f>
        <v/>
      </c>
    </row>
    <row r="10">
      <c r="A10" s="7" t="inlineStr">
        <is>
          <t>202308</t>
        </is>
      </c>
      <c r="B10" s="8" t="n">
        <v>16271</v>
      </c>
      <c r="C10" s="9" t="n">
        <v>0.1216924496486835</v>
      </c>
      <c r="D10" s="9" t="n">
        <v>0.1244268395551793</v>
      </c>
      <c r="E10" s="9" t="n">
        <v>0.1325466641855836</v>
      </c>
      <c r="F10" s="9" t="n">
        <v>0.00411775551594862</v>
      </c>
      <c r="G10" s="9" t="n">
        <v>0.01518038227521357</v>
      </c>
      <c r="H10" s="9" t="n">
        <v>0.02575133673406674</v>
      </c>
      <c r="I10" s="9" t="n">
        <v>0.03337225739044927</v>
      </c>
      <c r="J10" s="9" t="n">
        <v>0.04357445762399361</v>
      </c>
      <c r="K10" s="9" t="n">
        <v>0.05205580480609674</v>
      </c>
      <c r="L10" s="9" t="n">
        <v>0.06158195562657489</v>
      </c>
      <c r="M10" s="9" t="n">
        <v>0.06926433532050888</v>
      </c>
      <c r="N10" s="9" t="n">
        <v>0.0764550427140311</v>
      </c>
      <c r="O10" s="9" t="n">
        <v>0.08247802839407535</v>
      </c>
      <c r="P10" s="13" t="n">
        <v>0.1052420450312428</v>
      </c>
      <c r="Q10" s="14" t="n">
        <v>5.786511780178594</v>
      </c>
      <c r="R10" s="15" t="n">
        <v>12</v>
      </c>
      <c r="S10" s="9" t="n">
        <v>0.08247802839407535</v>
      </c>
      <c r="T10" s="13" t="n">
        <v>1</v>
      </c>
      <c r="U10" s="9" t="n">
        <v>0.08247802839407535</v>
      </c>
      <c r="V10" s="8" t="n">
        <v>8434</v>
      </c>
      <c r="W10" s="9" t="n">
        <v>0.1204081278893774</v>
      </c>
      <c r="X10" s="9" t="n">
        <v>0.09023002134218638</v>
      </c>
      <c r="Y10" s="10">
        <f>IFERROR(D10/O10-1,"")</f>
        <v/>
      </c>
      <c r="Z10" s="10">
        <f>IFERROR(E10/O10-1,"")</f>
        <v/>
      </c>
      <c r="AA10" s="10">
        <f>IFERROR(E10/U10-1,"")</f>
        <v/>
      </c>
      <c r="AB10" s="10">
        <f>IFERROR(W10/X10-1,"")</f>
        <v/>
      </c>
    </row>
    <row r="11">
      <c r="A11" s="7" t="inlineStr">
        <is>
          <t>202309</t>
        </is>
      </c>
      <c r="B11" s="8" t="n">
        <v>13798</v>
      </c>
      <c r="C11" s="9" t="n">
        <v>0.1206846078001918</v>
      </c>
      <c r="D11" s="9" t="n">
        <v>0.1156866766943294</v>
      </c>
      <c r="E11" s="9" t="n">
        <v>0.1286113172765142</v>
      </c>
      <c r="F11" s="9" t="n">
        <v>0.003478765038411364</v>
      </c>
      <c r="G11" s="9" t="n">
        <v>0.01507464849978258</v>
      </c>
      <c r="H11" s="9" t="n">
        <v>0.02355413828091028</v>
      </c>
      <c r="I11" s="9" t="n">
        <v>0.03341063922307581</v>
      </c>
      <c r="J11" s="9" t="n">
        <v>0.0416727061893028</v>
      </c>
      <c r="K11" s="9" t="n">
        <v>0.05152920713146833</v>
      </c>
      <c r="L11" s="9" t="n">
        <v>0.05942890273952747</v>
      </c>
      <c r="M11" s="9" t="n">
        <v>0.06566169010001449</v>
      </c>
      <c r="N11" s="9" t="n">
        <v>0.07131468328743296</v>
      </c>
      <c r="O11" s="9" t="n">
        <v>0.07798231627772141</v>
      </c>
      <c r="P11" s="13" t="n">
        <v>0.0826428782528265</v>
      </c>
      <c r="Q11" s="14" t="n">
        <v>5.270292774292296</v>
      </c>
      <c r="R11" s="15" t="n">
        <v>12</v>
      </c>
      <c r="S11" s="9" t="n">
        <v>0.07798231627772141</v>
      </c>
      <c r="T11" s="13" t="n">
        <v>1</v>
      </c>
      <c r="U11" s="9" t="n">
        <v>0.07798231627772141</v>
      </c>
      <c r="V11" s="8" t="n">
        <v>6693</v>
      </c>
      <c r="W11" s="9" t="n">
        <v>0.1186909725725167</v>
      </c>
      <c r="X11" s="9" t="n">
        <v>0.08456596444046018</v>
      </c>
      <c r="Y11" s="10">
        <f>IFERROR(D11/O11-1,"")</f>
        <v/>
      </c>
      <c r="Z11" s="10">
        <f>IFERROR(E11/O11-1,"")</f>
        <v/>
      </c>
      <c r="AA11" s="10">
        <f>IFERROR(E11/U11-1,"")</f>
        <v/>
      </c>
      <c r="AB11" s="10">
        <f>IFERROR(W11/X11-1,"")</f>
        <v/>
      </c>
    </row>
    <row r="12">
      <c r="A12" s="7" t="inlineStr">
        <is>
          <t>202310</t>
        </is>
      </c>
      <c r="B12" s="8" t="n">
        <v>14300</v>
      </c>
      <c r="C12" s="9" t="n">
        <v>0.1212133445366696</v>
      </c>
      <c r="D12" s="9" t="n">
        <v>0.1228169047329705</v>
      </c>
      <c r="E12" s="9" t="n">
        <v>0.1232605663077515</v>
      </c>
      <c r="F12" s="9" t="n">
        <v>0.003286713286713287</v>
      </c>
      <c r="G12" s="9" t="n">
        <v>0.01244755244755245</v>
      </c>
      <c r="H12" s="9" t="n">
        <v>0.0227972027972028</v>
      </c>
      <c r="I12" s="9" t="n">
        <v>0.0313986013986014</v>
      </c>
      <c r="J12" s="9" t="n">
        <v>0.03993006993006993</v>
      </c>
      <c r="K12" s="9" t="n">
        <v>0.04769230769230769</v>
      </c>
      <c r="L12" s="9" t="n">
        <v>0.05545454545454546</v>
      </c>
      <c r="M12" s="9" t="n">
        <v>0.06216783216783217</v>
      </c>
      <c r="N12" s="9" t="n">
        <v>0.06804195804195805</v>
      </c>
      <c r="O12" s="9" t="n">
        <v>0.07300699300699301</v>
      </c>
      <c r="P12" s="13" t="n">
        <v>0.0496812016861095</v>
      </c>
      <c r="Q12" s="14" t="n">
        <v>4.517369267135951</v>
      </c>
      <c r="R12" s="15" t="n">
        <v>12</v>
      </c>
      <c r="S12" s="9" t="n">
        <v>0.07300699300699301</v>
      </c>
      <c r="T12" s="13" t="n">
        <v>1</v>
      </c>
      <c r="U12" s="9" t="n">
        <v>0.07300699300699301</v>
      </c>
      <c r="V12" s="8" t="n">
        <v>6612</v>
      </c>
      <c r="W12" s="9" t="n">
        <v>0.1131306542992285</v>
      </c>
      <c r="X12" s="9" t="n">
        <v>0.0837870538415003</v>
      </c>
      <c r="Y12" s="10">
        <f>IFERROR(D12/O12-1,"")</f>
        <v/>
      </c>
      <c r="Z12" s="10">
        <f>IFERROR(E12/O12-1,"")</f>
        <v/>
      </c>
      <c r="AA12" s="10">
        <f>IFERROR(E12/U12-1,"")</f>
        <v/>
      </c>
      <c r="AB12" s="10">
        <f>IFERROR(W12/X12-1,"")</f>
        <v/>
      </c>
    </row>
    <row r="13">
      <c r="A13" s="7" t="inlineStr">
        <is>
          <t>202311</t>
        </is>
      </c>
      <c r="B13" s="8" t="n">
        <v>15264</v>
      </c>
      <c r="C13" s="9" t="n">
        <v>0.1276704035642014</v>
      </c>
      <c r="D13" s="9" t="n">
        <v>0.1298233347756259</v>
      </c>
      <c r="E13" s="9" t="n">
        <v>0.1249493705861273</v>
      </c>
      <c r="F13" s="9" t="n">
        <v>0.003275681341719077</v>
      </c>
      <c r="G13" s="9" t="n">
        <v>0.01559224318658281</v>
      </c>
      <c r="H13" s="9" t="n">
        <v>0.0277122641509434</v>
      </c>
      <c r="I13" s="9" t="n">
        <v>0.03701519916142558</v>
      </c>
      <c r="J13" s="9" t="n">
        <v>0.0465146750524109</v>
      </c>
      <c r="K13" s="9" t="n">
        <v>0.05614517819706499</v>
      </c>
      <c r="L13" s="9" t="n">
        <v>0.06197589098532495</v>
      </c>
      <c r="M13" s="9" t="n">
        <v>0.06859276729559749</v>
      </c>
      <c r="N13" s="9" t="n">
        <v>0.0749475890985325</v>
      </c>
      <c r="O13" s="9" t="n">
        <v>0.08169549266247379</v>
      </c>
      <c r="P13" s="13" t="n">
        <v>0.0176922115343233</v>
      </c>
      <c r="Q13" s="14" t="n">
        <v>3.786664243478488</v>
      </c>
      <c r="R13" s="15" t="n">
        <v>12</v>
      </c>
      <c r="S13" s="9" t="n">
        <v>0.08169549266247379</v>
      </c>
      <c r="T13" s="13" t="n">
        <v>1</v>
      </c>
      <c r="U13" s="9" t="n">
        <v>0.08169549266247379</v>
      </c>
      <c r="V13" s="8" t="n">
        <v>7160</v>
      </c>
      <c r="W13" s="9" t="n">
        <v>0.1233813571195951</v>
      </c>
      <c r="X13" s="9" t="n">
        <v>0.1013966480446927</v>
      </c>
      <c r="Y13" s="10">
        <f>IFERROR(D13/O13-1,"")</f>
        <v/>
      </c>
      <c r="Z13" s="10">
        <f>IFERROR(E13/O13-1,"")</f>
        <v/>
      </c>
      <c r="AA13" s="10">
        <f>IFERROR(E13/U13-1,"")</f>
        <v/>
      </c>
      <c r="AB13" s="10">
        <f>IFERROR(W13/X13-1,"")</f>
        <v/>
      </c>
    </row>
    <row r="14">
      <c r="A14" s="7" t="inlineStr">
        <is>
          <t>202312</t>
        </is>
      </c>
      <c r="B14" s="8" t="n">
        <v>15508</v>
      </c>
      <c r="C14" s="9" t="n">
        <v>0.1335074133554371</v>
      </c>
      <c r="D14" s="9" t="n">
        <v>0.1356364520438287</v>
      </c>
      <c r="E14" s="9" t="n">
        <v>0.1279624424332394</v>
      </c>
      <c r="F14" s="9" t="n">
        <v>0.005481042042816611</v>
      </c>
      <c r="G14" s="9" t="n">
        <v>0.02153727108589115</v>
      </c>
      <c r="H14" s="9" t="n">
        <v>0.0352076347691514</v>
      </c>
      <c r="I14" s="9" t="n">
        <v>0.0472014444157854</v>
      </c>
      <c r="J14" s="9" t="n">
        <v>0.05726076863554295</v>
      </c>
      <c r="K14" s="9" t="n">
        <v>0.06577250451379933</v>
      </c>
      <c r="L14" s="9" t="n">
        <v>0.0725432035078669</v>
      </c>
      <c r="M14" s="9" t="n">
        <v>0.08047459375806036</v>
      </c>
      <c r="N14" s="9" t="n">
        <v>0.08937322672169203</v>
      </c>
      <c r="O14" s="9" t="n">
        <v>0.09665978849625999</v>
      </c>
      <c r="P14" s="13" t="n">
        <v>0.0012463846792965</v>
      </c>
      <c r="Q14" s="14" t="n">
        <v>3.411002234638927</v>
      </c>
      <c r="R14" s="15" t="n">
        <v>12</v>
      </c>
      <c r="S14" s="9" t="n">
        <v>0.09665978849625999</v>
      </c>
      <c r="T14" s="13" t="n">
        <v>1</v>
      </c>
      <c r="U14" s="9" t="n">
        <v>0.09665978849625999</v>
      </c>
      <c r="V14" s="8" t="n">
        <v>7438</v>
      </c>
      <c r="W14" s="9" t="n">
        <v>0.128921639949724</v>
      </c>
      <c r="X14" s="9" t="n">
        <v>0.1176391503092229</v>
      </c>
      <c r="Y14" s="10">
        <f>IFERROR(D14/O14-1,"")</f>
        <v/>
      </c>
      <c r="Z14" s="10">
        <f>IFERROR(E14/O14-1,"")</f>
        <v/>
      </c>
      <c r="AA14" s="10">
        <f>IFERROR(E14/U14-1,"")</f>
        <v/>
      </c>
      <c r="AB14" s="10">
        <f>IFERROR(W14/X14-1,"")</f>
        <v/>
      </c>
    </row>
    <row r="15">
      <c r="A15" s="7" t="inlineStr">
        <is>
          <t>202401</t>
        </is>
      </c>
      <c r="B15" s="8" t="n">
        <v>18530</v>
      </c>
      <c r="C15" s="9" t="n">
        <v>0.1293425974374284</v>
      </c>
      <c r="D15" s="9" t="n">
        <v>0.1237410325682142</v>
      </c>
      <c r="E15" s="9" t="n">
        <v>0.1196912698332674</v>
      </c>
      <c r="F15" s="9" t="n">
        <v>0.004803022126281705</v>
      </c>
      <c r="G15" s="9" t="n">
        <v>0.02023745277927685</v>
      </c>
      <c r="H15" s="9" t="n">
        <v>0.03237992444684296</v>
      </c>
      <c r="I15" s="9" t="n">
        <v>0.04284943335132218</v>
      </c>
      <c r="J15" s="9" t="n">
        <v>0.04943335132218025</v>
      </c>
      <c r="K15" s="9" t="n">
        <v>0.0565569347004857</v>
      </c>
      <c r="L15" s="9" t="n">
        <v>0.0630329195898543</v>
      </c>
      <c r="M15" s="9" t="n">
        <v>0.07064220183486239</v>
      </c>
      <c r="N15" s="9" t="n">
        <v>0.07609282245008095</v>
      </c>
      <c r="O15" s="9" t="n">
        <v>0.08181327576902321</v>
      </c>
      <c r="P15" s="13" t="n">
        <v>-0.0190642825400903</v>
      </c>
      <c r="Q15" s="14" t="n">
        <v>2.947058030691863</v>
      </c>
      <c r="R15" s="15" t="n">
        <v>12</v>
      </c>
      <c r="S15" s="9" t="n">
        <v>0.08181327576902321</v>
      </c>
      <c r="T15" s="13" t="n">
        <v>1</v>
      </c>
      <c r="U15" s="9" t="n">
        <v>0.08181327576902321</v>
      </c>
      <c r="V15" s="8" t="n">
        <v>8799</v>
      </c>
      <c r="W15" s="9" t="n">
        <v>0.117270622587421</v>
      </c>
      <c r="X15" s="9" t="n">
        <v>0.1003523127628139</v>
      </c>
      <c r="Y15" s="10">
        <f>IFERROR(D15/O15-1,"")</f>
        <v/>
      </c>
      <c r="Z15" s="10">
        <f>IFERROR(E15/O15-1,"")</f>
        <v/>
      </c>
      <c r="AA15" s="10">
        <f>IFERROR(E15/U15-1,"")</f>
        <v/>
      </c>
      <c r="AB15" s="10">
        <f>IFERROR(W15/X15-1,"")</f>
        <v/>
      </c>
    </row>
    <row r="16">
      <c r="A16" s="7" t="inlineStr">
        <is>
          <t>202402</t>
        </is>
      </c>
      <c r="B16" s="8" t="n">
        <v>18181</v>
      </c>
      <c r="C16" s="9" t="n">
        <v>0.1306212669748445</v>
      </c>
      <c r="D16" s="9" t="n">
        <v>0.1249736210942026</v>
      </c>
      <c r="E16" s="9" t="n">
        <v>0.120883944641389</v>
      </c>
      <c r="F16" s="9" t="n">
        <v>0.006160277212474561</v>
      </c>
      <c r="G16" s="9" t="n">
        <v>0.02139596281832682</v>
      </c>
      <c r="H16" s="9" t="n">
        <v>0.03327649744238491</v>
      </c>
      <c r="I16" s="9" t="n">
        <v>0.04053682415708707</v>
      </c>
      <c r="J16" s="9" t="n">
        <v>0.04895220284912821</v>
      </c>
      <c r="K16" s="9" t="n">
        <v>0.05720257411583522</v>
      </c>
      <c r="L16" s="9" t="n">
        <v>0.06462790825587152</v>
      </c>
      <c r="M16" s="9" t="n">
        <v>0.07216324734613058</v>
      </c>
      <c r="N16" s="9" t="n">
        <v>0.07947857653594412</v>
      </c>
      <c r="O16" s="9" t="n">
        <v>0.08668390077553489</v>
      </c>
      <c r="P16" s="13" t="n">
        <v>-0.0198286684982686</v>
      </c>
      <c r="Q16" s="14" t="n">
        <v>2.929597627690584</v>
      </c>
      <c r="R16" s="15" t="n">
        <v>12</v>
      </c>
      <c r="S16" s="9" t="n">
        <v>0.08668390077553489</v>
      </c>
      <c r="T16" s="13" t="n">
        <v>1</v>
      </c>
      <c r="U16" s="9" t="n">
        <v>0.08668390077553489</v>
      </c>
      <c r="V16" s="8" t="n">
        <v>8818</v>
      </c>
      <c r="W16" s="9" t="n">
        <v>0.1187354627891718</v>
      </c>
      <c r="X16" s="9" t="n">
        <v>0.1053526876842821</v>
      </c>
      <c r="Y16" s="10">
        <f>IFERROR(D16/O16-1,"")</f>
        <v/>
      </c>
      <c r="Z16" s="10">
        <f>IFERROR(E16/O16-1,"")</f>
        <v/>
      </c>
      <c r="AA16" s="10">
        <f>IFERROR(E16/U16-1,"")</f>
        <v/>
      </c>
      <c r="AB16" s="10">
        <f>IFERROR(W16/X16-1,"")</f>
        <v/>
      </c>
    </row>
    <row r="17">
      <c r="A17" s="7" t="inlineStr">
        <is>
          <t>202403</t>
        </is>
      </c>
      <c r="B17" s="8" t="n">
        <v>15137</v>
      </c>
      <c r="C17" s="9" t="n">
        <v>0.1222364490245357</v>
      </c>
      <c r="D17" s="9" t="n">
        <v>0.1167956862047136</v>
      </c>
      <c r="E17" s="9" t="n">
        <v>0.1095811496574861</v>
      </c>
      <c r="F17" s="9" t="n">
        <v>0.007068771883464359</v>
      </c>
      <c r="G17" s="9" t="n">
        <v>0.02127237893902359</v>
      </c>
      <c r="H17" s="9" t="n">
        <v>0.02953029001783709</v>
      </c>
      <c r="I17" s="9" t="n">
        <v>0.03574023914910484</v>
      </c>
      <c r="J17" s="9" t="n">
        <v>0.04327145405298276</v>
      </c>
      <c r="K17" s="9" t="n">
        <v>0.05126511197727423</v>
      </c>
      <c r="L17" s="9" t="n">
        <v>0.05879632688115214</v>
      </c>
      <c r="M17" s="9" t="n">
        <v>0.06606328863050803</v>
      </c>
      <c r="N17" s="9" t="n">
        <v>0.0733302503798639</v>
      </c>
      <c r="O17" s="9" t="n">
        <v>0.07960626279976217</v>
      </c>
      <c r="P17" s="13" t="n">
        <v>-0.0309796378369519</v>
      </c>
      <c r="Q17" s="14" t="n">
        <v>2.67488282501116</v>
      </c>
      <c r="R17" s="15" t="n">
        <v>12</v>
      </c>
      <c r="S17" s="9" t="n">
        <v>0.07960626279976217</v>
      </c>
      <c r="T17" s="13" t="n">
        <v>1</v>
      </c>
      <c r="U17" s="9" t="n">
        <v>0.07960626279976217</v>
      </c>
      <c r="V17" s="8" t="n">
        <v>7633</v>
      </c>
      <c r="W17" s="9" t="n">
        <v>0.107059484220877</v>
      </c>
      <c r="X17" s="9" t="n">
        <v>0.09655443469147125</v>
      </c>
      <c r="Y17" s="10">
        <f>IFERROR(D17/O17-1,"")</f>
        <v/>
      </c>
      <c r="Z17" s="10">
        <f>IFERROR(E17/O17-1,"")</f>
        <v/>
      </c>
      <c r="AA17" s="10">
        <f>IFERROR(E17/U17-1,"")</f>
        <v/>
      </c>
      <c r="AB17" s="10">
        <f>IFERROR(W17/X17-1,"")</f>
        <v/>
      </c>
    </row>
    <row r="18">
      <c r="A18" s="7" t="inlineStr">
        <is>
          <t>202404</t>
        </is>
      </c>
      <c r="B18" s="8" t="n">
        <v>20601</v>
      </c>
      <c r="C18" s="9" t="n">
        <v>0.1295876634196854</v>
      </c>
      <c r="D18" s="9" t="n">
        <v>0.1249974336716362</v>
      </c>
      <c r="E18" s="9" t="n">
        <v>0.1133634178767112</v>
      </c>
      <c r="F18" s="9" t="n">
        <v>0.004077471967380225</v>
      </c>
      <c r="G18" s="9" t="n">
        <v>0.01499927188000582</v>
      </c>
      <c r="H18" s="9" t="n">
        <v>0.0235425464783263</v>
      </c>
      <c r="I18" s="9" t="n">
        <v>0.03252269307315179</v>
      </c>
      <c r="J18" s="9" t="n">
        <v>0.04300762098927237</v>
      </c>
      <c r="K18" s="9" t="n">
        <v>0.05111402359108781</v>
      </c>
      <c r="L18" s="9" t="n">
        <v>0.05834668219989321</v>
      </c>
      <c r="M18" s="9" t="n">
        <v>0.06455997281685355</v>
      </c>
      <c r="N18" s="9" t="n">
        <v>0.07237512742099898</v>
      </c>
      <c r="O18" s="9" t="n">
        <v>0.08038444735692442</v>
      </c>
      <c r="P18" s="13" t="n">
        <v>-0.0558720181987733</v>
      </c>
      <c r="Q18" s="14" t="n">
        <v>2.106281337597227</v>
      </c>
      <c r="R18" s="15" t="n">
        <v>12</v>
      </c>
      <c r="S18" s="9" t="n">
        <v>0.08038444735692442</v>
      </c>
      <c r="T18" s="13" t="n">
        <v>1</v>
      </c>
      <c r="U18" s="9" t="n">
        <v>0.08038444735692442</v>
      </c>
      <c r="V18" s="8" t="n">
        <v>10135</v>
      </c>
      <c r="W18" s="9" t="n">
        <v>0.1092886363209221</v>
      </c>
      <c r="X18" s="9" t="n">
        <v>0.09412925505673408</v>
      </c>
      <c r="Y18" s="10">
        <f>IFERROR(D18/O18-1,"")</f>
        <v/>
      </c>
      <c r="Z18" s="10">
        <f>IFERROR(E18/O18-1,"")</f>
        <v/>
      </c>
      <c r="AA18" s="10">
        <f>IFERROR(E18/U18-1,"")</f>
        <v/>
      </c>
      <c r="AB18" s="10">
        <f>IFERROR(W18/X18-1,"")</f>
        <v/>
      </c>
    </row>
    <row r="19">
      <c r="A19" s="7" t="inlineStr">
        <is>
          <t>202405</t>
        </is>
      </c>
      <c r="B19" s="8" t="n">
        <v>18414</v>
      </c>
      <c r="C19" s="9" t="n">
        <v>0.1287020749465178</v>
      </c>
      <c r="D19" s="9" t="n">
        <v>0.1241018679046092</v>
      </c>
      <c r="E19" s="9" t="n">
        <v>0.1092293503322356</v>
      </c>
      <c r="F19" s="9" t="n">
        <v>0.003747148908439231</v>
      </c>
      <c r="G19" s="9" t="n">
        <v>0.0130878679265776</v>
      </c>
      <c r="H19" s="9" t="n">
        <v>0.02351471706310416</v>
      </c>
      <c r="I19" s="9" t="n">
        <v>0.03258390355164549</v>
      </c>
      <c r="J19" s="9" t="n">
        <v>0.04121863799283154</v>
      </c>
      <c r="K19" s="9" t="n">
        <v>0.04822417725643532</v>
      </c>
      <c r="L19" s="9" t="n">
        <v>0.05533832953187792</v>
      </c>
      <c r="M19" s="9" t="n">
        <v>0.06261540132507874</v>
      </c>
      <c r="N19" s="9" t="n">
        <v>0.06918648854132725</v>
      </c>
      <c r="O19" s="9" t="n">
        <v>0.07559465623981754</v>
      </c>
      <c r="P19" s="13" t="n">
        <v>-0.0754757595835721</v>
      </c>
      <c r="Q19" s="14" t="n">
        <v>1.658485010036248</v>
      </c>
      <c r="R19" s="15" t="n">
        <v>12</v>
      </c>
      <c r="S19" s="9" t="n">
        <v>0.07559465623981754</v>
      </c>
      <c r="T19" s="13" t="n">
        <v>1</v>
      </c>
      <c r="U19" s="9" t="n">
        <v>0.07559465623981754</v>
      </c>
      <c r="V19" s="8" t="n">
        <v>8772</v>
      </c>
      <c r="W19" s="9" t="n">
        <v>0.1055350231054701</v>
      </c>
      <c r="X19" s="9" t="n">
        <v>0.08800729594163247</v>
      </c>
      <c r="Y19" s="10">
        <f>IFERROR(D19/O19-1,"")</f>
        <v/>
      </c>
      <c r="Z19" s="10">
        <f>IFERROR(E19/O19-1,"")</f>
        <v/>
      </c>
      <c r="AA19" s="10">
        <f>IFERROR(E19/U19-1,"")</f>
        <v/>
      </c>
      <c r="AB19" s="10">
        <f>IFERROR(W19/X19-1,"")</f>
        <v/>
      </c>
    </row>
    <row r="20">
      <c r="A20" s="7" t="inlineStr">
        <is>
          <t>202406</t>
        </is>
      </c>
      <c r="B20" s="8" t="n">
        <v>17762</v>
      </c>
      <c r="C20" s="9" t="n">
        <v>0.1297439582533266</v>
      </c>
      <c r="D20" s="9" t="n">
        <v>0.1250648298912176</v>
      </c>
      <c r="E20" s="9" t="n">
        <v>0.112193080515564</v>
      </c>
      <c r="F20" s="9" t="n">
        <v>0.003209098074541155</v>
      </c>
      <c r="G20" s="9" t="n">
        <v>0.0127800923319446</v>
      </c>
      <c r="H20" s="9" t="n">
        <v>0.02370228577862853</v>
      </c>
      <c r="I20" s="9" t="n">
        <v>0.03321698006981195</v>
      </c>
      <c r="J20" s="9" t="n">
        <v>0.04042337574597455</v>
      </c>
      <c r="K20" s="9" t="n">
        <v>0.04656007206395676</v>
      </c>
      <c r="L20" s="9" t="n">
        <v>0.05410426753743948</v>
      </c>
      <c r="M20" s="9" t="n">
        <v>0.06221146267312239</v>
      </c>
      <c r="N20" s="9" t="n">
        <v>0.06930525841684496</v>
      </c>
      <c r="O20" s="9" t="n">
        <v>0.0761175543294674</v>
      </c>
      <c r="P20" s="13" t="n">
        <v>-0.0653537931038556</v>
      </c>
      <c r="Q20" s="14" t="n">
        <v>1.889694926977259</v>
      </c>
      <c r="R20" s="15" t="n">
        <v>12</v>
      </c>
      <c r="S20" s="9" t="n">
        <v>0.0761175543294674</v>
      </c>
      <c r="T20" s="13" t="n">
        <v>1</v>
      </c>
      <c r="U20" s="9" t="n">
        <v>0.0761175543294674</v>
      </c>
      <c r="V20" s="8" t="n">
        <v>8265</v>
      </c>
      <c r="W20" s="9" t="n">
        <v>0.1106339356560007</v>
      </c>
      <c r="X20" s="9" t="n">
        <v>0.08880822746521476</v>
      </c>
      <c r="Y20" s="10">
        <f>IFERROR(D20/O20-1,"")</f>
        <v/>
      </c>
      <c r="Z20" s="10">
        <f>IFERROR(E20/O20-1,"")</f>
        <v/>
      </c>
      <c r="AA20" s="10">
        <f>IFERROR(E20/U20-1,"")</f>
        <v/>
      </c>
      <c r="AB20" s="10">
        <f>IFERROR(W20/X20-1,"")</f>
        <v/>
      </c>
    </row>
    <row r="21">
      <c r="A21" s="7" t="inlineStr">
        <is>
          <t>202407</t>
        </is>
      </c>
      <c r="B21" s="8" t="n">
        <v>20444</v>
      </c>
      <c r="C21" s="9" t="n">
        <v>0.1332256523143818</v>
      </c>
      <c r="D21" s="9" t="n">
        <v>0.1284710042879902</v>
      </c>
      <c r="E21" s="9" t="n">
        <v>0.1145396135219123</v>
      </c>
      <c r="F21" s="9" t="n">
        <v>0.003864214439444336</v>
      </c>
      <c r="G21" s="9" t="n">
        <v>0.01687536685580121</v>
      </c>
      <c r="H21" s="9" t="n">
        <v>0.0283701819604774</v>
      </c>
      <c r="I21" s="9" t="n">
        <v>0.03751711993738994</v>
      </c>
      <c r="J21" s="9" t="n">
        <v>0.04485423596165134</v>
      </c>
      <c r="K21" s="9" t="n">
        <v>0.05331637644296615</v>
      </c>
      <c r="L21" s="9" t="n">
        <v>0.06124046174916846</v>
      </c>
      <c r="M21" s="9" t="n">
        <v>0.06852866366660144</v>
      </c>
      <c r="N21" s="9" t="n">
        <v>0.07532772451575034</v>
      </c>
      <c r="O21" s="9" t="n">
        <v>0.08256701232635492</v>
      </c>
      <c r="P21" s="13" t="n">
        <v>-0.0704962472517633</v>
      </c>
      <c r="Q21" s="14" t="n">
        <v>1.772228978162538</v>
      </c>
      <c r="R21" s="15" t="n">
        <v>12</v>
      </c>
      <c r="S21" s="9" t="n">
        <v>0.08256701232635492</v>
      </c>
      <c r="T21" s="13" t="n">
        <v>1</v>
      </c>
      <c r="U21" s="9" t="n">
        <v>0.08256701232635492</v>
      </c>
      <c r="V21" s="8" t="n">
        <v>10001</v>
      </c>
      <c r="W21" s="9" t="n">
        <v>0.1142328635547153</v>
      </c>
      <c r="X21" s="9" t="n">
        <v>0.100989901009899</v>
      </c>
      <c r="Y21" s="10">
        <f>IFERROR(D21/O21-1,"")</f>
        <v/>
      </c>
      <c r="Z21" s="10">
        <f>IFERROR(E21/O21-1,"")</f>
        <v/>
      </c>
      <c r="AA21" s="10">
        <f>IFERROR(E21/U21-1,"")</f>
        <v/>
      </c>
      <c r="AB21" s="10">
        <f>IFERROR(W21/X21-1,"")</f>
        <v/>
      </c>
    </row>
    <row r="22">
      <c r="A22" s="7" t="inlineStr">
        <is>
          <t>202408</t>
        </is>
      </c>
      <c r="B22" s="8" t="n">
        <v>18663</v>
      </c>
      <c r="C22" s="9" t="n">
        <v>0.1320855983540001</v>
      </c>
      <c r="D22" s="9" t="n">
        <v>0.1273795809788002</v>
      </c>
      <c r="E22" s="9" t="n">
        <v>0.1126379186077146</v>
      </c>
      <c r="F22" s="9" t="n">
        <v>0.003375663076675776</v>
      </c>
      <c r="G22" s="9" t="n">
        <v>0.01478861919305578</v>
      </c>
      <c r="H22" s="9" t="n">
        <v>0.02545142795906339</v>
      </c>
      <c r="I22" s="9" t="n">
        <v>0.03284573755559127</v>
      </c>
      <c r="J22" s="9" t="n">
        <v>0.04174034185286395</v>
      </c>
      <c r="K22" s="9" t="n">
        <v>0.05063494615013663</v>
      </c>
      <c r="L22" s="9" t="n">
        <v>0.0576006001178803</v>
      </c>
      <c r="M22" s="9" t="n">
        <v>0.06467341799282002</v>
      </c>
      <c r="N22" s="9" t="n">
        <v>0.07131758023897551</v>
      </c>
      <c r="O22" s="9" t="n">
        <v>0.07742592294915072</v>
      </c>
      <c r="P22" s="13" t="n">
        <v>-0.0744376341863873</v>
      </c>
      <c r="Q22" s="14" t="n">
        <v>1.68219827636038</v>
      </c>
      <c r="R22" s="15" t="n">
        <v>12</v>
      </c>
      <c r="S22" s="9" t="n">
        <v>0.07742592294915072</v>
      </c>
      <c r="T22" s="13" t="n">
        <v>1</v>
      </c>
      <c r="U22" s="9" t="n">
        <v>0.07742592294915072</v>
      </c>
      <c r="V22" s="8" t="n">
        <v>8982</v>
      </c>
      <c r="W22" s="9" t="n">
        <v>0.1086998852538338</v>
      </c>
      <c r="X22" s="9" t="n">
        <v>0.09029169450011133</v>
      </c>
      <c r="Y22" s="10">
        <f>IFERROR(D22/O22-1,"")</f>
        <v/>
      </c>
      <c r="Z22" s="10">
        <f>IFERROR(E22/O22-1,"")</f>
        <v/>
      </c>
      <c r="AA22" s="10">
        <f>IFERROR(E22/U22-1,"")</f>
        <v/>
      </c>
      <c r="AB22" s="10">
        <f>IFERROR(W22/X22-1,"")</f>
        <v/>
      </c>
    </row>
    <row r="23">
      <c r="A23" s="7" t="inlineStr">
        <is>
          <t>202409</t>
        </is>
      </c>
      <c r="B23" s="8" t="n">
        <v>22201</v>
      </c>
      <c r="C23" s="9" t="n">
        <v>0.1355352830033972</v>
      </c>
      <c r="D23" s="9" t="n">
        <v>0.1306935973794915</v>
      </c>
      <c r="E23" s="9" t="n">
        <v>0.11481008192798</v>
      </c>
      <c r="F23" s="9" t="n">
        <v>0.003468312238187469</v>
      </c>
      <c r="G23" s="9" t="n">
        <v>0.01360299085626774</v>
      </c>
      <c r="H23" s="9" t="n">
        <v>0.02292689518490158</v>
      </c>
      <c r="I23" s="9" t="n">
        <v>0.03337687491554434</v>
      </c>
      <c r="J23" s="9" t="n">
        <v>0.04355659654970497</v>
      </c>
      <c r="K23" s="9" t="n">
        <v>0.05197964055673168</v>
      </c>
      <c r="L23" s="9" t="n">
        <v>0.06031259853159768</v>
      </c>
      <c r="M23" s="9" t="n">
        <v>0.06751948110445476</v>
      </c>
      <c r="N23" s="9" t="n">
        <v>0.07405071843610649</v>
      </c>
      <c r="O23" s="9" t="n">
        <v>0.08112247196072249</v>
      </c>
      <c r="P23" s="13" t="n">
        <v>-0.0828464630159074</v>
      </c>
      <c r="Q23" s="14" t="n">
        <v>1.490120519618099</v>
      </c>
      <c r="R23" s="15" t="n">
        <v>12</v>
      </c>
      <c r="S23" s="9" t="n">
        <v>0.08112247196072249</v>
      </c>
      <c r="T23" s="13" t="n">
        <v>1</v>
      </c>
      <c r="U23" s="9" t="n">
        <v>0.08112247196072249</v>
      </c>
      <c r="V23" s="8" t="n">
        <v>10847</v>
      </c>
      <c r="W23" s="9" t="n">
        <v>0.1102871648800128</v>
      </c>
      <c r="X23" s="9" t="n">
        <v>0.09117728404167051</v>
      </c>
      <c r="Y23" s="10">
        <f>IFERROR(D23/O23-1,"")</f>
        <v/>
      </c>
      <c r="Z23" s="10">
        <f>IFERROR(E23/O23-1,"")</f>
        <v/>
      </c>
      <c r="AA23" s="10">
        <f>IFERROR(E23/U23-1,"")</f>
        <v/>
      </c>
      <c r="AB23" s="10">
        <f>IFERROR(W23/X23-1,"")</f>
        <v/>
      </c>
    </row>
    <row r="24">
      <c r="A24" s="7" t="inlineStr">
        <is>
          <t>202410</t>
        </is>
      </c>
      <c r="B24" s="8" t="n">
        <v>23498</v>
      </c>
      <c r="C24" s="9" t="n">
        <v>0.1356757054746205</v>
      </c>
      <c r="D24" s="9" t="n">
        <v>0.1373616065961974</v>
      </c>
      <c r="E24" s="9" t="n">
        <v>0.1169489133823195</v>
      </c>
      <c r="F24" s="9" t="n">
        <v>0.004383351774619117</v>
      </c>
      <c r="G24" s="9" t="n">
        <v>0.01493744148438165</v>
      </c>
      <c r="H24" s="9" t="n">
        <v>0.02800238318154737</v>
      </c>
      <c r="I24" s="9" t="n">
        <v>0.03970550685164695</v>
      </c>
      <c r="J24" s="9" t="n">
        <v>0.04949357392118478</v>
      </c>
      <c r="K24" s="9" t="n">
        <v>0.05855817516384373</v>
      </c>
      <c r="L24" s="9" t="n">
        <v>0.06672908332624053</v>
      </c>
      <c r="M24" s="9" t="n">
        <v>0.07498510511532896</v>
      </c>
      <c r="N24" s="9" t="n">
        <v>0.08230487701080944</v>
      </c>
      <c r="O24" s="9" t="n">
        <v>0.08890118307941101</v>
      </c>
      <c r="P24" s="13" t="n">
        <v>-0.0724218660345015</v>
      </c>
      <c r="Q24" s="14" t="n">
        <v>1.728243240834804</v>
      </c>
      <c r="R24" s="15" t="n">
        <v>12</v>
      </c>
      <c r="S24" s="9" t="n">
        <v>0.08890118307941101</v>
      </c>
      <c r="T24" s="13" t="n">
        <v>1</v>
      </c>
      <c r="U24" s="9" t="n">
        <v>0.08890118307941101</v>
      </c>
      <c r="V24" s="8" t="n">
        <v>11627</v>
      </c>
      <c r="W24" s="9" t="n">
        <v>0.1107433552288528</v>
      </c>
      <c r="X24" s="9" t="n">
        <v>0.1031220435193945</v>
      </c>
      <c r="Y24" s="10">
        <f>IFERROR(D24/O24-1,"")</f>
        <v/>
      </c>
      <c r="Z24" s="10">
        <f>IFERROR(E24/O24-1,"")</f>
        <v/>
      </c>
      <c r="AA24" s="10">
        <f>IFERROR(E24/U24-1,"")</f>
        <v/>
      </c>
      <c r="AB24" s="10">
        <f>IFERROR(W24/X24-1,"")</f>
        <v/>
      </c>
    </row>
    <row r="25">
      <c r="A25" s="7" t="inlineStr">
        <is>
          <t>202411</t>
        </is>
      </c>
      <c r="B25" s="8" t="n">
        <v>23529</v>
      </c>
      <c r="C25" s="9" t="n">
        <v>0.1358756879843314</v>
      </c>
      <c r="D25" s="9" t="n">
        <v>0.1376383919458444</v>
      </c>
      <c r="E25" s="9" t="n">
        <v>0.1200463297169476</v>
      </c>
      <c r="F25" s="9" t="n">
        <v>0.002507543882017935</v>
      </c>
      <c r="G25" s="9" t="n">
        <v>0.01589527816736793</v>
      </c>
      <c r="H25" s="9" t="n">
        <v>0.03187555782226189</v>
      </c>
      <c r="I25" s="9" t="n">
        <v>0.04301075268817205</v>
      </c>
      <c r="J25" s="9" t="n">
        <v>0.05316843044753283</v>
      </c>
      <c r="K25" s="9" t="n">
        <v>0.06154107696884695</v>
      </c>
      <c r="L25" s="9" t="n">
        <v>0.07110374431552552</v>
      </c>
      <c r="M25" s="9" t="n">
        <v>0.07977389604318076</v>
      </c>
      <c r="N25" s="9" t="n">
        <v>0.08699902248289346</v>
      </c>
      <c r="O25" s="9" t="n">
        <v>0.09439415189765821</v>
      </c>
      <c r="P25" s="13" t="n">
        <v>-0.0580535033556161</v>
      </c>
      <c r="Q25" s="14" t="n">
        <v>2.056451000485126</v>
      </c>
      <c r="R25" s="15" t="n">
        <v>12</v>
      </c>
      <c r="S25" s="9" t="n">
        <v>0.09439415189765821</v>
      </c>
      <c r="T25" s="13" t="n">
        <v>1</v>
      </c>
      <c r="U25" s="9" t="n">
        <v>0.09439415189765821</v>
      </c>
      <c r="V25" s="8" t="n">
        <v>11177</v>
      </c>
      <c r="W25" s="9" t="n">
        <v>0.1145732574973125</v>
      </c>
      <c r="X25" s="9" t="n">
        <v>0.1010110047418806</v>
      </c>
      <c r="Y25" s="10">
        <f>IFERROR(D25/O25-1,"")</f>
        <v/>
      </c>
      <c r="Z25" s="10">
        <f>IFERROR(E25/O25-1,"")</f>
        <v/>
      </c>
      <c r="AA25" s="10">
        <f>IFERROR(E25/U25-1,"")</f>
        <v/>
      </c>
      <c r="AB25" s="10">
        <f>IFERROR(W25/X25-1,"")</f>
        <v/>
      </c>
    </row>
    <row r="26">
      <c r="A26" s="7" t="inlineStr">
        <is>
          <t>202412</t>
        </is>
      </c>
      <c r="B26" s="8" t="n">
        <v>21000</v>
      </c>
      <c r="C26" s="9" t="n">
        <v>0.1339885750594771</v>
      </c>
      <c r="D26" s="9" t="n">
        <v>0.1357137073327654</v>
      </c>
      <c r="E26" s="9" t="n">
        <v>0.1167776982623895</v>
      </c>
      <c r="F26" s="9" t="n">
        <v>0.005190476190476191</v>
      </c>
      <c r="G26" s="9" t="n">
        <v>0.02023809523809524</v>
      </c>
      <c r="H26" s="9" t="n">
        <v>0.03461904761904762</v>
      </c>
      <c r="I26" s="9" t="n">
        <v>0.04995238095238095</v>
      </c>
      <c r="J26" s="9" t="n">
        <v>0.06023809523809524</v>
      </c>
      <c r="K26" s="9" t="n">
        <v>0.06895238095238095</v>
      </c>
      <c r="L26" s="9" t="n">
        <v>0.07742857142857143</v>
      </c>
      <c r="M26" s="9" t="n">
        <v>0.08428571428571428</v>
      </c>
      <c r="N26" s="9" t="n">
        <v>0.09214285714285714</v>
      </c>
      <c r="O26" s="9" t="n">
        <v>0.0980952380952381</v>
      </c>
      <c r="P26" s="13" t="n">
        <v>-0.0650299149850779</v>
      </c>
      <c r="Q26" s="14" t="n">
        <v>1.897093077632239</v>
      </c>
      <c r="R26" s="15" t="n">
        <v>12</v>
      </c>
      <c r="S26" s="9" t="n">
        <v>0.0980952380952381</v>
      </c>
      <c r="T26" s="13" t="n">
        <v>1</v>
      </c>
      <c r="U26" s="9" t="n">
        <v>0.0980952380952381</v>
      </c>
      <c r="V26" s="8" t="n">
        <v>9637</v>
      </c>
      <c r="W26" s="9" t="n">
        <v>0.1105428598468244</v>
      </c>
      <c r="X26" s="9" t="n">
        <v>0.101483864273114</v>
      </c>
      <c r="Y26" s="10">
        <f>IFERROR(D26/O26-1,"")</f>
        <v/>
      </c>
      <c r="Z26" s="10">
        <f>IFERROR(E26/O26-1,"")</f>
        <v/>
      </c>
      <c r="AA26" s="10">
        <f>IFERROR(E26/U26-1,"")</f>
        <v/>
      </c>
      <c r="AB26" s="10">
        <f>IFERROR(W26/X26-1,"")</f>
        <v/>
      </c>
    </row>
    <row r="27">
      <c r="A27" s="7" t="inlineStr">
        <is>
          <t>202501</t>
        </is>
      </c>
      <c r="B27" s="8" t="n">
        <v>24300</v>
      </c>
      <c r="C27" s="9" t="n">
        <v>0.1272293885584936</v>
      </c>
      <c r="D27" s="9" t="n">
        <v>0.12878961793308</v>
      </c>
      <c r="E27" s="9" t="n">
        <v>0.1090719405576581</v>
      </c>
      <c r="F27" s="9" t="n">
        <v>0.003909465020576132</v>
      </c>
      <c r="G27" s="9" t="n">
        <v>0.01423868312757202</v>
      </c>
      <c r="H27" s="9" t="n">
        <v>0.02526748971193416</v>
      </c>
      <c r="I27" s="9" t="n">
        <v>0.03580246913580247</v>
      </c>
      <c r="J27" s="9" t="n">
        <v>0.0434156378600823</v>
      </c>
      <c r="K27" s="9" t="n">
        <v>0.05078189300411522</v>
      </c>
      <c r="L27" s="9" t="n">
        <v>0.05748971193415638</v>
      </c>
      <c r="M27" s="9" t="n">
        <v>0.0648559670781893</v>
      </c>
      <c r="N27" s="9" t="n">
        <v>0.07082304526748971</v>
      </c>
      <c r="O27" s="9" t="n">
        <v>0.07600823045267489</v>
      </c>
      <c r="P27" s="13" t="n">
        <v>-0.0692773689503683</v>
      </c>
      <c r="Q27" s="14" t="n">
        <v>1.800071073015497</v>
      </c>
      <c r="R27" s="15" t="n">
        <v>12</v>
      </c>
      <c r="S27" s="9" t="n">
        <v>0.07600823045267489</v>
      </c>
      <c r="T27" s="13" t="n">
        <v>1</v>
      </c>
      <c r="U27" s="9" t="n">
        <v>0.07600823045267489</v>
      </c>
      <c r="V27" s="8" t="n">
        <v>11024</v>
      </c>
      <c r="W27" s="9" t="n">
        <v>0.1018234908470692</v>
      </c>
      <c r="X27" s="9" t="n">
        <v>0.0829100145137881</v>
      </c>
      <c r="Y27" s="10">
        <f>IFERROR(D27/O27-1,"")</f>
        <v/>
      </c>
      <c r="Z27" s="10">
        <f>IFERROR(E27/O27-1,"")</f>
        <v/>
      </c>
      <c r="AA27" s="10">
        <f>IFERROR(E27/U27-1,"")</f>
        <v/>
      </c>
      <c r="AB27" s="10">
        <f>IFERROR(W27/X27-1,"")</f>
        <v/>
      </c>
    </row>
    <row r="28">
      <c r="A28" s="7" t="inlineStr">
        <is>
          <t>202502</t>
        </is>
      </c>
      <c r="B28" s="8" t="n">
        <v>20909</v>
      </c>
      <c r="C28" s="9" t="n">
        <v>0.1301522892550827</v>
      </c>
      <c r="D28" s="9" t="n">
        <v>0.1317536944426887</v>
      </c>
      <c r="E28" s="9" t="n">
        <v>0.109933212782369</v>
      </c>
      <c r="F28" s="9" t="n">
        <v>0.004160887656033287</v>
      </c>
      <c r="G28" s="9" t="n">
        <v>0.01731311875269023</v>
      </c>
      <c r="H28" s="9" t="n">
        <v>0.02917403988712994</v>
      </c>
      <c r="I28" s="9" t="n">
        <v>0.03854799368692907</v>
      </c>
      <c r="J28" s="9" t="n">
        <v>0.0463915060500263</v>
      </c>
      <c r="K28" s="9" t="n">
        <v>0.05356545028456645</v>
      </c>
      <c r="L28" s="9" t="n">
        <v>0.06112200487828208</v>
      </c>
      <c r="M28" s="9" t="n">
        <v>0.06695681285570806</v>
      </c>
      <c r="N28" s="9" t="n">
        <v>0.0729829260127218</v>
      </c>
      <c r="O28" s="9" t="n">
        <v>0.07781338179731216</v>
      </c>
      <c r="P28" s="13" t="n">
        <v>-0.0821028391221693</v>
      </c>
      <c r="Q28" s="14" t="n">
        <v>1.507106667423574</v>
      </c>
      <c r="R28" s="15" t="n">
        <v>12</v>
      </c>
      <c r="S28" s="9" t="n">
        <v>0.07781338179731216</v>
      </c>
      <c r="T28" s="13" t="n">
        <v>1</v>
      </c>
      <c r="U28" s="9" t="n">
        <v>0.07781338179731216</v>
      </c>
      <c r="V28" s="8" t="n">
        <v>9452</v>
      </c>
      <c r="W28" s="9" t="n">
        <v>0.1036501956067022</v>
      </c>
      <c r="X28" s="9" t="n">
        <v>0.0837917900973339</v>
      </c>
      <c r="Y28" s="10">
        <f>IFERROR(D28/O28-1,"")</f>
        <v/>
      </c>
      <c r="Z28" s="10">
        <f>IFERROR(E28/O28-1,"")</f>
        <v/>
      </c>
      <c r="AA28" s="10">
        <f>IFERROR(E28/U28-1,"")</f>
        <v/>
      </c>
      <c r="AB28" s="10">
        <f>IFERROR(W28/X28-1,"")</f>
        <v/>
      </c>
    </row>
    <row r="29">
      <c r="A29" s="7" t="inlineStr">
        <is>
          <t>202503</t>
        </is>
      </c>
      <c r="B29" s="8" t="n">
        <v>25543</v>
      </c>
      <c r="C29" s="9" t="n">
        <v>0.1379162129325013</v>
      </c>
      <c r="D29" s="9" t="n">
        <v>0.1324486410354609</v>
      </c>
      <c r="E29" s="9" t="n">
        <v>0.1178292651593704</v>
      </c>
      <c r="F29" s="9" t="n">
        <v>0.004345613279567787</v>
      </c>
      <c r="G29" s="9" t="n">
        <v>0.01890929021649767</v>
      </c>
      <c r="H29" s="9" t="n">
        <v>0.03249422542379517</v>
      </c>
      <c r="I29" s="9" t="n">
        <v>0.04271228908115726</v>
      </c>
      <c r="J29" s="9" t="n">
        <v>0.05277375406177818</v>
      </c>
      <c r="K29" s="9" t="n">
        <v>0.06216967466624907</v>
      </c>
      <c r="L29" s="9" t="n">
        <v>0.07023450651841992</v>
      </c>
      <c r="M29" s="9" t="n">
        <v>0.07598950788865834</v>
      </c>
      <c r="N29" s="9" t="n">
        <v>0.08268410131934385</v>
      </c>
      <c r="O29" s="9" t="n">
        <v>0.08926124574247347</v>
      </c>
      <c r="P29" s="13" t="n">
        <v>-0.0901403058799683</v>
      </c>
      <c r="Q29" s="14" t="n">
        <v>1.323511708359959</v>
      </c>
      <c r="R29" s="15" t="n">
        <v>12</v>
      </c>
      <c r="S29" s="9" t="n">
        <v>0.08926124574247347</v>
      </c>
      <c r="T29" s="13" t="n">
        <v>1</v>
      </c>
      <c r="U29" s="9" t="n">
        <v>0.08926124574247347</v>
      </c>
      <c r="V29" s="8" t="n">
        <v>11600</v>
      </c>
      <c r="W29" s="9" t="n">
        <v>0.1148365027730043</v>
      </c>
      <c r="X29" s="9" t="n">
        <v>0.0939655172413793</v>
      </c>
      <c r="Y29" s="10">
        <f>IFERROR(D29/O29-1,"")</f>
        <v/>
      </c>
      <c r="Z29" s="10">
        <f>IFERROR(E29/O29-1,"")</f>
        <v/>
      </c>
      <c r="AA29" s="10">
        <f>IFERROR(E29/U29-1,"")</f>
        <v/>
      </c>
      <c r="AB29" s="10">
        <f>IFERROR(W29/X29-1,"")</f>
        <v/>
      </c>
    </row>
    <row r="30">
      <c r="A30" s="7" t="inlineStr">
        <is>
          <t>202504</t>
        </is>
      </c>
      <c r="B30" s="8" t="n">
        <v>26118</v>
      </c>
      <c r="C30" s="9" t="n">
        <v>0.1446978023622117</v>
      </c>
      <c r="D30" s="9" t="n">
        <v>0.1390621054961291</v>
      </c>
      <c r="E30" s="9" t="n">
        <v>0.125918130820391</v>
      </c>
      <c r="F30" s="9" t="n">
        <v>0.005360287924037062</v>
      </c>
      <c r="G30" s="9" t="n">
        <v>0.01975648977716517</v>
      </c>
      <c r="H30" s="9" t="n">
        <v>0.03231487862776629</v>
      </c>
      <c r="I30" s="9" t="n">
        <v>0.04181024580748909</v>
      </c>
      <c r="J30" s="9" t="n">
        <v>0.05348801592771269</v>
      </c>
      <c r="K30" s="9" t="n">
        <v>0.06263879316946168</v>
      </c>
      <c r="L30" s="9" t="n">
        <v>0.06834367103147254</v>
      </c>
      <c r="M30" s="9" t="n">
        <v>0.07580978635423846</v>
      </c>
      <c r="N30" s="9" t="n">
        <v>0.08304617505168849</v>
      </c>
      <c r="O30" s="9" t="n">
        <v>0.09039742706179646</v>
      </c>
      <c r="P30" s="13" t="n">
        <v>-0.0763210869948466</v>
      </c>
      <c r="Q30" s="14" t="n">
        <v>1.639175710707863</v>
      </c>
      <c r="R30" s="15" t="n">
        <v>12</v>
      </c>
      <c r="S30" s="9" t="n">
        <v>0.09039742706179646</v>
      </c>
      <c r="T30" s="13" t="n">
        <v>1</v>
      </c>
      <c r="U30" s="9" t="n">
        <v>0.09039742706179646</v>
      </c>
      <c r="V30" s="8" t="n">
        <v>11571</v>
      </c>
      <c r="W30" s="9" t="n">
        <v>0.1248636302840268</v>
      </c>
      <c r="X30" s="9" t="n">
        <v>0.09826289862587503</v>
      </c>
      <c r="Y30" s="10">
        <f>IFERROR(D30/O30-1,"")</f>
        <v/>
      </c>
      <c r="Z30" s="10">
        <f>IFERROR(E30/O30-1,"")</f>
        <v/>
      </c>
      <c r="AA30" s="10">
        <f>IFERROR(E30/U30-1,"")</f>
        <v/>
      </c>
      <c r="AB30" s="10">
        <f>IFERROR(W30/X30-1,"")</f>
        <v/>
      </c>
    </row>
    <row r="31">
      <c r="A31" s="7" t="inlineStr">
        <is>
          <t>202505</t>
        </is>
      </c>
      <c r="B31" s="8" t="n">
        <v>22813</v>
      </c>
      <c r="C31" s="9" t="n">
        <v>0.1465460141783593</v>
      </c>
      <c r="D31" s="9" t="n">
        <v>0.1407662015523402</v>
      </c>
      <c r="E31" s="9" t="n">
        <v>0.1281805675359595</v>
      </c>
      <c r="F31" s="9" t="n">
        <v>0.005523166615526235</v>
      </c>
      <c r="G31" s="9" t="n">
        <v>0.02327620216543199</v>
      </c>
      <c r="H31" s="9" t="n">
        <v>0.03717178801560514</v>
      </c>
      <c r="I31" s="9" t="n">
        <v>0.04940165694998466</v>
      </c>
      <c r="J31" s="9" t="n">
        <v>0.05983430500153421</v>
      </c>
      <c r="K31" s="9" t="n">
        <v>0.06702318853285408</v>
      </c>
      <c r="L31" s="9" t="n">
        <v>0.07390522947442248</v>
      </c>
      <c r="M31" s="9" t="n">
        <v>0.08105027835006356</v>
      </c>
      <c r="N31" s="9" t="n">
        <v>0.08946653224038925</v>
      </c>
      <c r="O31" s="9" t="n">
        <v>0.09766361285232104</v>
      </c>
      <c r="P31" s="13" t="n">
        <v>-0.0729545842663733</v>
      </c>
      <c r="Q31" s="14" t="n">
        <v>1.716074682641011</v>
      </c>
      <c r="R31" s="15" t="n">
        <v>12</v>
      </c>
      <c r="S31" s="9" t="n">
        <v>0.09766361285232104</v>
      </c>
      <c r="T31" s="13" t="n">
        <v>1</v>
      </c>
      <c r="U31" s="9" t="n">
        <v>0.09766361285232104</v>
      </c>
      <c r="V31" s="8" t="n">
        <v>10303</v>
      </c>
      <c r="W31" s="9" t="n">
        <v>0.1271338206242375</v>
      </c>
      <c r="X31" s="9" t="n">
        <v>0.1052120741531593</v>
      </c>
      <c r="Y31" s="10">
        <f>IFERROR(D31/O31-1,"")</f>
        <v/>
      </c>
      <c r="Z31" s="10">
        <f>IFERROR(E31/O31-1,"")</f>
        <v/>
      </c>
      <c r="AA31" s="10">
        <f>IFERROR(E31/U31-1,"")</f>
        <v/>
      </c>
      <c r="AB31" s="10">
        <f>IFERROR(W31/X31-1,"")</f>
        <v/>
      </c>
    </row>
    <row r="32">
      <c r="A32" s="7" t="inlineStr">
        <is>
          <t>202506</t>
        </is>
      </c>
      <c r="B32" s="8" t="n">
        <v>23960</v>
      </c>
      <c r="C32" s="9" t="n">
        <v>0.1506585432858656</v>
      </c>
      <c r="D32" s="9" t="n">
        <v>0.1447913363380809</v>
      </c>
      <c r="E32" s="9" t="n">
        <v>0.1321880766766879</v>
      </c>
      <c r="F32" s="9" t="n">
        <v>0.004507512520868113</v>
      </c>
      <c r="G32" s="9" t="n">
        <v>0.02074290484140234</v>
      </c>
      <c r="H32" s="9" t="n">
        <v>0.03606010016694491</v>
      </c>
      <c r="I32" s="9" t="n">
        <v>0.04803839732888147</v>
      </c>
      <c r="J32" s="9" t="n">
        <v>0.0582220367278798</v>
      </c>
      <c r="K32" s="9" t="n">
        <v>0.06665275459098498</v>
      </c>
      <c r="L32" s="9" t="n">
        <v>0.07508347245409015</v>
      </c>
      <c r="M32" s="9" t="n">
        <v>0.08380634390651086</v>
      </c>
      <c r="N32" s="9" t="n">
        <v>0.09190317195325542</v>
      </c>
      <c r="O32" s="9" t="n">
        <v>0.0994991652754591</v>
      </c>
      <c r="P32" s="13" t="n">
        <v>-0.07376569476056211</v>
      </c>
      <c r="Q32" s="14" t="n">
        <v>1.69754697951463</v>
      </c>
      <c r="R32" s="15" t="n">
        <v>12</v>
      </c>
      <c r="S32" s="9" t="n">
        <v>0.0994991652754591</v>
      </c>
      <c r="T32" s="13" t="n">
        <v>1</v>
      </c>
      <c r="U32" s="9" t="n">
        <v>0.0994991652754591</v>
      </c>
      <c r="V32" s="8" t="n">
        <v>10814</v>
      </c>
      <c r="W32" s="9" t="n">
        <v>0.1280011599159341</v>
      </c>
      <c r="X32" s="9" t="n">
        <v>0.1066210467911966</v>
      </c>
      <c r="Y32" s="10">
        <f>IFERROR(D32/O32-1,"")</f>
        <v/>
      </c>
      <c r="Z32" s="10">
        <f>IFERROR(E32/O32-1,"")</f>
        <v/>
      </c>
      <c r="AA32" s="10">
        <f>IFERROR(E32/U32-1,"")</f>
        <v/>
      </c>
      <c r="AB32" s="10">
        <f>IFERROR(W32/X32-1,"")</f>
        <v/>
      </c>
    </row>
    <row r="33">
      <c r="A33" s="7" t="inlineStr">
        <is>
          <t>202507</t>
        </is>
      </c>
      <c r="B33" s="8" t="n">
        <v>24008</v>
      </c>
      <c r="C33" s="9" t="n">
        <v>0.1509968667568934</v>
      </c>
      <c r="D33" s="9" t="n">
        <v>0.1451570905231576</v>
      </c>
      <c r="E33" s="9" t="n">
        <v>0.132211106034551</v>
      </c>
      <c r="F33" s="9" t="n">
        <v>0.004748417194268577</v>
      </c>
      <c r="G33" s="9" t="n">
        <v>0.02111796067977341</v>
      </c>
      <c r="H33" s="9" t="n">
        <v>0.03486337887370877</v>
      </c>
      <c r="I33" s="9" t="n">
        <v>0.04390203265578141</v>
      </c>
      <c r="J33" s="9" t="n">
        <v>0.05260746417860713</v>
      </c>
      <c r="K33" s="9" t="n">
        <v>0.06152115961346218</v>
      </c>
      <c r="L33" s="9" t="n">
        <v>0.07039320226591136</v>
      </c>
      <c r="M33" s="9" t="n">
        <v>0.07889036987670776</v>
      </c>
      <c r="N33" s="9" t="n">
        <v>0.08667944018660446</v>
      </c>
      <c r="O33" s="9" t="n"/>
      <c r="P33" s="13" t="n">
        <v>-0.0736408959148164</v>
      </c>
      <c r="Q33" s="14" t="n">
        <v>1.700397683556876</v>
      </c>
      <c r="R33" s="15" t="n">
        <v>11</v>
      </c>
      <c r="S33" s="9" t="n">
        <v>0.08667944018660446</v>
      </c>
      <c r="T33" s="13" t="n">
        <v>1.084483310227152</v>
      </c>
      <c r="U33" s="9" t="n">
        <v>0.0940024062222052</v>
      </c>
      <c r="V33" s="8" t="n">
        <v>11322</v>
      </c>
      <c r="W33" s="9" t="n">
        <v>0.1297179817464227</v>
      </c>
      <c r="X33" s="9" t="n"/>
      <c r="Y33" s="10">
        <f>IFERROR(D33/O33-1,"")</f>
        <v/>
      </c>
      <c r="Z33" s="10">
        <f>IFERROR(E33/O33-1,"")</f>
        <v/>
      </c>
      <c r="AA33" s="10">
        <f>IFERROR(E33/U33-1,"")</f>
        <v/>
      </c>
      <c r="AB33" s="10">
        <f>IFERROR(W33/X33-1,"")</f>
        <v/>
      </c>
    </row>
    <row r="34">
      <c r="A34" s="7" t="inlineStr">
        <is>
          <t>202508</t>
        </is>
      </c>
      <c r="B34" s="8" t="n">
        <v>23694</v>
      </c>
      <c r="C34" s="9" t="n">
        <v>0.1588886738965097</v>
      </c>
      <c r="D34" s="9" t="n">
        <v>0.152824511992362</v>
      </c>
      <c r="E34" s="9" t="n">
        <v>0.1382699206781391</v>
      </c>
      <c r="F34" s="9" t="n">
        <v>0.00569764497341099</v>
      </c>
      <c r="G34" s="9" t="n">
        <v>0.02633578121043302</v>
      </c>
      <c r="H34" s="9" t="n">
        <v>0.0402211530345235</v>
      </c>
      <c r="I34" s="9" t="n">
        <v>0.05203849075715371</v>
      </c>
      <c r="J34" s="9" t="n">
        <v>0.06246307081961678</v>
      </c>
      <c r="K34" s="9" t="n">
        <v>0.07335190343546889</v>
      </c>
      <c r="L34" s="9" t="n">
        <v>0.08419853127374019</v>
      </c>
      <c r="M34" s="9" t="n">
        <v>0.09491854477926902</v>
      </c>
      <c r="N34" s="9" t="n"/>
      <c r="O34" s="9" t="n"/>
      <c r="P34" s="13" t="n">
        <v>-0.1003314429254493</v>
      </c>
      <c r="Q34" s="14" t="n">
        <v>1.090721770303759</v>
      </c>
      <c r="R34" s="15" t="n">
        <v>10</v>
      </c>
      <c r="S34" s="9" t="n">
        <v>0.09491854477926902</v>
      </c>
      <c r="T34" s="13" t="n">
        <v>1.190466156259512</v>
      </c>
      <c r="U34" s="9" t="n">
        <v>0.1129973151611227</v>
      </c>
      <c r="V34" s="8" t="n">
        <v>11366</v>
      </c>
      <c r="W34" s="9" t="n">
        <v>0.1365192743417024</v>
      </c>
      <c r="X34" s="9" t="n"/>
      <c r="Y34" s="10">
        <f>IFERROR(D34/O34-1,"")</f>
        <v/>
      </c>
      <c r="Z34" s="10">
        <f>IFERROR(E34/O34-1,"")</f>
        <v/>
      </c>
      <c r="AA34" s="10">
        <f>IFERROR(E34/U34-1,"")</f>
        <v/>
      </c>
      <c r="AB34" s="10">
        <f>IFERROR(W34/X34-1,"")</f>
        <v/>
      </c>
    </row>
    <row r="35">
      <c r="A35" s="7" t="inlineStr">
        <is>
          <t>202509</t>
        </is>
      </c>
      <c r="B35" s="8" t="n">
        <v>26530</v>
      </c>
      <c r="C35" s="9" t="n">
        <v>0.1601174228094501</v>
      </c>
      <c r="D35" s="9" t="n">
        <v>0.1540458324268429</v>
      </c>
      <c r="E35" s="9" t="n">
        <v>0.139834255760751</v>
      </c>
      <c r="F35" s="9" t="n">
        <v>0.006784771956275914</v>
      </c>
      <c r="G35" s="9" t="n">
        <v>0.02649830380701093</v>
      </c>
      <c r="H35" s="9" t="n">
        <v>0.04059555220505089</v>
      </c>
      <c r="I35" s="9" t="n">
        <v>0.05386355069732379</v>
      </c>
      <c r="J35" s="9" t="n">
        <v>0.06554843573313231</v>
      </c>
      <c r="K35" s="9" t="n">
        <v>0.07572559366754618</v>
      </c>
      <c r="L35" s="9" t="n">
        <v>0.08575197889182058</v>
      </c>
      <c r="M35" s="9" t="n"/>
      <c r="N35" s="9" t="n"/>
      <c r="O35" s="9" t="n"/>
      <c r="P35" s="13" t="n">
        <v>-0.0943381636827425</v>
      </c>
      <c r="Q35" s="14" t="n">
        <v>1.227622598684031</v>
      </c>
      <c r="R35" s="15" t="n">
        <v>9</v>
      </c>
      <c r="S35" s="9" t="n">
        <v>0.08575197889182058</v>
      </c>
      <c r="T35" s="13" t="n">
        <v>1.325668100638769</v>
      </c>
      <c r="U35" s="9" t="n">
        <v>0.1136786629835356</v>
      </c>
      <c r="V35" s="8" t="n">
        <v>12273</v>
      </c>
      <c r="W35" s="9" t="n">
        <v>0.1384347455897036</v>
      </c>
      <c r="X35" s="9" t="n"/>
      <c r="Y35" s="10">
        <f>IFERROR(D35/O35-1,"")</f>
        <v/>
      </c>
      <c r="Z35" s="10">
        <f>IFERROR(E35/O35-1,"")</f>
        <v/>
      </c>
      <c r="AA35" s="10">
        <f>IFERROR(E35/U35-1,"")</f>
        <v/>
      </c>
      <c r="AB35" s="10">
        <f>IFERROR(W35/X35-1,"")</f>
        <v/>
      </c>
    </row>
    <row r="36">
      <c r="A36" s="7" t="inlineStr">
        <is>
          <t>202510</t>
        </is>
      </c>
      <c r="B36" s="8" t="n">
        <v>28391</v>
      </c>
      <c r="C36" s="9" t="n">
        <v>0.1645469133360026</v>
      </c>
      <c r="D36" s="9" t="n">
        <v>0.1583426885091907</v>
      </c>
      <c r="E36" s="9" t="n">
        <v>0.1441181605539621</v>
      </c>
      <c r="F36" s="9" t="n">
        <v>0.006692261632207389</v>
      </c>
      <c r="G36" s="9" t="n">
        <v>0.02824838857384382</v>
      </c>
      <c r="H36" s="9" t="n">
        <v>0.04663449684759255</v>
      </c>
      <c r="I36" s="9" t="n">
        <v>0.06104047057166003</v>
      </c>
      <c r="J36" s="9" t="n">
        <v>0.07312176393927654</v>
      </c>
      <c r="K36" s="9" t="n">
        <v>0.08495650029939066</v>
      </c>
      <c r="L36" s="9" t="n"/>
      <c r="M36" s="9" t="n"/>
      <c r="N36" s="9" t="n"/>
      <c r="O36" s="9" t="n"/>
      <c r="P36" s="13" t="n">
        <v>-0.0971864626399724</v>
      </c>
      <c r="Q36" s="14" t="n">
        <v>1.162560639958521</v>
      </c>
      <c r="R36" s="15" t="n">
        <v>8</v>
      </c>
      <c r="S36" s="9" t="n">
        <v>0.08495650029939066</v>
      </c>
      <c r="T36" s="13" t="n">
        <v>1.50677137353682</v>
      </c>
      <c r="U36" s="9" t="n">
        <v>0.1280100226469941</v>
      </c>
      <c r="V36" s="8" t="n">
        <v>13062</v>
      </c>
      <c r="W36" s="9" t="n">
        <v>0.1430273380354716</v>
      </c>
      <c r="X36" s="9" t="n"/>
      <c r="Y36" s="10">
        <f>IFERROR(D36/O36-1,"")</f>
        <v/>
      </c>
      <c r="Z36" s="10">
        <f>IFERROR(E36/O36-1,"")</f>
        <v/>
      </c>
      <c r="AA36" s="10">
        <f>IFERROR(E36/U36-1,"")</f>
        <v/>
      </c>
      <c r="AB36" s="10">
        <f>IFERROR(W36/X36-1,"")</f>
        <v/>
      </c>
    </row>
    <row r="37">
      <c r="A37" s="7" t="inlineStr">
        <is>
          <t>202511</t>
        </is>
      </c>
      <c r="B37" s="8" t="n">
        <v>28418</v>
      </c>
      <c r="C37" s="9" t="n">
        <v>0.1652884110305646</v>
      </c>
      <c r="D37" s="9" t="n">
        <v>0.1590558927494345</v>
      </c>
      <c r="E37" s="9" t="n">
        <v>0.1446940965553226</v>
      </c>
      <c r="F37" s="9" t="n">
        <v>0.007178548807094095</v>
      </c>
      <c r="G37" s="9" t="n">
        <v>0.03540009852910127</v>
      </c>
      <c r="H37" s="9" t="n">
        <v>0.05464846224224083</v>
      </c>
      <c r="I37" s="9" t="n">
        <v>0.06918150468013232</v>
      </c>
      <c r="J37" s="9" t="n">
        <v>0.08170877612780632</v>
      </c>
      <c r="K37" s="9" t="n"/>
      <c r="L37" s="9" t="n"/>
      <c r="M37" s="9" t="n"/>
      <c r="N37" s="9" t="n"/>
      <c r="O37" s="9" t="n"/>
      <c r="P37" s="13" t="n">
        <v>-0.0951950453295296</v>
      </c>
      <c r="Q37" s="14" t="n">
        <v>1.208049372989306</v>
      </c>
      <c r="R37" s="15" t="n">
        <v>7</v>
      </c>
      <c r="S37" s="9" t="n">
        <v>0.08170877612780632</v>
      </c>
      <c r="T37" s="13" t="n">
        <v>1.77423407076558</v>
      </c>
      <c r="U37" s="9" t="n">
        <v>0.1449704944865113</v>
      </c>
      <c r="V37" s="8" t="n">
        <v>13126</v>
      </c>
      <c r="W37" s="9" t="n">
        <v>0.1441584939065119</v>
      </c>
      <c r="X37" s="9" t="n"/>
      <c r="Y37" s="10">
        <f>IFERROR(D37/O37-1,"")</f>
        <v/>
      </c>
      <c r="Z37" s="10">
        <f>IFERROR(E37/O37-1,"")</f>
        <v/>
      </c>
      <c r="AA37" s="10">
        <f>IFERROR(E37/U37-1,"")</f>
        <v/>
      </c>
      <c r="AB37" s="10">
        <f>IFERROR(W37/X37-1,"")</f>
        <v/>
      </c>
    </row>
    <row r="38">
      <c r="A38" s="7" t="inlineStr">
        <is>
          <t>202512</t>
        </is>
      </c>
      <c r="B38" s="8" t="n">
        <v>28456</v>
      </c>
      <c r="C38" s="9" t="n">
        <v>0.1609716490935809</v>
      </c>
      <c r="D38" s="9" t="n">
        <v>0.1548417411904113</v>
      </c>
      <c r="E38" s="9" t="n">
        <v>0.1405464945747171</v>
      </c>
      <c r="F38" s="9" t="n">
        <v>0.007344672476806298</v>
      </c>
      <c r="G38" s="9" t="n">
        <v>0.03071408490300815</v>
      </c>
      <c r="H38" s="9" t="n">
        <v>0.04842563958391903</v>
      </c>
      <c r="I38" s="9" t="n">
        <v>0.06202558335676132</v>
      </c>
      <c r="J38" s="9" t="n"/>
      <c r="K38" s="9" t="n"/>
      <c r="L38" s="9" t="n"/>
      <c r="M38" s="9" t="n"/>
      <c r="N38" s="9" t="n"/>
      <c r="O38" s="9" t="n"/>
      <c r="P38" s="13" t="n">
        <v>-0.0907389631868307</v>
      </c>
      <c r="Q38" s="14" t="n">
        <v>1.309836944027043</v>
      </c>
      <c r="R38" s="15" t="n">
        <v>6</v>
      </c>
      <c r="S38" s="9" t="n">
        <v>0.06202558335676132</v>
      </c>
      <c r="T38" s="13" t="n">
        <v>2.195802383831404</v>
      </c>
      <c r="U38" s="9" t="n">
        <v>0.13619592379331</v>
      </c>
      <c r="V38" s="8" t="n">
        <v>13086</v>
      </c>
      <c r="W38" s="9" t="n">
        <v>0.140091013079657</v>
      </c>
      <c r="X38" s="9" t="n"/>
      <c r="Y38" s="10">
        <f>IFERROR(D38/O38-1,"")</f>
        <v/>
      </c>
      <c r="Z38" s="10">
        <f>IFERROR(E38/O38-1,"")</f>
        <v/>
      </c>
      <c r="AA38" s="10">
        <f>IFERROR(E38/U38-1,"")</f>
        <v/>
      </c>
      <c r="AB38" s="10">
        <f>IFERROR(W38/X38-1,"")</f>
        <v/>
      </c>
    </row>
    <row r="39">
      <c r="A39" s="7" t="inlineStr">
        <is>
          <t>202601</t>
        </is>
      </c>
      <c r="B39" s="8" t="n">
        <v>30471</v>
      </c>
      <c r="C39" s="9" t="n">
        <v>0.1548706565161324</v>
      </c>
      <c r="D39" s="9" t="n">
        <v>0.1489021097958185</v>
      </c>
      <c r="E39" s="9" t="n">
        <v>0.1343326096689979</v>
      </c>
      <c r="F39" s="9" t="n">
        <v>0.006071346526205244</v>
      </c>
      <c r="G39" s="9" t="n">
        <v>0.02819073873519084</v>
      </c>
      <c r="H39" s="9" t="n">
        <v>0.04482951002592629</v>
      </c>
      <c r="I39" s="9" t="n"/>
      <c r="J39" s="9" t="n"/>
      <c r="K39" s="9" t="n"/>
      <c r="L39" s="9" t="n"/>
      <c r="M39" s="9" t="n"/>
      <c r="N39" s="9" t="n"/>
      <c r="O39" s="9" t="n"/>
      <c r="P39" s="13" t="n">
        <v>-0.0827512368458839</v>
      </c>
      <c r="Q39" s="14" t="n">
        <v>1.492295713035885</v>
      </c>
      <c r="R39" s="15" t="n">
        <v>5</v>
      </c>
      <c r="S39" s="9" t="n">
        <v>0.04482951002592629</v>
      </c>
      <c r="T39" s="13" t="n">
        <v>2.959776471273066</v>
      </c>
      <c r="U39" s="9" t="n">
        <v>0.1326853289934367</v>
      </c>
      <c r="V39" s="8" t="n">
        <v>14237</v>
      </c>
      <c r="W39" s="9" t="n">
        <v>0.1304325988845755</v>
      </c>
      <c r="X39" s="9" t="n"/>
      <c r="Y39" s="10">
        <f>IFERROR(D39/O39-1,"")</f>
        <v/>
      </c>
      <c r="Z39" s="10">
        <f>IFERROR(E39/O39-1,"")</f>
        <v/>
      </c>
      <c r="AA39" s="10">
        <f>IFERROR(E39/U39-1,"")</f>
        <v/>
      </c>
      <c r="AB39" s="10">
        <f>IFERROR(W39/X39-1,"")</f>
        <v/>
      </c>
    </row>
    <row r="40">
      <c r="A40" s="7" t="inlineStr">
        <is>
          <t>202602</t>
        </is>
      </c>
      <c r="B40" s="8" t="n">
        <v>28574</v>
      </c>
      <c r="C40" s="9" t="n">
        <v>0.1582014497426631</v>
      </c>
      <c r="D40" s="9" t="n">
        <v>0.1521364582846645</v>
      </c>
      <c r="E40" s="9" t="n">
        <v>0.1469473839393374</v>
      </c>
      <c r="F40" s="9" t="n">
        <v>0.009204171624553789</v>
      </c>
      <c r="G40" s="9" t="n">
        <v>0.03142717155456009</v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13" t="n">
        <v>-0.0370388932419964</v>
      </c>
      <c r="Q40" s="14" t="n">
        <v>2.53647494332808</v>
      </c>
      <c r="R40" s="15" t="n">
        <v>4</v>
      </c>
      <c r="S40" s="9" t="n">
        <v>0.03142717155456009</v>
      </c>
      <c r="T40" s="13" t="n">
        <v>4.964460066393283</v>
      </c>
      <c r="U40" s="9" t="n">
        <v>0.1560189381823045</v>
      </c>
      <c r="V40" s="8" t="n">
        <v>13291</v>
      </c>
      <c r="W40" s="9" t="n">
        <v>0.1438047615118695</v>
      </c>
      <c r="X40" s="9" t="n"/>
      <c r="Y40" s="10">
        <f>IFERROR(D40/O40-1,"")</f>
        <v/>
      </c>
      <c r="Z40" s="10">
        <f>IFERROR(E40/O40-1,"")</f>
        <v/>
      </c>
      <c r="AA40" s="10">
        <f>IFERROR(E40/U40-1,"")</f>
        <v/>
      </c>
      <c r="AB40" s="10">
        <f>IFERROR(W40/X40-1,"")</f>
        <v/>
      </c>
    </row>
    <row r="41">
      <c r="A41" s="7" t="inlineStr">
        <is>
          <t>202603</t>
        </is>
      </c>
      <c r="B41" s="8" t="n">
        <v>31395</v>
      </c>
      <c r="C41" s="9" t="n">
        <v>0.1564495604822264</v>
      </c>
      <c r="D41" s="9" t="n">
        <v>0.150458515523858</v>
      </c>
      <c r="E41" s="9" t="n">
        <v>0.1559758940075507</v>
      </c>
      <c r="F41" s="9" t="n">
        <v>0.007134894091415831</v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3" t="n">
        <v>0.014389803325765</v>
      </c>
      <c r="Q41" s="14" t="n">
        <v>3.711229343636036</v>
      </c>
      <c r="R41" s="15" t="n">
        <v>3</v>
      </c>
      <c r="S41" s="9" t="n">
        <v>0.007134894091415831</v>
      </c>
      <c r="T41" s="13" t="n">
        <v>19.63924295094631</v>
      </c>
      <c r="U41" s="9" t="n">
        <v>0.1401239184905868</v>
      </c>
      <c r="V41" s="8" t="n">
        <v>14873</v>
      </c>
      <c r="W41" s="9" t="n">
        <v>0.1531820950081737</v>
      </c>
      <c r="X41" s="9" t="n"/>
      <c r="Y41" s="10">
        <f>IFERROR(D41/O41-1,"")</f>
        <v/>
      </c>
      <c r="Z41" s="10">
        <f>IFERROR(E41/O41-1,"")</f>
        <v/>
      </c>
      <c r="AA41" s="10">
        <f>IFERROR(E41/U41-1,"")</f>
        <v/>
      </c>
      <c r="AB41" s="10">
        <f>IFERROR(W41/X41-1,"")</f>
        <v/>
      </c>
    </row>
    <row r="42">
      <c r="A42" s="7" t="inlineStr">
        <is>
          <t>202604</t>
        </is>
      </c>
      <c r="B42" s="8" t="n">
        <v>28736</v>
      </c>
      <c r="C42" s="9" t="n">
        <v>0.1542375103099544</v>
      </c>
      <c r="D42" s="9" t="n">
        <v>0.1462031928228654</v>
      </c>
      <c r="E42" s="9" t="n">
        <v>0.1556385265325337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3" t="n">
        <v>0.0241851909297492</v>
      </c>
      <c r="Q42" s="14" t="n">
        <v>3.934979418175466</v>
      </c>
      <c r="R42" s="15" t="n"/>
      <c r="S42" s="9" t="n"/>
      <c r="T42" s="13" t="n"/>
      <c r="U42" s="9" t="n"/>
      <c r="V42" s="8" t="n">
        <v>13688</v>
      </c>
      <c r="W42" s="9" t="n">
        <v>0.1503998091498077</v>
      </c>
      <c r="X42" s="9" t="n"/>
      <c r="Y42" s="10">
        <f>IFERROR(D42/O42-1,"")</f>
        <v/>
      </c>
      <c r="Z42" s="10">
        <f>IFERROR(E42/O42-1,"")</f>
        <v/>
      </c>
      <c r="AA42" s="10">
        <f>IFERROR(E42/U42-1,"")</f>
        <v/>
      </c>
      <c r="AB42" s="10">
        <f>IFERROR(W42/X42-1,"")</f>
        <v/>
      </c>
    </row>
    <row r="43">
      <c r="A43" s="7" t="inlineStr">
        <is>
          <t>202605</t>
        </is>
      </c>
      <c r="B43" s="8" t="n">
        <v>30843</v>
      </c>
      <c r="C43" s="9" t="n">
        <v>0.1537646717089258</v>
      </c>
      <c r="D43" s="9" t="n">
        <v>0.1456686615698962</v>
      </c>
      <c r="E43" s="9" t="n">
        <v>0.1540494970601763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3" t="n">
        <v>0.0192471239254993</v>
      </c>
      <c r="Q43" s="14" t="n">
        <v>3.822182160430176</v>
      </c>
      <c r="R43" s="15" t="n"/>
      <c r="S43" s="9" t="n"/>
      <c r="T43" s="13" t="n"/>
      <c r="U43" s="9" t="n"/>
      <c r="V43" s="8" t="n">
        <v>14771</v>
      </c>
      <c r="W43" s="9" t="n">
        <v>0.1496233171891185</v>
      </c>
      <c r="X43" s="9" t="n"/>
      <c r="Y43" s="10">
        <f>IFERROR(D43/O43-1,"")</f>
        <v/>
      </c>
      <c r="Z43" s="10">
        <f>IFERROR(E43/O43-1,"")</f>
        <v/>
      </c>
      <c r="AA43" s="10">
        <f>IFERROR(E43/U43-1,"")</f>
        <v/>
      </c>
      <c r="AB43" s="10">
        <f>IFERROR(W43/X43-1,"")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</cols>
  <sheetData>
    <row r="1">
      <c r="A1" s="1" t="inlineStr">
        <is>
          <t>ENT 00001 BCP</t>
        </is>
      </c>
    </row>
    <row r="2">
      <c r="A2" s="2" t="inlineStr">
        <is>
          <t>Entidad 00001 (BCP), poblacion clean</t>
        </is>
      </c>
    </row>
    <row r="4" ht="30" customHeight="1">
      <c r="A4" s="6" t="inlineStr">
        <is>
          <t>codmes</t>
        </is>
      </c>
      <c r="B4" s="6" t="inlineStr">
        <is>
          <t>n</t>
        </is>
      </c>
      <c r="C4" s="6" t="inlineStr">
        <is>
          <t>PD sin calibrar</t>
        </is>
      </c>
      <c r="D4" s="6" t="inlineStr">
        <is>
          <t>PD cal vigente</t>
        </is>
      </c>
      <c r="E4" s="6" t="inlineStr">
        <is>
          <t>PD cal NUEVA</t>
        </is>
      </c>
      <c r="F4" s="6" t="inlineStr">
        <is>
          <t>mora 3m</t>
        </is>
      </c>
      <c r="G4" s="6" t="inlineStr">
        <is>
          <t>mora 4m</t>
        </is>
      </c>
      <c r="H4" s="6" t="inlineStr">
        <is>
          <t>mora 5m</t>
        </is>
      </c>
      <c r="I4" s="6" t="inlineStr">
        <is>
          <t>mora 6m</t>
        </is>
      </c>
      <c r="J4" s="6" t="inlineStr">
        <is>
          <t>mora 7m</t>
        </is>
      </c>
      <c r="K4" s="6" t="inlineStr">
        <is>
          <t>mora 8m</t>
        </is>
      </c>
      <c r="L4" s="6" t="inlineStr">
        <is>
          <t>mora 9m</t>
        </is>
      </c>
      <c r="M4" s="6" t="inlineStr">
        <is>
          <t>mora 10m</t>
        </is>
      </c>
      <c r="N4" s="6" t="inlineStr">
        <is>
          <t>mora 11m</t>
        </is>
      </c>
      <c r="O4" s="6" t="inlineStr">
        <is>
          <t>mora 12m</t>
        </is>
      </c>
      <c r="P4" s="6" t="inlineStr">
        <is>
          <t>ft ciclo</t>
        </is>
      </c>
      <c r="Q4" s="6" t="inlineStr">
        <is>
          <t>inflacion %</t>
        </is>
      </c>
      <c r="R4" s="6" t="inlineStr">
        <is>
          <t>madurez</t>
        </is>
      </c>
      <c r="S4" s="6" t="inlineStr">
        <is>
          <t>mora base</t>
        </is>
      </c>
      <c r="T4" s="6" t="inlineStr">
        <is>
          <t>factor h-&gt;12</t>
        </is>
      </c>
      <c r="U4" s="6" t="inlineStr">
        <is>
          <t>proy mediana</t>
        </is>
      </c>
      <c r="V4" s="6" t="inlineStr">
        <is>
          <t>n visible IBK</t>
        </is>
      </c>
      <c r="W4" s="6" t="inlineStr">
        <is>
          <t>PD cal NUEVA visible</t>
        </is>
      </c>
      <c r="X4" s="6" t="inlineStr">
        <is>
          <t>mora 12m visible</t>
        </is>
      </c>
      <c r="Y4" s="6" t="inlineStr">
        <is>
          <t>EC vigente</t>
        </is>
      </c>
      <c r="Z4" s="6" t="inlineStr">
        <is>
          <t>EC NUEVA</t>
        </is>
      </c>
      <c r="AA4" s="6" t="inlineStr">
        <is>
          <t>EC NUEVA vs proy</t>
        </is>
      </c>
      <c r="AB4" s="6" t="inlineStr">
        <is>
          <t>EC NUEVA visible</t>
        </is>
      </c>
    </row>
    <row r="5">
      <c r="A5" s="7" t="inlineStr">
        <is>
          <t>202303</t>
        </is>
      </c>
      <c r="B5" s="8" t="n">
        <v>7887</v>
      </c>
      <c r="C5" s="9" t="n">
        <v>0.1303289913759769</v>
      </c>
      <c r="D5" s="9" t="n">
        <v>0.1647831307910926</v>
      </c>
      <c r="E5" s="9" t="n">
        <v>0.1482142134427212</v>
      </c>
      <c r="F5" s="9" t="n">
        <v>0.002662609357170026</v>
      </c>
      <c r="G5" s="9" t="n">
        <v>0.0103968555851401</v>
      </c>
      <c r="H5" s="9" t="n">
        <v>0.01787751996957018</v>
      </c>
      <c r="I5" s="9" t="n">
        <v>0.02409027513630024</v>
      </c>
      <c r="J5" s="9" t="n">
        <v>0.03182452136427032</v>
      </c>
      <c r="K5" s="9" t="n">
        <v>0.04057309496640041</v>
      </c>
      <c r="L5" s="9" t="n">
        <v>0.04830734119437048</v>
      </c>
      <c r="M5" s="9" t="n">
        <v>0.05401293267402054</v>
      </c>
      <c r="N5" s="9" t="n">
        <v>0.0603524787625206</v>
      </c>
      <c r="O5" s="9" t="n">
        <v>0.06669202485102067</v>
      </c>
      <c r="P5" s="13" t="n">
        <v>0.2313077929548288</v>
      </c>
      <c r="Q5" s="14" t="n">
        <v>8.666154897445178</v>
      </c>
      <c r="R5" s="15" t="n">
        <v>12</v>
      </c>
      <c r="S5" s="9" t="n">
        <v>0.06669202485102067</v>
      </c>
      <c r="T5" s="13" t="n">
        <v>1</v>
      </c>
      <c r="U5" s="9" t="n">
        <v>0.06669202485102067</v>
      </c>
      <c r="V5" s="8" t="n">
        <v>2889</v>
      </c>
      <c r="W5" s="9" t="n">
        <v>0.1456601729156949</v>
      </c>
      <c r="X5" s="9" t="n">
        <v>0.07372793354101766</v>
      </c>
      <c r="Y5" s="10">
        <f>IFERROR(D5/O5-1,"")</f>
        <v/>
      </c>
      <c r="Z5" s="10">
        <f>IFERROR(E5/O5-1,"")</f>
        <v/>
      </c>
      <c r="AA5" s="10">
        <f>IFERROR(E5/U5-1,"")</f>
        <v/>
      </c>
      <c r="AB5" s="10">
        <f>IFERROR(W5/X5-1,"")</f>
        <v/>
      </c>
    </row>
    <row r="6">
      <c r="A6" s="7" t="inlineStr">
        <is>
          <t>202304</t>
        </is>
      </c>
      <c r="B6" s="8" t="n">
        <v>8121</v>
      </c>
      <c r="C6" s="9" t="n">
        <v>0.1337083313746472</v>
      </c>
      <c r="D6" s="9" t="n">
        <v>0.168761002563152</v>
      </c>
      <c r="E6" s="9" t="n">
        <v>0.1520801098576061</v>
      </c>
      <c r="F6" s="9" t="n">
        <v>0.001231375446373599</v>
      </c>
      <c r="G6" s="9" t="n">
        <v>0.006526289865780076</v>
      </c>
      <c r="H6" s="9" t="n">
        <v>0.01366826745474695</v>
      </c>
      <c r="I6" s="9" t="n">
        <v>0.02154907031153799</v>
      </c>
      <c r="J6" s="9" t="n">
        <v>0.03066124861470262</v>
      </c>
      <c r="K6" s="9" t="n">
        <v>0.0371875384804827</v>
      </c>
      <c r="L6" s="9" t="n">
        <v>0.04605344169437262</v>
      </c>
      <c r="M6" s="9" t="n">
        <v>0.05171776874769117</v>
      </c>
      <c r="N6" s="9" t="n">
        <v>0.05824405861347125</v>
      </c>
      <c r="O6" s="9" t="n">
        <v>0.06550917374707549</v>
      </c>
      <c r="P6" s="13" t="n">
        <v>0.2039883111878369</v>
      </c>
      <c r="Q6" s="14" t="n">
        <v>8.042112610516504</v>
      </c>
      <c r="R6" s="15" t="n">
        <v>12</v>
      </c>
      <c r="S6" s="9" t="n">
        <v>0.06550917374707549</v>
      </c>
      <c r="T6" s="13" t="n">
        <v>1</v>
      </c>
      <c r="U6" s="9" t="n">
        <v>0.06550917374707549</v>
      </c>
      <c r="V6" s="8" t="n">
        <v>3040</v>
      </c>
      <c r="W6" s="9" t="n">
        <v>0.1507932677252753</v>
      </c>
      <c r="X6" s="9" t="n">
        <v>0.0694078947368421</v>
      </c>
      <c r="Y6" s="10">
        <f>IFERROR(D6/O6-1,"")</f>
        <v/>
      </c>
      <c r="Z6" s="10">
        <f>IFERROR(E6/O6-1,"")</f>
        <v/>
      </c>
      <c r="AA6" s="10">
        <f>IFERROR(E6/U6-1,"")</f>
        <v/>
      </c>
      <c r="AB6" s="10">
        <f>IFERROR(W6/X6-1,"")</f>
        <v/>
      </c>
    </row>
    <row r="7">
      <c r="A7" s="7" t="inlineStr">
        <is>
          <t>202305</t>
        </is>
      </c>
      <c r="B7" s="8" t="n">
        <v>5178</v>
      </c>
      <c r="C7" s="9" t="n">
        <v>0.1265220223629596</v>
      </c>
      <c r="D7" s="9" t="n">
        <v>0.1601054643738731</v>
      </c>
      <c r="E7" s="9" t="n">
        <v>0.1434557997039363</v>
      </c>
      <c r="F7" s="9" t="n">
        <v>0.001351873310158362</v>
      </c>
      <c r="G7" s="9" t="n">
        <v>0.005407493240633449</v>
      </c>
      <c r="H7" s="9" t="n">
        <v>0.01023561220548474</v>
      </c>
      <c r="I7" s="9" t="n">
        <v>0.01506373117033604</v>
      </c>
      <c r="J7" s="9" t="n">
        <v>0.01873310158362302</v>
      </c>
      <c r="K7" s="9" t="n">
        <v>0.02414059482425647</v>
      </c>
      <c r="L7" s="9" t="n">
        <v>0.02838933951332561</v>
      </c>
      <c r="M7" s="9" t="n">
        <v>0.03418308227114716</v>
      </c>
      <c r="N7" s="9" t="n">
        <v>0.04036307454615682</v>
      </c>
      <c r="O7" s="9" t="n">
        <v>0.04499806875241406</v>
      </c>
      <c r="P7" s="13" t="n">
        <v>0.2015420225900039</v>
      </c>
      <c r="Q7" s="14" t="n">
        <v>7.986233529643028</v>
      </c>
      <c r="R7" s="15" t="n">
        <v>12</v>
      </c>
      <c r="S7" s="9" t="n">
        <v>0.04499806875241406</v>
      </c>
      <c r="T7" s="13" t="n">
        <v>1</v>
      </c>
      <c r="U7" s="9" t="n">
        <v>0.04499806875241406</v>
      </c>
      <c r="V7" s="8" t="n">
        <v>1800</v>
      </c>
      <c r="W7" s="9" t="n">
        <v>0.1413586062466751</v>
      </c>
      <c r="X7" s="9" t="n">
        <v>0.045</v>
      </c>
      <c r="Y7" s="10">
        <f>IFERROR(D7/O7-1,"")</f>
        <v/>
      </c>
      <c r="Z7" s="10">
        <f>IFERROR(E7/O7-1,"")</f>
        <v/>
      </c>
      <c r="AA7" s="10">
        <f>IFERROR(E7/U7-1,"")</f>
        <v/>
      </c>
      <c r="AB7" s="10">
        <f>IFERROR(W7/X7-1,"")</f>
        <v/>
      </c>
    </row>
    <row r="8">
      <c r="A8" s="7" t="inlineStr">
        <is>
          <t>202306</t>
        </is>
      </c>
      <c r="B8" s="8" t="n">
        <v>4444</v>
      </c>
      <c r="C8" s="9" t="n">
        <v>0.1243598660255902</v>
      </c>
      <c r="D8" s="9" t="n">
        <v>0.1574975375662802</v>
      </c>
      <c r="E8" s="9" t="n">
        <v>0.1404453520941455</v>
      </c>
      <c r="F8" s="9" t="n">
        <v>0.0006750675067506751</v>
      </c>
      <c r="G8" s="9" t="n">
        <v>0.003825382538253825</v>
      </c>
      <c r="H8" s="9" t="n">
        <v>0.009450945094509451</v>
      </c>
      <c r="I8" s="9" t="n">
        <v>0.01395139513951395</v>
      </c>
      <c r="J8" s="9" t="n">
        <v>0.0189018901890189</v>
      </c>
      <c r="K8" s="9" t="n">
        <v>0.02385238523852385</v>
      </c>
      <c r="L8" s="9" t="n">
        <v>0.0279027902790279</v>
      </c>
      <c r="M8" s="9" t="n">
        <v>0.03262826282628263</v>
      </c>
      <c r="N8" s="9" t="n">
        <v>0.03667866786678668</v>
      </c>
      <c r="O8" s="9" t="n">
        <v>0.0405040504050405</v>
      </c>
      <c r="P8" s="13" t="n">
        <v>0.145631156252523</v>
      </c>
      <c r="Q8" s="14" t="n">
        <v>6.709095654518293</v>
      </c>
      <c r="R8" s="15" t="n">
        <v>12</v>
      </c>
      <c r="S8" s="9" t="n">
        <v>0.0405040504050405</v>
      </c>
      <c r="T8" s="13" t="n">
        <v>1</v>
      </c>
      <c r="U8" s="9" t="n">
        <v>0.0405040504050405</v>
      </c>
      <c r="V8" s="8" t="n">
        <v>1503</v>
      </c>
      <c r="W8" s="9" t="n">
        <v>0.1380277011270184</v>
      </c>
      <c r="X8" s="9" t="n">
        <v>0.04790419161676647</v>
      </c>
      <c r="Y8" s="10">
        <f>IFERROR(D8/O8-1,"")</f>
        <v/>
      </c>
      <c r="Z8" s="10">
        <f>IFERROR(E8/O8-1,"")</f>
        <v/>
      </c>
      <c r="AA8" s="10">
        <f>IFERROR(E8/U8-1,"")</f>
        <v/>
      </c>
      <c r="AB8" s="10">
        <f>IFERROR(W8/X8-1,"")</f>
        <v/>
      </c>
    </row>
    <row r="9">
      <c r="A9" s="7" t="inlineStr">
        <is>
          <t>202307</t>
        </is>
      </c>
      <c r="B9" s="8" t="n">
        <v>4420</v>
      </c>
      <c r="C9" s="9" t="n">
        <v>0.1220474018051597</v>
      </c>
      <c r="D9" s="9" t="n">
        <v>0.1244707638203963</v>
      </c>
      <c r="E9" s="9" t="n">
        <v>0.1355928485890392</v>
      </c>
      <c r="F9" s="9" t="n">
        <v>0</v>
      </c>
      <c r="G9" s="9" t="n">
        <v>0.003167420814479638</v>
      </c>
      <c r="H9" s="9" t="n">
        <v>0.005656108597285068</v>
      </c>
      <c r="I9" s="9" t="n">
        <v>0.009728506787330317</v>
      </c>
      <c r="J9" s="9" t="n">
        <v>0.01334841628959276</v>
      </c>
      <c r="K9" s="9" t="n">
        <v>0.01719457013574661</v>
      </c>
      <c r="L9" s="9" t="n">
        <v>0.02239819004524887</v>
      </c>
      <c r="M9" s="9" t="n">
        <v>0.02669683257918552</v>
      </c>
      <c r="N9" s="9" t="n">
        <v>0.03122171945701357</v>
      </c>
      <c r="O9" s="9" t="n">
        <v>0.03778280542986425</v>
      </c>
      <c r="P9" s="13" t="n">
        <v>0.1154476643960626</v>
      </c>
      <c r="Q9" s="14" t="n">
        <v>6.019632529037033</v>
      </c>
      <c r="R9" s="15" t="n">
        <v>12</v>
      </c>
      <c r="S9" s="9" t="n">
        <v>0.03778280542986425</v>
      </c>
      <c r="T9" s="13" t="n">
        <v>1</v>
      </c>
      <c r="U9" s="9" t="n">
        <v>0.03778280542986425</v>
      </c>
      <c r="V9" s="8" t="n">
        <v>1615</v>
      </c>
      <c r="W9" s="9" t="n">
        <v>0.136598278879671</v>
      </c>
      <c r="X9" s="9" t="n">
        <v>0.04891640866873065</v>
      </c>
      <c r="Y9" s="10">
        <f>IFERROR(D9/O9-1,"")</f>
        <v/>
      </c>
      <c r="Z9" s="10">
        <f>IFERROR(E9/O9-1,"")</f>
        <v/>
      </c>
      <c r="AA9" s="10">
        <f>IFERROR(E9/U9-1,"")</f>
        <v/>
      </c>
      <c r="AB9" s="10">
        <f>IFERROR(W9/X9-1,"")</f>
        <v/>
      </c>
    </row>
    <row r="10">
      <c r="A10" s="7" t="inlineStr">
        <is>
          <t>202308</t>
        </is>
      </c>
      <c r="B10" s="8" t="n">
        <v>5542</v>
      </c>
      <c r="C10" s="9" t="n">
        <v>0.1288690927476417</v>
      </c>
      <c r="D10" s="9" t="n">
        <v>0.1313883459050301</v>
      </c>
      <c r="E10" s="9" t="n">
        <v>0.144086120071029</v>
      </c>
      <c r="F10" s="9" t="n">
        <v>0.001443522194153735</v>
      </c>
      <c r="G10" s="9" t="n">
        <v>0.005232767953807289</v>
      </c>
      <c r="H10" s="9" t="n">
        <v>0.009202453987730062</v>
      </c>
      <c r="I10" s="9" t="n">
        <v>0.01299169974738362</v>
      </c>
      <c r="J10" s="9" t="n">
        <v>0.01750270660411404</v>
      </c>
      <c r="K10" s="9" t="n">
        <v>0.02309635510645976</v>
      </c>
      <c r="L10" s="9" t="n">
        <v>0.02706604114038253</v>
      </c>
      <c r="M10" s="9" t="n">
        <v>0.03265968964272826</v>
      </c>
      <c r="N10" s="9" t="n">
        <v>0.03879465896788163</v>
      </c>
      <c r="O10" s="9" t="n">
        <v>0.0416817033561891</v>
      </c>
      <c r="P10" s="13" t="n">
        <v>0.1052420450312428</v>
      </c>
      <c r="Q10" s="14" t="n">
        <v>5.786511780178594</v>
      </c>
      <c r="R10" s="15" t="n">
        <v>12</v>
      </c>
      <c r="S10" s="9" t="n">
        <v>0.0416817033561891</v>
      </c>
      <c r="T10" s="13" t="n">
        <v>1</v>
      </c>
      <c r="U10" s="9" t="n">
        <v>0.0416817033561891</v>
      </c>
      <c r="V10" s="8" t="n">
        <v>1961</v>
      </c>
      <c r="W10" s="9" t="n">
        <v>0.1421238271160297</v>
      </c>
      <c r="X10" s="9" t="n">
        <v>0.05201427842937277</v>
      </c>
      <c r="Y10" s="10">
        <f>IFERROR(D10/O10-1,"")</f>
        <v/>
      </c>
      <c r="Z10" s="10">
        <f>IFERROR(E10/O10-1,"")</f>
        <v/>
      </c>
      <c r="AA10" s="10">
        <f>IFERROR(E10/U10-1,"")</f>
        <v/>
      </c>
      <c r="AB10" s="10">
        <f>IFERROR(W10/X10-1,"")</f>
        <v/>
      </c>
    </row>
    <row r="11">
      <c r="A11" s="7" t="inlineStr">
        <is>
          <t>202309</t>
        </is>
      </c>
      <c r="B11" s="8" t="n">
        <v>4627</v>
      </c>
      <c r="C11" s="9" t="n">
        <v>0.1224485680314801</v>
      </c>
      <c r="D11" s="9" t="n">
        <v>0.1176973107058144</v>
      </c>
      <c r="E11" s="9" t="n">
        <v>0.132861648083732</v>
      </c>
      <c r="F11" s="9" t="n">
        <v>0.0008644910309055544</v>
      </c>
      <c r="G11" s="9" t="n">
        <v>0.004970823427706938</v>
      </c>
      <c r="H11" s="9" t="n">
        <v>0.009941646855413875</v>
      </c>
      <c r="I11" s="9" t="n">
        <v>0.01383185649448887</v>
      </c>
      <c r="J11" s="9" t="n">
        <v>0.01642532958720553</v>
      </c>
      <c r="K11" s="9" t="n">
        <v>0.02139615301491247</v>
      </c>
      <c r="L11" s="9" t="n">
        <v>0.0265830992003458</v>
      </c>
      <c r="M11" s="9" t="n">
        <v>0.03068943159714718</v>
      </c>
      <c r="N11" s="9" t="n">
        <v>0.03285065917441107</v>
      </c>
      <c r="O11" s="9" t="n">
        <v>0.03717311432893883</v>
      </c>
      <c r="P11" s="13" t="n">
        <v>0.0826428782528265</v>
      </c>
      <c r="Q11" s="14" t="n">
        <v>5.270292774292296</v>
      </c>
      <c r="R11" s="15" t="n">
        <v>12</v>
      </c>
      <c r="S11" s="9" t="n">
        <v>0.03717311432893883</v>
      </c>
      <c r="T11" s="13" t="n">
        <v>1</v>
      </c>
      <c r="U11" s="9" t="n">
        <v>0.03717311432893883</v>
      </c>
      <c r="V11" s="8" t="n">
        <v>1657</v>
      </c>
      <c r="W11" s="9" t="n">
        <v>0.1274028211226823</v>
      </c>
      <c r="X11" s="9" t="n">
        <v>0.04224502112251056</v>
      </c>
      <c r="Y11" s="10">
        <f>IFERROR(D11/O11-1,"")</f>
        <v/>
      </c>
      <c r="Z11" s="10">
        <f>IFERROR(E11/O11-1,"")</f>
        <v/>
      </c>
      <c r="AA11" s="10">
        <f>IFERROR(E11/U11-1,"")</f>
        <v/>
      </c>
      <c r="AB11" s="10">
        <f>IFERROR(W11/X11-1,"")</f>
        <v/>
      </c>
    </row>
    <row r="12">
      <c r="A12" s="7" t="inlineStr">
        <is>
          <t>202310</t>
        </is>
      </c>
      <c r="B12" s="8" t="n">
        <v>5030</v>
      </c>
      <c r="C12" s="9" t="n">
        <v>0.1204801747979037</v>
      </c>
      <c r="D12" s="9" t="n">
        <v>0.122354198654347</v>
      </c>
      <c r="E12" s="9" t="n">
        <v>0.1240032120415133</v>
      </c>
      <c r="F12" s="9" t="n">
        <v>0.0009940357852882703</v>
      </c>
      <c r="G12" s="9" t="n">
        <v>0.004970178926441352</v>
      </c>
      <c r="H12" s="9" t="n">
        <v>0.009145129224652087</v>
      </c>
      <c r="I12" s="9" t="n">
        <v>0.01292246520874752</v>
      </c>
      <c r="J12" s="9" t="n">
        <v>0.01630218687872764</v>
      </c>
      <c r="K12" s="9" t="n">
        <v>0.01928429423459245</v>
      </c>
      <c r="L12" s="9" t="n">
        <v>0.02365805168986083</v>
      </c>
      <c r="M12" s="9" t="n">
        <v>0.02803180914512923</v>
      </c>
      <c r="N12" s="9" t="n">
        <v>0.03240556660039762</v>
      </c>
      <c r="O12" s="9" t="n">
        <v>0.03618290258449304</v>
      </c>
      <c r="P12" s="13" t="n">
        <v>0.0496812016861095</v>
      </c>
      <c r="Q12" s="14" t="n">
        <v>4.517369267135951</v>
      </c>
      <c r="R12" s="15" t="n">
        <v>12</v>
      </c>
      <c r="S12" s="9" t="n">
        <v>0.03618290258449304</v>
      </c>
      <c r="T12" s="13" t="n">
        <v>1</v>
      </c>
      <c r="U12" s="9" t="n">
        <v>0.03618290258449304</v>
      </c>
      <c r="V12" s="8" t="n">
        <v>1823</v>
      </c>
      <c r="W12" s="9" t="n">
        <v>0.1157829000485875</v>
      </c>
      <c r="X12" s="9" t="n">
        <v>0.04991771804717499</v>
      </c>
      <c r="Y12" s="10">
        <f>IFERROR(D12/O12-1,"")</f>
        <v/>
      </c>
      <c r="Z12" s="10">
        <f>IFERROR(E12/O12-1,"")</f>
        <v/>
      </c>
      <c r="AA12" s="10">
        <f>IFERROR(E12/U12-1,"")</f>
        <v/>
      </c>
      <c r="AB12" s="10">
        <f>IFERROR(W12/X12-1,"")</f>
        <v/>
      </c>
    </row>
    <row r="13">
      <c r="A13" s="7" t="inlineStr">
        <is>
          <t>202311</t>
        </is>
      </c>
      <c r="B13" s="8" t="n">
        <v>5634</v>
      </c>
      <c r="C13" s="9" t="n">
        <v>0.1205850253453598</v>
      </c>
      <c r="D13" s="9" t="n">
        <v>0.1227728550520388</v>
      </c>
      <c r="E13" s="9" t="n">
        <v>0.1184391015325355</v>
      </c>
      <c r="F13" s="9" t="n">
        <v>0.001774937877174299</v>
      </c>
      <c r="G13" s="9" t="n">
        <v>0.003549875754348598</v>
      </c>
      <c r="H13" s="9" t="n">
        <v>0.009052183173588925</v>
      </c>
      <c r="I13" s="9" t="n">
        <v>0.01348952786652467</v>
      </c>
      <c r="J13" s="9" t="n">
        <v>0.01686190983315584</v>
      </c>
      <c r="K13" s="9" t="n">
        <v>0.0207667731629393</v>
      </c>
      <c r="L13" s="9" t="n">
        <v>0.02431664891728789</v>
      </c>
      <c r="M13" s="9" t="n">
        <v>0.02875399361022364</v>
      </c>
      <c r="N13" s="9" t="n">
        <v>0.03283635072772453</v>
      </c>
      <c r="O13" s="9" t="n">
        <v>0.03674121405750799</v>
      </c>
      <c r="P13" s="13" t="n">
        <v>0.0176922115343233</v>
      </c>
      <c r="Q13" s="14" t="n">
        <v>3.786664243478488</v>
      </c>
      <c r="R13" s="15" t="n">
        <v>12</v>
      </c>
      <c r="S13" s="9" t="n">
        <v>0.03674121405750799</v>
      </c>
      <c r="T13" s="13" t="n">
        <v>1</v>
      </c>
      <c r="U13" s="9" t="n">
        <v>0.03674121405750799</v>
      </c>
      <c r="V13" s="8" t="n">
        <v>2046</v>
      </c>
      <c r="W13" s="9" t="n">
        <v>0.1141569671897332</v>
      </c>
      <c r="X13" s="9" t="n">
        <v>0.04545454545454546</v>
      </c>
      <c r="Y13" s="10">
        <f>IFERROR(D13/O13-1,"")</f>
        <v/>
      </c>
      <c r="Z13" s="10">
        <f>IFERROR(E13/O13-1,"")</f>
        <v/>
      </c>
      <c r="AA13" s="10">
        <f>IFERROR(E13/U13-1,"")</f>
        <v/>
      </c>
      <c r="AB13" s="10">
        <f>IFERROR(W13/X13-1,"")</f>
        <v/>
      </c>
    </row>
    <row r="14">
      <c r="A14" s="7" t="inlineStr">
        <is>
          <t>202312</t>
        </is>
      </c>
      <c r="B14" s="8" t="n">
        <v>5262</v>
      </c>
      <c r="C14" s="9" t="n">
        <v>0.1240474407085728</v>
      </c>
      <c r="D14" s="9" t="n">
        <v>0.12630418701634</v>
      </c>
      <c r="E14" s="9" t="n">
        <v>0.1193567802467971</v>
      </c>
      <c r="F14" s="9" t="n">
        <v>0.0009502090459901178</v>
      </c>
      <c r="G14" s="9" t="n">
        <v>0.004370961611554542</v>
      </c>
      <c r="H14" s="9" t="n">
        <v>0.009882174078297225</v>
      </c>
      <c r="I14" s="9" t="n">
        <v>0.01710376282782212</v>
      </c>
      <c r="J14" s="9" t="n">
        <v>0.02299505891296085</v>
      </c>
      <c r="K14" s="9" t="n">
        <v>0.02679589509692132</v>
      </c>
      <c r="L14" s="9" t="n">
        <v>0.02964652223489168</v>
      </c>
      <c r="M14" s="9" t="n">
        <v>0.03325731660965412</v>
      </c>
      <c r="N14" s="9" t="n">
        <v>0.03876852907639681</v>
      </c>
      <c r="O14" s="9" t="n">
        <v>0.04199923983276321</v>
      </c>
      <c r="P14" s="13" t="n">
        <v>0.0012463846792965</v>
      </c>
      <c r="Q14" s="14" t="n">
        <v>3.411002234638927</v>
      </c>
      <c r="R14" s="15" t="n">
        <v>12</v>
      </c>
      <c r="S14" s="9" t="n">
        <v>0.04199923983276321</v>
      </c>
      <c r="T14" s="13" t="n">
        <v>1</v>
      </c>
      <c r="U14" s="9" t="n">
        <v>0.04199923983276321</v>
      </c>
      <c r="V14" s="8" t="n">
        <v>1878</v>
      </c>
      <c r="W14" s="9" t="n">
        <v>0.1123228389894168</v>
      </c>
      <c r="X14" s="9" t="n">
        <v>0.04526091586794462</v>
      </c>
      <c r="Y14" s="10">
        <f>IFERROR(D14/O14-1,"")</f>
        <v/>
      </c>
      <c r="Z14" s="10">
        <f>IFERROR(E14/O14-1,"")</f>
        <v/>
      </c>
      <c r="AA14" s="10">
        <f>IFERROR(E14/U14-1,"")</f>
        <v/>
      </c>
      <c r="AB14" s="10">
        <f>IFERROR(W14/X14-1,"")</f>
        <v/>
      </c>
    </row>
    <row r="15">
      <c r="A15" s="7" t="inlineStr">
        <is>
          <t>202401</t>
        </is>
      </c>
      <c r="B15" s="8" t="n">
        <v>6497</v>
      </c>
      <c r="C15" s="9" t="n">
        <v>0.1212412708669578</v>
      </c>
      <c r="D15" s="9" t="n">
        <v>0.1164418900467493</v>
      </c>
      <c r="E15" s="9" t="n">
        <v>0.1126640278640784</v>
      </c>
      <c r="F15" s="9" t="n">
        <v>0.001231337540403263</v>
      </c>
      <c r="G15" s="9" t="n">
        <v>0.006310604894566723</v>
      </c>
      <c r="H15" s="9" t="n">
        <v>0.009542865938125289</v>
      </c>
      <c r="I15" s="9" t="n">
        <v>0.01385254732953671</v>
      </c>
      <c r="J15" s="9" t="n">
        <v>0.01631522241034324</v>
      </c>
      <c r="K15" s="9" t="n">
        <v>0.01893181468370017</v>
      </c>
      <c r="L15" s="9" t="n">
        <v>0.02170232414960751</v>
      </c>
      <c r="M15" s="9" t="n">
        <v>0.02478066800061567</v>
      </c>
      <c r="N15" s="9" t="n">
        <v>0.02693550869632138</v>
      </c>
      <c r="O15" s="9" t="n">
        <v>0.03001385254732954</v>
      </c>
      <c r="P15" s="13" t="n">
        <v>-0.0190642825400903</v>
      </c>
      <c r="Q15" s="14" t="n">
        <v>2.947058030691863</v>
      </c>
      <c r="R15" s="15" t="n">
        <v>12</v>
      </c>
      <c r="S15" s="9" t="n">
        <v>0.03001385254732954</v>
      </c>
      <c r="T15" s="13" t="n">
        <v>1</v>
      </c>
      <c r="U15" s="9" t="n">
        <v>0.03001385254732954</v>
      </c>
      <c r="V15" s="8" t="n">
        <v>2295</v>
      </c>
      <c r="W15" s="9" t="n">
        <v>0.1064750463714195</v>
      </c>
      <c r="X15" s="9" t="n">
        <v>0.03703703703703703</v>
      </c>
      <c r="Y15" s="10">
        <f>IFERROR(D15/O15-1,"")</f>
        <v/>
      </c>
      <c r="Z15" s="10">
        <f>IFERROR(E15/O15-1,"")</f>
        <v/>
      </c>
      <c r="AA15" s="10">
        <f>IFERROR(E15/U15-1,"")</f>
        <v/>
      </c>
      <c r="AB15" s="10">
        <f>IFERROR(W15/X15-1,"")</f>
        <v/>
      </c>
    </row>
    <row r="16">
      <c r="A16" s="7" t="inlineStr">
        <is>
          <t>202402</t>
        </is>
      </c>
      <c r="B16" s="8" t="n">
        <v>6169</v>
      </c>
      <c r="C16" s="9" t="n">
        <v>0.1229565474406262</v>
      </c>
      <c r="D16" s="9" t="n">
        <v>0.1181190409820631</v>
      </c>
      <c r="E16" s="9" t="n">
        <v>0.1143037902479842</v>
      </c>
      <c r="F16" s="9" t="n">
        <v>0.001134705786999514</v>
      </c>
      <c r="G16" s="9" t="n">
        <v>0.005511428108283352</v>
      </c>
      <c r="H16" s="9" t="n">
        <v>0.009401847949424542</v>
      </c>
      <c r="I16" s="9" t="n">
        <v>0.01167125952342357</v>
      </c>
      <c r="J16" s="9" t="n">
        <v>0.01491327605770789</v>
      </c>
      <c r="K16" s="9" t="n">
        <v>0.01783109093856379</v>
      </c>
      <c r="L16" s="9" t="n">
        <v>0.0199384016858486</v>
      </c>
      <c r="M16" s="9" t="n">
        <v>0.02172151077970498</v>
      </c>
      <c r="N16" s="9" t="n">
        <v>0.02463932566056087</v>
      </c>
      <c r="O16" s="9" t="n">
        <v>0.02836764467498784</v>
      </c>
      <c r="P16" s="13" t="n">
        <v>-0.0198286684982686</v>
      </c>
      <c r="Q16" s="14" t="n">
        <v>2.929597627690584</v>
      </c>
      <c r="R16" s="15" t="n">
        <v>12</v>
      </c>
      <c r="S16" s="9" t="n">
        <v>0.02836764467498784</v>
      </c>
      <c r="T16" s="13" t="n">
        <v>1</v>
      </c>
      <c r="U16" s="9" t="n">
        <v>0.02836764467498784</v>
      </c>
      <c r="V16" s="8" t="n">
        <v>2257</v>
      </c>
      <c r="W16" s="9" t="n">
        <v>0.107612977681806</v>
      </c>
      <c r="X16" s="9" t="n">
        <v>0.0310146211785556</v>
      </c>
      <c r="Y16" s="10">
        <f>IFERROR(D16/O16-1,"")</f>
        <v/>
      </c>
      <c r="Z16" s="10">
        <f>IFERROR(E16/O16-1,"")</f>
        <v/>
      </c>
      <c r="AA16" s="10">
        <f>IFERROR(E16/U16-1,"")</f>
        <v/>
      </c>
      <c r="AB16" s="10">
        <f>IFERROR(W16/X16-1,"")</f>
        <v/>
      </c>
    </row>
    <row r="17">
      <c r="A17" s="7" t="inlineStr">
        <is>
          <t>202403</t>
        </is>
      </c>
      <c r="B17" s="8" t="n">
        <v>5880</v>
      </c>
      <c r="C17" s="9" t="n">
        <v>0.1176443392817932</v>
      </c>
      <c r="D17" s="9" t="n">
        <v>0.1129354456675613</v>
      </c>
      <c r="E17" s="9" t="n">
        <v>0.1069382035457842</v>
      </c>
      <c r="F17" s="9" t="n">
        <v>0.002040816326530612</v>
      </c>
      <c r="G17" s="9" t="n">
        <v>0.005272108843537415</v>
      </c>
      <c r="H17" s="9" t="n">
        <v>0.007482993197278911</v>
      </c>
      <c r="I17" s="9" t="n">
        <v>0.009523809523809525</v>
      </c>
      <c r="J17" s="9" t="n">
        <v>0.0130952380952381</v>
      </c>
      <c r="K17" s="9" t="n">
        <v>0.01598639455782313</v>
      </c>
      <c r="L17" s="9" t="n">
        <v>0.0195578231292517</v>
      </c>
      <c r="M17" s="9" t="n">
        <v>0.02363945578231293</v>
      </c>
      <c r="N17" s="9" t="n">
        <v>0.02619047619047619</v>
      </c>
      <c r="O17" s="9" t="n">
        <v>0.02976190476190476</v>
      </c>
      <c r="P17" s="13" t="n">
        <v>-0.0309796378369519</v>
      </c>
      <c r="Q17" s="14" t="n">
        <v>2.67488282501116</v>
      </c>
      <c r="R17" s="15" t="n">
        <v>12</v>
      </c>
      <c r="S17" s="9" t="n">
        <v>0.02976190476190476</v>
      </c>
      <c r="T17" s="13" t="n">
        <v>1</v>
      </c>
      <c r="U17" s="9" t="n">
        <v>0.02976190476190476</v>
      </c>
      <c r="V17" s="8" t="n">
        <v>2059</v>
      </c>
      <c r="W17" s="9" t="n">
        <v>0.09953347844862639</v>
      </c>
      <c r="X17" s="9" t="n">
        <v>0.03351141330743079</v>
      </c>
      <c r="Y17" s="10">
        <f>IFERROR(D17/O17-1,"")</f>
        <v/>
      </c>
      <c r="Z17" s="10">
        <f>IFERROR(E17/O17-1,"")</f>
        <v/>
      </c>
      <c r="AA17" s="10">
        <f>IFERROR(E17/U17-1,"")</f>
        <v/>
      </c>
      <c r="AB17" s="10">
        <f>IFERROR(W17/X17-1,"")</f>
        <v/>
      </c>
    </row>
    <row r="18">
      <c r="A18" s="7" t="inlineStr">
        <is>
          <t>202404</t>
        </is>
      </c>
      <c r="B18" s="8" t="n">
        <v>8445</v>
      </c>
      <c r="C18" s="9" t="n">
        <v>0.1229266484657853</v>
      </c>
      <c r="D18" s="9" t="n">
        <v>0.1183286460044823</v>
      </c>
      <c r="E18" s="9" t="n">
        <v>0.1080511914421464</v>
      </c>
      <c r="F18" s="9" t="n">
        <v>0.0009473060982830077</v>
      </c>
      <c r="G18" s="9" t="n">
        <v>0.005920663114268798</v>
      </c>
      <c r="H18" s="9" t="n">
        <v>0.009828300769686205</v>
      </c>
      <c r="I18" s="9" t="n">
        <v>0.01397276494967436</v>
      </c>
      <c r="J18" s="9" t="n">
        <v>0.01693309650680876</v>
      </c>
      <c r="K18" s="9" t="n">
        <v>0.02024866785079929</v>
      </c>
      <c r="L18" s="9" t="n">
        <v>0.02344582593250444</v>
      </c>
      <c r="M18" s="9" t="n">
        <v>0.02711663706335109</v>
      </c>
      <c r="N18" s="9" t="n">
        <v>0.03232682060390764</v>
      </c>
      <c r="O18" s="9" t="n">
        <v>0.03670811130846655</v>
      </c>
      <c r="P18" s="13" t="n">
        <v>-0.0558720181987733</v>
      </c>
      <c r="Q18" s="14" t="n">
        <v>2.106281337597227</v>
      </c>
      <c r="R18" s="15" t="n">
        <v>12</v>
      </c>
      <c r="S18" s="9" t="n">
        <v>0.03670811130846655</v>
      </c>
      <c r="T18" s="13" t="n">
        <v>1</v>
      </c>
      <c r="U18" s="9" t="n">
        <v>0.03670811130846655</v>
      </c>
      <c r="V18" s="8" t="n">
        <v>3109</v>
      </c>
      <c r="W18" s="9" t="n">
        <v>0.101521083364928</v>
      </c>
      <c r="X18" s="9" t="n">
        <v>0.04245738179478932</v>
      </c>
      <c r="Y18" s="10">
        <f>IFERROR(D18/O18-1,"")</f>
        <v/>
      </c>
      <c r="Z18" s="10">
        <f>IFERROR(E18/O18-1,"")</f>
        <v/>
      </c>
      <c r="AA18" s="10">
        <f>IFERROR(E18/U18-1,"")</f>
        <v/>
      </c>
      <c r="AB18" s="10">
        <f>IFERROR(W18/X18-1,"")</f>
        <v/>
      </c>
    </row>
    <row r="19">
      <c r="A19" s="7" t="inlineStr">
        <is>
          <t>202405</t>
        </is>
      </c>
      <c r="B19" s="8" t="n">
        <v>7415</v>
      </c>
      <c r="C19" s="9" t="n">
        <v>0.1240621746966737</v>
      </c>
      <c r="D19" s="9" t="n">
        <v>0.1194296178288019</v>
      </c>
      <c r="E19" s="9" t="n">
        <v>0.106080371433865</v>
      </c>
      <c r="F19" s="9" t="n">
        <v>0.001078894133513149</v>
      </c>
      <c r="G19" s="9" t="n">
        <v>0.003910991233985165</v>
      </c>
      <c r="H19" s="9" t="n">
        <v>0.007956844234659474</v>
      </c>
      <c r="I19" s="9" t="n">
        <v>0.01119352663519892</v>
      </c>
      <c r="J19" s="9" t="n">
        <v>0.01510451786918409</v>
      </c>
      <c r="K19" s="9" t="n">
        <v>0.01861092380310182</v>
      </c>
      <c r="L19" s="9" t="n">
        <v>0.02171274443695212</v>
      </c>
      <c r="M19" s="9" t="n">
        <v>0.025354012137559</v>
      </c>
      <c r="N19" s="9" t="n">
        <v>0.02953472690492245</v>
      </c>
      <c r="O19" s="9" t="n">
        <v>0.03317599460552934</v>
      </c>
      <c r="P19" s="13" t="n">
        <v>-0.0754757595835721</v>
      </c>
      <c r="Q19" s="14" t="n">
        <v>1.658485010036248</v>
      </c>
      <c r="R19" s="15" t="n">
        <v>12</v>
      </c>
      <c r="S19" s="9" t="n">
        <v>0.03317599460552934</v>
      </c>
      <c r="T19" s="13" t="n">
        <v>1</v>
      </c>
      <c r="U19" s="9" t="n">
        <v>0.03317599460552934</v>
      </c>
      <c r="V19" s="8" t="n">
        <v>2638</v>
      </c>
      <c r="W19" s="9" t="n">
        <v>0.09969932754547088</v>
      </c>
      <c r="X19" s="9" t="n">
        <v>0.03639120545868082</v>
      </c>
      <c r="Y19" s="10">
        <f>IFERROR(D19/O19-1,"")</f>
        <v/>
      </c>
      <c r="Z19" s="10">
        <f>IFERROR(E19/O19-1,"")</f>
        <v/>
      </c>
      <c r="AA19" s="10">
        <f>IFERROR(E19/U19-1,"")</f>
        <v/>
      </c>
      <c r="AB19" s="10">
        <f>IFERROR(W19/X19-1,"")</f>
        <v/>
      </c>
    </row>
    <row r="20">
      <c r="A20" s="7" t="inlineStr">
        <is>
          <t>202406</t>
        </is>
      </c>
      <c r="B20" s="8" t="n">
        <v>7587</v>
      </c>
      <c r="C20" s="9" t="n">
        <v>0.124729739280627</v>
      </c>
      <c r="D20" s="9" t="n">
        <v>0.1200416598918784</v>
      </c>
      <c r="E20" s="9" t="n">
        <v>0.1084221756137535</v>
      </c>
      <c r="F20" s="9" t="n">
        <v>0.0006590220113351786</v>
      </c>
      <c r="G20" s="9" t="n">
        <v>0.003426914458942929</v>
      </c>
      <c r="H20" s="9" t="n">
        <v>0.006326611308817715</v>
      </c>
      <c r="I20" s="9" t="n">
        <v>0.009358112560959536</v>
      </c>
      <c r="J20" s="9" t="n">
        <v>0.01357585343350468</v>
      </c>
      <c r="K20" s="9" t="n">
        <v>0.01792539870831686</v>
      </c>
      <c r="L20" s="9" t="n">
        <v>0.02161592197179386</v>
      </c>
      <c r="M20" s="9" t="n">
        <v>0.02662448925794121</v>
      </c>
      <c r="N20" s="9" t="n">
        <v>0.03005140371688414</v>
      </c>
      <c r="O20" s="9" t="n">
        <v>0.03492816660076446</v>
      </c>
      <c r="P20" s="13" t="n">
        <v>-0.0653537931038556</v>
      </c>
      <c r="Q20" s="14" t="n">
        <v>1.889694926977259</v>
      </c>
      <c r="R20" s="15" t="n">
        <v>12</v>
      </c>
      <c r="S20" s="9" t="n">
        <v>0.03492816660076446</v>
      </c>
      <c r="T20" s="13" t="n">
        <v>1</v>
      </c>
      <c r="U20" s="9" t="n">
        <v>0.03492816660076446</v>
      </c>
      <c r="V20" s="8" t="n">
        <v>2790</v>
      </c>
      <c r="W20" s="9" t="n">
        <v>0.104820778931406</v>
      </c>
      <c r="X20" s="9" t="n">
        <v>0.03906810035842294</v>
      </c>
      <c r="Y20" s="10">
        <f>IFERROR(D20/O20-1,"")</f>
        <v/>
      </c>
      <c r="Z20" s="10">
        <f>IFERROR(E20/O20-1,"")</f>
        <v/>
      </c>
      <c r="AA20" s="10">
        <f>IFERROR(E20/U20-1,"")</f>
        <v/>
      </c>
      <c r="AB20" s="10">
        <f>IFERROR(W20/X20-1,"")</f>
        <v/>
      </c>
    </row>
    <row r="21">
      <c r="A21" s="7" t="inlineStr">
        <is>
          <t>202407</t>
        </is>
      </c>
      <c r="B21" s="8" t="n">
        <v>8315</v>
      </c>
      <c r="C21" s="9" t="n">
        <v>0.125754800221591</v>
      </c>
      <c r="D21" s="9" t="n">
        <v>0.1210744478358421</v>
      </c>
      <c r="E21" s="9" t="n">
        <v>0.1084625591766413</v>
      </c>
      <c r="F21" s="9" t="n">
        <v>0.001443174984966927</v>
      </c>
      <c r="G21" s="9" t="n">
        <v>0.004810583283223091</v>
      </c>
      <c r="H21" s="9" t="n">
        <v>0.0079374624173181</v>
      </c>
      <c r="I21" s="9" t="n">
        <v>0.01310883944678292</v>
      </c>
      <c r="J21" s="9" t="n">
        <v>0.0169573060733614</v>
      </c>
      <c r="K21" s="9" t="n">
        <v>0.0200841852074564</v>
      </c>
      <c r="L21" s="9" t="n">
        <v>0.02405291641611546</v>
      </c>
      <c r="M21" s="9" t="n">
        <v>0.02826217678893566</v>
      </c>
      <c r="N21" s="9" t="n">
        <v>0.03259170174383644</v>
      </c>
      <c r="O21" s="9" t="n">
        <v>0.03716175586289838</v>
      </c>
      <c r="P21" s="13" t="n">
        <v>-0.0704962472517633</v>
      </c>
      <c r="Q21" s="14" t="n">
        <v>1.772228978162538</v>
      </c>
      <c r="R21" s="15" t="n">
        <v>12</v>
      </c>
      <c r="S21" s="9" t="n">
        <v>0.03716175586289838</v>
      </c>
      <c r="T21" s="13" t="n">
        <v>1</v>
      </c>
      <c r="U21" s="9" t="n">
        <v>0.03716175586289838</v>
      </c>
      <c r="V21" s="8" t="n">
        <v>3062</v>
      </c>
      <c r="W21" s="9" t="n">
        <v>0.1037892788209646</v>
      </c>
      <c r="X21" s="9" t="n">
        <v>0.04441541476159373</v>
      </c>
      <c r="Y21" s="10">
        <f>IFERROR(D21/O21-1,"")</f>
        <v/>
      </c>
      <c r="Z21" s="10">
        <f>IFERROR(E21/O21-1,"")</f>
        <v/>
      </c>
      <c r="AA21" s="10">
        <f>IFERROR(E21/U21-1,"")</f>
        <v/>
      </c>
      <c r="AB21" s="10">
        <f>IFERROR(W21/X21-1,"")</f>
        <v/>
      </c>
    </row>
    <row r="22">
      <c r="A22" s="7" t="inlineStr">
        <is>
          <t>202408</t>
        </is>
      </c>
      <c r="B22" s="8" t="n">
        <v>7338</v>
      </c>
      <c r="C22" s="9" t="n">
        <v>0.1292580308261411</v>
      </c>
      <c r="D22" s="9" t="n">
        <v>0.1244794090125384</v>
      </c>
      <c r="E22" s="9" t="n">
        <v>0.1111127819730546</v>
      </c>
      <c r="F22" s="9" t="n">
        <v>0.0009539384028345599</v>
      </c>
      <c r="G22" s="9" t="n">
        <v>0.004497138184791497</v>
      </c>
      <c r="H22" s="9" t="n">
        <v>0.008449168710820387</v>
      </c>
      <c r="I22" s="9" t="n">
        <v>0.01144726083401472</v>
      </c>
      <c r="J22" s="9" t="n">
        <v>0.01594439901880621</v>
      </c>
      <c r="K22" s="9" t="n">
        <v>0.02003270645952576</v>
      </c>
      <c r="L22" s="9" t="n">
        <v>0.02371218315617334</v>
      </c>
      <c r="M22" s="9" t="n">
        <v>0.02793676751158354</v>
      </c>
      <c r="N22" s="9" t="n">
        <v>0.03216135186699373</v>
      </c>
      <c r="O22" s="9" t="n">
        <v>0.03597710547833197</v>
      </c>
      <c r="P22" s="13" t="n">
        <v>-0.0744376341863873</v>
      </c>
      <c r="Q22" s="14" t="n">
        <v>1.68219827636038</v>
      </c>
      <c r="R22" s="15" t="n">
        <v>12</v>
      </c>
      <c r="S22" s="9" t="n">
        <v>0.03597710547833197</v>
      </c>
      <c r="T22" s="13" t="n">
        <v>1</v>
      </c>
      <c r="U22" s="9" t="n">
        <v>0.03597710547833197</v>
      </c>
      <c r="V22" s="8" t="n">
        <v>2626</v>
      </c>
      <c r="W22" s="9" t="n">
        <v>0.1075307947941592</v>
      </c>
      <c r="X22" s="9" t="n">
        <v>0.04531607006854532</v>
      </c>
      <c r="Y22" s="10">
        <f>IFERROR(D22/O22-1,"")</f>
        <v/>
      </c>
      <c r="Z22" s="10">
        <f>IFERROR(E22/O22-1,"")</f>
        <v/>
      </c>
      <c r="AA22" s="10">
        <f>IFERROR(E22/U22-1,"")</f>
        <v/>
      </c>
      <c r="AB22" s="10">
        <f>IFERROR(W22/X22-1,"")</f>
        <v/>
      </c>
    </row>
    <row r="23">
      <c r="A23" s="7" t="inlineStr">
        <is>
          <t>202409</t>
        </is>
      </c>
      <c r="B23" s="8" t="n">
        <v>7654</v>
      </c>
      <c r="C23" s="9" t="n">
        <v>0.1282163136571778</v>
      </c>
      <c r="D23" s="9" t="n">
        <v>0.1234626842908238</v>
      </c>
      <c r="E23" s="9" t="n">
        <v>0.1087592585635862</v>
      </c>
      <c r="F23" s="9" t="n">
        <v>0.0006532532009406846</v>
      </c>
      <c r="G23" s="9" t="n">
        <v>0.003788868565455971</v>
      </c>
      <c r="H23" s="9" t="n">
        <v>0.007708387771100078</v>
      </c>
      <c r="I23" s="9" t="n">
        <v>0.01123595505617977</v>
      </c>
      <c r="J23" s="9" t="n">
        <v>0.01554742618238829</v>
      </c>
      <c r="K23" s="9" t="n">
        <v>0.02012019858897308</v>
      </c>
      <c r="L23" s="9" t="n">
        <v>0.0244316697151816</v>
      </c>
      <c r="M23" s="9" t="n">
        <v>0.02874314084139012</v>
      </c>
      <c r="N23" s="9" t="n">
        <v>0.03214005748628168</v>
      </c>
      <c r="O23" s="9" t="n">
        <v>0.03592892605173766</v>
      </c>
      <c r="P23" s="13" t="n">
        <v>-0.0828464630159074</v>
      </c>
      <c r="Q23" s="14" t="n">
        <v>1.490120519618099</v>
      </c>
      <c r="R23" s="15" t="n">
        <v>12</v>
      </c>
      <c r="S23" s="9" t="n">
        <v>0.03592892605173766</v>
      </c>
      <c r="T23" s="13" t="n">
        <v>1</v>
      </c>
      <c r="U23" s="9" t="n">
        <v>0.03592892605173766</v>
      </c>
      <c r="V23" s="8" t="n">
        <v>2898</v>
      </c>
      <c r="W23" s="9" t="n">
        <v>0.1054585344381939</v>
      </c>
      <c r="X23" s="9" t="n">
        <v>0.04485852311939269</v>
      </c>
      <c r="Y23" s="10">
        <f>IFERROR(D23/O23-1,"")</f>
        <v/>
      </c>
      <c r="Z23" s="10">
        <f>IFERROR(E23/O23-1,"")</f>
        <v/>
      </c>
      <c r="AA23" s="10">
        <f>IFERROR(E23/U23-1,"")</f>
        <v/>
      </c>
      <c r="AB23" s="10">
        <f>IFERROR(W23/X23-1,"")</f>
        <v/>
      </c>
    </row>
    <row r="24">
      <c r="A24" s="7" t="inlineStr">
        <is>
          <t>202410</t>
        </is>
      </c>
      <c r="B24" s="8" t="n">
        <v>7366</v>
      </c>
      <c r="C24" s="9" t="n">
        <v>0.127876455494297</v>
      </c>
      <c r="D24" s="9" t="n">
        <v>0.129862556413161</v>
      </c>
      <c r="E24" s="9" t="n">
        <v>0.1100945863218348</v>
      </c>
      <c r="F24" s="9" t="n">
        <v>0.001221830029866956</v>
      </c>
      <c r="G24" s="9" t="n">
        <v>0.004751561227260385</v>
      </c>
      <c r="H24" s="9" t="n">
        <v>0.009503122454520771</v>
      </c>
      <c r="I24" s="9" t="n">
        <v>0.01344013032853652</v>
      </c>
      <c r="J24" s="9" t="n">
        <v>0.01683410263372251</v>
      </c>
      <c r="K24" s="9" t="n">
        <v>0.02049959272332338</v>
      </c>
      <c r="L24" s="9" t="n">
        <v>0.02443660059733913</v>
      </c>
      <c r="M24" s="9" t="n">
        <v>0.02837360847135487</v>
      </c>
      <c r="N24" s="9" t="n">
        <v>0.0312245452077111</v>
      </c>
      <c r="O24" s="9" t="n">
        <v>0.03407548194406734</v>
      </c>
      <c r="P24" s="13" t="n">
        <v>-0.0724218660345015</v>
      </c>
      <c r="Q24" s="14" t="n">
        <v>1.728243240834804</v>
      </c>
      <c r="R24" s="15" t="n">
        <v>12</v>
      </c>
      <c r="S24" s="9" t="n">
        <v>0.03407548194406734</v>
      </c>
      <c r="T24" s="13" t="n">
        <v>1</v>
      </c>
      <c r="U24" s="9" t="n">
        <v>0.03407548194406734</v>
      </c>
      <c r="V24" s="8" t="n">
        <v>2819</v>
      </c>
      <c r="W24" s="9" t="n">
        <v>0.104492841048559</v>
      </c>
      <c r="X24" s="9" t="n">
        <v>0.04008513657325292</v>
      </c>
      <c r="Y24" s="10">
        <f>IFERROR(D24/O24-1,"")</f>
        <v/>
      </c>
      <c r="Z24" s="10">
        <f>IFERROR(E24/O24-1,"")</f>
        <v/>
      </c>
      <c r="AA24" s="10">
        <f>IFERROR(E24/U24-1,"")</f>
        <v/>
      </c>
      <c r="AB24" s="10">
        <f>IFERROR(W24/X24-1,"")</f>
        <v/>
      </c>
    </row>
    <row r="25">
      <c r="A25" s="7" t="inlineStr">
        <is>
          <t>202411</t>
        </is>
      </c>
      <c r="B25" s="8" t="n">
        <v>7038</v>
      </c>
      <c r="C25" s="9" t="n">
        <v>0.1210540084752674</v>
      </c>
      <c r="D25" s="9" t="n">
        <v>0.1227789046990485</v>
      </c>
      <c r="E25" s="9" t="n">
        <v>0.1056787676952148</v>
      </c>
      <c r="F25" s="9" t="n">
        <v>0.0009946007388462632</v>
      </c>
      <c r="G25" s="9" t="n">
        <v>0.005683432793407218</v>
      </c>
      <c r="H25" s="9" t="n">
        <v>0.009803921568627451</v>
      </c>
      <c r="I25" s="9" t="n">
        <v>0.01420858198351804</v>
      </c>
      <c r="J25" s="9" t="n">
        <v>0.01861324239840864</v>
      </c>
      <c r="K25" s="9" t="n">
        <v>0.02315998863313441</v>
      </c>
      <c r="L25" s="9" t="n">
        <v>0.02770673486786019</v>
      </c>
      <c r="M25" s="9" t="n">
        <v>0.03253765274225633</v>
      </c>
      <c r="N25" s="9" t="n">
        <v>0.03623188405797102</v>
      </c>
      <c r="O25" s="9" t="n">
        <v>0.04006820119352088</v>
      </c>
      <c r="P25" s="13" t="n">
        <v>-0.0580535033556161</v>
      </c>
      <c r="Q25" s="14" t="n">
        <v>2.056451000485126</v>
      </c>
      <c r="R25" s="15" t="n">
        <v>12</v>
      </c>
      <c r="S25" s="9" t="n">
        <v>0.04006820119352088</v>
      </c>
      <c r="T25" s="13" t="n">
        <v>1</v>
      </c>
      <c r="U25" s="9" t="n">
        <v>0.04006820119352088</v>
      </c>
      <c r="V25" s="8" t="n">
        <v>2762</v>
      </c>
      <c r="W25" s="9" t="n">
        <v>0.1010547162765437</v>
      </c>
      <c r="X25" s="9" t="n">
        <v>0.04417089065894279</v>
      </c>
      <c r="Y25" s="10">
        <f>IFERROR(D25/O25-1,"")</f>
        <v/>
      </c>
      <c r="Z25" s="10">
        <f>IFERROR(E25/O25-1,"")</f>
        <v/>
      </c>
      <c r="AA25" s="10">
        <f>IFERROR(E25/U25-1,"")</f>
        <v/>
      </c>
      <c r="AB25" s="10">
        <f>IFERROR(W25/X25-1,"")</f>
        <v/>
      </c>
    </row>
    <row r="26">
      <c r="A26" s="7" t="inlineStr">
        <is>
          <t>202412</t>
        </is>
      </c>
      <c r="B26" s="8" t="n">
        <v>6226</v>
      </c>
      <c r="C26" s="9" t="n">
        <v>0.1209713574766651</v>
      </c>
      <c r="D26" s="9" t="n">
        <v>0.1226780994355779</v>
      </c>
      <c r="E26" s="9" t="n">
        <v>0.1042979563911636</v>
      </c>
      <c r="F26" s="9" t="n">
        <v>0.0009637006103437199</v>
      </c>
      <c r="G26" s="9" t="n">
        <v>0.004497269514937359</v>
      </c>
      <c r="H26" s="9" t="n">
        <v>0.008833922261484099</v>
      </c>
      <c r="I26" s="9" t="n">
        <v>0.0128493414712496</v>
      </c>
      <c r="J26" s="9" t="n">
        <v>0.01718599421779634</v>
      </c>
      <c r="K26" s="9" t="n">
        <v>0.02104079665917122</v>
      </c>
      <c r="L26" s="9" t="n">
        <v>0.0256986829424992</v>
      </c>
      <c r="M26" s="9" t="n">
        <v>0.03067780276260842</v>
      </c>
      <c r="N26" s="9" t="n">
        <v>0.0345326052039833</v>
      </c>
      <c r="O26" s="9" t="n">
        <v>0.03854802441374879</v>
      </c>
      <c r="P26" s="13" t="n">
        <v>-0.0650299149850779</v>
      </c>
      <c r="Q26" s="14" t="n">
        <v>1.897093077632239</v>
      </c>
      <c r="R26" s="15" t="n">
        <v>12</v>
      </c>
      <c r="S26" s="9" t="n">
        <v>0.03854802441374879</v>
      </c>
      <c r="T26" s="13" t="n">
        <v>1</v>
      </c>
      <c r="U26" s="9" t="n">
        <v>0.03854802441374879</v>
      </c>
      <c r="V26" s="8" t="n">
        <v>2358</v>
      </c>
      <c r="W26" s="9" t="n">
        <v>0.09840647828032001</v>
      </c>
      <c r="X26" s="9" t="n">
        <v>0.046225614927905</v>
      </c>
      <c r="Y26" s="10">
        <f>IFERROR(D26/O26-1,"")</f>
        <v/>
      </c>
      <c r="Z26" s="10">
        <f>IFERROR(E26/O26-1,"")</f>
        <v/>
      </c>
      <c r="AA26" s="10">
        <f>IFERROR(E26/U26-1,"")</f>
        <v/>
      </c>
      <c r="AB26" s="10">
        <f>IFERROR(W26/X26-1,"")</f>
        <v/>
      </c>
    </row>
    <row r="27">
      <c r="A27" s="7" t="inlineStr">
        <is>
          <t>202501</t>
        </is>
      </c>
      <c r="B27" s="8" t="n">
        <v>9113</v>
      </c>
      <c r="C27" s="9" t="n">
        <v>0.1158494897713889</v>
      </c>
      <c r="D27" s="9" t="n">
        <v>0.1176441061625953</v>
      </c>
      <c r="E27" s="9" t="n">
        <v>0.0983787191002697</v>
      </c>
      <c r="F27" s="9" t="n">
        <v>0.001097333479644464</v>
      </c>
      <c r="G27" s="9" t="n">
        <v>0.00427960057061341</v>
      </c>
      <c r="H27" s="9" t="n">
        <v>0.00823000109733348</v>
      </c>
      <c r="I27" s="9" t="n">
        <v>0.01294853505980467</v>
      </c>
      <c r="J27" s="9" t="n">
        <v>0.0167892022385603</v>
      </c>
      <c r="K27" s="9" t="n">
        <v>0.02041040272138703</v>
      </c>
      <c r="L27" s="9" t="n">
        <v>0.02447053659607155</v>
      </c>
      <c r="M27" s="9" t="n">
        <v>0.02864040381872051</v>
      </c>
      <c r="N27" s="9" t="n">
        <v>0.03204213760561835</v>
      </c>
      <c r="O27" s="9" t="n">
        <v>0.0350049380006584</v>
      </c>
      <c r="P27" s="13" t="n">
        <v>-0.0692773689503683</v>
      </c>
      <c r="Q27" s="14" t="n">
        <v>1.800071073015497</v>
      </c>
      <c r="R27" s="15" t="n">
        <v>12</v>
      </c>
      <c r="S27" s="9" t="n">
        <v>0.0350049380006584</v>
      </c>
      <c r="T27" s="13" t="n">
        <v>1</v>
      </c>
      <c r="U27" s="9" t="n">
        <v>0.0350049380006584</v>
      </c>
      <c r="V27" s="8" t="n">
        <v>3449</v>
      </c>
      <c r="W27" s="9" t="n">
        <v>0.09369970416753064</v>
      </c>
      <c r="X27" s="9" t="n">
        <v>0.03392287619599884</v>
      </c>
      <c r="Y27" s="10">
        <f>IFERROR(D27/O27-1,"")</f>
        <v/>
      </c>
      <c r="Z27" s="10">
        <f>IFERROR(E27/O27-1,"")</f>
        <v/>
      </c>
      <c r="AA27" s="10">
        <f>IFERROR(E27/U27-1,"")</f>
        <v/>
      </c>
      <c r="AB27" s="10">
        <f>IFERROR(W27/X27-1,"")</f>
        <v/>
      </c>
    </row>
    <row r="28">
      <c r="A28" s="7" t="inlineStr">
        <is>
          <t>202502</t>
        </is>
      </c>
      <c r="B28" s="8" t="n">
        <v>7443</v>
      </c>
      <c r="C28" s="9" t="n">
        <v>0.1210330927212216</v>
      </c>
      <c r="D28" s="9" t="n">
        <v>0.1228493377117131</v>
      </c>
      <c r="E28" s="9" t="n">
        <v>0.1016207527807161</v>
      </c>
      <c r="F28" s="9" t="n">
        <v>0.0008061265618702137</v>
      </c>
      <c r="G28" s="9" t="n">
        <v>0.00510546822517802</v>
      </c>
      <c r="H28" s="9" t="n">
        <v>0.01047964530431278</v>
      </c>
      <c r="I28" s="9" t="n">
        <v>0.01397286040575037</v>
      </c>
      <c r="J28" s="9" t="n">
        <v>0.01840655649603654</v>
      </c>
      <c r="K28" s="9" t="n">
        <v>0.02095929060862555</v>
      </c>
      <c r="L28" s="9" t="n">
        <v>0.02498992341797662</v>
      </c>
      <c r="M28" s="9" t="n">
        <v>0.02740830310358726</v>
      </c>
      <c r="N28" s="9" t="n">
        <v>0.03049845492408975</v>
      </c>
      <c r="O28" s="9" t="n">
        <v>0.0333198978906355</v>
      </c>
      <c r="P28" s="13" t="n">
        <v>-0.0821028391221693</v>
      </c>
      <c r="Q28" s="14" t="n">
        <v>1.507106667423574</v>
      </c>
      <c r="R28" s="15" t="n">
        <v>12</v>
      </c>
      <c r="S28" s="9" t="n">
        <v>0.0333198978906355</v>
      </c>
      <c r="T28" s="13" t="n">
        <v>1</v>
      </c>
      <c r="U28" s="9" t="n">
        <v>0.0333198978906355</v>
      </c>
      <c r="V28" s="8" t="n">
        <v>2810</v>
      </c>
      <c r="W28" s="9" t="n">
        <v>0.09742670398576127</v>
      </c>
      <c r="X28" s="9" t="n">
        <v>0.03416370106761566</v>
      </c>
      <c r="Y28" s="10">
        <f>IFERROR(D28/O28-1,"")</f>
        <v/>
      </c>
      <c r="Z28" s="10">
        <f>IFERROR(E28/O28-1,"")</f>
        <v/>
      </c>
      <c r="AA28" s="10">
        <f>IFERROR(E28/U28-1,"")</f>
        <v/>
      </c>
      <c r="AB28" s="10">
        <f>IFERROR(W28/X28-1,"")</f>
        <v/>
      </c>
    </row>
    <row r="29">
      <c r="A29" s="7" t="inlineStr">
        <is>
          <t>202503</t>
        </is>
      </c>
      <c r="B29" s="8" t="n">
        <v>8767</v>
      </c>
      <c r="C29" s="9" t="n">
        <v>0.1125753850901222</v>
      </c>
      <c r="D29" s="9" t="n">
        <v>0.1080252523173347</v>
      </c>
      <c r="E29" s="9" t="n">
        <v>0.09291131980006639</v>
      </c>
      <c r="F29" s="9" t="n">
        <v>0.000912512832211703</v>
      </c>
      <c r="G29" s="9" t="n">
        <v>0.004562564161058514</v>
      </c>
      <c r="H29" s="9" t="n">
        <v>0.009125128322117029</v>
      </c>
      <c r="I29" s="9" t="n">
        <v>0.01266111554693738</v>
      </c>
      <c r="J29" s="9" t="n">
        <v>0.01710961560396943</v>
      </c>
      <c r="K29" s="9" t="n">
        <v>0.02075966693281624</v>
      </c>
      <c r="L29" s="9" t="n">
        <v>0.02429565415763659</v>
      </c>
      <c r="M29" s="9" t="n">
        <v>0.02669100034219231</v>
      </c>
      <c r="N29" s="9" t="n">
        <v>0.02988479525493327</v>
      </c>
      <c r="O29" s="9" t="n">
        <v>0.03330671837572716</v>
      </c>
      <c r="P29" s="13" t="n">
        <v>-0.0901403058799683</v>
      </c>
      <c r="Q29" s="14" t="n">
        <v>1.323511708359959</v>
      </c>
      <c r="R29" s="15" t="n">
        <v>12</v>
      </c>
      <c r="S29" s="9" t="n">
        <v>0.03330671837572716</v>
      </c>
      <c r="T29" s="13" t="n">
        <v>1</v>
      </c>
      <c r="U29" s="9" t="n">
        <v>0.03330671837572716</v>
      </c>
      <c r="V29" s="8" t="n">
        <v>3476</v>
      </c>
      <c r="W29" s="9" t="n">
        <v>0.08793152400084872</v>
      </c>
      <c r="X29" s="9" t="n">
        <v>0.03567318757192175</v>
      </c>
      <c r="Y29" s="10">
        <f>IFERROR(D29/O29-1,"")</f>
        <v/>
      </c>
      <c r="Z29" s="10">
        <f>IFERROR(E29/O29-1,"")</f>
        <v/>
      </c>
      <c r="AA29" s="10">
        <f>IFERROR(E29/U29-1,"")</f>
        <v/>
      </c>
      <c r="AB29" s="10">
        <f>IFERROR(W29/X29-1,"")</f>
        <v/>
      </c>
    </row>
    <row r="30">
      <c r="A30" s="7" t="inlineStr">
        <is>
          <t>202504</t>
        </is>
      </c>
      <c r="B30" s="8" t="n">
        <v>8325</v>
      </c>
      <c r="C30" s="9" t="n">
        <v>0.1211951960949926</v>
      </c>
      <c r="D30" s="9" t="n">
        <v>0.1163473425221604</v>
      </c>
      <c r="E30" s="9" t="n">
        <v>0.1027096750840385</v>
      </c>
      <c r="F30" s="9" t="n">
        <v>0.001081081081081081</v>
      </c>
      <c r="G30" s="9" t="n">
        <v>0.005885885885885886</v>
      </c>
      <c r="H30" s="9" t="n">
        <v>0.01117117117117117</v>
      </c>
      <c r="I30" s="9" t="n">
        <v>0.01429429429429429</v>
      </c>
      <c r="J30" s="9" t="n">
        <v>0.0184984984984985</v>
      </c>
      <c r="K30" s="9" t="n">
        <v>0.02246246246246246</v>
      </c>
      <c r="L30" s="9" t="n">
        <v>0.02438438438438438</v>
      </c>
      <c r="M30" s="9" t="n">
        <v>0.02858858858858859</v>
      </c>
      <c r="N30" s="9" t="n">
        <v>0.03159159159159159</v>
      </c>
      <c r="O30" s="9" t="n">
        <v>0.03615615615615616</v>
      </c>
      <c r="P30" s="13" t="n">
        <v>-0.0763210869948466</v>
      </c>
      <c r="Q30" s="14" t="n">
        <v>1.639175710707863</v>
      </c>
      <c r="R30" s="15" t="n">
        <v>12</v>
      </c>
      <c r="S30" s="9" t="n">
        <v>0.03615615615615616</v>
      </c>
      <c r="T30" s="13" t="n">
        <v>1</v>
      </c>
      <c r="U30" s="9" t="n">
        <v>0.03615615615615616</v>
      </c>
      <c r="V30" s="8" t="n">
        <v>3230</v>
      </c>
      <c r="W30" s="9" t="n">
        <v>0.09894849111583046</v>
      </c>
      <c r="X30" s="9" t="n">
        <v>0.04055727554179567</v>
      </c>
      <c r="Y30" s="10">
        <f>IFERROR(D30/O30-1,"")</f>
        <v/>
      </c>
      <c r="Z30" s="10">
        <f>IFERROR(E30/O30-1,"")</f>
        <v/>
      </c>
      <c r="AA30" s="10">
        <f>IFERROR(E30/U30-1,"")</f>
        <v/>
      </c>
      <c r="AB30" s="10">
        <f>IFERROR(W30/X30-1,"")</f>
        <v/>
      </c>
    </row>
    <row r="31">
      <c r="A31" s="7" t="inlineStr">
        <is>
          <t>202505</t>
        </is>
      </c>
      <c r="B31" s="8" t="n">
        <v>6611</v>
      </c>
      <c r="C31" s="9" t="n">
        <v>0.124525588888502</v>
      </c>
      <c r="D31" s="9" t="n">
        <v>0.1195117928897177</v>
      </c>
      <c r="E31" s="9" t="n">
        <v>0.1067626511002808</v>
      </c>
      <c r="F31" s="9" t="n">
        <v>0.000605052185751021</v>
      </c>
      <c r="G31" s="9" t="n">
        <v>0.004235365300257147</v>
      </c>
      <c r="H31" s="9" t="n">
        <v>0.006504310996823476</v>
      </c>
      <c r="I31" s="9" t="n">
        <v>0.01028588715776736</v>
      </c>
      <c r="J31" s="9" t="n">
        <v>0.01467251550446226</v>
      </c>
      <c r="K31" s="9" t="n">
        <v>0.01769777643321737</v>
      </c>
      <c r="L31" s="9" t="n">
        <v>0.02102556345484798</v>
      </c>
      <c r="M31" s="9" t="n">
        <v>0.02495840266222962</v>
      </c>
      <c r="N31" s="9" t="n">
        <v>0.02843745273029799</v>
      </c>
      <c r="O31" s="9" t="n">
        <v>0.03267281803055513</v>
      </c>
      <c r="P31" s="13" t="n">
        <v>-0.0729545842663733</v>
      </c>
      <c r="Q31" s="14" t="n">
        <v>1.716074682641011</v>
      </c>
      <c r="R31" s="15" t="n">
        <v>12</v>
      </c>
      <c r="S31" s="9" t="n">
        <v>0.03267281803055513</v>
      </c>
      <c r="T31" s="13" t="n">
        <v>1</v>
      </c>
      <c r="U31" s="9" t="n">
        <v>0.03267281803055513</v>
      </c>
      <c r="V31" s="8" t="n">
        <v>2481</v>
      </c>
      <c r="W31" s="9" t="n">
        <v>0.1059731495886298</v>
      </c>
      <c r="X31" s="9" t="n">
        <v>0.03909713825070536</v>
      </c>
      <c r="Y31" s="10">
        <f>IFERROR(D31/O31-1,"")</f>
        <v/>
      </c>
      <c r="Z31" s="10">
        <f>IFERROR(E31/O31-1,"")</f>
        <v/>
      </c>
      <c r="AA31" s="10">
        <f>IFERROR(E31/U31-1,"")</f>
        <v/>
      </c>
      <c r="AB31" s="10">
        <f>IFERROR(W31/X31-1,"")</f>
        <v/>
      </c>
    </row>
    <row r="32">
      <c r="A32" s="7" t="inlineStr">
        <is>
          <t>202506</t>
        </is>
      </c>
      <c r="B32" s="8" t="n">
        <v>5849</v>
      </c>
      <c r="C32" s="9" t="n">
        <v>0.1222919846604188</v>
      </c>
      <c r="D32" s="9" t="n">
        <v>0.1173759719083341</v>
      </c>
      <c r="E32" s="9" t="n">
        <v>0.104222358899196</v>
      </c>
      <c r="F32" s="9" t="n">
        <v>0.0006838775859121217</v>
      </c>
      <c r="G32" s="9" t="n">
        <v>0.003077449136604548</v>
      </c>
      <c r="H32" s="9" t="n">
        <v>0.006154898273209096</v>
      </c>
      <c r="I32" s="9" t="n">
        <v>0.009061378013335612</v>
      </c>
      <c r="J32" s="9" t="n">
        <v>0.01282270473585228</v>
      </c>
      <c r="K32" s="9" t="n">
        <v>0.0157291844759788</v>
      </c>
      <c r="L32" s="9" t="n">
        <v>0.01846469481962729</v>
      </c>
      <c r="M32" s="9" t="n">
        <v>0.02171311335270986</v>
      </c>
      <c r="N32" s="9" t="n">
        <v>0.02444862369635835</v>
      </c>
      <c r="O32" s="9" t="n">
        <v>0.02769704222944093</v>
      </c>
      <c r="P32" s="13" t="n">
        <v>-0.07376569476056211</v>
      </c>
      <c r="Q32" s="14" t="n">
        <v>1.69754697951463</v>
      </c>
      <c r="R32" s="15" t="n">
        <v>12</v>
      </c>
      <c r="S32" s="9" t="n">
        <v>0.02769704222944093</v>
      </c>
      <c r="T32" s="13" t="n">
        <v>1</v>
      </c>
      <c r="U32" s="9" t="n">
        <v>0.02769704222944093</v>
      </c>
      <c r="V32" s="8" t="n">
        <v>2254</v>
      </c>
      <c r="W32" s="9" t="n">
        <v>0.1007262644608608</v>
      </c>
      <c r="X32" s="9" t="n">
        <v>0.02972493345164152</v>
      </c>
      <c r="Y32" s="10">
        <f>IFERROR(D32/O32-1,"")</f>
        <v/>
      </c>
      <c r="Z32" s="10">
        <f>IFERROR(E32/O32-1,"")</f>
        <v/>
      </c>
      <c r="AA32" s="10">
        <f>IFERROR(E32/U32-1,"")</f>
        <v/>
      </c>
      <c r="AB32" s="10">
        <f>IFERROR(W32/X32-1,"")</f>
        <v/>
      </c>
    </row>
    <row r="33">
      <c r="A33" s="7" t="inlineStr">
        <is>
          <t>202507</t>
        </is>
      </c>
      <c r="B33" s="8" t="n">
        <v>5805</v>
      </c>
      <c r="C33" s="9" t="n">
        <v>0.1186310181278706</v>
      </c>
      <c r="D33" s="9" t="n">
        <v>0.1138194687279466</v>
      </c>
      <c r="E33" s="9" t="n">
        <v>0.1005176123665087</v>
      </c>
      <c r="F33" s="9" t="n">
        <v>0.0006890611541774332</v>
      </c>
      <c r="G33" s="9" t="n">
        <v>0.002928509905254091</v>
      </c>
      <c r="H33" s="9" t="n">
        <v>0.005340223944875108</v>
      </c>
      <c r="I33" s="9" t="n">
        <v>0.008440999138673558</v>
      </c>
      <c r="J33" s="9" t="n">
        <v>0.01068044788975022</v>
      </c>
      <c r="K33" s="9" t="n">
        <v>0.01291989664082687</v>
      </c>
      <c r="L33" s="9" t="n">
        <v>0.01550387596899225</v>
      </c>
      <c r="M33" s="9" t="n">
        <v>0.01791559000861326</v>
      </c>
      <c r="N33" s="9" t="n">
        <v>0.02170542635658915</v>
      </c>
      <c r="O33" s="9" t="n"/>
      <c r="P33" s="13" t="n">
        <v>-0.0736408959148164</v>
      </c>
      <c r="Q33" s="14" t="n">
        <v>1.700397683556876</v>
      </c>
      <c r="R33" s="15" t="n">
        <v>11</v>
      </c>
      <c r="S33" s="9" t="n">
        <v>0.02170542635658915</v>
      </c>
      <c r="T33" s="13" t="n">
        <v>1.120024972686124</v>
      </c>
      <c r="U33" s="9" t="n">
        <v>0.02431061956217944</v>
      </c>
      <c r="V33" s="8" t="n">
        <v>2188</v>
      </c>
      <c r="W33" s="9" t="n">
        <v>0.09668295464482099</v>
      </c>
      <c r="X33" s="9" t="n"/>
      <c r="Y33" s="10">
        <f>IFERROR(D33/O33-1,"")</f>
        <v/>
      </c>
      <c r="Z33" s="10">
        <f>IFERROR(E33/O33-1,"")</f>
        <v/>
      </c>
      <c r="AA33" s="10">
        <f>IFERROR(E33/U33-1,"")</f>
        <v/>
      </c>
      <c r="AB33" s="10">
        <f>IFERROR(W33/X33-1,"")</f>
        <v/>
      </c>
    </row>
    <row r="34">
      <c r="A34" s="7" t="inlineStr">
        <is>
          <t>202508</t>
        </is>
      </c>
      <c r="B34" s="8" t="n">
        <v>5377</v>
      </c>
      <c r="C34" s="9" t="n">
        <v>0.119049682974038</v>
      </c>
      <c r="D34" s="9" t="n">
        <v>0.1142219777757838</v>
      </c>
      <c r="E34" s="9" t="n">
        <v>0.09959088877956652</v>
      </c>
      <c r="F34" s="9" t="n">
        <v>0.0005579319323042589</v>
      </c>
      <c r="G34" s="9" t="n">
        <v>0.002975636972289381</v>
      </c>
      <c r="H34" s="9" t="n">
        <v>0.005765296633810675</v>
      </c>
      <c r="I34" s="9" t="n">
        <v>0.008368978984563883</v>
      </c>
      <c r="J34" s="9" t="n">
        <v>0.01097266133531709</v>
      </c>
      <c r="K34" s="9" t="n">
        <v>0.01376232099683839</v>
      </c>
      <c r="L34" s="9" t="n">
        <v>0.0176678445229682</v>
      </c>
      <c r="M34" s="9" t="n">
        <v>0.02045750418448949</v>
      </c>
      <c r="N34" s="9" t="n"/>
      <c r="O34" s="9" t="n"/>
      <c r="P34" s="13" t="n">
        <v>-0.1003314429254493</v>
      </c>
      <c r="Q34" s="14" t="n">
        <v>1.090721770303759</v>
      </c>
      <c r="R34" s="15" t="n">
        <v>10</v>
      </c>
      <c r="S34" s="9" t="n">
        <v>0.02045750418448949</v>
      </c>
      <c r="T34" s="13" t="n">
        <v>1.268292682926829</v>
      </c>
      <c r="U34" s="9" t="n">
        <v>0.02594610286813301</v>
      </c>
      <c r="V34" s="8" t="n">
        <v>2076</v>
      </c>
      <c r="W34" s="9" t="n">
        <v>0.09358973514024957</v>
      </c>
      <c r="X34" s="9" t="n"/>
      <c r="Y34" s="10">
        <f>IFERROR(D34/O34-1,"")</f>
        <v/>
      </c>
      <c r="Z34" s="10">
        <f>IFERROR(E34/O34-1,"")</f>
        <v/>
      </c>
      <c r="AA34" s="10">
        <f>IFERROR(E34/U34-1,"")</f>
        <v/>
      </c>
      <c r="AB34" s="10">
        <f>IFERROR(W34/X34-1,"")</f>
        <v/>
      </c>
    </row>
    <row r="35">
      <c r="A35" s="7" t="inlineStr">
        <is>
          <t>202509</t>
        </is>
      </c>
      <c r="B35" s="8" t="n">
        <v>7247</v>
      </c>
      <c r="C35" s="9" t="n">
        <v>0.1299256309356715</v>
      </c>
      <c r="D35" s="9" t="n">
        <v>0.1247723815160504</v>
      </c>
      <c r="E35" s="9" t="n">
        <v>0.110657024620381</v>
      </c>
      <c r="F35" s="9" t="n">
        <v>0.0008279287981233614</v>
      </c>
      <c r="G35" s="9" t="n">
        <v>0.002483786394370084</v>
      </c>
      <c r="H35" s="9" t="n">
        <v>0.00565751345384297</v>
      </c>
      <c r="I35" s="9" t="n">
        <v>0.008417276114254173</v>
      </c>
      <c r="J35" s="9" t="n">
        <v>0.01103905064164482</v>
      </c>
      <c r="K35" s="9" t="n">
        <v>0.01310887263695322</v>
      </c>
      <c r="L35" s="9" t="n">
        <v>0.01807644542569339</v>
      </c>
      <c r="M35" s="9" t="n"/>
      <c r="N35" s="9" t="n"/>
      <c r="O35" s="9" t="n"/>
      <c r="P35" s="13" t="n">
        <v>-0.0943381636827425</v>
      </c>
      <c r="Q35" s="14" t="n">
        <v>1.227622598684031</v>
      </c>
      <c r="R35" s="15" t="n">
        <v>9</v>
      </c>
      <c r="S35" s="9" t="n">
        <v>0.01807644542569339</v>
      </c>
      <c r="T35" s="13" t="n">
        <v>1.470491803278688</v>
      </c>
      <c r="U35" s="9" t="n">
        <v>0.02658126483089667</v>
      </c>
      <c r="V35" s="8" t="n">
        <v>2756</v>
      </c>
      <c r="W35" s="9" t="n">
        <v>0.1073339226198453</v>
      </c>
      <c r="X35" s="9" t="n"/>
      <c r="Y35" s="10">
        <f>IFERROR(D35/O35-1,"")</f>
        <v/>
      </c>
      <c r="Z35" s="10">
        <f>IFERROR(E35/O35-1,"")</f>
        <v/>
      </c>
      <c r="AA35" s="10">
        <f>IFERROR(E35/U35-1,"")</f>
        <v/>
      </c>
      <c r="AB35" s="10">
        <f>IFERROR(W35/X35-1,"")</f>
        <v/>
      </c>
    </row>
    <row r="36">
      <c r="A36" s="7" t="inlineStr">
        <is>
          <t>202510</t>
        </is>
      </c>
      <c r="B36" s="8" t="n">
        <v>7321</v>
      </c>
      <c r="C36" s="9" t="n">
        <v>0.1308869984521984</v>
      </c>
      <c r="D36" s="9" t="n">
        <v>0.1256472975073649</v>
      </c>
      <c r="E36" s="9" t="n">
        <v>0.1116327400855942</v>
      </c>
      <c r="F36" s="9" t="n">
        <v>0.0006829668078131403</v>
      </c>
      <c r="G36" s="9" t="n">
        <v>0.003961207485316214</v>
      </c>
      <c r="H36" s="9" t="n">
        <v>0.007102854801256659</v>
      </c>
      <c r="I36" s="9" t="n">
        <v>0.009971315394071848</v>
      </c>
      <c r="J36" s="9" t="n">
        <v>0.01256658926376178</v>
      </c>
      <c r="K36" s="9" t="n">
        <v>0.01611801666439011</v>
      </c>
      <c r="L36" s="9" t="n"/>
      <c r="M36" s="9" t="n"/>
      <c r="N36" s="9" t="n"/>
      <c r="O36" s="9" t="n"/>
      <c r="P36" s="13" t="n">
        <v>-0.0971864626399724</v>
      </c>
      <c r="Q36" s="14" t="n">
        <v>1.162560639958521</v>
      </c>
      <c r="R36" s="15" t="n">
        <v>8</v>
      </c>
      <c r="S36" s="9" t="n">
        <v>0.01611801666439011</v>
      </c>
      <c r="T36" s="13" t="n">
        <v>1.743440233236152</v>
      </c>
      <c r="U36" s="9" t="n">
        <v>0.02810079873266847</v>
      </c>
      <c r="V36" s="8" t="n">
        <v>2765</v>
      </c>
      <c r="W36" s="9" t="n">
        <v>0.1062555580059135</v>
      </c>
      <c r="X36" s="9" t="n"/>
      <c r="Y36" s="10">
        <f>IFERROR(D36/O36-1,"")</f>
        <v/>
      </c>
      <c r="Z36" s="10">
        <f>IFERROR(E36/O36-1,"")</f>
        <v/>
      </c>
      <c r="AA36" s="10">
        <f>IFERROR(E36/U36-1,"")</f>
        <v/>
      </c>
      <c r="AB36" s="10">
        <f>IFERROR(W36/X36-1,"")</f>
        <v/>
      </c>
    </row>
    <row r="37">
      <c r="A37" s="7" t="inlineStr">
        <is>
          <t>202511</t>
        </is>
      </c>
      <c r="B37" s="8" t="n">
        <v>7989</v>
      </c>
      <c r="C37" s="9" t="n">
        <v>0.1338130002896144</v>
      </c>
      <c r="D37" s="9" t="n">
        <v>0.1285042018014208</v>
      </c>
      <c r="E37" s="9" t="n">
        <v>0.1142266607108015</v>
      </c>
      <c r="F37" s="9" t="n">
        <v>0.0008762047815746651</v>
      </c>
      <c r="G37" s="9" t="n">
        <v>0.00350481912629866</v>
      </c>
      <c r="H37" s="9" t="n">
        <v>0.007134810364250845</v>
      </c>
      <c r="I37" s="9" t="n">
        <v>0.01201652271873827</v>
      </c>
      <c r="J37" s="9" t="n">
        <v>0.01489548128676931</v>
      </c>
      <c r="K37" s="9" t="n"/>
      <c r="L37" s="9" t="n"/>
      <c r="M37" s="9" t="n"/>
      <c r="N37" s="9" t="n"/>
      <c r="O37" s="9" t="n"/>
      <c r="P37" s="13" t="n">
        <v>-0.0951950453295296</v>
      </c>
      <c r="Q37" s="14" t="n">
        <v>1.208049372989306</v>
      </c>
      <c r="R37" s="15" t="n">
        <v>7</v>
      </c>
      <c r="S37" s="9" t="n">
        <v>0.01489548128676931</v>
      </c>
      <c r="T37" s="13" t="n">
        <v>2.142729172887429</v>
      </c>
      <c r="U37" s="9" t="n">
        <v>0.03191698229735938</v>
      </c>
      <c r="V37" s="8" t="n">
        <v>3197</v>
      </c>
      <c r="W37" s="9" t="n">
        <v>0.1090121572642533</v>
      </c>
      <c r="X37" s="9" t="n"/>
      <c r="Y37" s="10">
        <f>IFERROR(D37/O37-1,"")</f>
        <v/>
      </c>
      <c r="Z37" s="10">
        <f>IFERROR(E37/O37-1,"")</f>
        <v/>
      </c>
      <c r="AA37" s="10">
        <f>IFERROR(E37/U37-1,"")</f>
        <v/>
      </c>
      <c r="AB37" s="10">
        <f>IFERROR(W37/X37-1,"")</f>
        <v/>
      </c>
    </row>
    <row r="38">
      <c r="A38" s="7" t="inlineStr">
        <is>
          <t>202512</t>
        </is>
      </c>
      <c r="B38" s="8" t="n">
        <v>8641</v>
      </c>
      <c r="C38" s="9" t="n">
        <v>0.1330621675198568</v>
      </c>
      <c r="D38" s="9" t="n">
        <v>0.1277707998629303</v>
      </c>
      <c r="E38" s="9" t="n">
        <v>0.1137515630994501</v>
      </c>
      <c r="F38" s="9" t="n">
        <v>0.0009258187709755816</v>
      </c>
      <c r="G38" s="9" t="n">
        <v>0.003356093044786483</v>
      </c>
      <c r="H38" s="9" t="n">
        <v>0.008911005670639972</v>
      </c>
      <c r="I38" s="9" t="n">
        <v>0.01215137136905451</v>
      </c>
      <c r="J38" s="9" t="n"/>
      <c r="K38" s="9" t="n"/>
      <c r="L38" s="9" t="n"/>
      <c r="M38" s="9" t="n"/>
      <c r="N38" s="9" t="n"/>
      <c r="O38" s="9" t="n"/>
      <c r="P38" s="13" t="n">
        <v>-0.0907389631868307</v>
      </c>
      <c r="Q38" s="14" t="n">
        <v>1.309836944027043</v>
      </c>
      <c r="R38" s="15" t="n">
        <v>6</v>
      </c>
      <c r="S38" s="9" t="n">
        <v>0.01215137136905451</v>
      </c>
      <c r="T38" s="13" t="n">
        <v>2.829652996845426</v>
      </c>
      <c r="U38" s="9" t="n">
        <v>0.03438416441022679</v>
      </c>
      <c r="V38" s="8" t="n">
        <v>3285</v>
      </c>
      <c r="W38" s="9" t="n">
        <v>0.1088125520081171</v>
      </c>
      <c r="X38" s="9" t="n"/>
      <c r="Y38" s="10">
        <f>IFERROR(D38/O38-1,"")</f>
        <v/>
      </c>
      <c r="Z38" s="10">
        <f>IFERROR(E38/O38-1,"")</f>
        <v/>
      </c>
      <c r="AA38" s="10">
        <f>IFERROR(E38/U38-1,"")</f>
        <v/>
      </c>
      <c r="AB38" s="10">
        <f>IFERROR(W38/X38-1,"")</f>
        <v/>
      </c>
    </row>
    <row r="39">
      <c r="A39" s="7" t="inlineStr">
        <is>
          <t>202601</t>
        </is>
      </c>
      <c r="B39" s="8" t="n">
        <v>10769</v>
      </c>
      <c r="C39" s="9" t="n">
        <v>0.1349676406078095</v>
      </c>
      <c r="D39" s="9" t="n">
        <v>0.1295923693386644</v>
      </c>
      <c r="E39" s="9" t="n">
        <v>0.1153974652002644</v>
      </c>
      <c r="F39" s="9" t="n">
        <v>0.001578605255826911</v>
      </c>
      <c r="G39" s="9" t="n">
        <v>0.00594298449252484</v>
      </c>
      <c r="H39" s="9" t="n">
        <v>0.01058594112730987</v>
      </c>
      <c r="I39" s="9" t="n"/>
      <c r="J39" s="9" t="n"/>
      <c r="K39" s="9" t="n"/>
      <c r="L39" s="9" t="n"/>
      <c r="M39" s="9" t="n"/>
      <c r="N39" s="9" t="n"/>
      <c r="O39" s="9" t="n"/>
      <c r="P39" s="13" t="n">
        <v>-0.0827512368458839</v>
      </c>
      <c r="Q39" s="14" t="n">
        <v>1.492295713035885</v>
      </c>
      <c r="R39" s="15" t="n">
        <v>5</v>
      </c>
      <c r="S39" s="9" t="n">
        <v>0.01058594112730987</v>
      </c>
      <c r="T39" s="13" t="n">
        <v>4.081911262798635</v>
      </c>
      <c r="U39" s="9" t="n">
        <v>0.04321087231488944</v>
      </c>
      <c r="V39" s="8" t="n">
        <v>4354</v>
      </c>
      <c r="W39" s="9" t="n">
        <v>0.1133804626276977</v>
      </c>
      <c r="X39" s="9" t="n"/>
      <c r="Y39" s="10">
        <f>IFERROR(D39/O39-1,"")</f>
        <v/>
      </c>
      <c r="Z39" s="10">
        <f>IFERROR(E39/O39-1,"")</f>
        <v/>
      </c>
      <c r="AA39" s="10">
        <f>IFERROR(E39/U39-1,"")</f>
        <v/>
      </c>
      <c r="AB39" s="10">
        <f>IFERROR(W39/X39-1,"")</f>
        <v/>
      </c>
    </row>
    <row r="40">
      <c r="A40" s="7" t="inlineStr">
        <is>
          <t>202602</t>
        </is>
      </c>
      <c r="B40" s="8" t="n">
        <v>10156</v>
      </c>
      <c r="C40" s="9" t="n">
        <v>0.143848975170323</v>
      </c>
      <c r="D40" s="9" t="n">
        <v>0.1382925912086581</v>
      </c>
      <c r="E40" s="9" t="n">
        <v>0.1330338800805461</v>
      </c>
      <c r="F40" s="9" t="n">
        <v>0.00334777471445451</v>
      </c>
      <c r="G40" s="9" t="n">
        <v>0.01004332414336353</v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13" t="n">
        <v>-0.0370388932419964</v>
      </c>
      <c r="Q40" s="14" t="n">
        <v>2.53647494332808</v>
      </c>
      <c r="R40" s="15" t="n">
        <v>4</v>
      </c>
      <c r="S40" s="9" t="n">
        <v>0.01004332414336353</v>
      </c>
      <c r="T40" s="13" t="n">
        <v>7.617834394904459</v>
      </c>
      <c r="U40" s="9" t="n">
        <v>0.07650838009848905</v>
      </c>
      <c r="V40" s="8" t="n">
        <v>4052</v>
      </c>
      <c r="W40" s="9" t="n">
        <v>0.1334375076490481</v>
      </c>
      <c r="X40" s="9" t="n"/>
      <c r="Y40" s="10">
        <f>IFERROR(D40/O40-1,"")</f>
        <v/>
      </c>
      <c r="Z40" s="10">
        <f>IFERROR(E40/O40-1,"")</f>
        <v/>
      </c>
      <c r="AA40" s="10">
        <f>IFERROR(E40/U40-1,"")</f>
        <v/>
      </c>
      <c r="AB40" s="10">
        <f>IFERROR(W40/X40-1,"")</f>
        <v/>
      </c>
    </row>
    <row r="41">
      <c r="A41" s="7" t="inlineStr">
        <is>
          <t>202603</t>
        </is>
      </c>
      <c r="B41" s="8" t="n">
        <v>10535</v>
      </c>
      <c r="C41" s="9" t="n">
        <v>0.1416904522089255</v>
      </c>
      <c r="D41" s="9" t="n">
        <v>0.136140821811199</v>
      </c>
      <c r="E41" s="9" t="n">
        <v>0.1411487437223177</v>
      </c>
      <c r="F41" s="9" t="n">
        <v>0.001613668723303275</v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3" t="n">
        <v>0.014389803325765</v>
      </c>
      <c r="Q41" s="14" t="n">
        <v>3.711229343636036</v>
      </c>
      <c r="R41" s="15" t="n">
        <v>3</v>
      </c>
      <c r="S41" s="9" t="n">
        <v>0.001613668723303275</v>
      </c>
      <c r="T41" s="13" t="n">
        <v>33.69711538461539</v>
      </c>
      <c r="U41" s="9" t="n">
        <v>0.05437598116169545</v>
      </c>
      <c r="V41" s="8" t="n">
        <v>4301</v>
      </c>
      <c r="W41" s="9" t="n">
        <v>0.1404283495067869</v>
      </c>
      <c r="X41" s="9" t="n"/>
      <c r="Y41" s="10">
        <f>IFERROR(D41/O41-1,"")</f>
        <v/>
      </c>
      <c r="Z41" s="10">
        <f>IFERROR(E41/O41-1,"")</f>
        <v/>
      </c>
      <c r="AA41" s="10">
        <f>IFERROR(E41/U41-1,"")</f>
        <v/>
      </c>
      <c r="AB41" s="10">
        <f>IFERROR(W41/X41-1,"")</f>
        <v/>
      </c>
    </row>
    <row r="42">
      <c r="A42" s="7" t="inlineStr">
        <is>
          <t>202604</t>
        </is>
      </c>
      <c r="B42" s="8" t="n">
        <v>9342</v>
      </c>
      <c r="C42" s="9" t="n">
        <v>0.139403109548877</v>
      </c>
      <c r="D42" s="9" t="n">
        <v>0.1321783871188548</v>
      </c>
      <c r="E42" s="9" t="n">
        <v>0.1407362905704298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3" t="n">
        <v>0.0241851909297492</v>
      </c>
      <c r="Q42" s="14" t="n">
        <v>3.934979418175466</v>
      </c>
      <c r="R42" s="15" t="n"/>
      <c r="S42" s="9" t="n"/>
      <c r="T42" s="13" t="n"/>
      <c r="U42" s="9" t="n"/>
      <c r="V42" s="8" t="n">
        <v>3809</v>
      </c>
      <c r="W42" s="9" t="n">
        <v>0.1377864915987283</v>
      </c>
      <c r="X42" s="9" t="n"/>
      <c r="Y42" s="10">
        <f>IFERROR(D42/O42-1,"")</f>
        <v/>
      </c>
      <c r="Z42" s="10">
        <f>IFERROR(E42/O42-1,"")</f>
        <v/>
      </c>
      <c r="AA42" s="10">
        <f>IFERROR(E42/U42-1,"")</f>
        <v/>
      </c>
      <c r="AB42" s="10">
        <f>IFERROR(W42/X42-1,"")</f>
        <v/>
      </c>
    </row>
    <row r="43">
      <c r="A43" s="7" t="inlineStr">
        <is>
          <t>202605</t>
        </is>
      </c>
      <c r="B43" s="8" t="n">
        <v>9164</v>
      </c>
      <c r="C43" s="9" t="n">
        <v>0.1364245641335726</v>
      </c>
      <c r="D43" s="9" t="n">
        <v>0.1291630102006661</v>
      </c>
      <c r="E43" s="9" t="n">
        <v>0.1363923855494879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3" t="n">
        <v>0.0192471239254993</v>
      </c>
      <c r="Q43" s="14" t="n">
        <v>3.822182160430176</v>
      </c>
      <c r="R43" s="15" t="n"/>
      <c r="S43" s="9" t="n"/>
      <c r="T43" s="13" t="n"/>
      <c r="U43" s="9" t="n"/>
      <c r="V43" s="8" t="n">
        <v>3650</v>
      </c>
      <c r="W43" s="9" t="n">
        <v>0.1335733955648771</v>
      </c>
      <c r="X43" s="9" t="n"/>
      <c r="Y43" s="10">
        <f>IFERROR(D43/O43-1,"")</f>
        <v/>
      </c>
      <c r="Z43" s="10">
        <f>IFERROR(E43/O43-1,"")</f>
        <v/>
      </c>
      <c r="AA43" s="10">
        <f>IFERROR(E43/U43-1,"")</f>
        <v/>
      </c>
      <c r="AB43" s="10">
        <f>IFERROR(W43/X43-1,"")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</cols>
  <sheetData>
    <row r="1">
      <c r="A1" s="1" t="inlineStr">
        <is>
          <t>ENT 00006 BBVA</t>
        </is>
      </c>
    </row>
    <row r="2">
      <c r="A2" s="2" t="inlineStr">
        <is>
          <t>Entidad 00006 (BBVA), poblacion clean</t>
        </is>
      </c>
    </row>
    <row r="4" ht="30" customHeight="1">
      <c r="A4" s="6" t="inlineStr">
        <is>
          <t>codmes</t>
        </is>
      </c>
      <c r="B4" s="6" t="inlineStr">
        <is>
          <t>n</t>
        </is>
      </c>
      <c r="C4" s="6" t="inlineStr">
        <is>
          <t>PD sin calibrar</t>
        </is>
      </c>
      <c r="D4" s="6" t="inlineStr">
        <is>
          <t>PD cal vigente</t>
        </is>
      </c>
      <c r="E4" s="6" t="inlineStr">
        <is>
          <t>PD cal NUEVA</t>
        </is>
      </c>
      <c r="F4" s="6" t="inlineStr">
        <is>
          <t>mora 3m</t>
        </is>
      </c>
      <c r="G4" s="6" t="inlineStr">
        <is>
          <t>mora 4m</t>
        </is>
      </c>
      <c r="H4" s="6" t="inlineStr">
        <is>
          <t>mora 5m</t>
        </is>
      </c>
      <c r="I4" s="6" t="inlineStr">
        <is>
          <t>mora 6m</t>
        </is>
      </c>
      <c r="J4" s="6" t="inlineStr">
        <is>
          <t>mora 7m</t>
        </is>
      </c>
      <c r="K4" s="6" t="inlineStr">
        <is>
          <t>mora 8m</t>
        </is>
      </c>
      <c r="L4" s="6" t="inlineStr">
        <is>
          <t>mora 9m</t>
        </is>
      </c>
      <c r="M4" s="6" t="inlineStr">
        <is>
          <t>mora 10m</t>
        </is>
      </c>
      <c r="N4" s="6" t="inlineStr">
        <is>
          <t>mora 11m</t>
        </is>
      </c>
      <c r="O4" s="6" t="inlineStr">
        <is>
          <t>mora 12m</t>
        </is>
      </c>
      <c r="P4" s="6" t="inlineStr">
        <is>
          <t>ft ciclo</t>
        </is>
      </c>
      <c r="Q4" s="6" t="inlineStr">
        <is>
          <t>inflacion %</t>
        </is>
      </c>
      <c r="R4" s="6" t="inlineStr">
        <is>
          <t>madurez</t>
        </is>
      </c>
      <c r="S4" s="6" t="inlineStr">
        <is>
          <t>mora base</t>
        </is>
      </c>
      <c r="T4" s="6" t="inlineStr">
        <is>
          <t>factor h-&gt;12</t>
        </is>
      </c>
      <c r="U4" s="6" t="inlineStr">
        <is>
          <t>proy mediana</t>
        </is>
      </c>
      <c r="V4" s="6" t="inlineStr">
        <is>
          <t>n visible IBK</t>
        </is>
      </c>
      <c r="W4" s="6" t="inlineStr">
        <is>
          <t>PD cal NUEVA visible</t>
        </is>
      </c>
      <c r="X4" s="6" t="inlineStr">
        <is>
          <t>mora 12m visible</t>
        </is>
      </c>
      <c r="Y4" s="6" t="inlineStr">
        <is>
          <t>EC vigente</t>
        </is>
      </c>
      <c r="Z4" s="6" t="inlineStr">
        <is>
          <t>EC NUEVA</t>
        </is>
      </c>
      <c r="AA4" s="6" t="inlineStr">
        <is>
          <t>EC NUEVA vs proy</t>
        </is>
      </c>
      <c r="AB4" s="6" t="inlineStr">
        <is>
          <t>EC NUEVA visible</t>
        </is>
      </c>
    </row>
    <row r="5">
      <c r="A5" s="7" t="inlineStr">
        <is>
          <t>202303</t>
        </is>
      </c>
      <c r="B5" s="8" t="n">
        <v>6224</v>
      </c>
      <c r="C5" s="9" t="n">
        <v>0.1398784197327635</v>
      </c>
      <c r="D5" s="9" t="n">
        <v>0.1760068872662508</v>
      </c>
      <c r="E5" s="9" t="n">
        <v>0.1602644708199183</v>
      </c>
      <c r="F5" s="9" t="n">
        <v>0.007390745501285347</v>
      </c>
      <c r="G5" s="9" t="n">
        <v>0.02442159383033419</v>
      </c>
      <c r="H5" s="9" t="n">
        <v>0.03839974293059126</v>
      </c>
      <c r="I5" s="9" t="n">
        <v>0.05189588688946015</v>
      </c>
      <c r="J5" s="9" t="n">
        <v>0.06748071979434447</v>
      </c>
      <c r="K5" s="9" t="n">
        <v>0.07969151670951156</v>
      </c>
      <c r="L5" s="9" t="n">
        <v>0.09302699228791773</v>
      </c>
      <c r="M5" s="9" t="n">
        <v>0.105719794344473</v>
      </c>
      <c r="N5" s="9" t="n">
        <v>0.1172879177377892</v>
      </c>
      <c r="O5" s="9" t="n">
        <v>0.1277313624678663</v>
      </c>
      <c r="P5" s="13" t="n">
        <v>0.2313077929548288</v>
      </c>
      <c r="Q5" s="14" t="n">
        <v>8.666154897445178</v>
      </c>
      <c r="R5" s="15" t="n">
        <v>12</v>
      </c>
      <c r="S5" s="9" t="n">
        <v>0.1277313624678663</v>
      </c>
      <c r="T5" s="13" t="n">
        <v>1</v>
      </c>
      <c r="U5" s="9" t="n">
        <v>0.1277313624678663</v>
      </c>
      <c r="V5" s="8" t="n">
        <v>2046</v>
      </c>
      <c r="W5" s="9" t="n">
        <v>0.1662742514166507</v>
      </c>
      <c r="X5" s="9" t="n">
        <v>0.1495601173020528</v>
      </c>
      <c r="Y5" s="10">
        <f>IFERROR(D5/O5-1,"")</f>
        <v/>
      </c>
      <c r="Z5" s="10">
        <f>IFERROR(E5/O5-1,"")</f>
        <v/>
      </c>
      <c r="AA5" s="10">
        <f>IFERROR(E5/U5-1,"")</f>
        <v/>
      </c>
      <c r="AB5" s="10">
        <f>IFERROR(W5/X5-1,"")</f>
        <v/>
      </c>
    </row>
    <row r="6">
      <c r="A6" s="7" t="inlineStr">
        <is>
          <t>202304</t>
        </is>
      </c>
      <c r="B6" s="8" t="n">
        <v>8412</v>
      </c>
      <c r="C6" s="9" t="n">
        <v>0.1463369070097257</v>
      </c>
      <c r="D6" s="9" t="n">
        <v>0.1840185172416542</v>
      </c>
      <c r="E6" s="9" t="n">
        <v>0.1681283606053978</v>
      </c>
      <c r="F6" s="9" t="n">
        <v>0.004636233951497861</v>
      </c>
      <c r="G6" s="9" t="n">
        <v>0.0248454588682834</v>
      </c>
      <c r="H6" s="9" t="n">
        <v>0.04243937232524964</v>
      </c>
      <c r="I6" s="9" t="n">
        <v>0.05932001902044698</v>
      </c>
      <c r="J6" s="9" t="n">
        <v>0.07596291012838802</v>
      </c>
      <c r="K6" s="9" t="n">
        <v>0.09082263433190679</v>
      </c>
      <c r="L6" s="9" t="n">
        <v>0.1042558250118878</v>
      </c>
      <c r="M6" s="9" t="n">
        <v>0.1175701378982406</v>
      </c>
      <c r="N6" s="9" t="n">
        <v>0.1298145506419401</v>
      </c>
      <c r="O6" s="9" t="n">
        <v>0.1432477413219211</v>
      </c>
      <c r="P6" s="13" t="n">
        <v>0.2039883111878369</v>
      </c>
      <c r="Q6" s="14" t="n">
        <v>8.042112610516504</v>
      </c>
      <c r="R6" s="15" t="n">
        <v>12</v>
      </c>
      <c r="S6" s="9" t="n">
        <v>0.1432477413219211</v>
      </c>
      <c r="T6" s="13" t="n">
        <v>1</v>
      </c>
      <c r="U6" s="9" t="n">
        <v>0.1432477413219211</v>
      </c>
      <c r="V6" s="8" t="n">
        <v>3098</v>
      </c>
      <c r="W6" s="9" t="n">
        <v>0.1761595951254721</v>
      </c>
      <c r="X6" s="9" t="n">
        <v>0.1688185926404132</v>
      </c>
      <c r="Y6" s="10">
        <f>IFERROR(D6/O6-1,"")</f>
        <v/>
      </c>
      <c r="Z6" s="10">
        <f>IFERROR(E6/O6-1,"")</f>
        <v/>
      </c>
      <c r="AA6" s="10">
        <f>IFERROR(E6/U6-1,"")</f>
        <v/>
      </c>
      <c r="AB6" s="10">
        <f>IFERROR(W6/X6-1,"")</f>
        <v/>
      </c>
    </row>
    <row r="7">
      <c r="A7" s="7" t="inlineStr">
        <is>
          <t>202305</t>
        </is>
      </c>
      <c r="B7" s="8" t="n">
        <v>6968</v>
      </c>
      <c r="C7" s="9" t="n">
        <v>0.1470605224638538</v>
      </c>
      <c r="D7" s="9" t="n">
        <v>0.1846665765755477</v>
      </c>
      <c r="E7" s="9" t="n">
        <v>0.1687419594247823</v>
      </c>
      <c r="F7" s="9" t="n">
        <v>0.007893226176808266</v>
      </c>
      <c r="G7" s="9" t="n">
        <v>0.0271239954075775</v>
      </c>
      <c r="H7" s="9" t="n">
        <v>0.04405855338691159</v>
      </c>
      <c r="I7" s="9" t="n">
        <v>0.06199770378874857</v>
      </c>
      <c r="J7" s="9" t="n">
        <v>0.07548794489092997</v>
      </c>
      <c r="K7" s="9" t="n">
        <v>0.09041331802525833</v>
      </c>
      <c r="L7" s="9" t="n">
        <v>0.1031859931113662</v>
      </c>
      <c r="M7" s="9" t="n">
        <v>0.1153846153846154</v>
      </c>
      <c r="N7" s="9" t="n">
        <v>0.1278702640642939</v>
      </c>
      <c r="O7" s="9" t="n">
        <v>0.1403559127439724</v>
      </c>
      <c r="P7" s="13" t="n">
        <v>0.2015420225900039</v>
      </c>
      <c r="Q7" s="14" t="n">
        <v>7.986233529643028</v>
      </c>
      <c r="R7" s="15" t="n">
        <v>12</v>
      </c>
      <c r="S7" s="9" t="n">
        <v>0.1403559127439724</v>
      </c>
      <c r="T7" s="13" t="n">
        <v>1</v>
      </c>
      <c r="U7" s="9" t="n">
        <v>0.1403559127439724</v>
      </c>
      <c r="V7" s="8" t="n">
        <v>2455</v>
      </c>
      <c r="W7" s="9" t="n">
        <v>0.1767136382091061</v>
      </c>
      <c r="X7" s="9" t="n">
        <v>0.1617107942973524</v>
      </c>
      <c r="Y7" s="10">
        <f>IFERROR(D7/O7-1,"")</f>
        <v/>
      </c>
      <c r="Z7" s="10">
        <f>IFERROR(E7/O7-1,"")</f>
        <v/>
      </c>
      <c r="AA7" s="10">
        <f>IFERROR(E7/U7-1,"")</f>
        <v/>
      </c>
      <c r="AB7" s="10">
        <f>IFERROR(W7/X7-1,"")</f>
        <v/>
      </c>
    </row>
    <row r="8">
      <c r="A8" s="7" t="inlineStr">
        <is>
          <t>202306</t>
        </is>
      </c>
      <c r="B8" s="8" t="n">
        <v>5081</v>
      </c>
      <c r="C8" s="9" t="n">
        <v>0.1432389154662927</v>
      </c>
      <c r="D8" s="9" t="n">
        <v>0.1795061581053794</v>
      </c>
      <c r="E8" s="9" t="n">
        <v>0.1634776971071958</v>
      </c>
      <c r="F8" s="9" t="n">
        <v>0.005707537886242866</v>
      </c>
      <c r="G8" s="9" t="n">
        <v>0.02046841172997441</v>
      </c>
      <c r="H8" s="9" t="n">
        <v>0.03345798071245817</v>
      </c>
      <c r="I8" s="9" t="n">
        <v>0.05018697106868727</v>
      </c>
      <c r="J8" s="9" t="n">
        <v>0.0645542216099193</v>
      </c>
      <c r="K8" s="9" t="n">
        <v>0.07380436921865774</v>
      </c>
      <c r="L8" s="9" t="n">
        <v>0.086400314898642</v>
      </c>
      <c r="M8" s="9" t="n">
        <v>0.09722495571737846</v>
      </c>
      <c r="N8" s="9" t="n">
        <v>0.109624089746113</v>
      </c>
      <c r="O8" s="9" t="n">
        <v>0.1196614839598504</v>
      </c>
      <c r="P8" s="13" t="n">
        <v>0.145631156252523</v>
      </c>
      <c r="Q8" s="14" t="n">
        <v>6.709095654518293</v>
      </c>
      <c r="R8" s="15" t="n">
        <v>12</v>
      </c>
      <c r="S8" s="9" t="n">
        <v>0.1196614839598504</v>
      </c>
      <c r="T8" s="13" t="n">
        <v>1</v>
      </c>
      <c r="U8" s="9" t="n">
        <v>0.1196614839598504</v>
      </c>
      <c r="V8" s="8" t="n">
        <v>1824</v>
      </c>
      <c r="W8" s="9" t="n">
        <v>0.1714369019270773</v>
      </c>
      <c r="X8" s="9" t="n">
        <v>0.1441885964912281</v>
      </c>
      <c r="Y8" s="10">
        <f>IFERROR(D8/O8-1,"")</f>
        <v/>
      </c>
      <c r="Z8" s="10">
        <f>IFERROR(E8/O8-1,"")</f>
        <v/>
      </c>
      <c r="AA8" s="10">
        <f>IFERROR(E8/U8-1,"")</f>
        <v/>
      </c>
      <c r="AB8" s="10">
        <f>IFERROR(W8/X8-1,"")</f>
        <v/>
      </c>
    </row>
    <row r="9">
      <c r="A9" s="7" t="inlineStr">
        <is>
          <t>202307</t>
        </is>
      </c>
      <c r="B9" s="8" t="n">
        <v>4227</v>
      </c>
      <c r="C9" s="9" t="n">
        <v>0.1413600462168695</v>
      </c>
      <c r="D9" s="9" t="n">
        <v>0.1441238007611992</v>
      </c>
      <c r="E9" s="9" t="n">
        <v>0.158671499324147</v>
      </c>
      <c r="F9" s="9" t="n">
        <v>0.004731488052992667</v>
      </c>
      <c r="G9" s="9" t="n">
        <v>0.0227111426543648</v>
      </c>
      <c r="H9" s="9" t="n">
        <v>0.03643245800804353</v>
      </c>
      <c r="I9" s="9" t="n">
        <v>0.0468417317246274</v>
      </c>
      <c r="J9" s="9" t="n">
        <v>0.05654128223326236</v>
      </c>
      <c r="K9" s="9" t="n">
        <v>0.0695528743789922</v>
      </c>
      <c r="L9" s="9" t="n">
        <v>0.08209131771942275</v>
      </c>
      <c r="M9" s="9" t="n">
        <v>0.09368346344925479</v>
      </c>
      <c r="N9" s="9" t="n">
        <v>0.1057487579843861</v>
      </c>
      <c r="O9" s="9" t="n">
        <v>0.1178140525195174</v>
      </c>
      <c r="P9" s="13" t="n">
        <v>0.1154476643960626</v>
      </c>
      <c r="Q9" s="14" t="n">
        <v>6.019632529037033</v>
      </c>
      <c r="R9" s="15" t="n">
        <v>12</v>
      </c>
      <c r="S9" s="9" t="n">
        <v>0.1178140525195174</v>
      </c>
      <c r="T9" s="13" t="n">
        <v>1</v>
      </c>
      <c r="U9" s="9" t="n">
        <v>0.1178140525195174</v>
      </c>
      <c r="V9" s="8" t="n">
        <v>1584</v>
      </c>
      <c r="W9" s="9" t="n">
        <v>0.1669038799414451</v>
      </c>
      <c r="X9" s="9" t="n">
        <v>0.139520202020202</v>
      </c>
      <c r="Y9" s="10">
        <f>IFERROR(D9/O9-1,"")</f>
        <v/>
      </c>
      <c r="Z9" s="10">
        <f>IFERROR(E9/O9-1,"")</f>
        <v/>
      </c>
      <c r="AA9" s="10">
        <f>IFERROR(E9/U9-1,"")</f>
        <v/>
      </c>
      <c r="AB9" s="10">
        <f>IFERROR(W9/X9-1,"")</f>
        <v/>
      </c>
    </row>
    <row r="10">
      <c r="A10" s="7" t="inlineStr">
        <is>
          <t>202308</t>
        </is>
      </c>
      <c r="B10" s="8" t="n">
        <v>4582</v>
      </c>
      <c r="C10" s="9" t="n">
        <v>0.134328865113419</v>
      </c>
      <c r="D10" s="9" t="n">
        <v>0.137055326255005</v>
      </c>
      <c r="E10" s="9" t="n">
        <v>0.1510084467813982</v>
      </c>
      <c r="F10" s="9" t="n">
        <v>0.005456132693147098</v>
      </c>
      <c r="G10" s="9" t="n">
        <v>0.01964207769532955</v>
      </c>
      <c r="H10" s="9" t="n">
        <v>0.03317328677433435</v>
      </c>
      <c r="I10" s="9" t="n">
        <v>0.04299432562199913</v>
      </c>
      <c r="J10" s="9" t="n">
        <v>0.05696202531645569</v>
      </c>
      <c r="K10" s="9" t="n">
        <v>0.06700130947184635</v>
      </c>
      <c r="L10" s="9" t="n">
        <v>0.07965953731994763</v>
      </c>
      <c r="M10" s="9" t="n">
        <v>0.08860759493670886</v>
      </c>
      <c r="N10" s="9" t="n">
        <v>0.09799214316892187</v>
      </c>
      <c r="O10" s="9" t="n">
        <v>0.1080314273243125</v>
      </c>
      <c r="P10" s="13" t="n">
        <v>0.1052420450312428</v>
      </c>
      <c r="Q10" s="14" t="n">
        <v>5.786511780178594</v>
      </c>
      <c r="R10" s="15" t="n">
        <v>12</v>
      </c>
      <c r="S10" s="9" t="n">
        <v>0.1080314273243125</v>
      </c>
      <c r="T10" s="13" t="n">
        <v>1</v>
      </c>
      <c r="U10" s="9" t="n">
        <v>0.1080314273243125</v>
      </c>
      <c r="V10" s="8" t="n">
        <v>1643</v>
      </c>
      <c r="W10" s="9" t="n">
        <v>0.1543770451273145</v>
      </c>
      <c r="X10" s="9" t="n">
        <v>0.1320754716981132</v>
      </c>
      <c r="Y10" s="10">
        <f>IFERROR(D10/O10-1,"")</f>
        <v/>
      </c>
      <c r="Z10" s="10">
        <f>IFERROR(E10/O10-1,"")</f>
        <v/>
      </c>
      <c r="AA10" s="10">
        <f>IFERROR(E10/U10-1,"")</f>
        <v/>
      </c>
      <c r="AB10" s="10">
        <f>IFERROR(W10/X10-1,"")</f>
        <v/>
      </c>
    </row>
    <row r="11">
      <c r="A11" s="7" t="inlineStr">
        <is>
          <t>202309</t>
        </is>
      </c>
      <c r="B11" s="8" t="n">
        <v>4452</v>
      </c>
      <c r="C11" s="9" t="n">
        <v>0.1340595107949828</v>
      </c>
      <c r="D11" s="9" t="n">
        <v>0.1287980958535307</v>
      </c>
      <c r="E11" s="9" t="n">
        <v>0.1465862139884745</v>
      </c>
      <c r="F11" s="9" t="n">
        <v>0.003369272237196766</v>
      </c>
      <c r="G11" s="9" t="n">
        <v>0.01931716082659479</v>
      </c>
      <c r="H11" s="9" t="n">
        <v>0.02942497753818508</v>
      </c>
      <c r="I11" s="9" t="n">
        <v>0.04222821203953279</v>
      </c>
      <c r="J11" s="9" t="n">
        <v>0.05233602875112309</v>
      </c>
      <c r="K11" s="9" t="n">
        <v>0.06289308176100629</v>
      </c>
      <c r="L11" s="9" t="n">
        <v>0.07255166217430369</v>
      </c>
      <c r="M11" s="9" t="n">
        <v>0.08198562443845463</v>
      </c>
      <c r="N11" s="9" t="n">
        <v>0.09029649595687332</v>
      </c>
      <c r="O11" s="9" t="n">
        <v>0.09905660377358491</v>
      </c>
      <c r="P11" s="13" t="n">
        <v>0.0826428782528265</v>
      </c>
      <c r="Q11" s="14" t="n">
        <v>5.270292774292296</v>
      </c>
      <c r="R11" s="15" t="n">
        <v>12</v>
      </c>
      <c r="S11" s="9" t="n">
        <v>0.09905660377358491</v>
      </c>
      <c r="T11" s="13" t="n">
        <v>1</v>
      </c>
      <c r="U11" s="9" t="n">
        <v>0.09905660377358491</v>
      </c>
      <c r="V11" s="8" t="n">
        <v>1600</v>
      </c>
      <c r="W11" s="9" t="n">
        <v>0.1533704072893994</v>
      </c>
      <c r="X11" s="9" t="n">
        <v>0.11375</v>
      </c>
      <c r="Y11" s="10">
        <f>IFERROR(D11/O11-1,"")</f>
        <v/>
      </c>
      <c r="Z11" s="10">
        <f>IFERROR(E11/O11-1,"")</f>
        <v/>
      </c>
      <c r="AA11" s="10">
        <f>IFERROR(E11/U11-1,"")</f>
        <v/>
      </c>
      <c r="AB11" s="10">
        <f>IFERROR(W11/X11-1,"")</f>
        <v/>
      </c>
    </row>
    <row r="12">
      <c r="A12" s="7" t="inlineStr">
        <is>
          <t>202310</t>
        </is>
      </c>
      <c r="B12" s="8" t="n">
        <v>4943</v>
      </c>
      <c r="C12" s="9" t="n">
        <v>0.1337841828115361</v>
      </c>
      <c r="D12" s="9" t="n">
        <v>0.135658197774737</v>
      </c>
      <c r="E12" s="9" t="n">
        <v>0.1396058948902391</v>
      </c>
      <c r="F12" s="9" t="n">
        <v>0.004248432126239126</v>
      </c>
      <c r="G12" s="9" t="n">
        <v>0.01719603479668218</v>
      </c>
      <c r="H12" s="9" t="n">
        <v>0.02913210600849686</v>
      </c>
      <c r="I12" s="9" t="n">
        <v>0.04005664576168319</v>
      </c>
      <c r="J12" s="9" t="n">
        <v>0.05077887922314384</v>
      </c>
      <c r="K12" s="9" t="n">
        <v>0.06150111268460449</v>
      </c>
      <c r="L12" s="9" t="n">
        <v>0.07283026502124217</v>
      </c>
      <c r="M12" s="9" t="n">
        <v>0.08254096702407444</v>
      </c>
      <c r="N12" s="9" t="n">
        <v>0.08881246206757031</v>
      </c>
      <c r="O12" s="9" t="n">
        <v>0.09488165081934048</v>
      </c>
      <c r="P12" s="13" t="n">
        <v>0.0496812016861095</v>
      </c>
      <c r="Q12" s="14" t="n">
        <v>4.517369267135951</v>
      </c>
      <c r="R12" s="15" t="n">
        <v>12</v>
      </c>
      <c r="S12" s="9" t="n">
        <v>0.09488165081934048</v>
      </c>
      <c r="T12" s="13" t="n">
        <v>1</v>
      </c>
      <c r="U12" s="9" t="n">
        <v>0.09488165081934048</v>
      </c>
      <c r="V12" s="8" t="n">
        <v>1679</v>
      </c>
      <c r="W12" s="9" t="n">
        <v>0.145323346009685</v>
      </c>
      <c r="X12" s="9" t="n">
        <v>0.1149493746277546</v>
      </c>
      <c r="Y12" s="10">
        <f>IFERROR(D12/O12-1,"")</f>
        <v/>
      </c>
      <c r="Z12" s="10">
        <f>IFERROR(E12/O12-1,"")</f>
        <v/>
      </c>
      <c r="AA12" s="10">
        <f>IFERROR(E12/U12-1,"")</f>
        <v/>
      </c>
      <c r="AB12" s="10">
        <f>IFERROR(W12/X12-1,"")</f>
        <v/>
      </c>
    </row>
    <row r="13">
      <c r="A13" s="7" t="inlineStr">
        <is>
          <t>202311</t>
        </is>
      </c>
      <c r="B13" s="8" t="n">
        <v>4862</v>
      </c>
      <c r="C13" s="9" t="n">
        <v>0.1353422652040074</v>
      </c>
      <c r="D13" s="9" t="n">
        <v>0.1377022733786597</v>
      </c>
      <c r="E13" s="9" t="n">
        <v>0.1349472684729881</v>
      </c>
      <c r="F13" s="9" t="n">
        <v>0.004113533525298231</v>
      </c>
      <c r="G13" s="9" t="n">
        <v>0.01727684080625257</v>
      </c>
      <c r="H13" s="9" t="n">
        <v>0.02817770464829288</v>
      </c>
      <c r="I13" s="9" t="n">
        <v>0.03825586178527355</v>
      </c>
      <c r="J13" s="9" t="n">
        <v>0.05100781571369806</v>
      </c>
      <c r="K13" s="9" t="n">
        <v>0.06334841628959276</v>
      </c>
      <c r="L13" s="9" t="n">
        <v>0.07260386672151378</v>
      </c>
      <c r="M13" s="9" t="n">
        <v>0.07877416700946113</v>
      </c>
      <c r="N13" s="9" t="n">
        <v>0.08782394076511724</v>
      </c>
      <c r="O13" s="9" t="n">
        <v>0.09399424105306459</v>
      </c>
      <c r="P13" s="13" t="n">
        <v>0.0176922115343233</v>
      </c>
      <c r="Q13" s="14" t="n">
        <v>3.786664243478488</v>
      </c>
      <c r="R13" s="15" t="n">
        <v>12</v>
      </c>
      <c r="S13" s="9" t="n">
        <v>0.09399424105306459</v>
      </c>
      <c r="T13" s="13" t="n">
        <v>1</v>
      </c>
      <c r="U13" s="9" t="n">
        <v>0.09399424105306459</v>
      </c>
      <c r="V13" s="8" t="n">
        <v>1682</v>
      </c>
      <c r="W13" s="9" t="n">
        <v>0.1393392035143871</v>
      </c>
      <c r="X13" s="9" t="n">
        <v>0.1189060642092747</v>
      </c>
      <c r="Y13" s="10">
        <f>IFERROR(D13/O13-1,"")</f>
        <v/>
      </c>
      <c r="Z13" s="10">
        <f>IFERROR(E13/O13-1,"")</f>
        <v/>
      </c>
      <c r="AA13" s="10">
        <f>IFERROR(E13/U13-1,"")</f>
        <v/>
      </c>
      <c r="AB13" s="10">
        <f>IFERROR(W13/X13-1,"")</f>
        <v/>
      </c>
    </row>
    <row r="14">
      <c r="A14" s="7" t="inlineStr">
        <is>
          <t>202312</t>
        </is>
      </c>
      <c r="B14" s="8" t="n">
        <v>4874</v>
      </c>
      <c r="C14" s="9" t="n">
        <v>0.137807207920955</v>
      </c>
      <c r="D14" s="9" t="n">
        <v>0.1402034707652893</v>
      </c>
      <c r="E14" s="9" t="n">
        <v>0.1343966976840277</v>
      </c>
      <c r="F14" s="9" t="n">
        <v>0.003487894952810833</v>
      </c>
      <c r="G14" s="9" t="n">
        <v>0.01908083709478867</v>
      </c>
      <c r="H14" s="9" t="n">
        <v>0.03118588428395568</v>
      </c>
      <c r="I14" s="9" t="n">
        <v>0.04185473943373</v>
      </c>
      <c r="J14" s="9" t="n">
        <v>0.05519080837094788</v>
      </c>
      <c r="K14" s="9" t="n">
        <v>0.06524415264669675</v>
      </c>
      <c r="L14" s="9" t="n">
        <v>0.07221994255231842</v>
      </c>
      <c r="M14" s="9" t="n">
        <v>0.08350430857611818</v>
      </c>
      <c r="N14" s="9" t="n">
        <v>0.09273697168649979</v>
      </c>
      <c r="O14" s="9" t="n">
        <v>0.1005334427574887</v>
      </c>
      <c r="P14" s="13" t="n">
        <v>0.0012463846792965</v>
      </c>
      <c r="Q14" s="14" t="n">
        <v>3.411002234638927</v>
      </c>
      <c r="R14" s="15" t="n">
        <v>12</v>
      </c>
      <c r="S14" s="9" t="n">
        <v>0.1005334427574887</v>
      </c>
      <c r="T14" s="13" t="n">
        <v>1</v>
      </c>
      <c r="U14" s="9" t="n">
        <v>0.1005334427574887</v>
      </c>
      <c r="V14" s="8" t="n">
        <v>1678</v>
      </c>
      <c r="W14" s="9" t="n">
        <v>0.1434348514245283</v>
      </c>
      <c r="X14" s="9" t="n">
        <v>0.1305125148986889</v>
      </c>
      <c r="Y14" s="10">
        <f>IFERROR(D14/O14-1,"")</f>
        <v/>
      </c>
      <c r="Z14" s="10">
        <f>IFERROR(E14/O14-1,"")</f>
        <v/>
      </c>
      <c r="AA14" s="10">
        <f>IFERROR(E14/U14-1,"")</f>
        <v/>
      </c>
      <c r="AB14" s="10">
        <f>IFERROR(W14/X14-1,"")</f>
        <v/>
      </c>
    </row>
    <row r="15">
      <c r="A15" s="7" t="inlineStr">
        <is>
          <t>202401</t>
        </is>
      </c>
      <c r="B15" s="8" t="n">
        <v>6360</v>
      </c>
      <c r="C15" s="9" t="n">
        <v>0.1378051669041058</v>
      </c>
      <c r="D15" s="9" t="n">
        <v>0.1323755219088188</v>
      </c>
      <c r="E15" s="9" t="n">
        <v>0.130706156527466</v>
      </c>
      <c r="F15" s="9" t="n">
        <v>0.004245283018867924</v>
      </c>
      <c r="G15" s="9" t="n">
        <v>0.02185534591194968</v>
      </c>
      <c r="H15" s="9" t="n">
        <v>0.0360062893081761</v>
      </c>
      <c r="I15" s="9" t="n">
        <v>0.05078616352201258</v>
      </c>
      <c r="J15" s="9" t="n">
        <v>0.06069182389937107</v>
      </c>
      <c r="K15" s="9" t="n">
        <v>0.07075471698113207</v>
      </c>
      <c r="L15" s="9" t="n">
        <v>0.07924528301886792</v>
      </c>
      <c r="M15" s="9" t="n">
        <v>0.08710691823899371</v>
      </c>
      <c r="N15" s="9" t="n">
        <v>0.09198113207547169</v>
      </c>
      <c r="O15" s="9" t="n">
        <v>0.09858490566037736</v>
      </c>
      <c r="P15" s="13" t="n">
        <v>-0.0190642825400903</v>
      </c>
      <c r="Q15" s="14" t="n">
        <v>2.947058030691863</v>
      </c>
      <c r="R15" s="15" t="n">
        <v>12</v>
      </c>
      <c r="S15" s="9" t="n">
        <v>0.09858490566037736</v>
      </c>
      <c r="T15" s="13" t="n">
        <v>1</v>
      </c>
      <c r="U15" s="9" t="n">
        <v>0.09858490566037736</v>
      </c>
      <c r="V15" s="8" t="n">
        <v>2247</v>
      </c>
      <c r="W15" s="9" t="n">
        <v>0.1374405314422053</v>
      </c>
      <c r="X15" s="9" t="n">
        <v>0.1295060080106809</v>
      </c>
      <c r="Y15" s="10">
        <f>IFERROR(D15/O15-1,"")</f>
        <v/>
      </c>
      <c r="Z15" s="10">
        <f>IFERROR(E15/O15-1,"")</f>
        <v/>
      </c>
      <c r="AA15" s="10">
        <f>IFERROR(E15/U15-1,"")</f>
        <v/>
      </c>
      <c r="AB15" s="10">
        <f>IFERROR(W15/X15-1,"")</f>
        <v/>
      </c>
    </row>
    <row r="16">
      <c r="A16" s="7" t="inlineStr">
        <is>
          <t>202402</t>
        </is>
      </c>
      <c r="B16" s="8" t="n">
        <v>6055</v>
      </c>
      <c r="C16" s="9" t="n">
        <v>0.1376466525126399</v>
      </c>
      <c r="D16" s="9" t="n">
        <v>0.1322124503128397</v>
      </c>
      <c r="E16" s="9" t="n">
        <v>0.1300399619373314</v>
      </c>
      <c r="F16" s="9" t="n">
        <v>0.00495458298926507</v>
      </c>
      <c r="G16" s="9" t="n">
        <v>0.02146985962014864</v>
      </c>
      <c r="H16" s="9" t="n">
        <v>0.03534269199009083</v>
      </c>
      <c r="I16" s="9" t="n">
        <v>0.04393063583815029</v>
      </c>
      <c r="J16" s="9" t="n">
        <v>0.05450041288191577</v>
      </c>
      <c r="K16" s="9" t="n">
        <v>0.06589595375722543</v>
      </c>
      <c r="L16" s="9" t="n">
        <v>0.07514450867052024</v>
      </c>
      <c r="M16" s="9" t="n">
        <v>0.08439306358381503</v>
      </c>
      <c r="N16" s="9" t="n">
        <v>0.0916597853014038</v>
      </c>
      <c r="O16" s="9" t="n">
        <v>0.1010734929810074</v>
      </c>
      <c r="P16" s="13" t="n">
        <v>-0.0198286684982686</v>
      </c>
      <c r="Q16" s="14" t="n">
        <v>2.929597627690584</v>
      </c>
      <c r="R16" s="15" t="n">
        <v>12</v>
      </c>
      <c r="S16" s="9" t="n">
        <v>0.1010734929810074</v>
      </c>
      <c r="T16" s="13" t="n">
        <v>1</v>
      </c>
      <c r="U16" s="9" t="n">
        <v>0.1010734929810074</v>
      </c>
      <c r="V16" s="8" t="n">
        <v>2187</v>
      </c>
      <c r="W16" s="9" t="n">
        <v>0.1365527768447572</v>
      </c>
      <c r="X16" s="9" t="n">
        <v>0.1252857796067673</v>
      </c>
      <c r="Y16" s="10">
        <f>IFERROR(D16/O16-1,"")</f>
        <v/>
      </c>
      <c r="Z16" s="10">
        <f>IFERROR(E16/O16-1,"")</f>
        <v/>
      </c>
      <c r="AA16" s="10">
        <f>IFERROR(E16/U16-1,"")</f>
        <v/>
      </c>
      <c r="AB16" s="10">
        <f>IFERROR(W16/X16-1,"")</f>
        <v/>
      </c>
    </row>
    <row r="17">
      <c r="A17" s="7" t="inlineStr">
        <is>
          <t>202403</t>
        </is>
      </c>
      <c r="B17" s="8" t="n">
        <v>3395</v>
      </c>
      <c r="C17" s="9" t="n">
        <v>0.1205408258415726</v>
      </c>
      <c r="D17" s="9" t="n">
        <v>0.1155471582198858</v>
      </c>
      <c r="E17" s="9" t="n">
        <v>0.1096537855984829</v>
      </c>
      <c r="F17" s="9" t="n">
        <v>0.005007363770250369</v>
      </c>
      <c r="G17" s="9" t="n">
        <v>0.02002945508100147</v>
      </c>
      <c r="H17" s="9" t="n">
        <v>0.02709867452135493</v>
      </c>
      <c r="I17" s="9" t="n">
        <v>0.03357879234167894</v>
      </c>
      <c r="J17" s="9" t="n">
        <v>0.04153166421207658</v>
      </c>
      <c r="K17" s="9" t="n">
        <v>0.05066273932253314</v>
      </c>
      <c r="L17" s="9" t="n">
        <v>0.05891016200294551</v>
      </c>
      <c r="M17" s="9" t="n">
        <v>0.06686303387334315</v>
      </c>
      <c r="N17" s="9" t="n">
        <v>0.07511045655375552</v>
      </c>
      <c r="O17" s="9" t="n">
        <v>0.08159057437407953</v>
      </c>
      <c r="P17" s="13" t="n">
        <v>-0.0309796378369519</v>
      </c>
      <c r="Q17" s="14" t="n">
        <v>2.67488282501116</v>
      </c>
      <c r="R17" s="15" t="n">
        <v>12</v>
      </c>
      <c r="S17" s="9" t="n">
        <v>0.08159057437407953</v>
      </c>
      <c r="T17" s="13" t="n">
        <v>1</v>
      </c>
      <c r="U17" s="9" t="n">
        <v>0.08159057437407953</v>
      </c>
      <c r="V17" s="8" t="n">
        <v>1266</v>
      </c>
      <c r="W17" s="9" t="n">
        <v>0.1135839714023463</v>
      </c>
      <c r="X17" s="9" t="n">
        <v>0.1018957345971564</v>
      </c>
      <c r="Y17" s="10">
        <f>IFERROR(D17/O17-1,"")</f>
        <v/>
      </c>
      <c r="Z17" s="10">
        <f>IFERROR(E17/O17-1,"")</f>
        <v/>
      </c>
      <c r="AA17" s="10">
        <f>IFERROR(E17/U17-1,"")</f>
        <v/>
      </c>
      <c r="AB17" s="10">
        <f>IFERROR(W17/X17-1,"")</f>
        <v/>
      </c>
    </row>
    <row r="18">
      <c r="A18" s="7" t="inlineStr">
        <is>
          <t>202404</t>
        </is>
      </c>
      <c r="B18" s="8" t="n">
        <v>4531</v>
      </c>
      <c r="C18" s="9" t="n">
        <v>0.1389609986568403</v>
      </c>
      <c r="D18" s="9" t="n">
        <v>0.1339972401767495</v>
      </c>
      <c r="E18" s="9" t="n">
        <v>0.1251604749587826</v>
      </c>
      <c r="F18" s="9" t="n">
        <v>0.001986316486426837</v>
      </c>
      <c r="G18" s="9" t="n">
        <v>0.01258000441403664</v>
      </c>
      <c r="H18" s="9" t="n">
        <v>0.02030456852791878</v>
      </c>
      <c r="I18" s="9" t="n">
        <v>0.03354667843743103</v>
      </c>
      <c r="J18" s="9" t="n">
        <v>0.05009931582432134</v>
      </c>
      <c r="K18" s="9" t="n">
        <v>0.06047230192010594</v>
      </c>
      <c r="L18" s="9" t="n">
        <v>0.06841756786581328</v>
      </c>
      <c r="M18" s="9" t="n">
        <v>0.07636283381152063</v>
      </c>
      <c r="N18" s="9" t="n">
        <v>0.08607371441182962</v>
      </c>
      <c r="O18" s="9" t="n">
        <v>0.0955638931803134</v>
      </c>
      <c r="P18" s="13" t="n">
        <v>-0.0558720181987733</v>
      </c>
      <c r="Q18" s="14" t="n">
        <v>2.106281337597227</v>
      </c>
      <c r="R18" s="15" t="n">
        <v>12</v>
      </c>
      <c r="S18" s="9" t="n">
        <v>0.0955638931803134</v>
      </c>
      <c r="T18" s="13" t="n">
        <v>1</v>
      </c>
      <c r="U18" s="9" t="n">
        <v>0.0955638931803134</v>
      </c>
      <c r="V18" s="8" t="n">
        <v>1645</v>
      </c>
      <c r="W18" s="9" t="n">
        <v>0.1300295726782798</v>
      </c>
      <c r="X18" s="9" t="n">
        <v>0.111854103343465</v>
      </c>
      <c r="Y18" s="10">
        <f>IFERROR(D18/O18-1,"")</f>
        <v/>
      </c>
      <c r="Z18" s="10">
        <f>IFERROR(E18/O18-1,"")</f>
        <v/>
      </c>
      <c r="AA18" s="10">
        <f>IFERROR(E18/U18-1,"")</f>
        <v/>
      </c>
      <c r="AB18" s="10">
        <f>IFERROR(W18/X18-1,"")</f>
        <v/>
      </c>
    </row>
    <row r="19">
      <c r="A19" s="7" t="inlineStr">
        <is>
          <t>202405</t>
        </is>
      </c>
      <c r="B19" s="8" t="n">
        <v>4322</v>
      </c>
      <c r="C19" s="9" t="n">
        <v>0.133897394673448</v>
      </c>
      <c r="D19" s="9" t="n">
        <v>0.1291135111651291</v>
      </c>
      <c r="E19" s="9" t="n">
        <v>0.1163417424372911</v>
      </c>
      <c r="F19" s="9" t="n">
        <v>0.004396112910689496</v>
      </c>
      <c r="G19" s="9" t="n">
        <v>0.01434521055067099</v>
      </c>
      <c r="H19" s="9" t="n">
        <v>0.02568255437297547</v>
      </c>
      <c r="I19" s="9" t="n">
        <v>0.03655714946783897</v>
      </c>
      <c r="J19" s="9" t="n">
        <v>0.04581212401665895</v>
      </c>
      <c r="K19" s="9" t="n">
        <v>0.05298472929199444</v>
      </c>
      <c r="L19" s="9" t="n">
        <v>0.06038870893105044</v>
      </c>
      <c r="M19" s="9" t="n">
        <v>0.06894956038870893</v>
      </c>
      <c r="N19" s="9" t="n">
        <v>0.07542804257288292</v>
      </c>
      <c r="O19" s="9" t="n">
        <v>0.08306339657565942</v>
      </c>
      <c r="P19" s="13" t="n">
        <v>-0.0754757595835721</v>
      </c>
      <c r="Q19" s="14" t="n">
        <v>1.658485010036248</v>
      </c>
      <c r="R19" s="15" t="n">
        <v>12</v>
      </c>
      <c r="S19" s="9" t="n">
        <v>0.08306339657565942</v>
      </c>
      <c r="T19" s="13" t="n">
        <v>1</v>
      </c>
      <c r="U19" s="9" t="n">
        <v>0.08306339657565942</v>
      </c>
      <c r="V19" s="8" t="n">
        <v>1524</v>
      </c>
      <c r="W19" s="9" t="n">
        <v>0.1243094535544029</v>
      </c>
      <c r="X19" s="9" t="n">
        <v>0.1023622047244094</v>
      </c>
      <c r="Y19" s="10">
        <f>IFERROR(D19/O19-1,"")</f>
        <v/>
      </c>
      <c r="Z19" s="10">
        <f>IFERROR(E19/O19-1,"")</f>
        <v/>
      </c>
      <c r="AA19" s="10">
        <f>IFERROR(E19/U19-1,"")</f>
        <v/>
      </c>
      <c r="AB19" s="10">
        <f>IFERROR(W19/X19-1,"")</f>
        <v/>
      </c>
    </row>
    <row r="20">
      <c r="A20" s="7" t="inlineStr">
        <is>
          <t>202406</t>
        </is>
      </c>
      <c r="B20" s="8" t="n">
        <v>4076</v>
      </c>
      <c r="C20" s="9" t="n">
        <v>0.1331057420991621</v>
      </c>
      <c r="D20" s="9" t="n">
        <v>0.1283053076959474</v>
      </c>
      <c r="E20" s="9" t="n">
        <v>0.1171080534807934</v>
      </c>
      <c r="F20" s="9" t="n">
        <v>0.003680078508341512</v>
      </c>
      <c r="G20" s="9" t="n">
        <v>0.01717369970559372</v>
      </c>
      <c r="H20" s="9" t="n">
        <v>0.02919528949950932</v>
      </c>
      <c r="I20" s="9" t="n">
        <v>0.03999018645731109</v>
      </c>
      <c r="J20" s="9" t="n">
        <v>0.04636898920510305</v>
      </c>
      <c r="K20" s="9" t="n">
        <v>0.05053974484789009</v>
      </c>
      <c r="L20" s="9" t="n">
        <v>0.06010794896957802</v>
      </c>
      <c r="M20" s="9" t="n">
        <v>0.06894013738959764</v>
      </c>
      <c r="N20" s="9" t="n">
        <v>0.07654563297350343</v>
      </c>
      <c r="O20" s="9" t="n">
        <v>0.08292443572129539</v>
      </c>
      <c r="P20" s="13" t="n">
        <v>-0.0653537931038556</v>
      </c>
      <c r="Q20" s="14" t="n">
        <v>1.889694926977259</v>
      </c>
      <c r="R20" s="15" t="n">
        <v>12</v>
      </c>
      <c r="S20" s="9" t="n">
        <v>0.08292443572129539</v>
      </c>
      <c r="T20" s="13" t="n">
        <v>1</v>
      </c>
      <c r="U20" s="9" t="n">
        <v>0.08292443572129539</v>
      </c>
      <c r="V20" s="8" t="n">
        <v>1415</v>
      </c>
      <c r="W20" s="9" t="n">
        <v>0.1265697214139778</v>
      </c>
      <c r="X20" s="9" t="n">
        <v>0.1017667844522968</v>
      </c>
      <c r="Y20" s="10">
        <f>IFERROR(D20/O20-1,"")</f>
        <v/>
      </c>
      <c r="Z20" s="10">
        <f>IFERROR(E20/O20-1,"")</f>
        <v/>
      </c>
      <c r="AA20" s="10">
        <f>IFERROR(E20/U20-1,"")</f>
        <v/>
      </c>
      <c r="AB20" s="10">
        <f>IFERROR(W20/X20-1,"")</f>
        <v/>
      </c>
    </row>
    <row r="21">
      <c r="A21" s="7" t="inlineStr">
        <is>
          <t>202407</t>
        </is>
      </c>
      <c r="B21" s="8" t="n">
        <v>4002</v>
      </c>
      <c r="C21" s="9" t="n">
        <v>0.1325119669925699</v>
      </c>
      <c r="D21" s="9" t="n">
        <v>0.1277131465878496</v>
      </c>
      <c r="E21" s="9" t="n">
        <v>0.1154961122821912</v>
      </c>
      <c r="F21" s="9" t="n">
        <v>0.002748625687156422</v>
      </c>
      <c r="G21" s="9" t="n">
        <v>0.01249375312343828</v>
      </c>
      <c r="H21" s="9" t="n">
        <v>0.02273863068465767</v>
      </c>
      <c r="I21" s="9" t="n">
        <v>0.03173413293353324</v>
      </c>
      <c r="J21" s="9" t="n">
        <v>0.03873063468265867</v>
      </c>
      <c r="K21" s="9" t="n">
        <v>0.04772613693153423</v>
      </c>
      <c r="L21" s="9" t="n">
        <v>0.05322338830584707</v>
      </c>
      <c r="M21" s="9" t="n">
        <v>0.05722138930534733</v>
      </c>
      <c r="N21" s="9" t="n">
        <v>0.0624687656171914</v>
      </c>
      <c r="O21" s="9" t="n">
        <v>0.06871564217891055</v>
      </c>
      <c r="P21" s="13" t="n">
        <v>-0.0704962472517633</v>
      </c>
      <c r="Q21" s="14" t="n">
        <v>1.772228978162538</v>
      </c>
      <c r="R21" s="15" t="n">
        <v>12</v>
      </c>
      <c r="S21" s="9" t="n">
        <v>0.06871564217891055</v>
      </c>
      <c r="T21" s="13" t="n">
        <v>1</v>
      </c>
      <c r="U21" s="9" t="n">
        <v>0.06871564217891055</v>
      </c>
      <c r="V21" s="8" t="n">
        <v>1487</v>
      </c>
      <c r="W21" s="9" t="n">
        <v>0.1253500317361334</v>
      </c>
      <c r="X21" s="9" t="n">
        <v>0.09078681909885676</v>
      </c>
      <c r="Y21" s="10">
        <f>IFERROR(D21/O21-1,"")</f>
        <v/>
      </c>
      <c r="Z21" s="10">
        <f>IFERROR(E21/O21-1,"")</f>
        <v/>
      </c>
      <c r="AA21" s="10">
        <f>IFERROR(E21/U21-1,"")</f>
        <v/>
      </c>
      <c r="AB21" s="10">
        <f>IFERROR(W21/X21-1,"")</f>
        <v/>
      </c>
    </row>
    <row r="22">
      <c r="A22" s="7" t="inlineStr">
        <is>
          <t>202408</t>
        </is>
      </c>
      <c r="B22" s="8" t="n">
        <v>4110</v>
      </c>
      <c r="C22" s="9" t="n">
        <v>0.1332127535230777</v>
      </c>
      <c r="D22" s="9" t="n">
        <v>0.1284062321397528</v>
      </c>
      <c r="E22" s="9" t="n">
        <v>0.1157391450022276</v>
      </c>
      <c r="F22" s="9" t="n">
        <v>0.00267639902676399</v>
      </c>
      <c r="G22" s="9" t="n">
        <v>0.01289537712895377</v>
      </c>
      <c r="H22" s="9" t="n">
        <v>0.02068126520681265</v>
      </c>
      <c r="I22" s="9" t="n">
        <v>0.02749391727493917</v>
      </c>
      <c r="J22" s="9" t="n">
        <v>0.03600973236009732</v>
      </c>
      <c r="K22" s="9" t="n">
        <v>0.04282238442822384</v>
      </c>
      <c r="L22" s="9" t="n">
        <v>0.04987834549878346</v>
      </c>
      <c r="M22" s="9" t="n">
        <v>0.05620437956204379</v>
      </c>
      <c r="N22" s="9" t="n">
        <v>0.06034063260340632</v>
      </c>
      <c r="O22" s="9" t="n">
        <v>0.06350364963503649</v>
      </c>
      <c r="P22" s="13" t="n">
        <v>-0.0744376341863873</v>
      </c>
      <c r="Q22" s="14" t="n">
        <v>1.68219827636038</v>
      </c>
      <c r="R22" s="15" t="n">
        <v>12</v>
      </c>
      <c r="S22" s="9" t="n">
        <v>0.06350364963503649</v>
      </c>
      <c r="T22" s="13" t="n">
        <v>1</v>
      </c>
      <c r="U22" s="9" t="n">
        <v>0.06350364963503649</v>
      </c>
      <c r="V22" s="8" t="n">
        <v>1432</v>
      </c>
      <c r="W22" s="9" t="n">
        <v>0.1207609801462866</v>
      </c>
      <c r="X22" s="9" t="n">
        <v>0.07891061452513966</v>
      </c>
      <c r="Y22" s="10">
        <f>IFERROR(D22/O22-1,"")</f>
        <v/>
      </c>
      <c r="Z22" s="10">
        <f>IFERROR(E22/O22-1,"")</f>
        <v/>
      </c>
      <c r="AA22" s="10">
        <f>IFERROR(E22/U22-1,"")</f>
        <v/>
      </c>
      <c r="AB22" s="10">
        <f>IFERROR(W22/X22-1,"")</f>
        <v/>
      </c>
    </row>
    <row r="23">
      <c r="A23" s="7" t="inlineStr">
        <is>
          <t>202409</t>
        </is>
      </c>
      <c r="B23" s="8" t="n">
        <v>7281</v>
      </c>
      <c r="C23" s="9" t="n">
        <v>0.1514702826096754</v>
      </c>
      <c r="D23" s="9" t="n">
        <v>0.1460842223831064</v>
      </c>
      <c r="E23" s="9" t="n">
        <v>0.1329185362491287</v>
      </c>
      <c r="F23" s="9" t="n">
        <v>0.0019228128004395</v>
      </c>
      <c r="G23" s="9" t="n">
        <v>0.01606922126081582</v>
      </c>
      <c r="H23" s="9" t="n">
        <v>0.02650734789177311</v>
      </c>
      <c r="I23" s="9" t="n">
        <v>0.0403790688092295</v>
      </c>
      <c r="J23" s="9" t="n">
        <v>0.05342672709792611</v>
      </c>
      <c r="K23" s="9" t="n">
        <v>0.0638648537288834</v>
      </c>
      <c r="L23" s="9" t="n">
        <v>0.07416563658838071</v>
      </c>
      <c r="M23" s="9" t="n">
        <v>0.08336766927619832</v>
      </c>
      <c r="N23" s="9" t="n">
        <v>0.09119626424941629</v>
      </c>
      <c r="O23" s="9" t="n">
        <v>0.1008103282516138</v>
      </c>
      <c r="P23" s="13" t="n">
        <v>-0.0828464630159074</v>
      </c>
      <c r="Q23" s="14" t="n">
        <v>1.490120519618099</v>
      </c>
      <c r="R23" s="15" t="n">
        <v>12</v>
      </c>
      <c r="S23" s="9" t="n">
        <v>0.1008103282516138</v>
      </c>
      <c r="T23" s="13" t="n">
        <v>1</v>
      </c>
      <c r="U23" s="9" t="n">
        <v>0.1008103282516138</v>
      </c>
      <c r="V23" s="8" t="n">
        <v>2679</v>
      </c>
      <c r="W23" s="9" t="n">
        <v>0.14345660747477</v>
      </c>
      <c r="X23" s="9" t="n">
        <v>0.1272863008585293</v>
      </c>
      <c r="Y23" s="10">
        <f>IFERROR(D23/O23-1,"")</f>
        <v/>
      </c>
      <c r="Z23" s="10">
        <f>IFERROR(E23/O23-1,"")</f>
        <v/>
      </c>
      <c r="AA23" s="10">
        <f>IFERROR(E23/U23-1,"")</f>
        <v/>
      </c>
      <c r="AB23" s="10">
        <f>IFERROR(W23/X23-1,"")</f>
        <v/>
      </c>
    </row>
    <row r="24">
      <c r="A24" s="7" t="inlineStr">
        <is>
          <t>202410</t>
        </is>
      </c>
      <c r="B24" s="8" t="n">
        <v>8254</v>
      </c>
      <c r="C24" s="9" t="n">
        <v>0.1538572419159022</v>
      </c>
      <c r="D24" s="9" t="n">
        <v>0.156086815290265</v>
      </c>
      <c r="E24" s="9" t="n">
        <v>0.1371768315518572</v>
      </c>
      <c r="F24" s="9" t="n">
        <v>0.00363460140537921</v>
      </c>
      <c r="G24" s="9" t="n">
        <v>0.0155076326629513</v>
      </c>
      <c r="H24" s="9" t="n">
        <v>0.03137872546644051</v>
      </c>
      <c r="I24" s="9" t="n">
        <v>0.04446329052580567</v>
      </c>
      <c r="J24" s="9" t="n">
        <v>0.05609401502301914</v>
      </c>
      <c r="K24" s="9" t="n">
        <v>0.06869396656166707</v>
      </c>
      <c r="L24" s="9" t="n">
        <v>0.07874969711654956</v>
      </c>
      <c r="M24" s="9" t="n">
        <v>0.09038042161376303</v>
      </c>
      <c r="N24" s="9" t="n">
        <v>0.09995153864792827</v>
      </c>
      <c r="O24" s="9" t="n">
        <v>0.1079476617397625</v>
      </c>
      <c r="P24" s="13" t="n">
        <v>-0.0724218660345015</v>
      </c>
      <c r="Q24" s="14" t="n">
        <v>1.728243240834804</v>
      </c>
      <c r="R24" s="15" t="n">
        <v>12</v>
      </c>
      <c r="S24" s="9" t="n">
        <v>0.1079476617397625</v>
      </c>
      <c r="T24" s="13" t="n">
        <v>1</v>
      </c>
      <c r="U24" s="9" t="n">
        <v>0.1079476617397625</v>
      </c>
      <c r="V24" s="8" t="n">
        <v>3248</v>
      </c>
      <c r="W24" s="9" t="n">
        <v>0.1444640057084786</v>
      </c>
      <c r="X24" s="9" t="n">
        <v>0.1317733990147783</v>
      </c>
      <c r="Y24" s="10">
        <f>IFERROR(D24/O24-1,"")</f>
        <v/>
      </c>
      <c r="Z24" s="10">
        <f>IFERROR(E24/O24-1,"")</f>
        <v/>
      </c>
      <c r="AA24" s="10">
        <f>IFERROR(E24/U24-1,"")</f>
        <v/>
      </c>
      <c r="AB24" s="10">
        <f>IFERROR(W24/X24-1,"")</f>
        <v/>
      </c>
    </row>
    <row r="25">
      <c r="A25" s="7" t="inlineStr">
        <is>
          <t>202411</t>
        </is>
      </c>
      <c r="B25" s="8" t="n">
        <v>6247</v>
      </c>
      <c r="C25" s="9" t="n">
        <v>0.1543245367350706</v>
      </c>
      <c r="D25" s="9" t="n">
        <v>0.156549002391863</v>
      </c>
      <c r="E25" s="9" t="n">
        <v>0.1402426113808196</v>
      </c>
      <c r="F25" s="9" t="n">
        <v>0.003041459900752361</v>
      </c>
      <c r="G25" s="9" t="n">
        <v>0.0196894509364495</v>
      </c>
      <c r="H25" s="9" t="n">
        <v>0.03745797983031855</v>
      </c>
      <c r="I25" s="9" t="n">
        <v>0.05074435729149992</v>
      </c>
      <c r="J25" s="9" t="n">
        <v>0.06403073475268128</v>
      </c>
      <c r="K25" s="9" t="n">
        <v>0.07379542180246518</v>
      </c>
      <c r="L25" s="9" t="n">
        <v>0.08500080038418441</v>
      </c>
      <c r="M25" s="9" t="n">
        <v>0.09524571794461341</v>
      </c>
      <c r="N25" s="9" t="n">
        <v>0.1048503281575156</v>
      </c>
      <c r="O25" s="9" t="n">
        <v>0.1134944773491276</v>
      </c>
      <c r="P25" s="13" t="n">
        <v>-0.0580535033556161</v>
      </c>
      <c r="Q25" s="14" t="n">
        <v>2.056451000485126</v>
      </c>
      <c r="R25" s="15" t="n">
        <v>12</v>
      </c>
      <c r="S25" s="9" t="n">
        <v>0.1134944773491276</v>
      </c>
      <c r="T25" s="13" t="n">
        <v>1</v>
      </c>
      <c r="U25" s="9" t="n">
        <v>0.1134944773491276</v>
      </c>
      <c r="V25" s="8" t="n">
        <v>2526</v>
      </c>
      <c r="W25" s="9" t="n">
        <v>0.1456185205532284</v>
      </c>
      <c r="X25" s="9" t="n">
        <v>0.1326207442596991</v>
      </c>
      <c r="Y25" s="10">
        <f>IFERROR(D25/O25-1,"")</f>
        <v/>
      </c>
      <c r="Z25" s="10">
        <f>IFERROR(E25/O25-1,"")</f>
        <v/>
      </c>
      <c r="AA25" s="10">
        <f>IFERROR(E25/U25-1,"")</f>
        <v/>
      </c>
      <c r="AB25" s="10">
        <f>IFERROR(W25/X25-1,"")</f>
        <v/>
      </c>
    </row>
    <row r="26">
      <c r="A26" s="7" t="inlineStr">
        <is>
          <t>202412</t>
        </is>
      </c>
      <c r="B26" s="8" t="n">
        <v>5688</v>
      </c>
      <c r="C26" s="9" t="n">
        <v>0.1550219574260084</v>
      </c>
      <c r="D26" s="9" t="n">
        <v>0.1572351762573019</v>
      </c>
      <c r="E26" s="9" t="n">
        <v>0.1396505587252026</v>
      </c>
      <c r="F26" s="9" t="n">
        <v>0.005274261603375527</v>
      </c>
      <c r="G26" s="9" t="n">
        <v>0.02531645569620253</v>
      </c>
      <c r="H26" s="9" t="n">
        <v>0.04236990154711674</v>
      </c>
      <c r="I26" s="9" t="n">
        <v>0.06065400843881857</v>
      </c>
      <c r="J26" s="9" t="n">
        <v>0.07331223628691984</v>
      </c>
      <c r="K26" s="9" t="n">
        <v>0.08333333333333333</v>
      </c>
      <c r="L26" s="9" t="n">
        <v>0.09476090014064698</v>
      </c>
      <c r="M26" s="9" t="n">
        <v>0.1023206751054852</v>
      </c>
      <c r="N26" s="9" t="n">
        <v>0.1095288326300985</v>
      </c>
      <c r="O26" s="9" t="n">
        <v>0.1146272855133615</v>
      </c>
      <c r="P26" s="13" t="n">
        <v>-0.0650299149850779</v>
      </c>
      <c r="Q26" s="14" t="n">
        <v>1.897093077632239</v>
      </c>
      <c r="R26" s="15" t="n">
        <v>12</v>
      </c>
      <c r="S26" s="9" t="n">
        <v>0.1146272855133615</v>
      </c>
      <c r="T26" s="13" t="n">
        <v>1</v>
      </c>
      <c r="U26" s="9" t="n">
        <v>0.1146272855133615</v>
      </c>
      <c r="V26" s="8" t="n">
        <v>2192</v>
      </c>
      <c r="W26" s="9" t="n">
        <v>0.1479599905088855</v>
      </c>
      <c r="X26" s="9" t="n">
        <v>0.1341240875912409</v>
      </c>
      <c r="Y26" s="10">
        <f>IFERROR(D26/O26-1,"")</f>
        <v/>
      </c>
      <c r="Z26" s="10">
        <f>IFERROR(E26/O26-1,"")</f>
        <v/>
      </c>
      <c r="AA26" s="10">
        <f>IFERROR(E26/U26-1,"")</f>
        <v/>
      </c>
      <c r="AB26" s="10">
        <f>IFERROR(W26/X26-1,"")</f>
        <v/>
      </c>
    </row>
    <row r="27">
      <c r="A27" s="7" t="inlineStr">
        <is>
          <t>202501</t>
        </is>
      </c>
      <c r="B27" s="8" t="n">
        <v>6837</v>
      </c>
      <c r="C27" s="9" t="n">
        <v>0.1507610671375591</v>
      </c>
      <c r="D27" s="9" t="n">
        <v>0.1527630555308201</v>
      </c>
      <c r="E27" s="9" t="n">
        <v>0.1343225181466768</v>
      </c>
      <c r="F27" s="9" t="n">
        <v>0.004680415386865584</v>
      </c>
      <c r="G27" s="9" t="n">
        <v>0.01886792452830189</v>
      </c>
      <c r="H27" s="9" t="n">
        <v>0.03217785578470089</v>
      </c>
      <c r="I27" s="9" t="n">
        <v>0.04227000146262981</v>
      </c>
      <c r="J27" s="9" t="n">
        <v>0.05353225098727512</v>
      </c>
      <c r="K27" s="9" t="n">
        <v>0.06245429281848764</v>
      </c>
      <c r="L27" s="9" t="n">
        <v>0.07064501974550241</v>
      </c>
      <c r="M27" s="9" t="n">
        <v>0.07912827263419628</v>
      </c>
      <c r="N27" s="9" t="n">
        <v>0.08585636975281556</v>
      </c>
      <c r="O27" s="9" t="n">
        <v>0.09287699283311394</v>
      </c>
      <c r="P27" s="13" t="n">
        <v>-0.0692773689503683</v>
      </c>
      <c r="Q27" s="14" t="n">
        <v>1.800071073015497</v>
      </c>
      <c r="R27" s="15" t="n">
        <v>12</v>
      </c>
      <c r="S27" s="9" t="n">
        <v>0.09287699283311394</v>
      </c>
      <c r="T27" s="13" t="n">
        <v>1</v>
      </c>
      <c r="U27" s="9" t="n">
        <v>0.09287699283311394</v>
      </c>
      <c r="V27" s="8" t="n">
        <v>2556</v>
      </c>
      <c r="W27" s="9" t="n">
        <v>0.1426183930435992</v>
      </c>
      <c r="X27" s="9" t="n">
        <v>0.1294992175273866</v>
      </c>
      <c r="Y27" s="10">
        <f>IFERROR(D27/O27-1,"")</f>
        <v/>
      </c>
      <c r="Z27" s="10">
        <f>IFERROR(E27/O27-1,"")</f>
        <v/>
      </c>
      <c r="AA27" s="10">
        <f>IFERROR(E27/U27-1,"")</f>
        <v/>
      </c>
      <c r="AB27" s="10">
        <f>IFERROR(W27/X27-1,"")</f>
        <v/>
      </c>
    </row>
    <row r="28">
      <c r="A28" s="7" t="inlineStr">
        <is>
          <t>202502</t>
        </is>
      </c>
      <c r="B28" s="8" t="n">
        <v>5697</v>
      </c>
      <c r="C28" s="9" t="n">
        <v>0.1502248430905783</v>
      </c>
      <c r="D28" s="9" t="n">
        <v>0.1522651514493234</v>
      </c>
      <c r="E28" s="9" t="n">
        <v>0.1314586340892016</v>
      </c>
      <c r="F28" s="9" t="n">
        <v>0.00421274354923644</v>
      </c>
      <c r="G28" s="9" t="n">
        <v>0.01685097419694576</v>
      </c>
      <c r="H28" s="9" t="n">
        <v>0.02615411620150957</v>
      </c>
      <c r="I28" s="9" t="n">
        <v>0.03738809899947341</v>
      </c>
      <c r="J28" s="9" t="n">
        <v>0.04774442689134632</v>
      </c>
      <c r="K28" s="9" t="n">
        <v>0.05704756889591013</v>
      </c>
      <c r="L28" s="9" t="n">
        <v>0.06722836580656485</v>
      </c>
      <c r="M28" s="9" t="n">
        <v>0.07196770229945586</v>
      </c>
      <c r="N28" s="9" t="n">
        <v>0.07846234860452871</v>
      </c>
      <c r="O28" s="9" t="n">
        <v>0.08618571177812884</v>
      </c>
      <c r="P28" s="13" t="n">
        <v>-0.0821028391221693</v>
      </c>
      <c r="Q28" s="14" t="n">
        <v>1.507106667423574</v>
      </c>
      <c r="R28" s="15" t="n">
        <v>12</v>
      </c>
      <c r="S28" s="9" t="n">
        <v>0.08618571177812884</v>
      </c>
      <c r="T28" s="13" t="n">
        <v>1</v>
      </c>
      <c r="U28" s="9" t="n">
        <v>0.08618571177812884</v>
      </c>
      <c r="V28" s="8" t="n">
        <v>2161</v>
      </c>
      <c r="W28" s="9" t="n">
        <v>0.1382614338499566</v>
      </c>
      <c r="X28" s="9" t="n">
        <v>0.1073577047663119</v>
      </c>
      <c r="Y28" s="10">
        <f>IFERROR(D28/O28-1,"")</f>
        <v/>
      </c>
      <c r="Z28" s="10">
        <f>IFERROR(E28/O28-1,"")</f>
        <v/>
      </c>
      <c r="AA28" s="10">
        <f>IFERROR(E28/U28-1,"")</f>
        <v/>
      </c>
      <c r="AB28" s="10">
        <f>IFERROR(W28/X28-1,"")</f>
        <v/>
      </c>
    </row>
    <row r="29">
      <c r="A29" s="7" t="inlineStr">
        <is>
          <t>202503</t>
        </is>
      </c>
      <c r="B29" s="8" t="n">
        <v>8523</v>
      </c>
      <c r="C29" s="9" t="n">
        <v>0.1715353765668835</v>
      </c>
      <c r="D29" s="9" t="n">
        <v>0.1651060511172867</v>
      </c>
      <c r="E29" s="9" t="n">
        <v>0.1525234813264293</v>
      </c>
      <c r="F29" s="9" t="n">
        <v>0.005279831045406547</v>
      </c>
      <c r="G29" s="9" t="n">
        <v>0.0251085298603778</v>
      </c>
      <c r="H29" s="9" t="n">
        <v>0.04165200046931831</v>
      </c>
      <c r="I29" s="9" t="n">
        <v>0.0559662090813094</v>
      </c>
      <c r="J29" s="9" t="n">
        <v>0.07039774727208729</v>
      </c>
      <c r="K29" s="9" t="n">
        <v>0.08271735304470257</v>
      </c>
      <c r="L29" s="9" t="n">
        <v>0.09351167429308929</v>
      </c>
      <c r="M29" s="9" t="n">
        <v>0.09996480112636395</v>
      </c>
      <c r="N29" s="9" t="n">
        <v>0.1088818491141617</v>
      </c>
      <c r="O29" s="9" t="n">
        <v>0.1175642379443858</v>
      </c>
      <c r="P29" s="13" t="n">
        <v>-0.0901403058799683</v>
      </c>
      <c r="Q29" s="14" t="n">
        <v>1.323511708359959</v>
      </c>
      <c r="R29" s="15" t="n">
        <v>12</v>
      </c>
      <c r="S29" s="9" t="n">
        <v>0.1175642379443858</v>
      </c>
      <c r="T29" s="13" t="n">
        <v>1</v>
      </c>
      <c r="U29" s="9" t="n">
        <v>0.1175642379443858</v>
      </c>
      <c r="V29" s="8" t="n">
        <v>3506</v>
      </c>
      <c r="W29" s="9" t="n">
        <v>0.1645345677729378</v>
      </c>
      <c r="X29" s="9" t="n">
        <v>0.1374786081003993</v>
      </c>
      <c r="Y29" s="10">
        <f>IFERROR(D29/O29-1,"")</f>
        <v/>
      </c>
      <c r="Z29" s="10">
        <f>IFERROR(E29/O29-1,"")</f>
        <v/>
      </c>
      <c r="AA29" s="10">
        <f>IFERROR(E29/U29-1,"")</f>
        <v/>
      </c>
      <c r="AB29" s="10">
        <f>IFERROR(W29/X29-1,"")</f>
        <v/>
      </c>
    </row>
    <row r="30">
      <c r="A30" s="7" t="inlineStr">
        <is>
          <t>202504</t>
        </is>
      </c>
      <c r="B30" s="8" t="n">
        <v>10956</v>
      </c>
      <c r="C30" s="9" t="n">
        <v>0.1743715982579848</v>
      </c>
      <c r="D30" s="9" t="n">
        <v>0.1679493639012578</v>
      </c>
      <c r="E30" s="9" t="n">
        <v>0.1565749792514327</v>
      </c>
      <c r="F30" s="9" t="n">
        <v>0.008671047827674333</v>
      </c>
      <c r="G30" s="9" t="n">
        <v>0.02948156261409273</v>
      </c>
      <c r="H30" s="9" t="n">
        <v>0.04472435195326761</v>
      </c>
      <c r="I30" s="9" t="n">
        <v>0.05823293172690763</v>
      </c>
      <c r="J30" s="9" t="n">
        <v>0.07493610806863819</v>
      </c>
      <c r="K30" s="9" t="n">
        <v>0.08734939759036145</v>
      </c>
      <c r="L30" s="9" t="n">
        <v>0.09529025191675794</v>
      </c>
      <c r="M30" s="9" t="n">
        <v>0.1043263964950712</v>
      </c>
      <c r="N30" s="9" t="n">
        <v>0.1146403797006207</v>
      </c>
      <c r="O30" s="9" t="n">
        <v>0.1246805403431909</v>
      </c>
      <c r="P30" s="13" t="n">
        <v>-0.0763210869948466</v>
      </c>
      <c r="Q30" s="14" t="n">
        <v>1.639175710707863</v>
      </c>
      <c r="R30" s="15" t="n">
        <v>12</v>
      </c>
      <c r="S30" s="9" t="n">
        <v>0.1246805403431909</v>
      </c>
      <c r="T30" s="13" t="n">
        <v>1</v>
      </c>
      <c r="U30" s="9" t="n">
        <v>0.1246805403431909</v>
      </c>
      <c r="V30" s="8" t="n">
        <v>4453</v>
      </c>
      <c r="W30" s="9" t="n">
        <v>0.17080386909132</v>
      </c>
      <c r="X30" s="9" t="n">
        <v>0.1504603637996856</v>
      </c>
      <c r="Y30" s="10">
        <f>IFERROR(D30/O30-1,"")</f>
        <v/>
      </c>
      <c r="Z30" s="10">
        <f>IFERROR(E30/O30-1,"")</f>
        <v/>
      </c>
      <c r="AA30" s="10">
        <f>IFERROR(E30/U30-1,"")</f>
        <v/>
      </c>
      <c r="AB30" s="10">
        <f>IFERROR(W30/X30-1,"")</f>
        <v/>
      </c>
    </row>
    <row r="31">
      <c r="A31" s="7" t="inlineStr">
        <is>
          <t>202505</t>
        </is>
      </c>
      <c r="B31" s="8" t="n">
        <v>8464</v>
      </c>
      <c r="C31" s="9" t="n">
        <v>0.178588115197227</v>
      </c>
      <c r="D31" s="9" t="n">
        <v>0.1720280487376216</v>
      </c>
      <c r="E31" s="9" t="n">
        <v>0.161289271177778</v>
      </c>
      <c r="F31" s="9" t="n">
        <v>0.007797731568998109</v>
      </c>
      <c r="G31" s="9" t="n">
        <v>0.03556238185255198</v>
      </c>
      <c r="H31" s="9" t="n">
        <v>0.05529300567107751</v>
      </c>
      <c r="I31" s="9" t="n">
        <v>0.07254253308128544</v>
      </c>
      <c r="J31" s="9" t="n">
        <v>0.08754725897920605</v>
      </c>
      <c r="K31" s="9" t="n">
        <v>0.097117202268431</v>
      </c>
      <c r="L31" s="9" t="n">
        <v>0.105741965973535</v>
      </c>
      <c r="M31" s="9" t="n">
        <v>0.1141304347826087</v>
      </c>
      <c r="N31" s="9" t="n">
        <v>0.1252362948960302</v>
      </c>
      <c r="O31" s="9" t="n">
        <v>0.1361058601134215</v>
      </c>
      <c r="P31" s="13" t="n">
        <v>-0.0729545842663733</v>
      </c>
      <c r="Q31" s="14" t="n">
        <v>1.716074682641011</v>
      </c>
      <c r="R31" s="15" t="n">
        <v>12</v>
      </c>
      <c r="S31" s="9" t="n">
        <v>0.1361058601134215</v>
      </c>
      <c r="T31" s="13" t="n">
        <v>1</v>
      </c>
      <c r="U31" s="9" t="n">
        <v>0.1361058601134215</v>
      </c>
      <c r="V31" s="8" t="n">
        <v>3511</v>
      </c>
      <c r="W31" s="9" t="n">
        <v>0.1750807728963986</v>
      </c>
      <c r="X31" s="9" t="n">
        <v>0.1577898034747935</v>
      </c>
      <c r="Y31" s="10">
        <f>IFERROR(D31/O31-1,"")</f>
        <v/>
      </c>
      <c r="Z31" s="10">
        <f>IFERROR(E31/O31-1,"")</f>
        <v/>
      </c>
      <c r="AA31" s="10">
        <f>IFERROR(E31/U31-1,"")</f>
        <v/>
      </c>
      <c r="AB31" s="10">
        <f>IFERROR(W31/X31-1,"")</f>
        <v/>
      </c>
    </row>
    <row r="32">
      <c r="A32" s="7" t="inlineStr">
        <is>
          <t>202506</t>
        </is>
      </c>
      <c r="B32" s="8" t="n">
        <v>10063</v>
      </c>
      <c r="C32" s="9" t="n">
        <v>0.1831900451027288</v>
      </c>
      <c r="D32" s="9" t="n">
        <v>0.1764780845798306</v>
      </c>
      <c r="E32" s="9" t="n">
        <v>0.1660701773925423</v>
      </c>
      <c r="F32" s="9" t="n">
        <v>0.005962436649110604</v>
      </c>
      <c r="G32" s="9" t="n">
        <v>0.0277253304183643</v>
      </c>
      <c r="H32" s="9" t="n">
        <v>0.04541389247739243</v>
      </c>
      <c r="I32" s="9" t="n">
        <v>0.06310245453642055</v>
      </c>
      <c r="J32" s="9" t="n">
        <v>0.07572294544370466</v>
      </c>
      <c r="K32" s="9" t="n">
        <v>0.08784656663022955</v>
      </c>
      <c r="L32" s="9" t="n">
        <v>0.09937394415184339</v>
      </c>
      <c r="M32" s="9" t="n">
        <v>0.1099075822319388</v>
      </c>
      <c r="N32" s="9" t="n">
        <v>0.1204412203120342</v>
      </c>
      <c r="O32" s="9" t="n">
        <v>0.1315711020570406</v>
      </c>
      <c r="P32" s="13" t="n">
        <v>-0.07376569476056211</v>
      </c>
      <c r="Q32" s="14" t="n">
        <v>1.69754697951463</v>
      </c>
      <c r="R32" s="15" t="n">
        <v>12</v>
      </c>
      <c r="S32" s="9" t="n">
        <v>0.1315711020570406</v>
      </c>
      <c r="T32" s="13" t="n">
        <v>1</v>
      </c>
      <c r="U32" s="9" t="n">
        <v>0.1315711020570406</v>
      </c>
      <c r="V32" s="8" t="n">
        <v>3939</v>
      </c>
      <c r="W32" s="9" t="n">
        <v>0.1759672924666164</v>
      </c>
      <c r="X32" s="9" t="n">
        <v>0.1581619700431582</v>
      </c>
      <c r="Y32" s="10">
        <f>IFERROR(D32/O32-1,"")</f>
        <v/>
      </c>
      <c r="Z32" s="10">
        <f>IFERROR(E32/O32-1,"")</f>
        <v/>
      </c>
      <c r="AA32" s="10">
        <f>IFERROR(E32/U32-1,"")</f>
        <v/>
      </c>
      <c r="AB32" s="10">
        <f>IFERROR(W32/X32-1,"")</f>
        <v/>
      </c>
    </row>
    <row r="33">
      <c r="A33" s="7" t="inlineStr">
        <is>
          <t>202507</t>
        </is>
      </c>
      <c r="B33" s="8" t="n">
        <v>9615</v>
      </c>
      <c r="C33" s="9" t="n">
        <v>0.187753860983616</v>
      </c>
      <c r="D33" s="9" t="n">
        <v>0.1810039592733451</v>
      </c>
      <c r="E33" s="9" t="n">
        <v>0.1702064248435337</v>
      </c>
      <c r="F33" s="9" t="n">
        <v>0.005512220488819553</v>
      </c>
      <c r="G33" s="9" t="n">
        <v>0.02704108164326573</v>
      </c>
      <c r="H33" s="9" t="n">
        <v>0.04336973478939157</v>
      </c>
      <c r="I33" s="9" t="n">
        <v>0.05751430057202288</v>
      </c>
      <c r="J33" s="9" t="n">
        <v>0.07093083723348934</v>
      </c>
      <c r="K33" s="9" t="n">
        <v>0.08299531981279251</v>
      </c>
      <c r="L33" s="9" t="n">
        <v>0.09516380655226209</v>
      </c>
      <c r="M33" s="9" t="n">
        <v>0.105876235049402</v>
      </c>
      <c r="N33" s="9" t="n">
        <v>0.1163806552262091</v>
      </c>
      <c r="O33" s="9" t="n"/>
      <c r="P33" s="13" t="n">
        <v>-0.0736408959148164</v>
      </c>
      <c r="Q33" s="14" t="n">
        <v>1.700397683556876</v>
      </c>
      <c r="R33" s="15" t="n">
        <v>11</v>
      </c>
      <c r="S33" s="9" t="n">
        <v>0.1163806552262091</v>
      </c>
      <c r="T33" s="13" t="n">
        <v>1.0884903891233</v>
      </c>
      <c r="U33" s="9" t="n">
        <v>0.126679224693601</v>
      </c>
      <c r="V33" s="8" t="n">
        <v>3954</v>
      </c>
      <c r="W33" s="9" t="n">
        <v>0.1851587803294736</v>
      </c>
      <c r="X33" s="9" t="n"/>
      <c r="Y33" s="10">
        <f>IFERROR(D33/O33-1,"")</f>
        <v/>
      </c>
      <c r="Z33" s="10">
        <f>IFERROR(E33/O33-1,"")</f>
        <v/>
      </c>
      <c r="AA33" s="10">
        <f>IFERROR(E33/U33-1,"")</f>
        <v/>
      </c>
      <c r="AB33" s="10">
        <f>IFERROR(W33/X33-1,"")</f>
        <v/>
      </c>
    </row>
    <row r="34">
      <c r="A34" s="7" t="inlineStr">
        <is>
          <t>202508</t>
        </is>
      </c>
      <c r="B34" s="8" t="n">
        <v>10254</v>
      </c>
      <c r="C34" s="9" t="n">
        <v>0.2029765446214229</v>
      </c>
      <c r="D34" s="9" t="n">
        <v>0.1958707602630508</v>
      </c>
      <c r="E34" s="9" t="n">
        <v>0.1830875396918088</v>
      </c>
      <c r="F34" s="9" t="n">
        <v>0.007606787595084845</v>
      </c>
      <c r="G34" s="9" t="n">
        <v>0.03900916715428126</v>
      </c>
      <c r="H34" s="9" t="n">
        <v>0.05666081529159352</v>
      </c>
      <c r="I34" s="9" t="n">
        <v>0.07519016968987711</v>
      </c>
      <c r="J34" s="9" t="n">
        <v>0.08962356153696119</v>
      </c>
      <c r="K34" s="9" t="n">
        <v>0.1052272283986737</v>
      </c>
      <c r="L34" s="9" t="n">
        <v>0.1197581431636435</v>
      </c>
      <c r="M34" s="9" t="n">
        <v>0.1351667641895846</v>
      </c>
      <c r="N34" s="9" t="n"/>
      <c r="O34" s="9" t="n"/>
      <c r="P34" s="13" t="n">
        <v>-0.1003314429254493</v>
      </c>
      <c r="Q34" s="14" t="n">
        <v>1.090721770303759</v>
      </c>
      <c r="R34" s="15" t="n">
        <v>10</v>
      </c>
      <c r="S34" s="9" t="n">
        <v>0.1351667641895846</v>
      </c>
      <c r="T34" s="13" t="n">
        <v>1.195622787254586</v>
      </c>
      <c r="U34" s="9" t="n">
        <v>0.1616084633445345</v>
      </c>
      <c r="V34" s="8" t="n">
        <v>4293</v>
      </c>
      <c r="W34" s="9" t="n">
        <v>0.2020593125551364</v>
      </c>
      <c r="X34" s="9" t="n"/>
      <c r="Y34" s="10">
        <f>IFERROR(D34/O34-1,"")</f>
        <v/>
      </c>
      <c r="Z34" s="10">
        <f>IFERROR(E34/O34-1,"")</f>
        <v/>
      </c>
      <c r="AA34" s="10">
        <f>IFERROR(E34/U34-1,"")</f>
        <v/>
      </c>
      <c r="AB34" s="10">
        <f>IFERROR(W34/X34-1,"")</f>
        <v/>
      </c>
    </row>
    <row r="35">
      <c r="A35" s="7" t="inlineStr">
        <is>
          <t>202509</t>
        </is>
      </c>
      <c r="B35" s="8" t="n">
        <v>11676</v>
      </c>
      <c r="C35" s="9" t="n">
        <v>0.1997886819598425</v>
      </c>
      <c r="D35" s="9" t="n">
        <v>0.1927477924523951</v>
      </c>
      <c r="E35" s="9" t="n">
        <v>0.1801763929761666</v>
      </c>
      <c r="F35" s="9" t="n">
        <v>0.01019184652278178</v>
      </c>
      <c r="G35" s="9" t="n">
        <v>0.04230900993490921</v>
      </c>
      <c r="H35" s="9" t="n">
        <v>0.06294964028776978</v>
      </c>
      <c r="I35" s="9" t="n">
        <v>0.08281945871873929</v>
      </c>
      <c r="J35" s="9" t="n">
        <v>0.1004624871531346</v>
      </c>
      <c r="K35" s="9" t="n">
        <v>0.1169064748201439</v>
      </c>
      <c r="L35" s="9" t="n">
        <v>0.131723192874272</v>
      </c>
      <c r="M35" s="9" t="n"/>
      <c r="N35" s="9" t="n"/>
      <c r="O35" s="9" t="n"/>
      <c r="P35" s="13" t="n">
        <v>-0.0943381636827425</v>
      </c>
      <c r="Q35" s="14" t="n">
        <v>1.227622598684031</v>
      </c>
      <c r="R35" s="15" t="n">
        <v>9</v>
      </c>
      <c r="S35" s="9" t="n">
        <v>0.131723192874272</v>
      </c>
      <c r="T35" s="13" t="n">
        <v>1.32965852960126</v>
      </c>
      <c r="U35" s="9" t="n">
        <v>0.1751468669515877</v>
      </c>
      <c r="V35" s="8" t="n">
        <v>4768</v>
      </c>
      <c r="W35" s="9" t="n">
        <v>0.1989570310180675</v>
      </c>
      <c r="X35" s="9" t="n"/>
      <c r="Y35" s="10">
        <f>IFERROR(D35/O35-1,"")</f>
        <v/>
      </c>
      <c r="Z35" s="10">
        <f>IFERROR(E35/O35-1,"")</f>
        <v/>
      </c>
      <c r="AA35" s="10">
        <f>IFERROR(E35/U35-1,"")</f>
        <v/>
      </c>
      <c r="AB35" s="10">
        <f>IFERROR(W35/X35-1,"")</f>
        <v/>
      </c>
    </row>
    <row r="36">
      <c r="A36" s="7" t="inlineStr">
        <is>
          <t>202510</t>
        </is>
      </c>
      <c r="B36" s="8" t="n">
        <v>13741</v>
      </c>
      <c r="C36" s="9" t="n">
        <v>0.204676201392596</v>
      </c>
      <c r="D36" s="9" t="n">
        <v>0.1974858082552343</v>
      </c>
      <c r="E36" s="9" t="n">
        <v>0.184815317813568</v>
      </c>
      <c r="F36" s="9" t="n">
        <v>0.01098901098901099</v>
      </c>
      <c r="G36" s="9" t="n">
        <v>0.04504766756422385</v>
      </c>
      <c r="H36" s="9" t="n">
        <v>0.07088275962448148</v>
      </c>
      <c r="I36" s="9" t="n">
        <v>0.09387963030347136</v>
      </c>
      <c r="J36" s="9" t="n">
        <v>0.1122916818281057</v>
      </c>
      <c r="K36" s="9" t="n">
        <v>0.1289571355796521</v>
      </c>
      <c r="L36" s="9" t="n"/>
      <c r="M36" s="9" t="n"/>
      <c r="N36" s="9" t="n"/>
      <c r="O36" s="9" t="n"/>
      <c r="P36" s="13" t="n">
        <v>-0.0971864626399724</v>
      </c>
      <c r="Q36" s="14" t="n">
        <v>1.162560639958521</v>
      </c>
      <c r="R36" s="15" t="n">
        <v>8</v>
      </c>
      <c r="S36" s="9" t="n">
        <v>0.1289571355796521</v>
      </c>
      <c r="T36" s="13" t="n">
        <v>1.515008156606852</v>
      </c>
      <c r="U36" s="9" t="n">
        <v>0.1953711122558286</v>
      </c>
      <c r="V36" s="8" t="n">
        <v>5626</v>
      </c>
      <c r="W36" s="9" t="n">
        <v>0.2047750996157285</v>
      </c>
      <c r="X36" s="9" t="n"/>
      <c r="Y36" s="10">
        <f>IFERROR(D36/O36-1,"")</f>
        <v/>
      </c>
      <c r="Z36" s="10">
        <f>IFERROR(E36/O36-1,"")</f>
        <v/>
      </c>
      <c r="AA36" s="10">
        <f>IFERROR(E36/U36-1,"")</f>
        <v/>
      </c>
      <c r="AB36" s="10">
        <f>IFERROR(W36/X36-1,"")</f>
        <v/>
      </c>
    </row>
    <row r="37">
      <c r="A37" s="7" t="inlineStr">
        <is>
          <t>202511</t>
        </is>
      </c>
      <c r="B37" s="8" t="n">
        <v>12856</v>
      </c>
      <c r="C37" s="9" t="n">
        <v>0.2072449753675396</v>
      </c>
      <c r="D37" s="9" t="n">
        <v>0.1999500578971476</v>
      </c>
      <c r="E37" s="9" t="n">
        <v>0.1870015309134935</v>
      </c>
      <c r="F37" s="9" t="n">
        <v>0.01252333540759179</v>
      </c>
      <c r="G37" s="9" t="n">
        <v>0.06059427504667082</v>
      </c>
      <c r="H37" s="9" t="n">
        <v>0.09163036714374612</v>
      </c>
      <c r="I37" s="9" t="n">
        <v>0.1148879900435594</v>
      </c>
      <c r="J37" s="9" t="n">
        <v>0.135034225264468</v>
      </c>
      <c r="K37" s="9" t="n"/>
      <c r="L37" s="9" t="n"/>
      <c r="M37" s="9" t="n"/>
      <c r="N37" s="9" t="n"/>
      <c r="O37" s="9" t="n"/>
      <c r="P37" s="13" t="n">
        <v>-0.0951950453295296</v>
      </c>
      <c r="Q37" s="14" t="n">
        <v>1.208049372989306</v>
      </c>
      <c r="R37" s="15" t="n">
        <v>7</v>
      </c>
      <c r="S37" s="9" t="n">
        <v>0.135034225264468</v>
      </c>
      <c r="T37" s="13" t="n">
        <v>1.78270467415299</v>
      </c>
      <c r="U37" s="9" t="n">
        <v>0.2407261445495948</v>
      </c>
      <c r="V37" s="8" t="n">
        <v>5269</v>
      </c>
      <c r="W37" s="9" t="n">
        <v>0.2080322968164168</v>
      </c>
      <c r="X37" s="9" t="n"/>
      <c r="Y37" s="10">
        <f>IFERROR(D37/O37-1,"")</f>
        <v/>
      </c>
      <c r="Z37" s="10">
        <f>IFERROR(E37/O37-1,"")</f>
        <v/>
      </c>
      <c r="AA37" s="10">
        <f>IFERROR(E37/U37-1,"")</f>
        <v/>
      </c>
      <c r="AB37" s="10">
        <f>IFERROR(W37/X37-1,"")</f>
        <v/>
      </c>
    </row>
    <row r="38">
      <c r="A38" s="7" t="inlineStr">
        <is>
          <t>202512</t>
        </is>
      </c>
      <c r="B38" s="8" t="n">
        <v>11139</v>
      </c>
      <c r="C38" s="9" t="n">
        <v>0.2039843117844991</v>
      </c>
      <c r="D38" s="9" t="n">
        <v>0.1967993320876152</v>
      </c>
      <c r="E38" s="9" t="n">
        <v>0.1840396905312377</v>
      </c>
      <c r="F38" s="9" t="n">
        <v>0.01274800251369064</v>
      </c>
      <c r="G38" s="9" t="n">
        <v>0.05575006733099919</v>
      </c>
      <c r="H38" s="9" t="n">
        <v>0.08366998832929347</v>
      </c>
      <c r="I38" s="9" t="n">
        <v>0.1069216267169405</v>
      </c>
      <c r="J38" s="9" t="n"/>
      <c r="K38" s="9" t="n"/>
      <c r="L38" s="9" t="n"/>
      <c r="M38" s="9" t="n"/>
      <c r="N38" s="9" t="n"/>
      <c r="O38" s="9" t="n"/>
      <c r="P38" s="13" t="n">
        <v>-0.0907389631868307</v>
      </c>
      <c r="Q38" s="14" t="n">
        <v>1.309836944027043</v>
      </c>
      <c r="R38" s="15" t="n">
        <v>6</v>
      </c>
      <c r="S38" s="9" t="n">
        <v>0.1069216267169405</v>
      </c>
      <c r="T38" s="13" t="n">
        <v>2.24188292094146</v>
      </c>
      <c r="U38" s="9" t="n">
        <v>0.239705768815987</v>
      </c>
      <c r="V38" s="8" t="n">
        <v>4570</v>
      </c>
      <c r="W38" s="9" t="n">
        <v>0.2058961078774797</v>
      </c>
      <c r="X38" s="9" t="n"/>
      <c r="Y38" s="10">
        <f>IFERROR(D38/O38-1,"")</f>
        <v/>
      </c>
      <c r="Z38" s="10">
        <f>IFERROR(E38/O38-1,"")</f>
        <v/>
      </c>
      <c r="AA38" s="10">
        <f>IFERROR(E38/U38-1,"")</f>
        <v/>
      </c>
      <c r="AB38" s="10">
        <f>IFERROR(W38/X38-1,"")</f>
        <v/>
      </c>
    </row>
    <row r="39">
      <c r="A39" s="7" t="inlineStr">
        <is>
          <t>202601</t>
        </is>
      </c>
      <c r="B39" s="8" t="n">
        <v>11532</v>
      </c>
      <c r="C39" s="9" t="n">
        <v>0.1951746870849205</v>
      </c>
      <c r="D39" s="9" t="n">
        <v>0.1881928463842645</v>
      </c>
      <c r="E39" s="9" t="n">
        <v>0.1752730737658528</v>
      </c>
      <c r="F39" s="9" t="n">
        <v>0.01005896635449185</v>
      </c>
      <c r="G39" s="9" t="n">
        <v>0.05081512313562261</v>
      </c>
      <c r="H39" s="9" t="n">
        <v>0.07804370447450572</v>
      </c>
      <c r="I39" s="9" t="n"/>
      <c r="J39" s="9" t="n"/>
      <c r="K39" s="9" t="n"/>
      <c r="L39" s="9" t="n"/>
      <c r="M39" s="9" t="n"/>
      <c r="N39" s="9" t="n"/>
      <c r="O39" s="9" t="n"/>
      <c r="P39" s="13" t="n">
        <v>-0.0827512368458839</v>
      </c>
      <c r="Q39" s="14" t="n">
        <v>1.492295713035885</v>
      </c>
      <c r="R39" s="15" t="n">
        <v>5</v>
      </c>
      <c r="S39" s="9" t="n">
        <v>0.07804370447450572</v>
      </c>
      <c r="T39" s="13" t="n">
        <v>3.074147633234028</v>
      </c>
      <c r="U39" s="9" t="n">
        <v>0.2399178693991177</v>
      </c>
      <c r="V39" s="8" t="n">
        <v>4572</v>
      </c>
      <c r="W39" s="9" t="n">
        <v>0.191246821701149</v>
      </c>
      <c r="X39" s="9" t="n"/>
      <c r="Y39" s="10">
        <f>IFERROR(D39/O39-1,"")</f>
        <v/>
      </c>
      <c r="Z39" s="10">
        <f>IFERROR(E39/O39-1,"")</f>
        <v/>
      </c>
      <c r="AA39" s="10">
        <f>IFERROR(E39/U39-1,"")</f>
        <v/>
      </c>
      <c r="AB39" s="10">
        <f>IFERROR(W39/X39-1,"")</f>
        <v/>
      </c>
    </row>
    <row r="40">
      <c r="A40" s="7" t="inlineStr">
        <is>
          <t>202602</t>
        </is>
      </c>
      <c r="B40" s="8" t="n">
        <v>10393</v>
      </c>
      <c r="C40" s="9" t="n">
        <v>0.1957173824001505</v>
      </c>
      <c r="D40" s="9" t="n">
        <v>0.1887110782136452</v>
      </c>
      <c r="E40" s="9" t="n">
        <v>0.1867871967528555</v>
      </c>
      <c r="F40" s="9" t="n">
        <v>0.01597228904070047</v>
      </c>
      <c r="G40" s="9" t="n">
        <v>0.05542191859905705</v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13" t="n">
        <v>-0.0370388932419964</v>
      </c>
      <c r="Q40" s="14" t="n">
        <v>2.53647494332808</v>
      </c>
      <c r="R40" s="15" t="n">
        <v>4</v>
      </c>
      <c r="S40" s="9" t="n">
        <v>0.05542191859905705</v>
      </c>
      <c r="T40" s="13" t="n">
        <v>5.059656769272678</v>
      </c>
      <c r="U40" s="9" t="n">
        <v>0.2804158856057983</v>
      </c>
      <c r="V40" s="8" t="n">
        <v>4200</v>
      </c>
      <c r="W40" s="9" t="n">
        <v>0.2032681854199118</v>
      </c>
      <c r="X40" s="9" t="n"/>
      <c r="Y40" s="10">
        <f>IFERROR(D40/O40-1,"")</f>
        <v/>
      </c>
      <c r="Z40" s="10">
        <f>IFERROR(E40/O40-1,"")</f>
        <v/>
      </c>
      <c r="AA40" s="10">
        <f>IFERROR(E40/U40-1,"")</f>
        <v/>
      </c>
      <c r="AB40" s="10">
        <f>IFERROR(W40/X40-1,"")</f>
        <v/>
      </c>
    </row>
    <row r="41">
      <c r="A41" s="7" t="inlineStr">
        <is>
          <t>202603</t>
        </is>
      </c>
      <c r="B41" s="8" t="n">
        <v>10875</v>
      </c>
      <c r="C41" s="9" t="n">
        <v>0.1935131078037894</v>
      </c>
      <c r="D41" s="9" t="n">
        <v>0.1866387202038333</v>
      </c>
      <c r="E41" s="9" t="n">
        <v>0.19724348728017</v>
      </c>
      <c r="F41" s="9" t="n">
        <v>0.01296551724137931</v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3" t="n">
        <v>0.014389803325765</v>
      </c>
      <c r="Q41" s="14" t="n">
        <v>3.711229343636036</v>
      </c>
      <c r="R41" s="15" t="n">
        <v>3</v>
      </c>
      <c r="S41" s="9" t="n">
        <v>0.01296551724137931</v>
      </c>
      <c r="T41" s="13" t="n">
        <v>22.08561236623068</v>
      </c>
      <c r="U41" s="9" t="n">
        <v>0.286351387920784</v>
      </c>
      <c r="V41" s="8" t="n">
        <v>4448</v>
      </c>
      <c r="W41" s="9" t="n">
        <v>0.2161712570933265</v>
      </c>
      <c r="X41" s="9" t="n"/>
      <c r="Y41" s="10">
        <f>IFERROR(D41/O41-1,"")</f>
        <v/>
      </c>
      <c r="Z41" s="10">
        <f>IFERROR(E41/O41-1,"")</f>
        <v/>
      </c>
      <c r="AA41" s="10">
        <f>IFERROR(E41/U41-1,"")</f>
        <v/>
      </c>
      <c r="AB41" s="10">
        <f>IFERROR(W41/X41-1,"")</f>
        <v/>
      </c>
    </row>
    <row r="42">
      <c r="A42" s="7" t="inlineStr">
        <is>
          <t>202604</t>
        </is>
      </c>
      <c r="B42" s="8" t="n">
        <v>10653</v>
      </c>
      <c r="C42" s="9" t="n">
        <v>0.1887922163637114</v>
      </c>
      <c r="D42" s="9" t="n">
        <v>0.1792801283472147</v>
      </c>
      <c r="E42" s="9" t="n">
        <v>0.1944730451571662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3" t="n">
        <v>0.0241851909297492</v>
      </c>
      <c r="Q42" s="14" t="n">
        <v>3.934979418175466</v>
      </c>
      <c r="R42" s="15" t="n"/>
      <c r="S42" s="9" t="n"/>
      <c r="T42" s="13" t="n"/>
      <c r="U42" s="9" t="n"/>
      <c r="V42" s="8" t="n">
        <v>4288</v>
      </c>
      <c r="W42" s="9" t="n">
        <v>0.2087807735026309</v>
      </c>
      <c r="X42" s="9" t="n"/>
      <c r="Y42" s="10">
        <f>IFERROR(D42/O42-1,"")</f>
        <v/>
      </c>
      <c r="Z42" s="10">
        <f>IFERROR(E42/O42-1,"")</f>
        <v/>
      </c>
      <c r="AA42" s="10">
        <f>IFERROR(E42/U42-1,"")</f>
        <v/>
      </c>
      <c r="AB42" s="10">
        <f>IFERROR(W42/X42-1,"")</f>
        <v/>
      </c>
    </row>
    <row r="43">
      <c r="A43" s="7" t="inlineStr">
        <is>
          <t>202605</t>
        </is>
      </c>
      <c r="B43" s="8" t="n">
        <v>11504</v>
      </c>
      <c r="C43" s="9" t="n">
        <v>0.1907467360812937</v>
      </c>
      <c r="D43" s="9" t="n">
        <v>0.1812530223447609</v>
      </c>
      <c r="E43" s="9" t="n">
        <v>0.1952833044601036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3" t="n">
        <v>0.0192471239254993</v>
      </c>
      <c r="Q43" s="14" t="n">
        <v>3.822182160430176</v>
      </c>
      <c r="R43" s="15" t="n"/>
      <c r="S43" s="9" t="n"/>
      <c r="T43" s="13" t="n"/>
      <c r="U43" s="9" t="n"/>
      <c r="V43" s="8" t="n">
        <v>4611</v>
      </c>
      <c r="W43" s="9" t="n">
        <v>0.2112347147768666</v>
      </c>
      <c r="X43" s="9" t="n"/>
      <c r="Y43" s="10">
        <f>IFERROR(D43/O43-1,"")</f>
        <v/>
      </c>
      <c r="Z43" s="10">
        <f>IFERROR(E43/O43-1,"")</f>
        <v/>
      </c>
      <c r="AA43" s="10">
        <f>IFERROR(E43/U43-1,"")</f>
        <v/>
      </c>
      <c r="AB43" s="10">
        <f>IFERROR(W43/X43-1,"")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</cols>
  <sheetData>
    <row r="1">
      <c r="A1" s="1" t="inlineStr">
        <is>
          <t>ENT 00004 Scotiabank</t>
        </is>
      </c>
    </row>
    <row r="2">
      <c r="A2" s="2" t="inlineStr">
        <is>
          <t>Entidad 00004 (Scotiabank), poblacion clean</t>
        </is>
      </c>
    </row>
    <row r="4" ht="30" customHeight="1">
      <c r="A4" s="6" t="inlineStr">
        <is>
          <t>codmes</t>
        </is>
      </c>
      <c r="B4" s="6" t="inlineStr">
        <is>
          <t>n</t>
        </is>
      </c>
      <c r="C4" s="6" t="inlineStr">
        <is>
          <t>PD sin calibrar</t>
        </is>
      </c>
      <c r="D4" s="6" t="inlineStr">
        <is>
          <t>PD cal vigente</t>
        </is>
      </c>
      <c r="E4" s="6" t="inlineStr">
        <is>
          <t>PD cal NUEVA</t>
        </is>
      </c>
      <c r="F4" s="6" t="inlineStr">
        <is>
          <t>mora 3m</t>
        </is>
      </c>
      <c r="G4" s="6" t="inlineStr">
        <is>
          <t>mora 4m</t>
        </is>
      </c>
      <c r="H4" s="6" t="inlineStr">
        <is>
          <t>mora 5m</t>
        </is>
      </c>
      <c r="I4" s="6" t="inlineStr">
        <is>
          <t>mora 6m</t>
        </is>
      </c>
      <c r="J4" s="6" t="inlineStr">
        <is>
          <t>mora 7m</t>
        </is>
      </c>
      <c r="K4" s="6" t="inlineStr">
        <is>
          <t>mora 8m</t>
        </is>
      </c>
      <c r="L4" s="6" t="inlineStr">
        <is>
          <t>mora 9m</t>
        </is>
      </c>
      <c r="M4" s="6" t="inlineStr">
        <is>
          <t>mora 10m</t>
        </is>
      </c>
      <c r="N4" s="6" t="inlineStr">
        <is>
          <t>mora 11m</t>
        </is>
      </c>
      <c r="O4" s="6" t="inlineStr">
        <is>
          <t>mora 12m</t>
        </is>
      </c>
      <c r="P4" s="6" t="inlineStr">
        <is>
          <t>ft ciclo</t>
        </is>
      </c>
      <c r="Q4" s="6" t="inlineStr">
        <is>
          <t>inflacion %</t>
        </is>
      </c>
      <c r="R4" s="6" t="inlineStr">
        <is>
          <t>madurez</t>
        </is>
      </c>
      <c r="S4" s="6" t="inlineStr">
        <is>
          <t>mora base</t>
        </is>
      </c>
      <c r="T4" s="6" t="inlineStr">
        <is>
          <t>factor h-&gt;12</t>
        </is>
      </c>
      <c r="U4" s="6" t="inlineStr">
        <is>
          <t>proy mediana</t>
        </is>
      </c>
      <c r="V4" s="6" t="inlineStr">
        <is>
          <t>n visible IBK</t>
        </is>
      </c>
      <c r="W4" s="6" t="inlineStr">
        <is>
          <t>PD cal NUEVA visible</t>
        </is>
      </c>
      <c r="X4" s="6" t="inlineStr">
        <is>
          <t>mora 12m visible</t>
        </is>
      </c>
      <c r="Y4" s="6" t="inlineStr">
        <is>
          <t>EC vigente</t>
        </is>
      </c>
      <c r="Z4" s="6" t="inlineStr">
        <is>
          <t>EC NUEVA</t>
        </is>
      </c>
      <c r="AA4" s="6" t="inlineStr">
        <is>
          <t>EC NUEVA vs proy</t>
        </is>
      </c>
      <c r="AB4" s="6" t="inlineStr">
        <is>
          <t>EC NUEVA visible</t>
        </is>
      </c>
    </row>
    <row r="5">
      <c r="A5" s="7" t="inlineStr">
        <is>
          <t>202303</t>
        </is>
      </c>
      <c r="B5" s="8" t="n">
        <v>857</v>
      </c>
      <c r="C5" s="9" t="n">
        <v>0.161046741590069</v>
      </c>
      <c r="D5" s="9" t="n">
        <v>0.2007129903743641</v>
      </c>
      <c r="E5" s="9" t="n">
        <v>0.1855136495857377</v>
      </c>
      <c r="F5" s="9" t="n">
        <v>0.01050175029171529</v>
      </c>
      <c r="G5" s="9" t="n">
        <v>0.05017502917152859</v>
      </c>
      <c r="H5" s="9" t="n">
        <v>0.07584597432905485</v>
      </c>
      <c r="I5" s="9" t="n">
        <v>0.1003500583430572</v>
      </c>
      <c r="J5" s="9" t="n">
        <v>0.1166861143523921</v>
      </c>
      <c r="K5" s="9" t="n">
        <v>0.1283547257876313</v>
      </c>
      <c r="L5" s="9" t="n">
        <v>0.1365227537922987</v>
      </c>
      <c r="M5" s="9" t="n">
        <v>0.1493582263710618</v>
      </c>
      <c r="N5" s="9" t="n">
        <v>0.1575262543757293</v>
      </c>
      <c r="O5" s="9" t="n">
        <v>0.1726954492415403</v>
      </c>
      <c r="P5" s="13" t="n">
        <v>0.2313077929548288</v>
      </c>
      <c r="Q5" s="14" t="n">
        <v>8.666154897445178</v>
      </c>
      <c r="R5" s="15" t="n">
        <v>12</v>
      </c>
      <c r="S5" s="9" t="n">
        <v>0.1726954492415403</v>
      </c>
      <c r="T5" s="13" t="n">
        <v>1</v>
      </c>
      <c r="U5" s="9" t="n">
        <v>0.1726954492415403</v>
      </c>
      <c r="V5" s="8" t="n">
        <v>300</v>
      </c>
      <c r="W5" s="9" t="n">
        <v>0.2043687532962408</v>
      </c>
      <c r="X5" s="9" t="n">
        <v>0.1933333333333333</v>
      </c>
      <c r="Y5" s="10">
        <f>IFERROR(D5/O5-1,"")</f>
        <v/>
      </c>
      <c r="Z5" s="10">
        <f>IFERROR(E5/O5-1,"")</f>
        <v/>
      </c>
      <c r="AA5" s="10">
        <f>IFERROR(E5/U5-1,"")</f>
        <v/>
      </c>
      <c r="AB5" s="10">
        <f>IFERROR(W5/X5-1,"")</f>
        <v/>
      </c>
    </row>
    <row r="6">
      <c r="A6" s="7" t="inlineStr">
        <is>
          <t>202304</t>
        </is>
      </c>
      <c r="B6" s="8" t="n">
        <v>775</v>
      </c>
      <c r="C6" s="9" t="n">
        <v>0.1562325776176106</v>
      </c>
      <c r="D6" s="9" t="n">
        <v>0.1950328371673822</v>
      </c>
      <c r="E6" s="9" t="n">
        <v>0.1803088582691409</v>
      </c>
      <c r="F6" s="9" t="n">
        <v>0.01806451612903226</v>
      </c>
      <c r="G6" s="9" t="n">
        <v>0.06709677419354838</v>
      </c>
      <c r="H6" s="9" t="n">
        <v>0.08774193548387096</v>
      </c>
      <c r="I6" s="9" t="n">
        <v>0.1083870967741935</v>
      </c>
      <c r="J6" s="9" t="n">
        <v>0.127741935483871</v>
      </c>
      <c r="K6" s="9" t="n">
        <v>0.1496774193548387</v>
      </c>
      <c r="L6" s="9" t="n">
        <v>0.1625806451612903</v>
      </c>
      <c r="M6" s="9" t="n">
        <v>0.1729032258064516</v>
      </c>
      <c r="N6" s="9" t="n">
        <v>0.1883870967741935</v>
      </c>
      <c r="O6" s="9" t="n">
        <v>0.2025806451612903</v>
      </c>
      <c r="P6" s="13" t="n">
        <v>0.2039883111878369</v>
      </c>
      <c r="Q6" s="14" t="n">
        <v>8.042112610516504</v>
      </c>
      <c r="R6" s="15" t="n">
        <v>12</v>
      </c>
      <c r="S6" s="9" t="n">
        <v>0.2025806451612903</v>
      </c>
      <c r="T6" s="13" t="n">
        <v>1</v>
      </c>
      <c r="U6" s="9" t="n">
        <v>0.2025806451612903</v>
      </c>
      <c r="V6" s="8" t="n">
        <v>256</v>
      </c>
      <c r="W6" s="9" t="n">
        <v>0.1980148941009659</v>
      </c>
      <c r="X6" s="9" t="n">
        <v>0.22265625</v>
      </c>
      <c r="Y6" s="10">
        <f>IFERROR(D6/O6-1,"")</f>
        <v/>
      </c>
      <c r="Z6" s="10">
        <f>IFERROR(E6/O6-1,"")</f>
        <v/>
      </c>
      <c r="AA6" s="10">
        <f>IFERROR(E6/U6-1,"")</f>
        <v/>
      </c>
      <c r="AB6" s="10">
        <f>IFERROR(W6/X6-1,"")</f>
        <v/>
      </c>
    </row>
    <row r="7">
      <c r="A7" s="7" t="inlineStr">
        <is>
          <t>202305</t>
        </is>
      </c>
      <c r="B7" s="8" t="n">
        <v>676</v>
      </c>
      <c r="C7" s="9" t="n">
        <v>0.1533648609514376</v>
      </c>
      <c r="D7" s="9" t="n">
        <v>0.1917378086040138</v>
      </c>
      <c r="E7" s="9" t="n">
        <v>0.1757095237365085</v>
      </c>
      <c r="F7" s="9" t="n">
        <v>0.01183431952662722</v>
      </c>
      <c r="G7" s="9" t="n">
        <v>0.04733727810650887</v>
      </c>
      <c r="H7" s="9" t="n">
        <v>0.06804733727810651</v>
      </c>
      <c r="I7" s="9" t="n">
        <v>0.08727810650887574</v>
      </c>
      <c r="J7" s="9" t="n">
        <v>0.1153846153846154</v>
      </c>
      <c r="K7" s="9" t="n">
        <v>0.136094674556213</v>
      </c>
      <c r="L7" s="9" t="n">
        <v>0.1449704142011834</v>
      </c>
      <c r="M7" s="9" t="n">
        <v>0.150887573964497</v>
      </c>
      <c r="N7" s="9" t="n">
        <v>0.1612426035502958</v>
      </c>
      <c r="O7" s="9" t="n">
        <v>0.1760355029585799</v>
      </c>
      <c r="P7" s="13" t="n">
        <v>0.2015420225900039</v>
      </c>
      <c r="Q7" s="14" t="n">
        <v>7.986233529643028</v>
      </c>
      <c r="R7" s="15" t="n">
        <v>12</v>
      </c>
      <c r="S7" s="9" t="n">
        <v>0.1760355029585799</v>
      </c>
      <c r="T7" s="13" t="n">
        <v>1</v>
      </c>
      <c r="U7" s="9" t="n">
        <v>0.1760355029585799</v>
      </c>
      <c r="V7" s="8" t="n">
        <v>213</v>
      </c>
      <c r="W7" s="9" t="n">
        <v>0.1938411025004351</v>
      </c>
      <c r="X7" s="9" t="n">
        <v>0.244131455399061</v>
      </c>
      <c r="Y7" s="10">
        <f>IFERROR(D7/O7-1,"")</f>
        <v/>
      </c>
      <c r="Z7" s="10">
        <f>IFERROR(E7/O7-1,"")</f>
        <v/>
      </c>
      <c r="AA7" s="10">
        <f>IFERROR(E7/U7-1,"")</f>
        <v/>
      </c>
      <c r="AB7" s="10">
        <f>IFERROR(W7/X7-1,"")</f>
        <v/>
      </c>
    </row>
    <row r="8">
      <c r="A8" s="7" t="inlineStr">
        <is>
          <t>202306</t>
        </is>
      </c>
      <c r="B8" s="8" t="n">
        <v>394</v>
      </c>
      <c r="C8" s="9" t="n">
        <v>0.1270398563246815</v>
      </c>
      <c r="D8" s="9" t="n">
        <v>0.1604963214547955</v>
      </c>
      <c r="E8" s="9" t="n">
        <v>0.1443129554265116</v>
      </c>
      <c r="F8" s="9" t="n">
        <v>0.007614213197969543</v>
      </c>
      <c r="G8" s="9" t="n">
        <v>0.01522842639593909</v>
      </c>
      <c r="H8" s="9" t="n">
        <v>0.02791878172588833</v>
      </c>
      <c r="I8" s="9" t="n">
        <v>0.03045685279187817</v>
      </c>
      <c r="J8" s="9" t="n">
        <v>0.04568527918781726</v>
      </c>
      <c r="K8" s="9" t="n">
        <v>0.0532994923857868</v>
      </c>
      <c r="L8" s="9" t="n">
        <v>0.0583756345177665</v>
      </c>
      <c r="M8" s="9" t="n">
        <v>0.07106598984771574</v>
      </c>
      <c r="N8" s="9" t="n">
        <v>0.07360406091370558</v>
      </c>
      <c r="O8" s="9" t="n">
        <v>0.08375634517766498</v>
      </c>
      <c r="P8" s="13" t="n">
        <v>0.145631156252523</v>
      </c>
      <c r="Q8" s="14" t="n">
        <v>6.709095654518293</v>
      </c>
      <c r="R8" s="15" t="n">
        <v>12</v>
      </c>
      <c r="S8" s="9" t="n">
        <v>0.08375634517766498</v>
      </c>
      <c r="T8" s="13" t="n">
        <v>1</v>
      </c>
      <c r="U8" s="9" t="n">
        <v>0.08375634517766498</v>
      </c>
      <c r="V8" s="8" t="n">
        <v>132</v>
      </c>
      <c r="W8" s="9" t="n">
        <v>0.1533939875374411</v>
      </c>
      <c r="X8" s="9" t="n">
        <v>0.09090909090909091</v>
      </c>
      <c r="Y8" s="10">
        <f>IFERROR(D8/O8-1,"")</f>
        <v/>
      </c>
      <c r="Z8" s="10">
        <f>IFERROR(E8/O8-1,"")</f>
        <v/>
      </c>
      <c r="AA8" s="10">
        <f>IFERROR(E8/U8-1,"")</f>
        <v/>
      </c>
      <c r="AB8" s="10">
        <f>IFERROR(W8/X8-1,"")</f>
        <v/>
      </c>
    </row>
    <row r="9">
      <c r="A9" s="7" t="inlineStr">
        <is>
          <t>202307</t>
        </is>
      </c>
      <c r="B9" s="8" t="n">
        <v>343</v>
      </c>
      <c r="C9" s="9" t="n">
        <v>0.1223533867041067</v>
      </c>
      <c r="D9" s="9" t="n">
        <v>0.1248604846906471</v>
      </c>
      <c r="E9" s="9" t="n">
        <v>0.1376937354722226</v>
      </c>
      <c r="F9" s="9" t="n">
        <v>0.005830903790087463</v>
      </c>
      <c r="G9" s="9" t="n">
        <v>0.02623906705539359</v>
      </c>
      <c r="H9" s="9" t="n">
        <v>0.02915451895043732</v>
      </c>
      <c r="I9" s="9" t="n">
        <v>0.03790087463556852</v>
      </c>
      <c r="J9" s="9" t="n">
        <v>0.04373177842565597</v>
      </c>
      <c r="K9" s="9" t="n">
        <v>0.04664723032069971</v>
      </c>
      <c r="L9" s="9" t="n">
        <v>0.05539358600583091</v>
      </c>
      <c r="M9" s="9" t="n">
        <v>0.0641399416909621</v>
      </c>
      <c r="N9" s="9" t="n">
        <v>0.0641399416909621</v>
      </c>
      <c r="O9" s="9" t="n">
        <v>0.08163265306122448</v>
      </c>
      <c r="P9" s="13" t="n">
        <v>0.1154476643960626</v>
      </c>
      <c r="Q9" s="14" t="n">
        <v>6.019632529037033</v>
      </c>
      <c r="R9" s="15" t="n">
        <v>12</v>
      </c>
      <c r="S9" s="9" t="n">
        <v>0.08163265306122448</v>
      </c>
      <c r="T9" s="13" t="n">
        <v>1</v>
      </c>
      <c r="U9" s="9" t="n">
        <v>0.08163265306122448</v>
      </c>
      <c r="V9" s="8" t="n">
        <v>121</v>
      </c>
      <c r="W9" s="9" t="n">
        <v>0.1358415773163648</v>
      </c>
      <c r="X9" s="9" t="n">
        <v>0.09917355371900827</v>
      </c>
      <c r="Y9" s="10">
        <f>IFERROR(D9/O9-1,"")</f>
        <v/>
      </c>
      <c r="Z9" s="10">
        <f>IFERROR(E9/O9-1,"")</f>
        <v/>
      </c>
      <c r="AA9" s="10">
        <f>IFERROR(E9/U9-1,"")</f>
        <v/>
      </c>
      <c r="AB9" s="10">
        <f>IFERROR(W9/X9-1,"")</f>
        <v/>
      </c>
    </row>
    <row r="10">
      <c r="A10" s="7" t="inlineStr">
        <is>
          <t>202308</t>
        </is>
      </c>
      <c r="B10" s="8" t="n">
        <v>340</v>
      </c>
      <c r="C10" s="9" t="n">
        <v>0.1240678502301521</v>
      </c>
      <c r="D10" s="9" t="n">
        <v>0.1268258089966634</v>
      </c>
      <c r="E10" s="9" t="n">
        <v>0.138750962329447</v>
      </c>
      <c r="F10" s="9" t="n">
        <v>0.01176470588235294</v>
      </c>
      <c r="G10" s="9" t="n">
        <v>0.03235294117647059</v>
      </c>
      <c r="H10" s="9" t="n">
        <v>0.05588235294117647</v>
      </c>
      <c r="I10" s="9" t="n">
        <v>0.05882352941176471</v>
      </c>
      <c r="J10" s="9" t="n">
        <v>0.07352941176470588</v>
      </c>
      <c r="K10" s="9" t="n">
        <v>0.07352941176470588</v>
      </c>
      <c r="L10" s="9" t="n">
        <v>0.08235294117647059</v>
      </c>
      <c r="M10" s="9" t="n">
        <v>0.08823529411764706</v>
      </c>
      <c r="N10" s="9" t="n">
        <v>0.09705882352941177</v>
      </c>
      <c r="O10" s="9" t="n">
        <v>0.1</v>
      </c>
      <c r="P10" s="13" t="n">
        <v>0.1052420450312428</v>
      </c>
      <c r="Q10" s="14" t="n">
        <v>5.786511780178594</v>
      </c>
      <c r="R10" s="15" t="n">
        <v>12</v>
      </c>
      <c r="S10" s="9" t="n">
        <v>0.1</v>
      </c>
      <c r="T10" s="13" t="n">
        <v>1</v>
      </c>
      <c r="U10" s="9" t="n">
        <v>0.1</v>
      </c>
      <c r="V10" s="8" t="n">
        <v>118</v>
      </c>
      <c r="W10" s="9" t="n">
        <v>0.1305903750521675</v>
      </c>
      <c r="X10" s="9" t="n">
        <v>0.0847457627118644</v>
      </c>
      <c r="Y10" s="10">
        <f>IFERROR(D10/O10-1,"")</f>
        <v/>
      </c>
      <c r="Z10" s="10">
        <f>IFERROR(E10/O10-1,"")</f>
        <v/>
      </c>
      <c r="AA10" s="10">
        <f>IFERROR(E10/U10-1,"")</f>
        <v/>
      </c>
      <c r="AB10" s="10">
        <f>IFERROR(W10/X10-1,"")</f>
        <v/>
      </c>
    </row>
    <row r="11">
      <c r="A11" s="7" t="inlineStr">
        <is>
          <t>202309</t>
        </is>
      </c>
      <c r="B11" s="8" t="n">
        <v>327</v>
      </c>
      <c r="C11" s="9" t="n">
        <v>0.1184188901056573</v>
      </c>
      <c r="D11" s="9" t="n">
        <v>0.1134870259165308</v>
      </c>
      <c r="E11" s="9" t="n">
        <v>0.1296890251659456</v>
      </c>
      <c r="F11" s="9" t="n">
        <v>0.01223241590214067</v>
      </c>
      <c r="G11" s="9" t="n">
        <v>0.02752293577981652</v>
      </c>
      <c r="H11" s="9" t="n">
        <v>0.03363914373088685</v>
      </c>
      <c r="I11" s="9" t="n">
        <v>0.04281345565749235</v>
      </c>
      <c r="J11" s="9" t="n">
        <v>0.04892966360856269</v>
      </c>
      <c r="K11" s="9" t="n">
        <v>0.0581039755351682</v>
      </c>
      <c r="L11" s="9" t="n">
        <v>0.06727828746177369</v>
      </c>
      <c r="M11" s="9" t="n">
        <v>0.07339449541284404</v>
      </c>
      <c r="N11" s="9" t="n">
        <v>0.08256880733944955</v>
      </c>
      <c r="O11" s="9" t="n">
        <v>0.08256880733944955</v>
      </c>
      <c r="P11" s="13" t="n">
        <v>0.0826428782528265</v>
      </c>
      <c r="Q11" s="14" t="n">
        <v>5.270292774292296</v>
      </c>
      <c r="R11" s="15" t="n">
        <v>12</v>
      </c>
      <c r="S11" s="9" t="n">
        <v>0.08256880733944955</v>
      </c>
      <c r="T11" s="13" t="n">
        <v>1</v>
      </c>
      <c r="U11" s="9" t="n">
        <v>0.08256880733944955</v>
      </c>
      <c r="V11" s="8" t="n">
        <v>102</v>
      </c>
      <c r="W11" s="9" t="n">
        <v>0.1268998725064351</v>
      </c>
      <c r="X11" s="9" t="n">
        <v>0.05882352941176471</v>
      </c>
      <c r="Y11" s="10">
        <f>IFERROR(D11/O11-1,"")</f>
        <v/>
      </c>
      <c r="Z11" s="10">
        <f>IFERROR(E11/O11-1,"")</f>
        <v/>
      </c>
      <c r="AA11" s="10">
        <f>IFERROR(E11/U11-1,"")</f>
        <v/>
      </c>
      <c r="AB11" s="10">
        <f>IFERROR(W11/X11-1,"")</f>
        <v/>
      </c>
    </row>
    <row r="12">
      <c r="A12" s="7" t="inlineStr">
        <is>
          <t>202310</t>
        </is>
      </c>
      <c r="B12" s="8" t="n">
        <v>343</v>
      </c>
      <c r="C12" s="9" t="n">
        <v>0.1239247273860103</v>
      </c>
      <c r="D12" s="9" t="n">
        <v>0.1255146142084466</v>
      </c>
      <c r="E12" s="9" t="n">
        <v>0.1288355055500983</v>
      </c>
      <c r="F12" s="9" t="n">
        <v>0.005830903790087463</v>
      </c>
      <c r="G12" s="9" t="n">
        <v>0.008746355685131196</v>
      </c>
      <c r="H12" s="9" t="n">
        <v>0.02623906705539359</v>
      </c>
      <c r="I12" s="9" t="n">
        <v>0.04081632653061224</v>
      </c>
      <c r="J12" s="9" t="n">
        <v>0.04664723032069971</v>
      </c>
      <c r="K12" s="9" t="n">
        <v>0.05539358600583091</v>
      </c>
      <c r="L12" s="9" t="n">
        <v>0.06122448979591837</v>
      </c>
      <c r="M12" s="9" t="n">
        <v>0.06997084548104957</v>
      </c>
      <c r="N12" s="9" t="n">
        <v>0.07580174927113703</v>
      </c>
      <c r="O12" s="9" t="n">
        <v>0.07871720116618076</v>
      </c>
      <c r="P12" s="13" t="n">
        <v>0.0496812016861095</v>
      </c>
      <c r="Q12" s="14" t="n">
        <v>4.517369267135951</v>
      </c>
      <c r="R12" s="15" t="n">
        <v>12</v>
      </c>
      <c r="S12" s="9" t="n">
        <v>0.07871720116618076</v>
      </c>
      <c r="T12" s="13" t="n">
        <v>1</v>
      </c>
      <c r="U12" s="9" t="n">
        <v>0.07871720116618076</v>
      </c>
      <c r="V12" s="8" t="n">
        <v>108</v>
      </c>
      <c r="W12" s="9" t="n">
        <v>0.1355720673265108</v>
      </c>
      <c r="X12" s="9" t="n">
        <v>0.1388888888888889</v>
      </c>
      <c r="Y12" s="10">
        <f>IFERROR(D12/O12-1,"")</f>
        <v/>
      </c>
      <c r="Z12" s="10">
        <f>IFERROR(E12/O12-1,"")</f>
        <v/>
      </c>
      <c r="AA12" s="10">
        <f>IFERROR(E12/U12-1,"")</f>
        <v/>
      </c>
      <c r="AB12" s="10">
        <f>IFERROR(W12/X12-1,"")</f>
        <v/>
      </c>
    </row>
    <row r="13">
      <c r="A13" s="7" t="inlineStr">
        <is>
          <t>202311</t>
        </is>
      </c>
      <c r="B13" s="8" t="n">
        <v>290</v>
      </c>
      <c r="C13" s="9" t="n">
        <v>0.1231706245930801</v>
      </c>
      <c r="D13" s="9" t="n">
        <v>0.1253457211311264</v>
      </c>
      <c r="E13" s="9" t="n">
        <v>0.1229117330192353</v>
      </c>
      <c r="F13" s="9" t="n">
        <v>0</v>
      </c>
      <c r="G13" s="9" t="n">
        <v>0.006896551724137931</v>
      </c>
      <c r="H13" s="9" t="n">
        <v>0.0103448275862069</v>
      </c>
      <c r="I13" s="9" t="n">
        <v>0.02413793103448276</v>
      </c>
      <c r="J13" s="9" t="n">
        <v>0.03448275862068965</v>
      </c>
      <c r="K13" s="9" t="n">
        <v>0.04137931034482759</v>
      </c>
      <c r="L13" s="9" t="n">
        <v>0.04482758620689655</v>
      </c>
      <c r="M13" s="9" t="n">
        <v>0.05172413793103448</v>
      </c>
      <c r="N13" s="9" t="n">
        <v>0.05172413793103448</v>
      </c>
      <c r="O13" s="9" t="n">
        <v>0.05862068965517241</v>
      </c>
      <c r="P13" s="13" t="n">
        <v>0.0176922115343233</v>
      </c>
      <c r="Q13" s="14" t="n">
        <v>3.786664243478488</v>
      </c>
      <c r="R13" s="15" t="n">
        <v>12</v>
      </c>
      <c r="S13" s="9" t="n">
        <v>0.05862068965517241</v>
      </c>
      <c r="T13" s="13" t="n">
        <v>1</v>
      </c>
      <c r="U13" s="9" t="n">
        <v>0.05862068965517241</v>
      </c>
      <c r="V13" s="8" t="n">
        <v>98</v>
      </c>
      <c r="W13" s="9" t="n">
        <v>0.1270946767636958</v>
      </c>
      <c r="X13" s="9" t="n">
        <v>0.09183673469387756</v>
      </c>
      <c r="Y13" s="10">
        <f>IFERROR(D13/O13-1,"")</f>
        <v/>
      </c>
      <c r="Z13" s="10">
        <f>IFERROR(E13/O13-1,"")</f>
        <v/>
      </c>
      <c r="AA13" s="10">
        <f>IFERROR(E13/U13-1,"")</f>
        <v/>
      </c>
      <c r="AB13" s="10">
        <f>IFERROR(W13/X13-1,"")</f>
        <v/>
      </c>
    </row>
    <row r="14">
      <c r="A14" s="7" t="inlineStr">
        <is>
          <t>202312</t>
        </is>
      </c>
      <c r="B14" s="8" t="n">
        <v>352</v>
      </c>
      <c r="C14" s="9" t="n">
        <v>0.1302459653657438</v>
      </c>
      <c r="D14" s="9" t="n">
        <v>0.1324658064721999</v>
      </c>
      <c r="E14" s="9" t="n">
        <v>0.1266235674840024</v>
      </c>
      <c r="F14" s="9" t="n">
        <v>0.005681818181818182</v>
      </c>
      <c r="G14" s="9" t="n">
        <v>0.01988636363636364</v>
      </c>
      <c r="H14" s="9" t="n">
        <v>0.02272727272727273</v>
      </c>
      <c r="I14" s="9" t="n">
        <v>0.02840909090909091</v>
      </c>
      <c r="J14" s="9" t="n">
        <v>0.03409090909090909</v>
      </c>
      <c r="K14" s="9" t="n">
        <v>0.04545454545454546</v>
      </c>
      <c r="L14" s="9" t="n">
        <v>0.05397727272727273</v>
      </c>
      <c r="M14" s="9" t="n">
        <v>0.0625</v>
      </c>
      <c r="N14" s="9" t="n">
        <v>0.0625</v>
      </c>
      <c r="O14" s="9" t="n">
        <v>0.07670454545454546</v>
      </c>
      <c r="P14" s="13" t="n">
        <v>0.0012463846792965</v>
      </c>
      <c r="Q14" s="14" t="n">
        <v>3.411002234638927</v>
      </c>
      <c r="R14" s="15" t="n">
        <v>12</v>
      </c>
      <c r="S14" s="9" t="n">
        <v>0.07670454545454546</v>
      </c>
      <c r="T14" s="13" t="n">
        <v>1</v>
      </c>
      <c r="U14" s="9" t="n">
        <v>0.07670454545454546</v>
      </c>
      <c r="V14" s="8" t="n">
        <v>130</v>
      </c>
      <c r="W14" s="9" t="n">
        <v>0.1217467001260875</v>
      </c>
      <c r="X14" s="9" t="n">
        <v>0.06153846153846154</v>
      </c>
      <c r="Y14" s="10">
        <f>IFERROR(D14/O14-1,"")</f>
        <v/>
      </c>
      <c r="Z14" s="10">
        <f>IFERROR(E14/O14-1,"")</f>
        <v/>
      </c>
      <c r="AA14" s="10">
        <f>IFERROR(E14/U14-1,"")</f>
        <v/>
      </c>
      <c r="AB14" s="10">
        <f>IFERROR(W14/X14-1,"")</f>
        <v/>
      </c>
    </row>
    <row r="15">
      <c r="A15" s="7" t="inlineStr">
        <is>
          <t>202401</t>
        </is>
      </c>
      <c r="B15" s="8" t="n">
        <v>237</v>
      </c>
      <c r="C15" s="9" t="n">
        <v>0.1159785005189321</v>
      </c>
      <c r="D15" s="9" t="n">
        <v>0.1112614252254807</v>
      </c>
      <c r="E15" s="9" t="n">
        <v>0.1078684476918524</v>
      </c>
      <c r="F15" s="9" t="n">
        <v>0</v>
      </c>
      <c r="G15" s="9" t="n">
        <v>0.008438818565400843</v>
      </c>
      <c r="H15" s="9" t="n">
        <v>0.01265822784810127</v>
      </c>
      <c r="I15" s="9" t="n">
        <v>0.01687763713080169</v>
      </c>
      <c r="J15" s="9" t="n">
        <v>0.01687763713080169</v>
      </c>
      <c r="K15" s="9" t="n">
        <v>0.02109704641350211</v>
      </c>
      <c r="L15" s="9" t="n">
        <v>0.02953586497890295</v>
      </c>
      <c r="M15" s="9" t="n">
        <v>0.03375527426160337</v>
      </c>
      <c r="N15" s="9" t="n">
        <v>0.0379746835443038</v>
      </c>
      <c r="O15" s="9" t="n">
        <v>0.04641350210970464</v>
      </c>
      <c r="P15" s="13" t="n">
        <v>-0.0190642825400903</v>
      </c>
      <c r="Q15" s="14" t="n">
        <v>2.947058030691863</v>
      </c>
      <c r="R15" s="15" t="n">
        <v>12</v>
      </c>
      <c r="S15" s="9" t="n">
        <v>0.04641350210970464</v>
      </c>
      <c r="T15" s="13" t="n">
        <v>1</v>
      </c>
      <c r="U15" s="9" t="n">
        <v>0.04641350210970464</v>
      </c>
      <c r="V15" s="8" t="n">
        <v>71</v>
      </c>
      <c r="W15" s="9" t="n">
        <v>0.109913005614171</v>
      </c>
      <c r="X15" s="9" t="n">
        <v>0</v>
      </c>
      <c r="Y15" s="10">
        <f>IFERROR(D15/O15-1,"")</f>
        <v/>
      </c>
      <c r="Z15" s="10">
        <f>IFERROR(E15/O15-1,"")</f>
        <v/>
      </c>
      <c r="AA15" s="10">
        <f>IFERROR(E15/U15-1,"")</f>
        <v/>
      </c>
      <c r="AB15" s="10">
        <f>IFERROR(W15/X15-1,"")</f>
        <v/>
      </c>
    </row>
    <row r="16">
      <c r="A16" s="7" t="inlineStr">
        <is>
          <t>202402</t>
        </is>
      </c>
      <c r="B16" s="8" t="n">
        <v>288</v>
      </c>
      <c r="C16" s="9" t="n">
        <v>0.138388615515497</v>
      </c>
      <c r="D16" s="9" t="n">
        <v>0.1331173022303523</v>
      </c>
      <c r="E16" s="9" t="n">
        <v>0.1321101382843682</v>
      </c>
      <c r="F16" s="9" t="n">
        <v>0</v>
      </c>
      <c r="G16" s="9" t="n">
        <v>0.003472222222222222</v>
      </c>
      <c r="H16" s="9" t="n">
        <v>0.006944444444444444</v>
      </c>
      <c r="I16" s="9" t="n">
        <v>0.01041666666666667</v>
      </c>
      <c r="J16" s="9" t="n">
        <v>0.01736111111111111</v>
      </c>
      <c r="K16" s="9" t="n">
        <v>0.02083333333333333</v>
      </c>
      <c r="L16" s="9" t="n">
        <v>0.02083333333333333</v>
      </c>
      <c r="M16" s="9" t="n">
        <v>0.02430555555555556</v>
      </c>
      <c r="N16" s="9" t="n">
        <v>0.02430555555555556</v>
      </c>
      <c r="O16" s="9" t="n">
        <v>0.03125</v>
      </c>
      <c r="P16" s="13" t="n">
        <v>-0.0198286684982686</v>
      </c>
      <c r="Q16" s="14" t="n">
        <v>2.929597627690584</v>
      </c>
      <c r="R16" s="15" t="n">
        <v>12</v>
      </c>
      <c r="S16" s="9" t="n">
        <v>0.03125</v>
      </c>
      <c r="T16" s="13" t="n">
        <v>1</v>
      </c>
      <c r="U16" s="9" t="n">
        <v>0.03125</v>
      </c>
      <c r="V16" s="8" t="n">
        <v>95</v>
      </c>
      <c r="W16" s="9" t="n">
        <v>0.1338561919457086</v>
      </c>
      <c r="X16" s="9" t="n">
        <v>0.02105263157894737</v>
      </c>
      <c r="Y16" s="10">
        <f>IFERROR(D16/O16-1,"")</f>
        <v/>
      </c>
      <c r="Z16" s="10">
        <f>IFERROR(E16/O16-1,"")</f>
        <v/>
      </c>
      <c r="AA16" s="10">
        <f>IFERROR(E16/U16-1,"")</f>
        <v/>
      </c>
      <c r="AB16" s="10">
        <f>IFERROR(W16/X16-1,"")</f>
        <v/>
      </c>
    </row>
    <row r="17">
      <c r="A17" s="7" t="inlineStr">
        <is>
          <t>202403</t>
        </is>
      </c>
      <c r="B17" s="8" t="n">
        <v>225</v>
      </c>
      <c r="C17" s="9" t="n">
        <v>0.1166520164575842</v>
      </c>
      <c r="D17" s="9" t="n">
        <v>0.1118519710914956</v>
      </c>
      <c r="E17" s="9" t="n">
        <v>0.1068271585047845</v>
      </c>
      <c r="F17" s="9" t="n">
        <v>0</v>
      </c>
      <c r="G17" s="9" t="n">
        <v>0.004444444444444444</v>
      </c>
      <c r="H17" s="9" t="n">
        <v>0.01333333333333333</v>
      </c>
      <c r="I17" s="9" t="n">
        <v>0.01777777777777778</v>
      </c>
      <c r="J17" s="9" t="n">
        <v>0.02666666666666667</v>
      </c>
      <c r="K17" s="9" t="n">
        <v>0.02666666666666667</v>
      </c>
      <c r="L17" s="9" t="n">
        <v>0.03111111111111111</v>
      </c>
      <c r="M17" s="9" t="n">
        <v>0.04</v>
      </c>
      <c r="N17" s="9" t="n">
        <v>0.04444444444444445</v>
      </c>
      <c r="O17" s="9" t="n">
        <v>0.05777777777777778</v>
      </c>
      <c r="P17" s="13" t="n">
        <v>-0.0309796378369519</v>
      </c>
      <c r="Q17" s="14" t="n">
        <v>2.67488282501116</v>
      </c>
      <c r="R17" s="15" t="n">
        <v>12</v>
      </c>
      <c r="S17" s="9" t="n">
        <v>0.05777777777777778</v>
      </c>
      <c r="T17" s="13" t="n">
        <v>1</v>
      </c>
      <c r="U17" s="9" t="n">
        <v>0.05777777777777778</v>
      </c>
      <c r="V17" s="8" t="n">
        <v>68</v>
      </c>
      <c r="W17" s="9" t="n">
        <v>0.1063631235083696</v>
      </c>
      <c r="X17" s="9" t="n">
        <v>0.04411764705882353</v>
      </c>
      <c r="Y17" s="10">
        <f>IFERROR(D17/O17-1,"")</f>
        <v/>
      </c>
      <c r="Z17" s="10">
        <f>IFERROR(E17/O17-1,"")</f>
        <v/>
      </c>
      <c r="AA17" s="10">
        <f>IFERROR(E17/U17-1,"")</f>
        <v/>
      </c>
      <c r="AB17" s="10">
        <f>IFERROR(W17/X17-1,"")</f>
        <v/>
      </c>
    </row>
    <row r="18">
      <c r="A18" s="7" t="inlineStr">
        <is>
          <t>202404</t>
        </is>
      </c>
      <c r="B18" s="8" t="n">
        <v>296</v>
      </c>
      <c r="C18" s="9" t="n">
        <v>0.1300226436122446</v>
      </c>
      <c r="D18" s="9" t="n">
        <v>0.1253252647804549</v>
      </c>
      <c r="E18" s="9" t="n">
        <v>0.1158155805058365</v>
      </c>
      <c r="F18" s="9" t="n">
        <v>0</v>
      </c>
      <c r="G18" s="9" t="n">
        <v>0.003378378378378379</v>
      </c>
      <c r="H18" s="9" t="n">
        <v>0.01013513513513514</v>
      </c>
      <c r="I18" s="9" t="n">
        <v>0.01013513513513514</v>
      </c>
      <c r="J18" s="9" t="n">
        <v>0.01689189189189189</v>
      </c>
      <c r="K18" s="9" t="n">
        <v>0.02027027027027027</v>
      </c>
      <c r="L18" s="9" t="n">
        <v>0.03040540540540541</v>
      </c>
      <c r="M18" s="9" t="n">
        <v>0.03040540540540541</v>
      </c>
      <c r="N18" s="9" t="n">
        <v>0.03716216216216216</v>
      </c>
      <c r="O18" s="9" t="n">
        <v>0.04391891891891892</v>
      </c>
      <c r="P18" s="13" t="n">
        <v>-0.0558720181987733</v>
      </c>
      <c r="Q18" s="14" t="n">
        <v>2.106281337597227</v>
      </c>
      <c r="R18" s="15" t="n">
        <v>12</v>
      </c>
      <c r="S18" s="9" t="n">
        <v>0.04391891891891892</v>
      </c>
      <c r="T18" s="13" t="n">
        <v>1</v>
      </c>
      <c r="U18" s="9" t="n">
        <v>0.04391891891891892</v>
      </c>
      <c r="V18" s="8" t="n">
        <v>103</v>
      </c>
      <c r="W18" s="9" t="n">
        <v>0.1242321645031719</v>
      </c>
      <c r="X18" s="9" t="n">
        <v>0.03883495145631068</v>
      </c>
      <c r="Y18" s="10">
        <f>IFERROR(D18/O18-1,"")</f>
        <v/>
      </c>
      <c r="Z18" s="10">
        <f>IFERROR(E18/O18-1,"")</f>
        <v/>
      </c>
      <c r="AA18" s="10">
        <f>IFERROR(E18/U18-1,"")</f>
        <v/>
      </c>
      <c r="AB18" s="10">
        <f>IFERROR(W18/X18-1,"")</f>
        <v/>
      </c>
    </row>
    <row r="19">
      <c r="A19" s="7" t="inlineStr">
        <is>
          <t>202405</t>
        </is>
      </c>
      <c r="B19" s="8" t="n">
        <v>253</v>
      </c>
      <c r="C19" s="9" t="n">
        <v>0.1243614457223726</v>
      </c>
      <c r="D19" s="9" t="n">
        <v>0.1198927255369458</v>
      </c>
      <c r="E19" s="9" t="n">
        <v>0.1063030318891025</v>
      </c>
      <c r="F19" s="9" t="n">
        <v>0.007905138339920948</v>
      </c>
      <c r="G19" s="9" t="n">
        <v>0.0158102766798419</v>
      </c>
      <c r="H19" s="9" t="n">
        <v>0.02371541501976284</v>
      </c>
      <c r="I19" s="9" t="n">
        <v>0.02766798418972332</v>
      </c>
      <c r="J19" s="9" t="n">
        <v>0.03557312252964427</v>
      </c>
      <c r="K19" s="9" t="n">
        <v>0.03952569169960474</v>
      </c>
      <c r="L19" s="9" t="n">
        <v>0.03952569169960474</v>
      </c>
      <c r="M19" s="9" t="n">
        <v>0.03952569169960474</v>
      </c>
      <c r="N19" s="9" t="n">
        <v>0.05138339920948617</v>
      </c>
      <c r="O19" s="9" t="n">
        <v>0.05533596837944664</v>
      </c>
      <c r="P19" s="13" t="n">
        <v>-0.0754757595835721</v>
      </c>
      <c r="Q19" s="14" t="n">
        <v>1.658485010036248</v>
      </c>
      <c r="R19" s="15" t="n">
        <v>12</v>
      </c>
      <c r="S19" s="9" t="n">
        <v>0.05533596837944664</v>
      </c>
      <c r="T19" s="13" t="n">
        <v>1</v>
      </c>
      <c r="U19" s="9" t="n">
        <v>0.05533596837944664</v>
      </c>
      <c r="V19" s="8" t="n">
        <v>87</v>
      </c>
      <c r="W19" s="9" t="n">
        <v>0.1005223839347315</v>
      </c>
      <c r="X19" s="9" t="n">
        <v>0.04597701149425287</v>
      </c>
      <c r="Y19" s="10">
        <f>IFERROR(D19/O19-1,"")</f>
        <v/>
      </c>
      <c r="Z19" s="10">
        <f>IFERROR(E19/O19-1,"")</f>
        <v/>
      </c>
      <c r="AA19" s="10">
        <f>IFERROR(E19/U19-1,"")</f>
        <v/>
      </c>
      <c r="AB19" s="10">
        <f>IFERROR(W19/X19-1,"")</f>
        <v/>
      </c>
    </row>
    <row r="20">
      <c r="A20" s="7" t="inlineStr">
        <is>
          <t>202406</t>
        </is>
      </c>
      <c r="B20" s="8" t="n">
        <v>206</v>
      </c>
      <c r="C20" s="9" t="n">
        <v>0.1296544287136747</v>
      </c>
      <c r="D20" s="9" t="n">
        <v>0.1249429710227454</v>
      </c>
      <c r="E20" s="9" t="n">
        <v>0.1137847787506631</v>
      </c>
      <c r="F20" s="9" t="n">
        <v>0</v>
      </c>
      <c r="G20" s="9" t="n">
        <v>0</v>
      </c>
      <c r="H20" s="9" t="n">
        <v>0</v>
      </c>
      <c r="I20" s="9" t="n">
        <v>0.004854368932038835</v>
      </c>
      <c r="J20" s="9" t="n">
        <v>0.02427184466019417</v>
      </c>
      <c r="K20" s="9" t="n">
        <v>0.02912621359223301</v>
      </c>
      <c r="L20" s="9" t="n">
        <v>0.03398058252427184</v>
      </c>
      <c r="M20" s="9" t="n">
        <v>0.04368932038834952</v>
      </c>
      <c r="N20" s="9" t="n">
        <v>0.06796116504854369</v>
      </c>
      <c r="O20" s="9" t="n">
        <v>0.07281553398058252</v>
      </c>
      <c r="P20" s="13" t="n">
        <v>-0.0653537931038556</v>
      </c>
      <c r="Q20" s="14" t="n">
        <v>1.889694926977259</v>
      </c>
      <c r="R20" s="15" t="n">
        <v>12</v>
      </c>
      <c r="S20" s="9" t="n">
        <v>0.07281553398058252</v>
      </c>
      <c r="T20" s="13" t="n">
        <v>1</v>
      </c>
      <c r="U20" s="9" t="n">
        <v>0.07281553398058252</v>
      </c>
      <c r="V20" s="8" t="n">
        <v>73</v>
      </c>
      <c r="W20" s="9" t="n">
        <v>0.1214534277737112</v>
      </c>
      <c r="X20" s="9" t="n">
        <v>0.0821917808219178</v>
      </c>
      <c r="Y20" s="10">
        <f>IFERROR(D20/O20-1,"")</f>
        <v/>
      </c>
      <c r="Z20" s="10">
        <f>IFERROR(E20/O20-1,"")</f>
        <v/>
      </c>
      <c r="AA20" s="10">
        <f>IFERROR(E20/U20-1,"")</f>
        <v/>
      </c>
      <c r="AB20" s="10">
        <f>IFERROR(W20/X20-1,"")</f>
        <v/>
      </c>
    </row>
    <row r="21">
      <c r="A21" s="7" t="inlineStr">
        <is>
          <t>202407</t>
        </is>
      </c>
      <c r="B21" s="8" t="n">
        <v>232</v>
      </c>
      <c r="C21" s="9" t="n">
        <v>0.1199439276041913</v>
      </c>
      <c r="D21" s="9" t="n">
        <v>0.1155406861437549</v>
      </c>
      <c r="E21" s="9" t="n">
        <v>0.103237214586798</v>
      </c>
      <c r="F21" s="9" t="n">
        <v>0</v>
      </c>
      <c r="G21" s="9" t="n">
        <v>0.008620689655172414</v>
      </c>
      <c r="H21" s="9" t="n">
        <v>0.008620689655172414</v>
      </c>
      <c r="I21" s="9" t="n">
        <v>0.01293103448275862</v>
      </c>
      <c r="J21" s="9" t="n">
        <v>0.01293103448275862</v>
      </c>
      <c r="K21" s="9" t="n">
        <v>0.01293103448275862</v>
      </c>
      <c r="L21" s="9" t="n">
        <v>0.01293103448275862</v>
      </c>
      <c r="M21" s="9" t="n">
        <v>0.02155172413793104</v>
      </c>
      <c r="N21" s="9" t="n">
        <v>0.02586206896551724</v>
      </c>
      <c r="O21" s="9" t="n">
        <v>0.03448275862068965</v>
      </c>
      <c r="P21" s="13" t="n">
        <v>-0.0704962472517633</v>
      </c>
      <c r="Q21" s="14" t="n">
        <v>1.772228978162538</v>
      </c>
      <c r="R21" s="15" t="n">
        <v>12</v>
      </c>
      <c r="S21" s="9" t="n">
        <v>0.03448275862068965</v>
      </c>
      <c r="T21" s="13" t="n">
        <v>1</v>
      </c>
      <c r="U21" s="9" t="n">
        <v>0.03448275862068965</v>
      </c>
      <c r="V21" s="8" t="n">
        <v>93</v>
      </c>
      <c r="W21" s="9" t="n">
        <v>0.1034015974739245</v>
      </c>
      <c r="X21" s="9" t="n">
        <v>0.03225806451612903</v>
      </c>
      <c r="Y21" s="10">
        <f>IFERROR(D21/O21-1,"")</f>
        <v/>
      </c>
      <c r="Z21" s="10">
        <f>IFERROR(E21/O21-1,"")</f>
        <v/>
      </c>
      <c r="AA21" s="10">
        <f>IFERROR(E21/U21-1,"")</f>
        <v/>
      </c>
      <c r="AB21" s="10">
        <f>IFERROR(W21/X21-1,"")</f>
        <v/>
      </c>
    </row>
    <row r="22">
      <c r="A22" s="7" t="inlineStr">
        <is>
          <t>202408</t>
        </is>
      </c>
      <c r="B22" s="8" t="n">
        <v>207</v>
      </c>
      <c r="C22" s="9" t="n">
        <v>0.1298445704604549</v>
      </c>
      <c r="D22" s="9" t="n">
        <v>0.1250812496612037</v>
      </c>
      <c r="E22" s="9" t="n">
        <v>0.11239157634579</v>
      </c>
      <c r="F22" s="9" t="n">
        <v>0</v>
      </c>
      <c r="G22" s="9" t="n">
        <v>0.004830917874396135</v>
      </c>
      <c r="H22" s="9" t="n">
        <v>0.00966183574879227</v>
      </c>
      <c r="I22" s="9" t="n">
        <v>0.01449275362318841</v>
      </c>
      <c r="J22" s="9" t="n">
        <v>0.01932367149758454</v>
      </c>
      <c r="K22" s="9" t="n">
        <v>0.01932367149758454</v>
      </c>
      <c r="L22" s="9" t="n">
        <v>0.02415458937198068</v>
      </c>
      <c r="M22" s="9" t="n">
        <v>0.02898550724637681</v>
      </c>
      <c r="N22" s="9" t="n">
        <v>0.03381642512077294</v>
      </c>
      <c r="O22" s="9" t="n">
        <v>0.03864734299516908</v>
      </c>
      <c r="P22" s="13" t="n">
        <v>-0.0744376341863873</v>
      </c>
      <c r="Q22" s="14" t="n">
        <v>1.68219827636038</v>
      </c>
      <c r="R22" s="15" t="n">
        <v>12</v>
      </c>
      <c r="S22" s="9" t="n">
        <v>0.03864734299516908</v>
      </c>
      <c r="T22" s="13" t="n">
        <v>1</v>
      </c>
      <c r="U22" s="9" t="n">
        <v>0.03864734299516908</v>
      </c>
      <c r="V22" s="8" t="n">
        <v>71</v>
      </c>
      <c r="W22" s="9" t="n">
        <v>0.1284091114340229</v>
      </c>
      <c r="X22" s="9" t="n">
        <v>0.02816901408450704</v>
      </c>
      <c r="Y22" s="10">
        <f>IFERROR(D22/O22-1,"")</f>
        <v/>
      </c>
      <c r="Z22" s="10">
        <f>IFERROR(E22/O22-1,"")</f>
        <v/>
      </c>
      <c r="AA22" s="10">
        <f>IFERROR(E22/U22-1,"")</f>
        <v/>
      </c>
      <c r="AB22" s="10">
        <f>IFERROR(W22/X22-1,"")</f>
        <v/>
      </c>
    </row>
    <row r="23">
      <c r="A23" s="7" t="inlineStr">
        <is>
          <t>202409</t>
        </is>
      </c>
      <c r="B23" s="8" t="n">
        <v>238</v>
      </c>
      <c r="C23" s="9" t="n">
        <v>0.1172222836850947</v>
      </c>
      <c r="D23" s="9" t="n">
        <v>0.1129507094449481</v>
      </c>
      <c r="E23" s="9" t="n">
        <v>0.09840940869471689</v>
      </c>
      <c r="F23" s="9" t="n">
        <v>0.004201680672268907</v>
      </c>
      <c r="G23" s="9" t="n">
        <v>0.008403361344537815</v>
      </c>
      <c r="H23" s="9" t="n">
        <v>0.01680672268907563</v>
      </c>
      <c r="I23" s="9" t="n">
        <v>0.01680672268907563</v>
      </c>
      <c r="J23" s="9" t="n">
        <v>0.01680672268907563</v>
      </c>
      <c r="K23" s="9" t="n">
        <v>0.03781512605042017</v>
      </c>
      <c r="L23" s="9" t="n">
        <v>0.04201680672268908</v>
      </c>
      <c r="M23" s="9" t="n">
        <v>0.04201680672268908</v>
      </c>
      <c r="N23" s="9" t="n">
        <v>0.04201680672268908</v>
      </c>
      <c r="O23" s="9" t="n">
        <v>0.04201680672268908</v>
      </c>
      <c r="P23" s="13" t="n">
        <v>-0.0828464630159074</v>
      </c>
      <c r="Q23" s="14" t="n">
        <v>1.490120519618099</v>
      </c>
      <c r="R23" s="15" t="n">
        <v>12</v>
      </c>
      <c r="S23" s="9" t="n">
        <v>0.04201680672268908</v>
      </c>
      <c r="T23" s="13" t="n">
        <v>1</v>
      </c>
      <c r="U23" s="9" t="n">
        <v>0.04201680672268908</v>
      </c>
      <c r="V23" s="8" t="n">
        <v>83</v>
      </c>
      <c r="W23" s="9" t="n">
        <v>0.09370315847340174</v>
      </c>
      <c r="X23" s="9" t="n">
        <v>0.03614457831325301</v>
      </c>
      <c r="Y23" s="10">
        <f>IFERROR(D23/O23-1,"")</f>
        <v/>
      </c>
      <c r="Z23" s="10">
        <f>IFERROR(E23/O23-1,"")</f>
        <v/>
      </c>
      <c r="AA23" s="10">
        <f>IFERROR(E23/U23-1,"")</f>
        <v/>
      </c>
      <c r="AB23" s="10">
        <f>IFERROR(W23/X23-1,"")</f>
        <v/>
      </c>
    </row>
    <row r="24">
      <c r="A24" s="7" t="inlineStr">
        <is>
          <t>202410</t>
        </is>
      </c>
      <c r="B24" s="8" t="n">
        <v>554</v>
      </c>
      <c r="C24" s="9" t="n">
        <v>0.1487280465897832</v>
      </c>
      <c r="D24" s="9" t="n">
        <v>0.1508943020577949</v>
      </c>
      <c r="E24" s="9" t="n">
        <v>0.1314954270842089</v>
      </c>
      <c r="F24" s="9" t="n">
        <v>0.005415162454873646</v>
      </c>
      <c r="G24" s="9" t="n">
        <v>0.009025270758122744</v>
      </c>
      <c r="H24" s="9" t="n">
        <v>0.02707581227436823</v>
      </c>
      <c r="I24" s="9" t="n">
        <v>0.04151624548736462</v>
      </c>
      <c r="J24" s="9" t="n">
        <v>0.05234657039711191</v>
      </c>
      <c r="K24" s="9" t="n">
        <v>0.0631768953068592</v>
      </c>
      <c r="L24" s="9" t="n">
        <v>0.0776173285198556</v>
      </c>
      <c r="M24" s="9" t="n">
        <v>0.08664259927797834</v>
      </c>
      <c r="N24" s="9" t="n">
        <v>0.09205776173285199</v>
      </c>
      <c r="O24" s="9" t="n">
        <v>0.1064981949458484</v>
      </c>
      <c r="P24" s="13" t="n">
        <v>-0.0724218660345015</v>
      </c>
      <c r="Q24" s="14" t="n">
        <v>1.728243240834804</v>
      </c>
      <c r="R24" s="15" t="n">
        <v>12</v>
      </c>
      <c r="S24" s="9" t="n">
        <v>0.1064981949458484</v>
      </c>
      <c r="T24" s="13" t="n">
        <v>1</v>
      </c>
      <c r="U24" s="9" t="n">
        <v>0.1064981949458484</v>
      </c>
      <c r="V24" s="8" t="n">
        <v>232</v>
      </c>
      <c r="W24" s="9" t="n">
        <v>0.1336894779236469</v>
      </c>
      <c r="X24" s="9" t="n">
        <v>0.125</v>
      </c>
      <c r="Y24" s="10">
        <f>IFERROR(D24/O24-1,"")</f>
        <v/>
      </c>
      <c r="Z24" s="10">
        <f>IFERROR(E24/O24-1,"")</f>
        <v/>
      </c>
      <c r="AA24" s="10">
        <f>IFERROR(E24/U24-1,"")</f>
        <v/>
      </c>
      <c r="AB24" s="10">
        <f>IFERROR(W24/X24-1,"")</f>
        <v/>
      </c>
    </row>
    <row r="25">
      <c r="A25" s="7" t="inlineStr">
        <is>
          <t>202411</t>
        </is>
      </c>
      <c r="B25" s="8" t="n">
        <v>610</v>
      </c>
      <c r="C25" s="9" t="n">
        <v>0.1484554758295417</v>
      </c>
      <c r="D25" s="9" t="n">
        <v>0.1507212935992684</v>
      </c>
      <c r="E25" s="9" t="n">
        <v>0.1338165828972256</v>
      </c>
      <c r="F25" s="9" t="n">
        <v>0.001639344262295082</v>
      </c>
      <c r="G25" s="9" t="n">
        <v>0.01967213114754099</v>
      </c>
      <c r="H25" s="9" t="n">
        <v>0.02950819672131148</v>
      </c>
      <c r="I25" s="9" t="n">
        <v>0.04918032786885246</v>
      </c>
      <c r="J25" s="9" t="n">
        <v>0.05901639344262295</v>
      </c>
      <c r="K25" s="9" t="n">
        <v>0.06393442622950819</v>
      </c>
      <c r="L25" s="9" t="n">
        <v>0.07049180327868852</v>
      </c>
      <c r="M25" s="9" t="n">
        <v>0.08196721311475409</v>
      </c>
      <c r="N25" s="9" t="n">
        <v>0.08852459016393442</v>
      </c>
      <c r="O25" s="9" t="n">
        <v>0.1016393442622951</v>
      </c>
      <c r="P25" s="13" t="n">
        <v>-0.0580535033556161</v>
      </c>
      <c r="Q25" s="14" t="n">
        <v>2.056451000485126</v>
      </c>
      <c r="R25" s="15" t="n">
        <v>12</v>
      </c>
      <c r="S25" s="9" t="n">
        <v>0.1016393442622951</v>
      </c>
      <c r="T25" s="13" t="n">
        <v>1</v>
      </c>
      <c r="U25" s="9" t="n">
        <v>0.1016393442622951</v>
      </c>
      <c r="V25" s="8" t="n">
        <v>245</v>
      </c>
      <c r="W25" s="9" t="n">
        <v>0.1429848765451618</v>
      </c>
      <c r="X25" s="9" t="n">
        <v>0.09795918367346938</v>
      </c>
      <c r="Y25" s="10">
        <f>IFERROR(D25/O25-1,"")</f>
        <v/>
      </c>
      <c r="Z25" s="10">
        <f>IFERROR(E25/O25-1,"")</f>
        <v/>
      </c>
      <c r="AA25" s="10">
        <f>IFERROR(E25/U25-1,"")</f>
        <v/>
      </c>
      <c r="AB25" s="10">
        <f>IFERROR(W25/X25-1,"")</f>
        <v/>
      </c>
    </row>
    <row r="26">
      <c r="A26" s="7" t="inlineStr">
        <is>
          <t>202412</t>
        </is>
      </c>
      <c r="B26" s="8" t="n">
        <v>520</v>
      </c>
      <c r="C26" s="9" t="n">
        <v>0.1437202550345459</v>
      </c>
      <c r="D26" s="9" t="n">
        <v>0.145720982291879</v>
      </c>
      <c r="E26" s="9" t="n">
        <v>0.1279229161324979</v>
      </c>
      <c r="F26" s="9" t="n">
        <v>0.007692307692307693</v>
      </c>
      <c r="G26" s="9" t="n">
        <v>0.02692307692307692</v>
      </c>
      <c r="H26" s="9" t="n">
        <v>0.04615384615384616</v>
      </c>
      <c r="I26" s="9" t="n">
        <v>0.05384615384615385</v>
      </c>
      <c r="J26" s="9" t="n">
        <v>0.06153846153846154</v>
      </c>
      <c r="K26" s="9" t="n">
        <v>0.075</v>
      </c>
      <c r="L26" s="9" t="n">
        <v>0.08461538461538462</v>
      </c>
      <c r="M26" s="9" t="n">
        <v>0.09423076923076923</v>
      </c>
      <c r="N26" s="9" t="n">
        <v>0.1</v>
      </c>
      <c r="O26" s="9" t="n">
        <v>0.1038461538461539</v>
      </c>
      <c r="P26" s="13" t="n">
        <v>-0.0650299149850779</v>
      </c>
      <c r="Q26" s="14" t="n">
        <v>1.897093077632239</v>
      </c>
      <c r="R26" s="15" t="n">
        <v>12</v>
      </c>
      <c r="S26" s="9" t="n">
        <v>0.1038461538461539</v>
      </c>
      <c r="T26" s="13" t="n">
        <v>1</v>
      </c>
      <c r="U26" s="9" t="n">
        <v>0.1038461538461539</v>
      </c>
      <c r="V26" s="8" t="n">
        <v>195</v>
      </c>
      <c r="W26" s="9" t="n">
        <v>0.1273694980560372</v>
      </c>
      <c r="X26" s="9" t="n">
        <v>0.09743589743589744</v>
      </c>
      <c r="Y26" s="10">
        <f>IFERROR(D26/O26-1,"")</f>
        <v/>
      </c>
      <c r="Z26" s="10">
        <f>IFERROR(E26/O26-1,"")</f>
        <v/>
      </c>
      <c r="AA26" s="10">
        <f>IFERROR(E26/U26-1,"")</f>
        <v/>
      </c>
      <c r="AB26" s="10">
        <f>IFERROR(W26/X26-1,"")</f>
        <v/>
      </c>
    </row>
    <row r="27">
      <c r="A27" s="7" t="inlineStr">
        <is>
          <t>202501</t>
        </is>
      </c>
      <c r="B27" s="8" t="n">
        <v>747</v>
      </c>
      <c r="C27" s="9" t="n">
        <v>0.1321478671951586</v>
      </c>
      <c r="D27" s="9" t="n">
        <v>0.1334630320175305</v>
      </c>
      <c r="E27" s="9" t="n">
        <v>0.1152732495779208</v>
      </c>
      <c r="F27" s="9" t="n">
        <v>0.00535475234270415</v>
      </c>
      <c r="G27" s="9" t="n">
        <v>0.02677376171352075</v>
      </c>
      <c r="H27" s="9" t="n">
        <v>0.03882195448460508</v>
      </c>
      <c r="I27" s="9" t="n">
        <v>0.04685408299866131</v>
      </c>
      <c r="J27" s="9" t="n">
        <v>0.04819277108433735</v>
      </c>
      <c r="K27" s="9" t="n">
        <v>0.05890227576974565</v>
      </c>
      <c r="L27" s="9" t="n">
        <v>0.07228915662650602</v>
      </c>
      <c r="M27" s="9" t="n">
        <v>0.0856760374832664</v>
      </c>
      <c r="N27" s="9" t="n">
        <v>0.09906291834002677</v>
      </c>
      <c r="O27" s="9" t="n">
        <v>0.1030789825970549</v>
      </c>
      <c r="P27" s="13" t="n">
        <v>-0.0692773689503683</v>
      </c>
      <c r="Q27" s="14" t="n">
        <v>1.800071073015497</v>
      </c>
      <c r="R27" s="15" t="n">
        <v>12</v>
      </c>
      <c r="S27" s="9" t="n">
        <v>0.1030789825970549</v>
      </c>
      <c r="T27" s="13" t="n">
        <v>1</v>
      </c>
      <c r="U27" s="9" t="n">
        <v>0.1030789825970549</v>
      </c>
      <c r="V27" s="8" t="n">
        <v>299</v>
      </c>
      <c r="W27" s="9" t="n">
        <v>0.1148216882913568</v>
      </c>
      <c r="X27" s="9" t="n">
        <v>0.117056856187291</v>
      </c>
      <c r="Y27" s="10">
        <f>IFERROR(D27/O27-1,"")</f>
        <v/>
      </c>
      <c r="Z27" s="10">
        <f>IFERROR(E27/O27-1,"")</f>
        <v/>
      </c>
      <c r="AA27" s="10">
        <f>IFERROR(E27/U27-1,"")</f>
        <v/>
      </c>
      <c r="AB27" s="10">
        <f>IFERROR(W27/X27-1,"")</f>
        <v/>
      </c>
    </row>
    <row r="28">
      <c r="A28" s="7" t="inlineStr">
        <is>
          <t>202502</t>
        </is>
      </c>
      <c r="B28" s="8" t="n">
        <v>623</v>
      </c>
      <c r="C28" s="9" t="n">
        <v>0.1372388495434297</v>
      </c>
      <c r="D28" s="9" t="n">
        <v>0.1388121667866674</v>
      </c>
      <c r="E28" s="9" t="n">
        <v>0.1179303955207103</v>
      </c>
      <c r="F28" s="9" t="n">
        <v>0.003210272873194221</v>
      </c>
      <c r="G28" s="9" t="n">
        <v>0.008025682182985553</v>
      </c>
      <c r="H28" s="9" t="n">
        <v>0.02086677367576244</v>
      </c>
      <c r="I28" s="9" t="n">
        <v>0.0304975922953451</v>
      </c>
      <c r="J28" s="9" t="n">
        <v>0.03852327447833066</v>
      </c>
      <c r="K28" s="9" t="n">
        <v>0.04333868378812199</v>
      </c>
      <c r="L28" s="9" t="n">
        <v>0.04975922953451043</v>
      </c>
      <c r="M28" s="9" t="n">
        <v>0.06099518459069021</v>
      </c>
      <c r="N28" s="9" t="n">
        <v>0.0754414125200642</v>
      </c>
      <c r="O28" s="9" t="n">
        <v>0.08025682182985554</v>
      </c>
      <c r="P28" s="13" t="n">
        <v>-0.0821028391221693</v>
      </c>
      <c r="Q28" s="14" t="n">
        <v>1.507106667423574</v>
      </c>
      <c r="R28" s="15" t="n">
        <v>12</v>
      </c>
      <c r="S28" s="9" t="n">
        <v>0.08025682182985554</v>
      </c>
      <c r="T28" s="13" t="n">
        <v>1</v>
      </c>
      <c r="U28" s="9" t="n">
        <v>0.08025682182985554</v>
      </c>
      <c r="V28" s="8" t="n">
        <v>254</v>
      </c>
      <c r="W28" s="9" t="n">
        <v>0.1236695012025807</v>
      </c>
      <c r="X28" s="9" t="n">
        <v>0.09448818897637795</v>
      </c>
      <c r="Y28" s="10">
        <f>IFERROR(D28/O28-1,"")</f>
        <v/>
      </c>
      <c r="Z28" s="10">
        <f>IFERROR(E28/O28-1,"")</f>
        <v/>
      </c>
      <c r="AA28" s="10">
        <f>IFERROR(E28/U28-1,"")</f>
        <v/>
      </c>
      <c r="AB28" s="10">
        <f>IFERROR(W28/X28-1,"")</f>
        <v/>
      </c>
    </row>
    <row r="29">
      <c r="A29" s="7" t="inlineStr">
        <is>
          <t>202503</t>
        </is>
      </c>
      <c r="B29" s="8" t="n">
        <v>675</v>
      </c>
      <c r="C29" s="9" t="n">
        <v>0.1448856851348171</v>
      </c>
      <c r="D29" s="9" t="n">
        <v>0.1393151821844556</v>
      </c>
      <c r="E29" s="9" t="n">
        <v>0.1256236800829641</v>
      </c>
      <c r="F29" s="9" t="n">
        <v>0.008888888888888889</v>
      </c>
      <c r="G29" s="9" t="n">
        <v>0.01925925925925926</v>
      </c>
      <c r="H29" s="9" t="n">
        <v>0.03407407407407408</v>
      </c>
      <c r="I29" s="9" t="n">
        <v>0.04888888888888889</v>
      </c>
      <c r="J29" s="9" t="n">
        <v>0.0562962962962963</v>
      </c>
      <c r="K29" s="9" t="n">
        <v>0.06370370370370371</v>
      </c>
      <c r="L29" s="9" t="n">
        <v>0.07703703703703704</v>
      </c>
      <c r="M29" s="9" t="n">
        <v>0.08148148148148149</v>
      </c>
      <c r="N29" s="9" t="n">
        <v>0.08444444444444445</v>
      </c>
      <c r="O29" s="9" t="n">
        <v>0.09481481481481481</v>
      </c>
      <c r="P29" s="13" t="n">
        <v>-0.0901403058799683</v>
      </c>
      <c r="Q29" s="14" t="n">
        <v>1.323511708359959</v>
      </c>
      <c r="R29" s="15" t="n">
        <v>12</v>
      </c>
      <c r="S29" s="9" t="n">
        <v>0.09481481481481481</v>
      </c>
      <c r="T29" s="13" t="n">
        <v>1</v>
      </c>
      <c r="U29" s="9" t="n">
        <v>0.09481481481481481</v>
      </c>
      <c r="V29" s="8" t="n">
        <v>265</v>
      </c>
      <c r="W29" s="9" t="n">
        <v>0.1282188314692384</v>
      </c>
      <c r="X29" s="9" t="n">
        <v>0.1094339622641509</v>
      </c>
      <c r="Y29" s="10">
        <f>IFERROR(D29/O29-1,"")</f>
        <v/>
      </c>
      <c r="Z29" s="10">
        <f>IFERROR(E29/O29-1,"")</f>
        <v/>
      </c>
      <c r="AA29" s="10">
        <f>IFERROR(E29/U29-1,"")</f>
        <v/>
      </c>
      <c r="AB29" s="10">
        <f>IFERROR(W29/X29-1,"")</f>
        <v/>
      </c>
    </row>
    <row r="30">
      <c r="A30" s="7" t="inlineStr">
        <is>
          <t>202504</t>
        </is>
      </c>
      <c r="B30" s="8" t="n">
        <v>532</v>
      </c>
      <c r="C30" s="9" t="n">
        <v>0.1514907667406352</v>
      </c>
      <c r="D30" s="9" t="n">
        <v>0.1455616525346343</v>
      </c>
      <c r="E30" s="9" t="n">
        <v>0.1336271891791877</v>
      </c>
      <c r="F30" s="9" t="n">
        <v>0.005639097744360902</v>
      </c>
      <c r="G30" s="9" t="n">
        <v>0.01879699248120301</v>
      </c>
      <c r="H30" s="9" t="n">
        <v>0.02255639097744361</v>
      </c>
      <c r="I30" s="9" t="n">
        <v>0.03195488721804511</v>
      </c>
      <c r="J30" s="9" t="n">
        <v>0.04699248120300752</v>
      </c>
      <c r="K30" s="9" t="n">
        <v>0.05451127819548872</v>
      </c>
      <c r="L30" s="9" t="n">
        <v>0.06390977443609022</v>
      </c>
      <c r="M30" s="9" t="n">
        <v>0.06954887218045112</v>
      </c>
      <c r="N30" s="9" t="n">
        <v>0.07706766917293233</v>
      </c>
      <c r="O30" s="9" t="n">
        <v>0.09022556390977443</v>
      </c>
      <c r="P30" s="13" t="n">
        <v>-0.0763210869948466</v>
      </c>
      <c r="Q30" s="14" t="n">
        <v>1.639175710707863</v>
      </c>
      <c r="R30" s="15" t="n">
        <v>12</v>
      </c>
      <c r="S30" s="9" t="n">
        <v>0.09022556390977443</v>
      </c>
      <c r="T30" s="13" t="n">
        <v>1</v>
      </c>
      <c r="U30" s="9" t="n">
        <v>0.09022556390977443</v>
      </c>
      <c r="V30" s="8" t="n">
        <v>204</v>
      </c>
      <c r="W30" s="9" t="n">
        <v>0.1411571151642298</v>
      </c>
      <c r="X30" s="9" t="n">
        <v>0.1176470588235294</v>
      </c>
      <c r="Y30" s="10">
        <f>IFERROR(D30/O30-1,"")</f>
        <v/>
      </c>
      <c r="Z30" s="10">
        <f>IFERROR(E30/O30-1,"")</f>
        <v/>
      </c>
      <c r="AA30" s="10">
        <f>IFERROR(E30/U30-1,"")</f>
        <v/>
      </c>
      <c r="AB30" s="10">
        <f>IFERROR(W30/X30-1,"")</f>
        <v/>
      </c>
    </row>
    <row r="31">
      <c r="A31" s="7" t="inlineStr">
        <is>
          <t>202505</t>
        </is>
      </c>
      <c r="B31" s="8" t="n">
        <v>474</v>
      </c>
      <c r="C31" s="9" t="n">
        <v>0.1387485380005484</v>
      </c>
      <c r="D31" s="9" t="n">
        <v>0.1332402163723539</v>
      </c>
      <c r="E31" s="9" t="n">
        <v>0.1211816008054281</v>
      </c>
      <c r="F31" s="9" t="n">
        <v>0.002109704641350211</v>
      </c>
      <c r="G31" s="9" t="n">
        <v>0.01476793248945148</v>
      </c>
      <c r="H31" s="9" t="n">
        <v>0.02953586497890295</v>
      </c>
      <c r="I31" s="9" t="n">
        <v>0.04430379746835443</v>
      </c>
      <c r="J31" s="9" t="n">
        <v>0.05063291139240506</v>
      </c>
      <c r="K31" s="9" t="n">
        <v>0.06329113924050633</v>
      </c>
      <c r="L31" s="9" t="n">
        <v>0.06962025316455696</v>
      </c>
      <c r="M31" s="9" t="n">
        <v>0.07805907172995781</v>
      </c>
      <c r="N31" s="9" t="n">
        <v>0.09071729957805907</v>
      </c>
      <c r="O31" s="9" t="n">
        <v>0.1012658227848101</v>
      </c>
      <c r="P31" s="13" t="n">
        <v>-0.0729545842663733</v>
      </c>
      <c r="Q31" s="14" t="n">
        <v>1.716074682641011</v>
      </c>
      <c r="R31" s="15" t="n">
        <v>12</v>
      </c>
      <c r="S31" s="9" t="n">
        <v>0.1012658227848101</v>
      </c>
      <c r="T31" s="13" t="n">
        <v>1</v>
      </c>
      <c r="U31" s="9" t="n">
        <v>0.1012658227848101</v>
      </c>
      <c r="V31" s="8" t="n">
        <v>206</v>
      </c>
      <c r="W31" s="9" t="n">
        <v>0.1231226826380463</v>
      </c>
      <c r="X31" s="9" t="n">
        <v>0.116504854368932</v>
      </c>
      <c r="Y31" s="10">
        <f>IFERROR(D31/O31-1,"")</f>
        <v/>
      </c>
      <c r="Z31" s="10">
        <f>IFERROR(E31/O31-1,"")</f>
        <v/>
      </c>
      <c r="AA31" s="10">
        <f>IFERROR(E31/U31-1,"")</f>
        <v/>
      </c>
      <c r="AB31" s="10">
        <f>IFERROR(W31/X31-1,"")</f>
        <v/>
      </c>
    </row>
    <row r="32">
      <c r="A32" s="7" t="inlineStr">
        <is>
          <t>202506</t>
        </is>
      </c>
      <c r="B32" s="8" t="n">
        <v>472</v>
      </c>
      <c r="C32" s="9" t="n">
        <v>0.1374582042404593</v>
      </c>
      <c r="D32" s="9" t="n">
        <v>0.1319383195565887</v>
      </c>
      <c r="E32" s="9" t="n">
        <v>0.1193586070978649</v>
      </c>
      <c r="F32" s="9" t="n">
        <v>0.00423728813559322</v>
      </c>
      <c r="G32" s="9" t="n">
        <v>0.01694915254237288</v>
      </c>
      <c r="H32" s="9" t="n">
        <v>0.02966101694915254</v>
      </c>
      <c r="I32" s="9" t="n">
        <v>0.0423728813559322</v>
      </c>
      <c r="J32" s="9" t="n">
        <v>0.05084745762711865</v>
      </c>
      <c r="K32" s="9" t="n">
        <v>0.05932203389830509</v>
      </c>
      <c r="L32" s="9" t="n">
        <v>0.0635593220338983</v>
      </c>
      <c r="M32" s="9" t="n">
        <v>0.06991525423728813</v>
      </c>
      <c r="N32" s="9" t="n">
        <v>0.07415254237288135</v>
      </c>
      <c r="O32" s="9" t="n">
        <v>0.07415254237288135</v>
      </c>
      <c r="P32" s="13" t="n">
        <v>-0.07376569476056211</v>
      </c>
      <c r="Q32" s="14" t="n">
        <v>1.69754697951463</v>
      </c>
      <c r="R32" s="15" t="n">
        <v>12</v>
      </c>
      <c r="S32" s="9" t="n">
        <v>0.07415254237288135</v>
      </c>
      <c r="T32" s="13" t="n">
        <v>1</v>
      </c>
      <c r="U32" s="9" t="n">
        <v>0.07415254237288135</v>
      </c>
      <c r="V32" s="8" t="n">
        <v>175</v>
      </c>
      <c r="W32" s="9" t="n">
        <v>0.1228949657764646</v>
      </c>
      <c r="X32" s="9" t="n">
        <v>0.06857142857142857</v>
      </c>
      <c r="Y32" s="10">
        <f>IFERROR(D32/O32-1,"")</f>
        <v/>
      </c>
      <c r="Z32" s="10">
        <f>IFERROR(E32/O32-1,"")</f>
        <v/>
      </c>
      <c r="AA32" s="10">
        <f>IFERROR(E32/U32-1,"")</f>
        <v/>
      </c>
      <c r="AB32" s="10">
        <f>IFERROR(W32/X32-1,"")</f>
        <v/>
      </c>
    </row>
    <row r="33">
      <c r="A33" s="7" t="inlineStr">
        <is>
          <t>202507</t>
        </is>
      </c>
      <c r="B33" s="8" t="n">
        <v>517</v>
      </c>
      <c r="C33" s="9" t="n">
        <v>0.1411776358632792</v>
      </c>
      <c r="D33" s="9" t="n">
        <v>0.1354317862209026</v>
      </c>
      <c r="E33" s="9" t="n">
        <v>0.1233004515904792</v>
      </c>
      <c r="F33" s="9" t="n">
        <v>0.003868471953578337</v>
      </c>
      <c r="G33" s="9" t="n">
        <v>0.01934235976789168</v>
      </c>
      <c r="H33" s="9" t="n">
        <v>0.03868471953578337</v>
      </c>
      <c r="I33" s="9" t="n">
        <v>0.0425531914893617</v>
      </c>
      <c r="J33" s="9" t="n">
        <v>0.0483558994197292</v>
      </c>
      <c r="K33" s="9" t="n">
        <v>0.05029013539651837</v>
      </c>
      <c r="L33" s="9" t="n">
        <v>0.05609284332688588</v>
      </c>
      <c r="M33" s="9" t="n">
        <v>0.06769825918762089</v>
      </c>
      <c r="N33" s="9" t="n">
        <v>0.07156673114119923</v>
      </c>
      <c r="O33" s="9" t="n"/>
      <c r="P33" s="13" t="n">
        <v>-0.0736408959148164</v>
      </c>
      <c r="Q33" s="14" t="n">
        <v>1.700397683556876</v>
      </c>
      <c r="R33" s="15" t="n">
        <v>11</v>
      </c>
      <c r="S33" s="9" t="n">
        <v>0.07156673114119923</v>
      </c>
      <c r="T33" s="13" t="n">
        <v>1.099547511312217</v>
      </c>
      <c r="U33" s="9" t="n">
        <v>0.07869102111905617</v>
      </c>
      <c r="V33" s="8" t="n">
        <v>216</v>
      </c>
      <c r="W33" s="9" t="n">
        <v>0.1144717035159068</v>
      </c>
      <c r="X33" s="9" t="n"/>
      <c r="Y33" s="10">
        <f>IFERROR(D33/O33-1,"")</f>
        <v/>
      </c>
      <c r="Z33" s="10">
        <f>IFERROR(E33/O33-1,"")</f>
        <v/>
      </c>
      <c r="AA33" s="10">
        <f>IFERROR(E33/U33-1,"")</f>
        <v/>
      </c>
      <c r="AB33" s="10">
        <f>IFERROR(W33/X33-1,"")</f>
        <v/>
      </c>
    </row>
    <row r="34">
      <c r="A34" s="7" t="inlineStr">
        <is>
          <t>202508</t>
        </is>
      </c>
      <c r="B34" s="8" t="n">
        <v>515</v>
      </c>
      <c r="C34" s="9" t="n">
        <v>0.1491320049118938</v>
      </c>
      <c r="D34" s="9" t="n">
        <v>0.1432548675197855</v>
      </c>
      <c r="E34" s="9" t="n">
        <v>0.1303381080038013</v>
      </c>
      <c r="F34" s="9" t="n">
        <v>0.003883495145631068</v>
      </c>
      <c r="G34" s="9" t="n">
        <v>0.009708737864077669</v>
      </c>
      <c r="H34" s="9" t="n">
        <v>0.01747572815533981</v>
      </c>
      <c r="I34" s="9" t="n">
        <v>0.02330097087378641</v>
      </c>
      <c r="J34" s="9" t="n">
        <v>0.03300970873786408</v>
      </c>
      <c r="K34" s="9" t="n">
        <v>0.04466019417475728</v>
      </c>
      <c r="L34" s="9" t="n">
        <v>0.05825242718446602</v>
      </c>
      <c r="M34" s="9" t="n">
        <v>0.06601941747572816</v>
      </c>
      <c r="N34" s="9" t="n"/>
      <c r="O34" s="9" t="n"/>
      <c r="P34" s="13" t="n">
        <v>-0.1003314429254493</v>
      </c>
      <c r="Q34" s="14" t="n">
        <v>1.090721770303759</v>
      </c>
      <c r="R34" s="15" t="n">
        <v>10</v>
      </c>
      <c r="S34" s="9" t="n">
        <v>0.06601941747572816</v>
      </c>
      <c r="T34" s="13" t="n">
        <v>1.199407699901283</v>
      </c>
      <c r="U34" s="9" t="n">
        <v>0.07918419766338571</v>
      </c>
      <c r="V34" s="8" t="n">
        <v>209</v>
      </c>
      <c r="W34" s="9" t="n">
        <v>0.1406727732293073</v>
      </c>
      <c r="X34" s="9" t="n"/>
      <c r="Y34" s="10">
        <f>IFERROR(D34/O34-1,"")</f>
        <v/>
      </c>
      <c r="Z34" s="10">
        <f>IFERROR(E34/O34-1,"")</f>
        <v/>
      </c>
      <c r="AA34" s="10">
        <f>IFERROR(E34/U34-1,"")</f>
        <v/>
      </c>
      <c r="AB34" s="10">
        <f>IFERROR(W34/X34-1,"")</f>
        <v/>
      </c>
    </row>
    <row r="35">
      <c r="A35" s="7" t="inlineStr">
        <is>
          <t>202509</t>
        </is>
      </c>
      <c r="B35" s="8" t="n">
        <v>546</v>
      </c>
      <c r="C35" s="9" t="n">
        <v>0.1519981426435895</v>
      </c>
      <c r="D35" s="9" t="n">
        <v>0.1460980776946432</v>
      </c>
      <c r="E35" s="9" t="n">
        <v>0.1333446424105137</v>
      </c>
      <c r="F35" s="9" t="n">
        <v>0</v>
      </c>
      <c r="G35" s="9" t="n">
        <v>0.01098901098901099</v>
      </c>
      <c r="H35" s="9" t="n">
        <v>0.01098901098901099</v>
      </c>
      <c r="I35" s="9" t="n">
        <v>0.02380952380952381</v>
      </c>
      <c r="J35" s="9" t="n">
        <v>0.04395604395604396</v>
      </c>
      <c r="K35" s="9" t="n">
        <v>0.04945054945054945</v>
      </c>
      <c r="L35" s="9" t="n">
        <v>0.06776556776556776</v>
      </c>
      <c r="M35" s="9" t="n"/>
      <c r="N35" s="9" t="n"/>
      <c r="O35" s="9" t="n"/>
      <c r="P35" s="13" t="n">
        <v>-0.0943381636827425</v>
      </c>
      <c r="Q35" s="14" t="n">
        <v>1.227622598684031</v>
      </c>
      <c r="R35" s="15" t="n">
        <v>9</v>
      </c>
      <c r="S35" s="9" t="n">
        <v>0.06776556776556776</v>
      </c>
      <c r="T35" s="13" t="n">
        <v>1.329321663019694</v>
      </c>
      <c r="U35" s="9" t="n">
        <v>0.09008223723759827</v>
      </c>
      <c r="V35" s="8" t="n">
        <v>217</v>
      </c>
      <c r="W35" s="9" t="n">
        <v>0.1392319112724769</v>
      </c>
      <c r="X35" s="9" t="n"/>
      <c r="Y35" s="10">
        <f>IFERROR(D35/O35-1,"")</f>
        <v/>
      </c>
      <c r="Z35" s="10">
        <f>IFERROR(E35/O35-1,"")</f>
        <v/>
      </c>
      <c r="AA35" s="10">
        <f>IFERROR(E35/U35-1,"")</f>
        <v/>
      </c>
      <c r="AB35" s="10">
        <f>IFERROR(W35/X35-1,"")</f>
        <v/>
      </c>
    </row>
    <row r="36">
      <c r="A36" s="7" t="inlineStr">
        <is>
          <t>202510</t>
        </is>
      </c>
      <c r="B36" s="8" t="n">
        <v>384</v>
      </c>
      <c r="C36" s="9" t="n">
        <v>0.143135676116799</v>
      </c>
      <c r="D36" s="9" t="n">
        <v>0.1373164778536496</v>
      </c>
      <c r="E36" s="9" t="n">
        <v>0.1239156509337488</v>
      </c>
      <c r="F36" s="9" t="n">
        <v>0</v>
      </c>
      <c r="G36" s="9" t="n">
        <v>0.01302083333333333</v>
      </c>
      <c r="H36" s="9" t="n">
        <v>0.02864583333333333</v>
      </c>
      <c r="I36" s="9" t="n">
        <v>0.03645833333333334</v>
      </c>
      <c r="J36" s="9" t="n">
        <v>0.04427083333333334</v>
      </c>
      <c r="K36" s="9" t="n">
        <v>0.0546875</v>
      </c>
      <c r="L36" s="9" t="n"/>
      <c r="M36" s="9" t="n"/>
      <c r="N36" s="9" t="n"/>
      <c r="O36" s="9" t="n"/>
      <c r="P36" s="13" t="n">
        <v>-0.0971864626399724</v>
      </c>
      <c r="Q36" s="14" t="n">
        <v>1.162560639958521</v>
      </c>
      <c r="R36" s="15" t="n">
        <v>8</v>
      </c>
      <c r="S36" s="9" t="n">
        <v>0.0546875</v>
      </c>
      <c r="T36" s="13" t="n">
        <v>1.49079754601227</v>
      </c>
      <c r="U36" s="9" t="n">
        <v>0.08152799079754601</v>
      </c>
      <c r="V36" s="8" t="n">
        <v>151</v>
      </c>
      <c r="W36" s="9" t="n">
        <v>0.1240790445666999</v>
      </c>
      <c r="X36" s="9" t="n"/>
      <c r="Y36" s="10">
        <f>IFERROR(D36/O36-1,"")</f>
        <v/>
      </c>
      <c r="Z36" s="10">
        <f>IFERROR(E36/O36-1,"")</f>
        <v/>
      </c>
      <c r="AA36" s="10">
        <f>IFERROR(E36/U36-1,"")</f>
        <v/>
      </c>
      <c r="AB36" s="10">
        <f>IFERROR(W36/X36-1,"")</f>
        <v/>
      </c>
    </row>
    <row r="37">
      <c r="A37" s="7" t="inlineStr">
        <is>
          <t>202511</t>
        </is>
      </c>
      <c r="B37" s="8" t="n">
        <v>384</v>
      </c>
      <c r="C37" s="9" t="n">
        <v>0.1403850328836901</v>
      </c>
      <c r="D37" s="9" t="n">
        <v>0.1345292527621496</v>
      </c>
      <c r="E37" s="9" t="n">
        <v>0.1212090890384997</v>
      </c>
      <c r="F37" s="9" t="n">
        <v>0.002604166666666667</v>
      </c>
      <c r="G37" s="9" t="n">
        <v>0.02083333333333333</v>
      </c>
      <c r="H37" s="9" t="n">
        <v>0.02864583333333333</v>
      </c>
      <c r="I37" s="9" t="n">
        <v>0.03385416666666666</v>
      </c>
      <c r="J37" s="9" t="n">
        <v>0.04947916666666666</v>
      </c>
      <c r="K37" s="9" t="n"/>
      <c r="L37" s="9" t="n"/>
      <c r="M37" s="9" t="n"/>
      <c r="N37" s="9" t="n"/>
      <c r="O37" s="9" t="n"/>
      <c r="P37" s="13" t="n">
        <v>-0.0951950453295296</v>
      </c>
      <c r="Q37" s="14" t="n">
        <v>1.208049372989306</v>
      </c>
      <c r="R37" s="15" t="n">
        <v>7</v>
      </c>
      <c r="S37" s="9" t="n">
        <v>0.04947916666666666</v>
      </c>
      <c r="T37" s="13" t="n">
        <v>1.730769230769231</v>
      </c>
      <c r="U37" s="9" t="n">
        <v>0.08563701923076923</v>
      </c>
      <c r="V37" s="8" t="n">
        <v>131</v>
      </c>
      <c r="W37" s="9" t="n">
        <v>0.1364515568097784</v>
      </c>
      <c r="X37" s="9" t="n"/>
      <c r="Y37" s="10">
        <f>IFERROR(D37/O37-1,"")</f>
        <v/>
      </c>
      <c r="Z37" s="10">
        <f>IFERROR(E37/O37-1,"")</f>
        <v/>
      </c>
      <c r="AA37" s="10">
        <f>IFERROR(E37/U37-1,"")</f>
        <v/>
      </c>
      <c r="AB37" s="10">
        <f>IFERROR(W37/X37-1,"")</f>
        <v/>
      </c>
    </row>
    <row r="38">
      <c r="A38" s="7" t="inlineStr">
        <is>
          <t>202512</t>
        </is>
      </c>
      <c r="B38" s="8" t="n">
        <v>570</v>
      </c>
      <c r="C38" s="9" t="n">
        <v>0.1485187924973536</v>
      </c>
      <c r="D38" s="9" t="n">
        <v>0.1427772083826232</v>
      </c>
      <c r="E38" s="9" t="n">
        <v>0.1295586654654307</v>
      </c>
      <c r="F38" s="9" t="n">
        <v>0.001754385964912281</v>
      </c>
      <c r="G38" s="9" t="n">
        <v>0.01403508771929825</v>
      </c>
      <c r="H38" s="9" t="n">
        <v>0.01929824561403509</v>
      </c>
      <c r="I38" s="9" t="n">
        <v>0.02631578947368421</v>
      </c>
      <c r="J38" s="9" t="n"/>
      <c r="K38" s="9" t="n"/>
      <c r="L38" s="9" t="n"/>
      <c r="M38" s="9" t="n"/>
      <c r="N38" s="9" t="n"/>
      <c r="O38" s="9" t="n"/>
      <c r="P38" s="13" t="n">
        <v>-0.0907389631868307</v>
      </c>
      <c r="Q38" s="14" t="n">
        <v>1.309836944027043</v>
      </c>
      <c r="R38" s="15" t="n">
        <v>6</v>
      </c>
      <c r="S38" s="9" t="n">
        <v>0.02631578947368421</v>
      </c>
      <c r="T38" s="13" t="n">
        <v>2.105719237435009</v>
      </c>
      <c r="U38" s="9" t="n">
        <v>0.05541366414302654</v>
      </c>
      <c r="V38" s="8" t="n">
        <v>209</v>
      </c>
      <c r="W38" s="9" t="n">
        <v>0.135063087750153</v>
      </c>
      <c r="X38" s="9" t="n"/>
      <c r="Y38" s="10">
        <f>IFERROR(D38/O38-1,"")</f>
        <v/>
      </c>
      <c r="Z38" s="10">
        <f>IFERROR(E38/O38-1,"")</f>
        <v/>
      </c>
      <c r="AA38" s="10">
        <f>IFERROR(E38/U38-1,"")</f>
        <v/>
      </c>
      <c r="AB38" s="10">
        <f>IFERROR(W38/X38-1,"")</f>
        <v/>
      </c>
    </row>
    <row r="39">
      <c r="A39" s="7" t="inlineStr">
        <is>
          <t>202601</t>
        </is>
      </c>
      <c r="B39" s="8" t="n">
        <v>551</v>
      </c>
      <c r="C39" s="9" t="n">
        <v>0.1537759764299148</v>
      </c>
      <c r="D39" s="9" t="n">
        <v>0.1477371734413175</v>
      </c>
      <c r="E39" s="9" t="n">
        <v>0.1346820588449617</v>
      </c>
      <c r="F39" s="9" t="n">
        <v>0.003629764065335753</v>
      </c>
      <c r="G39" s="9" t="n">
        <v>0.02540834845735027</v>
      </c>
      <c r="H39" s="9" t="n">
        <v>0.0308529945553539</v>
      </c>
      <c r="I39" s="9" t="n"/>
      <c r="J39" s="9" t="n"/>
      <c r="K39" s="9" t="n"/>
      <c r="L39" s="9" t="n"/>
      <c r="M39" s="9" t="n"/>
      <c r="N39" s="9" t="n"/>
      <c r="O39" s="9" t="n"/>
      <c r="P39" s="13" t="n">
        <v>-0.0827512368458839</v>
      </c>
      <c r="Q39" s="14" t="n">
        <v>1.492295713035885</v>
      </c>
      <c r="R39" s="15" t="n">
        <v>5</v>
      </c>
      <c r="S39" s="9" t="n">
        <v>0.0308529945553539</v>
      </c>
      <c r="T39" s="13" t="n">
        <v>2.745995423340961</v>
      </c>
      <c r="U39" s="9" t="n">
        <v>0.08472218184536541</v>
      </c>
      <c r="V39" s="8" t="n">
        <v>229</v>
      </c>
      <c r="W39" s="9" t="n">
        <v>0.1478600655350084</v>
      </c>
      <c r="X39" s="9" t="n"/>
      <c r="Y39" s="10">
        <f>IFERROR(D39/O39-1,"")</f>
        <v/>
      </c>
      <c r="Z39" s="10">
        <f>IFERROR(E39/O39-1,"")</f>
        <v/>
      </c>
      <c r="AA39" s="10">
        <f>IFERROR(E39/U39-1,"")</f>
        <v/>
      </c>
      <c r="AB39" s="10">
        <f>IFERROR(W39/X39-1,"")</f>
        <v/>
      </c>
    </row>
    <row r="40">
      <c r="A40" s="7" t="inlineStr">
        <is>
          <t>202602</t>
        </is>
      </c>
      <c r="B40" s="8" t="n">
        <v>959</v>
      </c>
      <c r="C40" s="9" t="n">
        <v>0.1502718447481318</v>
      </c>
      <c r="D40" s="9" t="n">
        <v>0.1444977810946259</v>
      </c>
      <c r="E40" s="9" t="n">
        <v>0.1403169354386929</v>
      </c>
      <c r="F40" s="9" t="n">
        <v>0</v>
      </c>
      <c r="G40" s="9" t="n">
        <v>0.02294056308654849</v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13" t="n">
        <v>-0.0370388932419964</v>
      </c>
      <c r="Q40" s="14" t="n">
        <v>2.53647494332808</v>
      </c>
      <c r="R40" s="15" t="n">
        <v>4</v>
      </c>
      <c r="S40" s="9" t="n">
        <v>0.02294056308654849</v>
      </c>
      <c r="T40" s="13" t="n">
        <v>4.25531914893617</v>
      </c>
      <c r="U40" s="9" t="n">
        <v>0.09761941738956803</v>
      </c>
      <c r="V40" s="8" t="n">
        <v>358</v>
      </c>
      <c r="W40" s="9" t="n">
        <v>0.1474966727317334</v>
      </c>
      <c r="X40" s="9" t="n"/>
      <c r="Y40" s="10">
        <f>IFERROR(D40/O40-1,"")</f>
        <v/>
      </c>
      <c r="Z40" s="10">
        <f>IFERROR(E40/O40-1,"")</f>
        <v/>
      </c>
      <c r="AA40" s="10">
        <f>IFERROR(E40/U40-1,"")</f>
        <v/>
      </c>
      <c r="AB40" s="10">
        <f>IFERROR(W40/X40-1,"")</f>
        <v/>
      </c>
    </row>
    <row r="41">
      <c r="A41" s="7" t="inlineStr">
        <is>
          <t>202603</t>
        </is>
      </c>
      <c r="B41" s="8" t="n">
        <v>1380</v>
      </c>
      <c r="C41" s="9" t="n">
        <v>0.1497102336134707</v>
      </c>
      <c r="D41" s="9" t="n">
        <v>0.1439676392249817</v>
      </c>
      <c r="E41" s="9" t="n">
        <v>0.1503065184947831</v>
      </c>
      <c r="F41" s="9" t="n">
        <v>0.007971014492753623</v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3" t="n">
        <v>0.014389803325765</v>
      </c>
      <c r="Q41" s="14" t="n">
        <v>3.711229343636036</v>
      </c>
      <c r="R41" s="15" t="n">
        <v>3</v>
      </c>
      <c r="S41" s="9" t="n">
        <v>0.007971014492753623</v>
      </c>
      <c r="T41" s="13" t="n">
        <v>14.55844155844156</v>
      </c>
      <c r="U41" s="9" t="n">
        <v>0.1160455486542443</v>
      </c>
      <c r="V41" s="8" t="n">
        <v>480</v>
      </c>
      <c r="W41" s="9" t="n">
        <v>0.1677418867021777</v>
      </c>
      <c r="X41" s="9" t="n"/>
      <c r="Y41" s="10">
        <f>IFERROR(D41/O41-1,"")</f>
        <v/>
      </c>
      <c r="Z41" s="10">
        <f>IFERROR(E41/O41-1,"")</f>
        <v/>
      </c>
      <c r="AA41" s="10">
        <f>IFERROR(E41/U41-1,"")</f>
        <v/>
      </c>
      <c r="AB41" s="10">
        <f>IFERROR(W41/X41-1,"")</f>
        <v/>
      </c>
    </row>
    <row r="42">
      <c r="A42" s="7" t="inlineStr">
        <is>
          <t>202604</t>
        </is>
      </c>
      <c r="B42" s="8" t="n">
        <v>1103</v>
      </c>
      <c r="C42" s="9" t="n">
        <v>0.1527910272228588</v>
      </c>
      <c r="D42" s="9" t="n">
        <v>0.1450648113286439</v>
      </c>
      <c r="E42" s="9" t="n">
        <v>0.1555763611469222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3" t="n">
        <v>0.0241851909297492</v>
      </c>
      <c r="Q42" s="14" t="n">
        <v>3.934979418175466</v>
      </c>
      <c r="R42" s="15" t="n"/>
      <c r="S42" s="9" t="n"/>
      <c r="T42" s="13" t="n"/>
      <c r="U42" s="9" t="n"/>
      <c r="V42" s="8" t="n">
        <v>405</v>
      </c>
      <c r="W42" s="9" t="n">
        <v>0.1704873310310233</v>
      </c>
      <c r="X42" s="9" t="n"/>
      <c r="Y42" s="10">
        <f>IFERROR(D42/O42-1,"")</f>
        <v/>
      </c>
      <c r="Z42" s="10">
        <f>IFERROR(E42/O42-1,"")</f>
        <v/>
      </c>
      <c r="AA42" s="10">
        <f>IFERROR(E42/U42-1,"")</f>
        <v/>
      </c>
      <c r="AB42" s="10">
        <f>IFERROR(W42/X42-1,"")</f>
        <v/>
      </c>
    </row>
    <row r="43">
      <c r="A43" s="7" t="inlineStr">
        <is>
          <t>202605</t>
        </is>
      </c>
      <c r="B43" s="8" t="n">
        <v>1049</v>
      </c>
      <c r="C43" s="9" t="n">
        <v>0.1473407090479087</v>
      </c>
      <c r="D43" s="9" t="n">
        <v>0.1394301871223121</v>
      </c>
      <c r="E43" s="9" t="n">
        <v>0.1484764086309239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3" t="n">
        <v>0.0192471239254993</v>
      </c>
      <c r="Q43" s="14" t="n">
        <v>3.822182160430176</v>
      </c>
      <c r="R43" s="15" t="n"/>
      <c r="S43" s="9" t="n"/>
      <c r="T43" s="13" t="n"/>
      <c r="U43" s="9" t="n"/>
      <c r="V43" s="8" t="n">
        <v>403</v>
      </c>
      <c r="W43" s="9" t="n">
        <v>0.1673668826769993</v>
      </c>
      <c r="X43" s="9" t="n"/>
      <c r="Y43" s="10">
        <f>IFERROR(D43/O43-1,"")</f>
        <v/>
      </c>
      <c r="Z43" s="10">
        <f>IFERROR(E43/O43-1,"")</f>
        <v/>
      </c>
      <c r="AA43" s="10">
        <f>IFERROR(E43/U43-1,"")</f>
        <v/>
      </c>
      <c r="AB43" s="10">
        <f>IFERROR(W43/X43-1,"")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4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2.5" customWidth="1" min="20" max="20"/>
    <col width="12.5" customWidth="1" min="21" max="21"/>
    <col width="12.5" customWidth="1" min="22" max="22"/>
    <col width="12.5" customWidth="1" min="23" max="23"/>
    <col width="12.5" customWidth="1" min="24" max="24"/>
    <col width="12.5" customWidth="1" min="25" max="25"/>
    <col width="12.5" customWidth="1" min="26" max="26"/>
    <col width="12.5" customWidth="1" min="27" max="27"/>
    <col width="12.5" customWidth="1" min="28" max="28"/>
  </cols>
  <sheetData>
    <row r="1">
      <c r="A1" s="1" t="inlineStr">
        <is>
          <t>ENT 00142 Falabella</t>
        </is>
      </c>
    </row>
    <row r="2">
      <c r="A2" s="2" t="inlineStr">
        <is>
          <t>Entidad 00142 (Falabella), poblacion clean</t>
        </is>
      </c>
    </row>
    <row r="4" ht="30" customHeight="1">
      <c r="A4" s="6" t="inlineStr">
        <is>
          <t>codmes</t>
        </is>
      </c>
      <c r="B4" s="6" t="inlineStr">
        <is>
          <t>n</t>
        </is>
      </c>
      <c r="C4" s="6" t="inlineStr">
        <is>
          <t>PD sin calibrar</t>
        </is>
      </c>
      <c r="D4" s="6" t="inlineStr">
        <is>
          <t>PD cal vigente</t>
        </is>
      </c>
      <c r="E4" s="6" t="inlineStr">
        <is>
          <t>PD cal NUEVA</t>
        </is>
      </c>
      <c r="F4" s="6" t="inlineStr">
        <is>
          <t>mora 3m</t>
        </is>
      </c>
      <c r="G4" s="6" t="inlineStr">
        <is>
          <t>mora 4m</t>
        </is>
      </c>
      <c r="H4" s="6" t="inlineStr">
        <is>
          <t>mora 5m</t>
        </is>
      </c>
      <c r="I4" s="6" t="inlineStr">
        <is>
          <t>mora 6m</t>
        </is>
      </c>
      <c r="J4" s="6" t="inlineStr">
        <is>
          <t>mora 7m</t>
        </is>
      </c>
      <c r="K4" s="6" t="inlineStr">
        <is>
          <t>mora 8m</t>
        </is>
      </c>
      <c r="L4" s="6" t="inlineStr">
        <is>
          <t>mora 9m</t>
        </is>
      </c>
      <c r="M4" s="6" t="inlineStr">
        <is>
          <t>mora 10m</t>
        </is>
      </c>
      <c r="N4" s="6" t="inlineStr">
        <is>
          <t>mora 11m</t>
        </is>
      </c>
      <c r="O4" s="6" t="inlineStr">
        <is>
          <t>mora 12m</t>
        </is>
      </c>
      <c r="P4" s="6" t="inlineStr">
        <is>
          <t>ft ciclo</t>
        </is>
      </c>
      <c r="Q4" s="6" t="inlineStr">
        <is>
          <t>inflacion %</t>
        </is>
      </c>
      <c r="R4" s="6" t="inlineStr">
        <is>
          <t>madurez</t>
        </is>
      </c>
      <c r="S4" s="6" t="inlineStr">
        <is>
          <t>mora base</t>
        </is>
      </c>
      <c r="T4" s="6" t="inlineStr">
        <is>
          <t>factor h-&gt;12</t>
        </is>
      </c>
      <c r="U4" s="6" t="inlineStr">
        <is>
          <t>proy mediana</t>
        </is>
      </c>
      <c r="V4" s="6" t="inlineStr">
        <is>
          <t>n visible IBK</t>
        </is>
      </c>
      <c r="W4" s="6" t="inlineStr">
        <is>
          <t>PD cal NUEVA visible</t>
        </is>
      </c>
      <c r="X4" s="6" t="inlineStr">
        <is>
          <t>mora 12m visible</t>
        </is>
      </c>
      <c r="Y4" s="6" t="inlineStr">
        <is>
          <t>EC vigente</t>
        </is>
      </c>
      <c r="Z4" s="6" t="inlineStr">
        <is>
          <t>EC NUEVA</t>
        </is>
      </c>
      <c r="AA4" s="6" t="inlineStr">
        <is>
          <t>EC NUEVA vs proy</t>
        </is>
      </c>
      <c r="AB4" s="6" t="inlineStr">
        <is>
          <t>EC NUEVA visible</t>
        </is>
      </c>
    </row>
    <row r="5">
      <c r="A5" s="7" t="inlineStr">
        <is>
          <t>202303</t>
        </is>
      </c>
      <c r="B5" s="8" t="n">
        <v>3877</v>
      </c>
      <c r="C5" s="9" t="n">
        <v>0.1287118770983978</v>
      </c>
      <c r="D5" s="9" t="n">
        <v>0.1628693777314506</v>
      </c>
      <c r="E5" s="9" t="n">
        <v>0.1459371365111581</v>
      </c>
      <c r="F5" s="9" t="n">
        <v>0.00670621614650503</v>
      </c>
      <c r="G5" s="9" t="n">
        <v>0.02244003095176683</v>
      </c>
      <c r="H5" s="9" t="n">
        <v>0.04075315965953057</v>
      </c>
      <c r="I5" s="9" t="n">
        <v>0.05390766056229043</v>
      </c>
      <c r="J5" s="9" t="n">
        <v>0.0631931906112974</v>
      </c>
      <c r="K5" s="9" t="n">
        <v>0.07557389734330668</v>
      </c>
      <c r="L5" s="9" t="n">
        <v>0.08382770183131287</v>
      </c>
      <c r="M5" s="9" t="n">
        <v>0.09130771214856848</v>
      </c>
      <c r="N5" s="9" t="n">
        <v>0.09956151663657467</v>
      </c>
      <c r="O5" s="9" t="n">
        <v>0.109362909466082</v>
      </c>
      <c r="P5" s="13" t="n">
        <v>0.2313077929548288</v>
      </c>
      <c r="Q5" s="14" t="n">
        <v>8.666154897445178</v>
      </c>
      <c r="R5" s="15" t="n">
        <v>12</v>
      </c>
      <c r="S5" s="9" t="n">
        <v>0.109362909466082</v>
      </c>
      <c r="T5" s="13" t="n">
        <v>1</v>
      </c>
      <c r="U5" s="9" t="n">
        <v>0.109362909466082</v>
      </c>
      <c r="V5" s="8" t="n">
        <v>1537</v>
      </c>
      <c r="W5" s="9" t="n">
        <v>0.1484637234947069</v>
      </c>
      <c r="X5" s="9" t="n">
        <v>0.1353285621340273</v>
      </c>
      <c r="Y5" s="10">
        <f>IFERROR(D5/O5-1,"")</f>
        <v/>
      </c>
      <c r="Z5" s="10">
        <f>IFERROR(E5/O5-1,"")</f>
        <v/>
      </c>
      <c r="AA5" s="10">
        <f>IFERROR(E5/U5-1,"")</f>
        <v/>
      </c>
      <c r="AB5" s="10">
        <f>IFERROR(W5/X5-1,"")</f>
        <v/>
      </c>
    </row>
    <row r="6">
      <c r="A6" s="7" t="inlineStr">
        <is>
          <t>202304</t>
        </is>
      </c>
      <c r="B6" s="8" t="n">
        <v>3270</v>
      </c>
      <c r="C6" s="9" t="n">
        <v>0.1179576418194521</v>
      </c>
      <c r="D6" s="9" t="n">
        <v>0.1494665158895451</v>
      </c>
      <c r="E6" s="9" t="n">
        <v>0.1324628455157178</v>
      </c>
      <c r="F6" s="9" t="n">
        <v>0.001223241590214067</v>
      </c>
      <c r="G6" s="9" t="n">
        <v>0.01376146788990826</v>
      </c>
      <c r="H6" s="9" t="n">
        <v>0.02691131498470948</v>
      </c>
      <c r="I6" s="9" t="n">
        <v>0.04036697247706422</v>
      </c>
      <c r="J6" s="9" t="n">
        <v>0.04954128440366973</v>
      </c>
      <c r="K6" s="9" t="n">
        <v>0.06085626911314985</v>
      </c>
      <c r="L6" s="9" t="n">
        <v>0.06697247706422019</v>
      </c>
      <c r="M6" s="9" t="n">
        <v>0.07400611620795107</v>
      </c>
      <c r="N6" s="9" t="n">
        <v>0.08287461773700305</v>
      </c>
      <c r="O6" s="9" t="n">
        <v>0.09021406727828746</v>
      </c>
      <c r="P6" s="13" t="n">
        <v>0.2039883111878369</v>
      </c>
      <c r="Q6" s="14" t="n">
        <v>8.042112610516504</v>
      </c>
      <c r="R6" s="15" t="n">
        <v>12</v>
      </c>
      <c r="S6" s="9" t="n">
        <v>0.09021406727828746</v>
      </c>
      <c r="T6" s="13" t="n">
        <v>1</v>
      </c>
      <c r="U6" s="9" t="n">
        <v>0.09021406727828746</v>
      </c>
      <c r="V6" s="8" t="n">
        <v>1282</v>
      </c>
      <c r="W6" s="9" t="n">
        <v>0.1311871667787943</v>
      </c>
      <c r="X6" s="9" t="n">
        <v>0.1006240249609984</v>
      </c>
      <c r="Y6" s="10">
        <f>IFERROR(D6/O6-1,"")</f>
        <v/>
      </c>
      <c r="Z6" s="10">
        <f>IFERROR(E6/O6-1,"")</f>
        <v/>
      </c>
      <c r="AA6" s="10">
        <f>IFERROR(E6/U6-1,"")</f>
        <v/>
      </c>
      <c r="AB6" s="10">
        <f>IFERROR(W6/X6-1,"")</f>
        <v/>
      </c>
    </row>
    <row r="7">
      <c r="A7" s="7" t="inlineStr">
        <is>
          <t>202305</t>
        </is>
      </c>
      <c r="B7" s="8" t="n">
        <v>3327</v>
      </c>
      <c r="C7" s="9" t="n">
        <v>0.1210420607970728</v>
      </c>
      <c r="D7" s="9" t="n">
        <v>0.1533249359558859</v>
      </c>
      <c r="E7" s="9" t="n">
        <v>0.1360351415500845</v>
      </c>
      <c r="F7" s="9" t="n">
        <v>0.002705139765554554</v>
      </c>
      <c r="G7" s="9" t="n">
        <v>0.01833483618875864</v>
      </c>
      <c r="H7" s="9" t="n">
        <v>0.03787195671776375</v>
      </c>
      <c r="I7" s="9" t="n">
        <v>0.04899308686504358</v>
      </c>
      <c r="J7" s="9" t="n">
        <v>0.05831079050195371</v>
      </c>
      <c r="K7" s="9" t="n">
        <v>0.06642620979861737</v>
      </c>
      <c r="L7" s="9" t="n">
        <v>0.07484220018034266</v>
      </c>
      <c r="M7" s="9" t="n">
        <v>0.08235647730688307</v>
      </c>
      <c r="N7" s="9" t="n">
        <v>0.09467989179440937</v>
      </c>
      <c r="O7" s="9" t="n">
        <v>0.1042981665163811</v>
      </c>
      <c r="P7" s="13" t="n">
        <v>0.2015420225900039</v>
      </c>
      <c r="Q7" s="14" t="n">
        <v>7.986233529643028</v>
      </c>
      <c r="R7" s="15" t="n">
        <v>12</v>
      </c>
      <c r="S7" s="9" t="n">
        <v>0.1042981665163811</v>
      </c>
      <c r="T7" s="13" t="n">
        <v>1</v>
      </c>
      <c r="U7" s="9" t="n">
        <v>0.1042981665163811</v>
      </c>
      <c r="V7" s="8" t="n">
        <v>1359</v>
      </c>
      <c r="W7" s="9" t="n">
        <v>0.1330013705451278</v>
      </c>
      <c r="X7" s="9" t="n">
        <v>0.1140544518027962</v>
      </c>
      <c r="Y7" s="10">
        <f>IFERROR(D7/O7-1,"")</f>
        <v/>
      </c>
      <c r="Z7" s="10">
        <f>IFERROR(E7/O7-1,"")</f>
        <v/>
      </c>
      <c r="AA7" s="10">
        <f>IFERROR(E7/U7-1,"")</f>
        <v/>
      </c>
      <c r="AB7" s="10">
        <f>IFERROR(W7/X7-1,"")</f>
        <v/>
      </c>
    </row>
    <row r="8">
      <c r="A8" s="7" t="inlineStr">
        <is>
          <t>202306</t>
        </is>
      </c>
      <c r="B8" s="8" t="n">
        <v>2402</v>
      </c>
      <c r="C8" s="9" t="n">
        <v>0.1259268266959217</v>
      </c>
      <c r="D8" s="9" t="n">
        <v>0.1592472937279113</v>
      </c>
      <c r="E8" s="9" t="n">
        <v>0.1416798243217242</v>
      </c>
      <c r="F8" s="9" t="n">
        <v>0.00749375520399667</v>
      </c>
      <c r="G8" s="9" t="n">
        <v>0.02497918401332223</v>
      </c>
      <c r="H8" s="9" t="n">
        <v>0.0424646128226478</v>
      </c>
      <c r="I8" s="9" t="n">
        <v>0.05162364696086594</v>
      </c>
      <c r="J8" s="9" t="n">
        <v>0.06161532056619484</v>
      </c>
      <c r="K8" s="9" t="n">
        <v>0.07035803497085762</v>
      </c>
      <c r="L8" s="9" t="n">
        <v>0.08118234804329726</v>
      </c>
      <c r="M8" s="9" t="n">
        <v>0.09367194004995837</v>
      </c>
      <c r="N8" s="9" t="n">
        <v>0.1036636136552873</v>
      </c>
      <c r="O8" s="9" t="n">
        <v>0.1115736885928393</v>
      </c>
      <c r="P8" s="13" t="n">
        <v>0.145631156252523</v>
      </c>
      <c r="Q8" s="14" t="n">
        <v>6.709095654518293</v>
      </c>
      <c r="R8" s="15" t="n">
        <v>12</v>
      </c>
      <c r="S8" s="9" t="n">
        <v>0.1115736885928393</v>
      </c>
      <c r="T8" s="13" t="n">
        <v>1</v>
      </c>
      <c r="U8" s="9" t="n">
        <v>0.1115736885928393</v>
      </c>
      <c r="V8" s="8" t="n">
        <v>1063</v>
      </c>
      <c r="W8" s="9" t="n">
        <v>0.1427588649234671</v>
      </c>
      <c r="X8" s="9" t="n">
        <v>0.1213546566321731</v>
      </c>
      <c r="Y8" s="10">
        <f>IFERROR(D8/O8-1,"")</f>
        <v/>
      </c>
      <c r="Z8" s="10">
        <f>IFERROR(E8/O8-1,"")</f>
        <v/>
      </c>
      <c r="AA8" s="10">
        <f>IFERROR(E8/U8-1,"")</f>
        <v/>
      </c>
      <c r="AB8" s="10">
        <f>IFERROR(W8/X8-1,"")</f>
        <v/>
      </c>
    </row>
    <row r="9">
      <c r="A9" s="7" t="inlineStr">
        <is>
          <t>202307</t>
        </is>
      </c>
      <c r="B9" s="8" t="n">
        <v>1743</v>
      </c>
      <c r="C9" s="9" t="n">
        <v>0.1268149452103378</v>
      </c>
      <c r="D9" s="9" t="n">
        <v>0.1294787542790824</v>
      </c>
      <c r="E9" s="9" t="n">
        <v>0.1406895714117863</v>
      </c>
      <c r="F9" s="9" t="n">
        <v>0.004016064257028112</v>
      </c>
      <c r="G9" s="9" t="n">
        <v>0.02352266207687894</v>
      </c>
      <c r="H9" s="9" t="n">
        <v>0.04360298336201951</v>
      </c>
      <c r="I9" s="9" t="n">
        <v>0.05737234652897304</v>
      </c>
      <c r="J9" s="9" t="n">
        <v>0.06712564543889846</v>
      </c>
      <c r="K9" s="9" t="n">
        <v>0.08032128514056225</v>
      </c>
      <c r="L9" s="9" t="n">
        <v>0.09466437177280551</v>
      </c>
      <c r="M9" s="9" t="n">
        <v>0.1090074584050488</v>
      </c>
      <c r="N9" s="9" t="n">
        <v>0.1210556511761331</v>
      </c>
      <c r="O9" s="9" t="n">
        <v>0.131956397016638</v>
      </c>
      <c r="P9" s="13" t="n">
        <v>0.1154476643960626</v>
      </c>
      <c r="Q9" s="14" t="n">
        <v>6.019632529037033</v>
      </c>
      <c r="R9" s="15" t="n">
        <v>12</v>
      </c>
      <c r="S9" s="9" t="n">
        <v>0.131956397016638</v>
      </c>
      <c r="T9" s="13" t="n">
        <v>1</v>
      </c>
      <c r="U9" s="9" t="n">
        <v>0.131956397016638</v>
      </c>
      <c r="V9" s="8" t="n">
        <v>758</v>
      </c>
      <c r="W9" s="9" t="n">
        <v>0.1421733844757413</v>
      </c>
      <c r="X9" s="9" t="n">
        <v>0.1437994722955145</v>
      </c>
      <c r="Y9" s="10">
        <f>IFERROR(D9/O9-1,"")</f>
        <v/>
      </c>
      <c r="Z9" s="10">
        <f>IFERROR(E9/O9-1,"")</f>
        <v/>
      </c>
      <c r="AA9" s="10">
        <f>IFERROR(E9/U9-1,"")</f>
        <v/>
      </c>
      <c r="AB9" s="10">
        <f>IFERROR(W9/X9-1,"")</f>
        <v/>
      </c>
    </row>
    <row r="10">
      <c r="A10" s="7" t="inlineStr">
        <is>
          <t>202308</t>
        </is>
      </c>
      <c r="B10" s="8" t="n">
        <v>1530</v>
      </c>
      <c r="C10" s="9" t="n">
        <v>0.130547505368789</v>
      </c>
      <c r="D10" s="9" t="n">
        <v>0.133311817776777</v>
      </c>
      <c r="E10" s="9" t="n">
        <v>0.1450418798271424</v>
      </c>
      <c r="F10" s="9" t="n">
        <v>0.005882352941176471</v>
      </c>
      <c r="G10" s="9" t="n">
        <v>0.02679738562091503</v>
      </c>
      <c r="H10" s="9" t="n">
        <v>0.04901960784313725</v>
      </c>
      <c r="I10" s="9" t="n">
        <v>0.06405228758169934</v>
      </c>
      <c r="J10" s="9" t="n">
        <v>0.07973856209150326</v>
      </c>
      <c r="K10" s="9" t="n">
        <v>0.0934640522875817</v>
      </c>
      <c r="L10" s="9" t="n">
        <v>0.1130718954248366</v>
      </c>
      <c r="M10" s="9" t="n">
        <v>0.1281045751633987</v>
      </c>
      <c r="N10" s="9" t="n">
        <v>0.1405228758169935</v>
      </c>
      <c r="O10" s="9" t="n">
        <v>0.1490196078431373</v>
      </c>
      <c r="P10" s="13" t="n">
        <v>0.1052420450312428</v>
      </c>
      <c r="Q10" s="14" t="n">
        <v>5.786511780178594</v>
      </c>
      <c r="R10" s="15" t="n">
        <v>12</v>
      </c>
      <c r="S10" s="9" t="n">
        <v>0.1490196078431373</v>
      </c>
      <c r="T10" s="13" t="n">
        <v>1</v>
      </c>
      <c r="U10" s="9" t="n">
        <v>0.1490196078431373</v>
      </c>
      <c r="V10" s="8" t="n">
        <v>678</v>
      </c>
      <c r="W10" s="9" t="n">
        <v>0.1431457015734103</v>
      </c>
      <c r="X10" s="9" t="n">
        <v>0.1592920353982301</v>
      </c>
      <c r="Y10" s="10">
        <f>IFERROR(D10/O10-1,"")</f>
        <v/>
      </c>
      <c r="Z10" s="10">
        <f>IFERROR(E10/O10-1,"")</f>
        <v/>
      </c>
      <c r="AA10" s="10">
        <f>IFERROR(E10/U10-1,"")</f>
        <v/>
      </c>
      <c r="AB10" s="10">
        <f>IFERROR(W10/X10-1,"")</f>
        <v/>
      </c>
    </row>
    <row r="11">
      <c r="A11" s="7" t="inlineStr">
        <is>
          <t>202309</t>
        </is>
      </c>
      <c r="B11" s="8" t="n">
        <v>1515</v>
      </c>
      <c r="C11" s="9" t="n">
        <v>0.1286374373736456</v>
      </c>
      <c r="D11" s="9" t="n">
        <v>0.1233243359197484</v>
      </c>
      <c r="E11" s="9" t="n">
        <v>0.1392136124024488</v>
      </c>
      <c r="F11" s="9" t="n">
        <v>0.00396039603960396</v>
      </c>
      <c r="G11" s="9" t="n">
        <v>0.01716171617161716</v>
      </c>
      <c r="H11" s="9" t="n">
        <v>0.03564356435643564</v>
      </c>
      <c r="I11" s="9" t="n">
        <v>0.05214521452145215</v>
      </c>
      <c r="J11" s="9" t="n">
        <v>0.07128712871287128</v>
      </c>
      <c r="K11" s="9" t="n">
        <v>0.09108910891089109</v>
      </c>
      <c r="L11" s="9" t="n">
        <v>0.1042904290429043</v>
      </c>
      <c r="M11" s="9" t="n">
        <v>0.1102310231023102</v>
      </c>
      <c r="N11" s="9" t="n">
        <v>0.1188118811881188</v>
      </c>
      <c r="O11" s="9" t="n">
        <v>0.1287128712871287</v>
      </c>
      <c r="P11" s="13" t="n">
        <v>0.0826428782528265</v>
      </c>
      <c r="Q11" s="14" t="n">
        <v>5.270292774292296</v>
      </c>
      <c r="R11" s="15" t="n">
        <v>12</v>
      </c>
      <c r="S11" s="9" t="n">
        <v>0.1287128712871287</v>
      </c>
      <c r="T11" s="13" t="n">
        <v>1</v>
      </c>
      <c r="U11" s="9" t="n">
        <v>0.1287128712871287</v>
      </c>
      <c r="V11" s="8" t="n">
        <v>658</v>
      </c>
      <c r="W11" s="9" t="n">
        <v>0.1425347704193912</v>
      </c>
      <c r="X11" s="9" t="n">
        <v>0.1367781155015197</v>
      </c>
      <c r="Y11" s="10">
        <f>IFERROR(D11/O11-1,"")</f>
        <v/>
      </c>
      <c r="Z11" s="10">
        <f>IFERROR(E11/O11-1,"")</f>
        <v/>
      </c>
      <c r="AA11" s="10">
        <f>IFERROR(E11/U11-1,"")</f>
        <v/>
      </c>
      <c r="AB11" s="10">
        <f>IFERROR(W11/X11-1,"")</f>
        <v/>
      </c>
    </row>
    <row r="12">
      <c r="A12" s="7" t="inlineStr">
        <is>
          <t>202310</t>
        </is>
      </c>
      <c r="B12" s="8" t="n">
        <v>1510</v>
      </c>
      <c r="C12" s="9" t="n">
        <v>0.1250940508764262</v>
      </c>
      <c r="D12" s="9" t="n">
        <v>0.1267958915928095</v>
      </c>
      <c r="E12" s="9" t="n">
        <v>0.1289180149305124</v>
      </c>
      <c r="F12" s="9" t="n">
        <v>0.002649006622516556</v>
      </c>
      <c r="G12" s="9" t="n">
        <v>0.0185430463576159</v>
      </c>
      <c r="H12" s="9" t="n">
        <v>0.03708609271523179</v>
      </c>
      <c r="I12" s="9" t="n">
        <v>0.05430463576158941</v>
      </c>
      <c r="J12" s="9" t="n">
        <v>0.07350993377483443</v>
      </c>
      <c r="K12" s="9" t="n">
        <v>0.08940397350993377</v>
      </c>
      <c r="L12" s="9" t="n">
        <v>0.09933774834437085</v>
      </c>
      <c r="M12" s="9" t="n">
        <v>0.1079470198675497</v>
      </c>
      <c r="N12" s="9" t="n">
        <v>0.1185430463576159</v>
      </c>
      <c r="O12" s="9" t="n">
        <v>0.1258278145695364</v>
      </c>
      <c r="P12" s="13" t="n">
        <v>0.0496812016861095</v>
      </c>
      <c r="Q12" s="14" t="n">
        <v>4.517369267135951</v>
      </c>
      <c r="R12" s="15" t="n">
        <v>12</v>
      </c>
      <c r="S12" s="9" t="n">
        <v>0.1258278145695364</v>
      </c>
      <c r="T12" s="13" t="n">
        <v>1</v>
      </c>
      <c r="U12" s="9" t="n">
        <v>0.1258278145695364</v>
      </c>
      <c r="V12" s="8" t="n">
        <v>645</v>
      </c>
      <c r="W12" s="9" t="n">
        <v>0.1281212799223345</v>
      </c>
      <c r="X12" s="9" t="n">
        <v>0.1364341085271318</v>
      </c>
      <c r="Y12" s="10">
        <f>IFERROR(D12/O12-1,"")</f>
        <v/>
      </c>
      <c r="Z12" s="10">
        <f>IFERROR(E12/O12-1,"")</f>
        <v/>
      </c>
      <c r="AA12" s="10">
        <f>IFERROR(E12/U12-1,"")</f>
        <v/>
      </c>
      <c r="AB12" s="10">
        <f>IFERROR(W12/X12-1,"")</f>
        <v/>
      </c>
    </row>
    <row r="13">
      <c r="A13" s="7" t="inlineStr">
        <is>
          <t>202311</t>
        </is>
      </c>
      <c r="B13" s="8" t="n">
        <v>1612</v>
      </c>
      <c r="C13" s="9" t="n">
        <v>0.125503623164802</v>
      </c>
      <c r="D13" s="9" t="n">
        <v>0.1277298057352472</v>
      </c>
      <c r="E13" s="9" t="n">
        <v>0.1236730696914808</v>
      </c>
      <c r="F13" s="9" t="n">
        <v>0.003101736972704715</v>
      </c>
      <c r="G13" s="9" t="n">
        <v>0.02109181141439206</v>
      </c>
      <c r="H13" s="9" t="n">
        <v>0.04218362282878412</v>
      </c>
      <c r="I13" s="9" t="n">
        <v>0.0607940446650124</v>
      </c>
      <c r="J13" s="9" t="n">
        <v>0.07382133995037221</v>
      </c>
      <c r="K13" s="9" t="n">
        <v>0.08498759305210918</v>
      </c>
      <c r="L13" s="9" t="n">
        <v>0.08995037220843673</v>
      </c>
      <c r="M13" s="9" t="n">
        <v>0.1011166253101737</v>
      </c>
      <c r="N13" s="9" t="n">
        <v>0.1073200992555831</v>
      </c>
      <c r="O13" s="9" t="n">
        <v>0.1166253101736973</v>
      </c>
      <c r="P13" s="13" t="n">
        <v>0.0176922115343233</v>
      </c>
      <c r="Q13" s="14" t="n">
        <v>3.786664243478488</v>
      </c>
      <c r="R13" s="15" t="n">
        <v>12</v>
      </c>
      <c r="S13" s="9" t="n">
        <v>0.1166253101736973</v>
      </c>
      <c r="T13" s="13" t="n">
        <v>1</v>
      </c>
      <c r="U13" s="9" t="n">
        <v>0.1166253101736973</v>
      </c>
      <c r="V13" s="8" t="n">
        <v>677</v>
      </c>
      <c r="W13" s="9" t="n">
        <v>0.1229122813471017</v>
      </c>
      <c r="X13" s="9" t="n">
        <v>0.1270310192023634</v>
      </c>
      <c r="Y13" s="10">
        <f>IFERROR(D13/O13-1,"")</f>
        <v/>
      </c>
      <c r="Z13" s="10">
        <f>IFERROR(E13/O13-1,"")</f>
        <v/>
      </c>
      <c r="AA13" s="10">
        <f>IFERROR(E13/U13-1,"")</f>
        <v/>
      </c>
      <c r="AB13" s="10">
        <f>IFERROR(W13/X13-1,"")</f>
        <v/>
      </c>
    </row>
    <row r="14">
      <c r="A14" s="7" t="inlineStr">
        <is>
          <t>202312</t>
        </is>
      </c>
      <c r="B14" s="8" t="n">
        <v>1644</v>
      </c>
      <c r="C14" s="9" t="n">
        <v>0.1339516778637422</v>
      </c>
      <c r="D14" s="9" t="n">
        <v>0.1363159760616384</v>
      </c>
      <c r="E14" s="9" t="n">
        <v>0.1295763697219605</v>
      </c>
      <c r="F14" s="9" t="n">
        <v>0.009124087591240875</v>
      </c>
      <c r="G14" s="9" t="n">
        <v>0.03284671532846715</v>
      </c>
      <c r="H14" s="9" t="n">
        <v>0.05231143552311435</v>
      </c>
      <c r="I14" s="9" t="n">
        <v>0.07238442822384428</v>
      </c>
      <c r="J14" s="9" t="n">
        <v>0.0827250608272506</v>
      </c>
      <c r="K14" s="9" t="n">
        <v>0.09610705596107055</v>
      </c>
      <c r="L14" s="9" t="n">
        <v>0.1052311435523114</v>
      </c>
      <c r="M14" s="9" t="n">
        <v>0.114963503649635</v>
      </c>
      <c r="N14" s="9" t="n">
        <v>0.1265206812652068</v>
      </c>
      <c r="O14" s="9" t="n">
        <v>0.1380778588807786</v>
      </c>
      <c r="P14" s="13" t="n">
        <v>0.0012463846792965</v>
      </c>
      <c r="Q14" s="14" t="n">
        <v>3.411002234638927</v>
      </c>
      <c r="R14" s="15" t="n">
        <v>12</v>
      </c>
      <c r="S14" s="9" t="n">
        <v>0.1380778588807786</v>
      </c>
      <c r="T14" s="13" t="n">
        <v>1</v>
      </c>
      <c r="U14" s="9" t="n">
        <v>0.1380778588807786</v>
      </c>
      <c r="V14" s="8" t="n">
        <v>693</v>
      </c>
      <c r="W14" s="9" t="n">
        <v>0.1272359015611854</v>
      </c>
      <c r="X14" s="9" t="n">
        <v>0.1327561327561328</v>
      </c>
      <c r="Y14" s="10">
        <f>IFERROR(D14/O14-1,"")</f>
        <v/>
      </c>
      <c r="Z14" s="10">
        <f>IFERROR(E14/O14-1,"")</f>
        <v/>
      </c>
      <c r="AA14" s="10">
        <f>IFERROR(E14/U14-1,"")</f>
        <v/>
      </c>
      <c r="AB14" s="10">
        <f>IFERROR(W14/X14-1,"")</f>
        <v/>
      </c>
    </row>
    <row r="15">
      <c r="A15" s="7" t="inlineStr">
        <is>
          <t>202401</t>
        </is>
      </c>
      <c r="B15" s="8" t="n">
        <v>1417</v>
      </c>
      <c r="C15" s="9" t="n">
        <v>0.1406094367078906</v>
      </c>
      <c r="D15" s="9" t="n">
        <v>0.134978393757888</v>
      </c>
      <c r="E15" s="9" t="n">
        <v>0.1325203654919286</v>
      </c>
      <c r="F15" s="9" t="n">
        <v>0.01058574453069866</v>
      </c>
      <c r="G15" s="9" t="n">
        <v>0.03246294989414256</v>
      </c>
      <c r="H15" s="9" t="n">
        <v>0.05786873676781934</v>
      </c>
      <c r="I15" s="9" t="n">
        <v>0.07127734650670431</v>
      </c>
      <c r="J15" s="9" t="n">
        <v>0.08609738884968243</v>
      </c>
      <c r="K15" s="9" t="n">
        <v>0.09880028228652082</v>
      </c>
      <c r="L15" s="9" t="n">
        <v>0.1100917431192661</v>
      </c>
      <c r="M15" s="9" t="n">
        <v>0.1213832039520113</v>
      </c>
      <c r="N15" s="9" t="n">
        <v>0.1390261115031757</v>
      </c>
      <c r="O15" s="9" t="n">
        <v>0.1453775582215949</v>
      </c>
      <c r="P15" s="13" t="n">
        <v>-0.0190642825400903</v>
      </c>
      <c r="Q15" s="14" t="n">
        <v>2.947058030691863</v>
      </c>
      <c r="R15" s="15" t="n">
        <v>12</v>
      </c>
      <c r="S15" s="9" t="n">
        <v>0.1453775582215949</v>
      </c>
      <c r="T15" s="13" t="n">
        <v>1</v>
      </c>
      <c r="U15" s="9" t="n">
        <v>0.1453775582215949</v>
      </c>
      <c r="V15" s="8" t="n">
        <v>587</v>
      </c>
      <c r="W15" s="9" t="n">
        <v>0.1344478351706209</v>
      </c>
      <c r="X15" s="9" t="n">
        <v>0.151618398637138</v>
      </c>
      <c r="Y15" s="10">
        <f>IFERROR(D15/O15-1,"")</f>
        <v/>
      </c>
      <c r="Z15" s="10">
        <f>IFERROR(E15/O15-1,"")</f>
        <v/>
      </c>
      <c r="AA15" s="10">
        <f>IFERROR(E15/U15-1,"")</f>
        <v/>
      </c>
      <c r="AB15" s="10">
        <f>IFERROR(W15/X15-1,"")</f>
        <v/>
      </c>
    </row>
    <row r="16">
      <c r="A16" s="7" t="inlineStr">
        <is>
          <t>202402</t>
        </is>
      </c>
      <c r="B16" s="8" t="n">
        <v>1753</v>
      </c>
      <c r="C16" s="9" t="n">
        <v>0.1340533290531208</v>
      </c>
      <c r="D16" s="9" t="n">
        <v>0.1285060639208936</v>
      </c>
      <c r="E16" s="9" t="n">
        <v>0.1261044400950595</v>
      </c>
      <c r="F16" s="9" t="n">
        <v>0.01483171705647461</v>
      </c>
      <c r="G16" s="9" t="n">
        <v>0.03822019395322305</v>
      </c>
      <c r="H16" s="9" t="n">
        <v>0.06446092413006276</v>
      </c>
      <c r="I16" s="9" t="n">
        <v>0.0775812892184826</v>
      </c>
      <c r="J16" s="9" t="n">
        <v>0.09184255561893896</v>
      </c>
      <c r="K16" s="9" t="n">
        <v>0.1066742726754136</v>
      </c>
      <c r="L16" s="9" t="n">
        <v>0.1163719338277239</v>
      </c>
      <c r="M16" s="9" t="n">
        <v>0.1243582430119795</v>
      </c>
      <c r="N16" s="9" t="n">
        <v>0.1369081574443811</v>
      </c>
      <c r="O16" s="9" t="n">
        <v>0.1454649172846549</v>
      </c>
      <c r="P16" s="13" t="n">
        <v>-0.0198286684982686</v>
      </c>
      <c r="Q16" s="14" t="n">
        <v>2.929597627690584</v>
      </c>
      <c r="R16" s="15" t="n">
        <v>12</v>
      </c>
      <c r="S16" s="9" t="n">
        <v>0.1454649172846549</v>
      </c>
      <c r="T16" s="13" t="n">
        <v>1</v>
      </c>
      <c r="U16" s="9" t="n">
        <v>0.1454649172846549</v>
      </c>
      <c r="V16" s="8" t="n">
        <v>746</v>
      </c>
      <c r="W16" s="9" t="n">
        <v>0.1261263448655257</v>
      </c>
      <c r="X16" s="9" t="n">
        <v>0.1528150134048257</v>
      </c>
      <c r="Y16" s="10">
        <f>IFERROR(D16/O16-1,"")</f>
        <v/>
      </c>
      <c r="Z16" s="10">
        <f>IFERROR(E16/O16-1,"")</f>
        <v/>
      </c>
      <c r="AA16" s="10">
        <f>IFERROR(E16/U16-1,"")</f>
        <v/>
      </c>
      <c r="AB16" s="10">
        <f>IFERROR(W16/X16-1,"")</f>
        <v/>
      </c>
    </row>
    <row r="17">
      <c r="A17" s="7" t="inlineStr">
        <is>
          <t>202403</t>
        </is>
      </c>
      <c r="B17" s="8" t="n">
        <v>1815</v>
      </c>
      <c r="C17" s="9" t="n">
        <v>0.1412441132923706</v>
      </c>
      <c r="D17" s="9" t="n">
        <v>0.1355957553755318</v>
      </c>
      <c r="E17" s="9" t="n">
        <v>0.1306912355050515</v>
      </c>
      <c r="F17" s="9" t="n">
        <v>0.01377410468319559</v>
      </c>
      <c r="G17" s="9" t="n">
        <v>0.04903581267217631</v>
      </c>
      <c r="H17" s="9" t="n">
        <v>0.06997245179063361</v>
      </c>
      <c r="I17" s="9" t="n">
        <v>0.08044077134986226</v>
      </c>
      <c r="J17" s="9" t="n">
        <v>0.09862258953168045</v>
      </c>
      <c r="K17" s="9" t="n">
        <v>0.112396694214876</v>
      </c>
      <c r="L17" s="9" t="n">
        <v>0.1239669421487603</v>
      </c>
      <c r="M17" s="9" t="n">
        <v>0.1327823691460055</v>
      </c>
      <c r="N17" s="9" t="n">
        <v>0.1487603305785124</v>
      </c>
      <c r="O17" s="9" t="n">
        <v>0.1559228650137741</v>
      </c>
      <c r="P17" s="13" t="n">
        <v>-0.0309796378369519</v>
      </c>
      <c r="Q17" s="14" t="n">
        <v>2.67488282501116</v>
      </c>
      <c r="R17" s="15" t="n">
        <v>12</v>
      </c>
      <c r="S17" s="9" t="n">
        <v>0.1559228650137741</v>
      </c>
      <c r="T17" s="13" t="n">
        <v>1</v>
      </c>
      <c r="U17" s="9" t="n">
        <v>0.1559228650137741</v>
      </c>
      <c r="V17" s="8" t="n">
        <v>807</v>
      </c>
      <c r="W17" s="9" t="n">
        <v>0.1334531706877391</v>
      </c>
      <c r="X17" s="9" t="n">
        <v>0.1672862453531599</v>
      </c>
      <c r="Y17" s="10">
        <f>IFERROR(D17/O17-1,"")</f>
        <v/>
      </c>
      <c r="Z17" s="10">
        <f>IFERROR(E17/O17-1,"")</f>
        <v/>
      </c>
      <c r="AA17" s="10">
        <f>IFERROR(E17/U17-1,"")</f>
        <v/>
      </c>
      <c r="AB17" s="10">
        <f>IFERROR(W17/X17-1,"")</f>
        <v/>
      </c>
    </row>
    <row r="18">
      <c r="A18" s="7" t="inlineStr">
        <is>
          <t>202404</t>
        </is>
      </c>
      <c r="B18" s="8" t="n">
        <v>2833</v>
      </c>
      <c r="C18" s="9" t="n">
        <v>0.1417423429830868</v>
      </c>
      <c r="D18" s="9" t="n">
        <v>0.1365236835393159</v>
      </c>
      <c r="E18" s="9" t="n">
        <v>0.1264718655342855</v>
      </c>
      <c r="F18" s="9" t="n">
        <v>0.006000705965407695</v>
      </c>
      <c r="G18" s="9" t="n">
        <v>0.02612072008471585</v>
      </c>
      <c r="H18" s="9" t="n">
        <v>0.04518178609248147</v>
      </c>
      <c r="I18" s="9" t="n">
        <v>0.06141899046946699</v>
      </c>
      <c r="J18" s="9" t="n">
        <v>0.07589128132721497</v>
      </c>
      <c r="K18" s="9" t="n">
        <v>0.08895164136957288</v>
      </c>
      <c r="L18" s="9" t="n">
        <v>0.1044828803388634</v>
      </c>
      <c r="M18" s="9" t="n">
        <v>0.1150723614542887</v>
      </c>
      <c r="N18" s="9" t="n">
        <v>0.1260148252735616</v>
      </c>
      <c r="O18" s="9" t="n">
        <v>0.1355453582774444</v>
      </c>
      <c r="P18" s="13" t="n">
        <v>-0.0558720181987733</v>
      </c>
      <c r="Q18" s="14" t="n">
        <v>2.106281337597227</v>
      </c>
      <c r="R18" s="15" t="n">
        <v>12</v>
      </c>
      <c r="S18" s="9" t="n">
        <v>0.1355453582774444</v>
      </c>
      <c r="T18" s="13" t="n">
        <v>1</v>
      </c>
      <c r="U18" s="9" t="n">
        <v>0.1355453582774444</v>
      </c>
      <c r="V18" s="8" t="n">
        <v>1229</v>
      </c>
      <c r="W18" s="9" t="n">
        <v>0.1267632969329413</v>
      </c>
      <c r="X18" s="9" t="n">
        <v>0.145646867371847</v>
      </c>
      <c r="Y18" s="10">
        <f>IFERROR(D18/O18-1,"")</f>
        <v/>
      </c>
      <c r="Z18" s="10">
        <f>IFERROR(E18/O18-1,"")</f>
        <v/>
      </c>
      <c r="AA18" s="10">
        <f>IFERROR(E18/U18-1,"")</f>
        <v/>
      </c>
      <c r="AB18" s="10">
        <f>IFERROR(W18/X18-1,"")</f>
        <v/>
      </c>
    </row>
    <row r="19">
      <c r="A19" s="7" t="inlineStr">
        <is>
          <t>202405</t>
        </is>
      </c>
      <c r="B19" s="8" t="n">
        <v>2807</v>
      </c>
      <c r="C19" s="9" t="n">
        <v>0.1419417557685155</v>
      </c>
      <c r="D19" s="9" t="n">
        <v>0.1367166246482283</v>
      </c>
      <c r="E19" s="9" t="n">
        <v>0.1233939720483078</v>
      </c>
      <c r="F19" s="9" t="n">
        <v>0.006056287851799074</v>
      </c>
      <c r="G19" s="9" t="n">
        <v>0.02529390808692554</v>
      </c>
      <c r="H19" s="9" t="n">
        <v>0.04951905949412184</v>
      </c>
      <c r="I19" s="9" t="n">
        <v>0.06555040969006057</v>
      </c>
      <c r="J19" s="9" t="n">
        <v>0.08158175988599929</v>
      </c>
      <c r="K19" s="9" t="n">
        <v>0.09476309226932668</v>
      </c>
      <c r="L19" s="9" t="n">
        <v>0.1079444246526541</v>
      </c>
      <c r="M19" s="9" t="n">
        <v>0.1204132525828286</v>
      </c>
      <c r="N19" s="9" t="n">
        <v>0.1311008193801211</v>
      </c>
      <c r="O19" s="9" t="n">
        <v>0.1410758817242608</v>
      </c>
      <c r="P19" s="13" t="n">
        <v>-0.0754757595835721</v>
      </c>
      <c r="Q19" s="14" t="n">
        <v>1.658485010036248</v>
      </c>
      <c r="R19" s="15" t="n">
        <v>12</v>
      </c>
      <c r="S19" s="9" t="n">
        <v>0.1410758817242608</v>
      </c>
      <c r="T19" s="13" t="n">
        <v>1</v>
      </c>
      <c r="U19" s="9" t="n">
        <v>0.1410758817242608</v>
      </c>
      <c r="V19" s="8" t="n">
        <v>1229</v>
      </c>
      <c r="W19" s="9" t="n">
        <v>0.1265978393352473</v>
      </c>
      <c r="X19" s="9" t="n">
        <v>0.1464605370219691</v>
      </c>
      <c r="Y19" s="10">
        <f>IFERROR(D19/O19-1,"")</f>
        <v/>
      </c>
      <c r="Z19" s="10">
        <f>IFERROR(E19/O19-1,"")</f>
        <v/>
      </c>
      <c r="AA19" s="10">
        <f>IFERROR(E19/U19-1,"")</f>
        <v/>
      </c>
      <c r="AB19" s="10">
        <f>IFERROR(W19/X19-1,"")</f>
        <v/>
      </c>
    </row>
    <row r="20">
      <c r="A20" s="7" t="inlineStr">
        <is>
          <t>202406</t>
        </is>
      </c>
      <c r="B20" s="8" t="n">
        <v>2996</v>
      </c>
      <c r="C20" s="9" t="n">
        <v>0.1423265344574575</v>
      </c>
      <c r="D20" s="9" t="n">
        <v>0.1371088256330188</v>
      </c>
      <c r="E20" s="9" t="n">
        <v>0.1252127974549112</v>
      </c>
      <c r="F20" s="9" t="n">
        <v>0.007676902536715621</v>
      </c>
      <c r="G20" s="9" t="n">
        <v>0.0267022696929239</v>
      </c>
      <c r="H20" s="9" t="n">
        <v>0.04906542056074766</v>
      </c>
      <c r="I20" s="9" t="n">
        <v>0.06842456608811749</v>
      </c>
      <c r="J20" s="9" t="n">
        <v>0.08077436582109479</v>
      </c>
      <c r="K20" s="9" t="n">
        <v>0.0931241655540721</v>
      </c>
      <c r="L20" s="9" t="n">
        <v>0.106475300400534</v>
      </c>
      <c r="M20" s="9" t="n">
        <v>0.1208277703604806</v>
      </c>
      <c r="N20" s="9" t="n">
        <v>0.1345126835781041</v>
      </c>
      <c r="O20" s="9" t="n">
        <v>0.147196261682243</v>
      </c>
      <c r="P20" s="13" t="n">
        <v>-0.0653537931038556</v>
      </c>
      <c r="Q20" s="14" t="n">
        <v>1.889694926977259</v>
      </c>
      <c r="R20" s="15" t="n">
        <v>12</v>
      </c>
      <c r="S20" s="9" t="n">
        <v>0.147196261682243</v>
      </c>
      <c r="T20" s="13" t="n">
        <v>1</v>
      </c>
      <c r="U20" s="9" t="n">
        <v>0.147196261682243</v>
      </c>
      <c r="V20" s="8" t="n">
        <v>1374</v>
      </c>
      <c r="W20" s="9" t="n">
        <v>0.1280884890372918</v>
      </c>
      <c r="X20" s="9" t="n">
        <v>0.1615720524017467</v>
      </c>
      <c r="Y20" s="10">
        <f>IFERROR(D20/O20-1,"")</f>
        <v/>
      </c>
      <c r="Z20" s="10">
        <f>IFERROR(E20/O20-1,"")</f>
        <v/>
      </c>
      <c r="AA20" s="10">
        <f>IFERROR(E20/U20-1,"")</f>
        <v/>
      </c>
      <c r="AB20" s="10">
        <f>IFERROR(W20/X20-1,"")</f>
        <v/>
      </c>
    </row>
    <row r="21">
      <c r="A21" s="7" t="inlineStr">
        <is>
          <t>202407</t>
        </is>
      </c>
      <c r="B21" s="8" t="n">
        <v>4033</v>
      </c>
      <c r="C21" s="9" t="n">
        <v>0.1522290523030268</v>
      </c>
      <c r="D21" s="9" t="n">
        <v>0.1467351696555365</v>
      </c>
      <c r="E21" s="9" t="n">
        <v>0.1344701612421309</v>
      </c>
      <c r="F21" s="9" t="n">
        <v>0.005702950657079098</v>
      </c>
      <c r="G21" s="9" t="n">
        <v>0.03421770394247459</v>
      </c>
      <c r="H21" s="9" t="n">
        <v>0.05628564344160675</v>
      </c>
      <c r="I21" s="9" t="n">
        <v>0.07190676915447558</v>
      </c>
      <c r="J21" s="9" t="n">
        <v>0.08653607736176544</v>
      </c>
      <c r="K21" s="9" t="n">
        <v>0.1031490205802132</v>
      </c>
      <c r="L21" s="9" t="n">
        <v>0.1190181006694768</v>
      </c>
      <c r="M21" s="9" t="n">
        <v>0.1356310438879246</v>
      </c>
      <c r="N21" s="9" t="n">
        <v>0.1475328539548723</v>
      </c>
      <c r="O21" s="9" t="n">
        <v>0.1601785271510042</v>
      </c>
      <c r="P21" s="13" t="n">
        <v>-0.0704962472517633</v>
      </c>
      <c r="Q21" s="14" t="n">
        <v>1.772228978162538</v>
      </c>
      <c r="R21" s="15" t="n">
        <v>12</v>
      </c>
      <c r="S21" s="9" t="n">
        <v>0.1601785271510042</v>
      </c>
      <c r="T21" s="13" t="n">
        <v>1</v>
      </c>
      <c r="U21" s="9" t="n">
        <v>0.1601785271510042</v>
      </c>
      <c r="V21" s="8" t="n">
        <v>1842</v>
      </c>
      <c r="W21" s="9" t="n">
        <v>0.1407557662238313</v>
      </c>
      <c r="X21" s="9" t="n">
        <v>0.1769815418023887</v>
      </c>
      <c r="Y21" s="10">
        <f>IFERROR(D21/O21-1,"")</f>
        <v/>
      </c>
      <c r="Z21" s="10">
        <f>IFERROR(E21/O21-1,"")</f>
        <v/>
      </c>
      <c r="AA21" s="10">
        <f>IFERROR(E21/U21-1,"")</f>
        <v/>
      </c>
      <c r="AB21" s="10">
        <f>IFERROR(W21/X21-1,"")</f>
        <v/>
      </c>
    </row>
    <row r="22">
      <c r="A22" s="7" t="inlineStr">
        <is>
          <t>202408</t>
        </is>
      </c>
      <c r="B22" s="8" t="n">
        <v>3403</v>
      </c>
      <c r="C22" s="9" t="n">
        <v>0.1524788548684395</v>
      </c>
      <c r="D22" s="9" t="n">
        <v>0.1469596996971839</v>
      </c>
      <c r="E22" s="9" t="n">
        <v>0.1341824119072631</v>
      </c>
      <c r="F22" s="9" t="n">
        <v>0.007640317367029092</v>
      </c>
      <c r="G22" s="9" t="n">
        <v>0.03555686159271231</v>
      </c>
      <c r="H22" s="9" t="n">
        <v>0.06141639729650308</v>
      </c>
      <c r="I22" s="9" t="n">
        <v>0.07816632383191302</v>
      </c>
      <c r="J22" s="9" t="n">
        <v>0.0969732588892154</v>
      </c>
      <c r="K22" s="9" t="n">
        <v>0.1181310608286806</v>
      </c>
      <c r="L22" s="9" t="n">
        <v>0.1298853952394945</v>
      </c>
      <c r="M22" s="9" t="n">
        <v>0.143696738172201</v>
      </c>
      <c r="N22" s="9" t="n">
        <v>0.1551572142227446</v>
      </c>
      <c r="O22" s="9" t="n">
        <v>0.16808698207464</v>
      </c>
      <c r="P22" s="13" t="n">
        <v>-0.0744376341863873</v>
      </c>
      <c r="Q22" s="14" t="n">
        <v>1.68219827636038</v>
      </c>
      <c r="R22" s="15" t="n">
        <v>12</v>
      </c>
      <c r="S22" s="9" t="n">
        <v>0.16808698207464</v>
      </c>
      <c r="T22" s="13" t="n">
        <v>1</v>
      </c>
      <c r="U22" s="9" t="n">
        <v>0.16808698207464</v>
      </c>
      <c r="V22" s="8" t="n">
        <v>1532</v>
      </c>
      <c r="W22" s="9" t="n">
        <v>0.140135915208255</v>
      </c>
      <c r="X22" s="9" t="n">
        <v>0.1788511749347259</v>
      </c>
      <c r="Y22" s="10">
        <f>IFERROR(D22/O22-1,"")</f>
        <v/>
      </c>
      <c r="Z22" s="10">
        <f>IFERROR(E22/O22-1,"")</f>
        <v/>
      </c>
      <c r="AA22" s="10">
        <f>IFERROR(E22/U22-1,"")</f>
        <v/>
      </c>
      <c r="AB22" s="10">
        <f>IFERROR(W22/X22-1,"")</f>
        <v/>
      </c>
    </row>
    <row r="23">
      <c r="A23" s="7" t="inlineStr">
        <is>
          <t>202409</t>
        </is>
      </c>
      <c r="B23" s="8" t="n">
        <v>2799</v>
      </c>
      <c r="C23" s="9" t="n">
        <v>0.1469435306960033</v>
      </c>
      <c r="D23" s="9" t="n">
        <v>0.1416035166912635</v>
      </c>
      <c r="E23" s="9" t="n">
        <v>0.126991584548249</v>
      </c>
      <c r="F23" s="9" t="n">
        <v>0.007859949982136478</v>
      </c>
      <c r="G23" s="9" t="n">
        <v>0.02750982493747767</v>
      </c>
      <c r="H23" s="9" t="n">
        <v>0.0510896748838871</v>
      </c>
      <c r="I23" s="9" t="n">
        <v>0.07216863165416221</v>
      </c>
      <c r="J23" s="9" t="n">
        <v>0.09253304751697035</v>
      </c>
      <c r="K23" s="9" t="n">
        <v>0.1093247588424437</v>
      </c>
      <c r="L23" s="9" t="n">
        <v>0.1225437656305823</v>
      </c>
      <c r="M23" s="9" t="n">
        <v>0.1343336906037871</v>
      </c>
      <c r="N23" s="9" t="n">
        <v>0.1468381564844587</v>
      </c>
      <c r="O23" s="9" t="n">
        <v>0.1564844587352626</v>
      </c>
      <c r="P23" s="13" t="n">
        <v>-0.0828464630159074</v>
      </c>
      <c r="Q23" s="14" t="n">
        <v>1.490120519618099</v>
      </c>
      <c r="R23" s="15" t="n">
        <v>12</v>
      </c>
      <c r="S23" s="9" t="n">
        <v>0.1564844587352626</v>
      </c>
      <c r="T23" s="13" t="n">
        <v>1</v>
      </c>
      <c r="U23" s="9" t="n">
        <v>0.1564844587352626</v>
      </c>
      <c r="V23" s="8" t="n">
        <v>1241</v>
      </c>
      <c r="W23" s="9" t="n">
        <v>0.1307084585740585</v>
      </c>
      <c r="X23" s="9" t="n">
        <v>0.169218372280419</v>
      </c>
      <c r="Y23" s="10">
        <f>IFERROR(D23/O23-1,"")</f>
        <v/>
      </c>
      <c r="Z23" s="10">
        <f>IFERROR(E23/O23-1,"")</f>
        <v/>
      </c>
      <c r="AA23" s="10">
        <f>IFERROR(E23/U23-1,"")</f>
        <v/>
      </c>
      <c r="AB23" s="10">
        <f>IFERROR(W23/X23-1,"")</f>
        <v/>
      </c>
    </row>
    <row r="24">
      <c r="A24" s="7" t="inlineStr">
        <is>
          <t>202410</t>
        </is>
      </c>
      <c r="B24" s="8" t="n">
        <v>3052</v>
      </c>
      <c r="C24" s="9" t="n">
        <v>0.1451237309488516</v>
      </c>
      <c r="D24" s="9" t="n">
        <v>0.1472390637211843</v>
      </c>
      <c r="E24" s="9" t="n">
        <v>0.1269625066397997</v>
      </c>
      <c r="F24" s="9" t="n">
        <v>0.008846657929226736</v>
      </c>
      <c r="G24" s="9" t="n">
        <v>0.02719528178243774</v>
      </c>
      <c r="H24" s="9" t="n">
        <v>0.05307994757536042</v>
      </c>
      <c r="I24" s="9" t="n">
        <v>0.08060288335517693</v>
      </c>
      <c r="J24" s="9" t="n">
        <v>0.09927916120576671</v>
      </c>
      <c r="K24" s="9" t="n">
        <v>0.1150065530799476</v>
      </c>
      <c r="L24" s="9" t="n">
        <v>0.1264744429882045</v>
      </c>
      <c r="M24" s="9" t="n">
        <v>0.1333551769331586</v>
      </c>
      <c r="N24" s="9" t="n">
        <v>0.1441677588466579</v>
      </c>
      <c r="O24" s="9" t="n">
        <v>0.1536697247706422</v>
      </c>
      <c r="P24" s="13" t="n">
        <v>-0.0724218660345015</v>
      </c>
      <c r="Q24" s="14" t="n">
        <v>1.728243240834804</v>
      </c>
      <c r="R24" s="15" t="n">
        <v>12</v>
      </c>
      <c r="S24" s="9" t="n">
        <v>0.1536697247706422</v>
      </c>
      <c r="T24" s="13" t="n">
        <v>1</v>
      </c>
      <c r="U24" s="9" t="n">
        <v>0.1536697247706422</v>
      </c>
      <c r="V24" s="8" t="n">
        <v>1358</v>
      </c>
      <c r="W24" s="9" t="n">
        <v>0.1319356250823748</v>
      </c>
      <c r="X24" s="9" t="n">
        <v>0.1796759941089838</v>
      </c>
      <c r="Y24" s="10">
        <f>IFERROR(D24/O24-1,"")</f>
        <v/>
      </c>
      <c r="Z24" s="10">
        <f>IFERROR(E24/O24-1,"")</f>
        <v/>
      </c>
      <c r="AA24" s="10">
        <f>IFERROR(E24/U24-1,"")</f>
        <v/>
      </c>
      <c r="AB24" s="10">
        <f>IFERROR(W24/X24-1,"")</f>
        <v/>
      </c>
    </row>
    <row r="25">
      <c r="A25" s="7" t="inlineStr">
        <is>
          <t>202411</t>
        </is>
      </c>
      <c r="B25" s="8" t="n">
        <v>6821</v>
      </c>
      <c r="C25" s="9" t="n">
        <v>0.151516187310316</v>
      </c>
      <c r="D25" s="9" t="n">
        <v>0.1538517398523786</v>
      </c>
      <c r="E25" s="9" t="n">
        <v>0.1365564204463591</v>
      </c>
      <c r="F25" s="9" t="n">
        <v>0.00337193959829937</v>
      </c>
      <c r="G25" s="9" t="n">
        <v>0.02360357718809559</v>
      </c>
      <c r="H25" s="9" t="n">
        <v>0.05439085178126375</v>
      </c>
      <c r="I25" s="9" t="n">
        <v>0.0718369740507257</v>
      </c>
      <c r="J25" s="9" t="n">
        <v>0.08591115672188829</v>
      </c>
      <c r="K25" s="9" t="n">
        <v>0.09807946048966427</v>
      </c>
      <c r="L25" s="9" t="n">
        <v>0.1118604310218443</v>
      </c>
      <c r="M25" s="9" t="n">
        <v>0.1240287347896203</v>
      </c>
      <c r="N25" s="9" t="n">
        <v>0.1338513414455358</v>
      </c>
      <c r="O25" s="9" t="n">
        <v>0.142940917753995</v>
      </c>
      <c r="P25" s="13" t="n">
        <v>-0.0580535033556161</v>
      </c>
      <c r="Q25" s="14" t="n">
        <v>2.056451000485126</v>
      </c>
      <c r="R25" s="15" t="n">
        <v>12</v>
      </c>
      <c r="S25" s="9" t="n">
        <v>0.142940917753995</v>
      </c>
      <c r="T25" s="13" t="n">
        <v>1</v>
      </c>
      <c r="U25" s="9" t="n">
        <v>0.142940917753995</v>
      </c>
      <c r="V25" s="8" t="n">
        <v>3031</v>
      </c>
      <c r="W25" s="9" t="n">
        <v>0.1409136787322038</v>
      </c>
      <c r="X25" s="9" t="n">
        <v>0.1573738040250742</v>
      </c>
      <c r="Y25" s="10">
        <f>IFERROR(D25/O25-1,"")</f>
        <v/>
      </c>
      <c r="Z25" s="10">
        <f>IFERROR(E25/O25-1,"")</f>
        <v/>
      </c>
      <c r="AA25" s="10">
        <f>IFERROR(E25/U25-1,"")</f>
        <v/>
      </c>
      <c r="AB25" s="10">
        <f>IFERROR(W25/X25-1,"")</f>
        <v/>
      </c>
    </row>
    <row r="26">
      <c r="A26" s="7" t="inlineStr">
        <is>
          <t>202412</t>
        </is>
      </c>
      <c r="B26" s="8" t="n">
        <v>6092</v>
      </c>
      <c r="C26" s="9" t="n">
        <v>0.1460761045121349</v>
      </c>
      <c r="D26" s="9" t="n">
        <v>0.1483420271596743</v>
      </c>
      <c r="E26" s="9" t="n">
        <v>0.1296399062026055</v>
      </c>
      <c r="F26" s="9" t="n">
        <v>0.01017728168089297</v>
      </c>
      <c r="G26" s="9" t="n">
        <v>0.03430728824688115</v>
      </c>
      <c r="H26" s="9" t="n">
        <v>0.05975049244911359</v>
      </c>
      <c r="I26" s="9" t="n">
        <v>0.08749179251477347</v>
      </c>
      <c r="J26" s="9" t="n">
        <v>0.1035784635587656</v>
      </c>
      <c r="K26" s="9" t="n">
        <v>0.1168745896257387</v>
      </c>
      <c r="L26" s="9" t="n">
        <v>0.1277084701247538</v>
      </c>
      <c r="M26" s="9" t="n">
        <v>0.136408404464872</v>
      </c>
      <c r="N26" s="9" t="n">
        <v>0.1492120814182535</v>
      </c>
      <c r="O26" s="9" t="n">
        <v>0.1600459619172686</v>
      </c>
      <c r="P26" s="13" t="n">
        <v>-0.0650299149850779</v>
      </c>
      <c r="Q26" s="14" t="n">
        <v>1.897093077632239</v>
      </c>
      <c r="R26" s="15" t="n">
        <v>12</v>
      </c>
      <c r="S26" s="9" t="n">
        <v>0.1600459619172686</v>
      </c>
      <c r="T26" s="13" t="n">
        <v>1</v>
      </c>
      <c r="U26" s="9" t="n">
        <v>0.1600459619172686</v>
      </c>
      <c r="V26" s="8" t="n">
        <v>2633</v>
      </c>
      <c r="W26" s="9" t="n">
        <v>0.131861508354084</v>
      </c>
      <c r="X26" s="9" t="n">
        <v>0.1652107861754653</v>
      </c>
      <c r="Y26" s="10">
        <f>IFERROR(D26/O26-1,"")</f>
        <v/>
      </c>
      <c r="Z26" s="10">
        <f>IFERROR(E26/O26-1,"")</f>
        <v/>
      </c>
      <c r="AA26" s="10">
        <f>IFERROR(E26/U26-1,"")</f>
        <v/>
      </c>
      <c r="AB26" s="10">
        <f>IFERROR(W26/X26-1,"")</f>
        <v/>
      </c>
    </row>
    <row r="27">
      <c r="A27" s="7" t="inlineStr">
        <is>
          <t>202501</t>
        </is>
      </c>
      <c r="B27" s="8" t="n">
        <v>4451</v>
      </c>
      <c r="C27" s="9" t="n">
        <v>0.1433579704787652</v>
      </c>
      <c r="D27" s="9" t="n">
        <v>0.1454304518319132</v>
      </c>
      <c r="E27" s="9" t="n">
        <v>0.1259666205795335</v>
      </c>
      <c r="F27" s="9" t="n">
        <v>0.008088070096607504</v>
      </c>
      <c r="G27" s="9" t="n">
        <v>0.02898225117951022</v>
      </c>
      <c r="H27" s="9" t="n">
        <v>0.0539204673107167</v>
      </c>
      <c r="I27" s="9" t="n">
        <v>0.08020669512469109</v>
      </c>
      <c r="J27" s="9" t="n">
        <v>0.09368681195237025</v>
      </c>
      <c r="K27" s="9" t="n">
        <v>0.1076162660076387</v>
      </c>
      <c r="L27" s="9" t="n">
        <v>0.1177263536283981</v>
      </c>
      <c r="M27" s="9" t="n">
        <v>0.1318804762974612</v>
      </c>
      <c r="N27" s="9" t="n">
        <v>0.1419905639182206</v>
      </c>
      <c r="O27" s="9" t="n">
        <v>0.1491799595596495</v>
      </c>
      <c r="P27" s="13" t="n">
        <v>-0.0692773689503683</v>
      </c>
      <c r="Q27" s="14" t="n">
        <v>1.800071073015497</v>
      </c>
      <c r="R27" s="15" t="n">
        <v>12</v>
      </c>
      <c r="S27" s="9" t="n">
        <v>0.1491799595596495</v>
      </c>
      <c r="T27" s="13" t="n">
        <v>1</v>
      </c>
      <c r="U27" s="9" t="n">
        <v>0.1491799595596495</v>
      </c>
      <c r="V27" s="8" t="n">
        <v>1872</v>
      </c>
      <c r="W27" s="9" t="n">
        <v>0.1269828907268868</v>
      </c>
      <c r="X27" s="9" t="n">
        <v>0.1597222222222222</v>
      </c>
      <c r="Y27" s="10">
        <f>IFERROR(D27/O27-1,"")</f>
        <v/>
      </c>
      <c r="Z27" s="10">
        <f>IFERROR(E27/O27-1,"")</f>
        <v/>
      </c>
      <c r="AA27" s="10">
        <f>IFERROR(E27/U27-1,"")</f>
        <v/>
      </c>
      <c r="AB27" s="10">
        <f>IFERROR(W27/X27-1,"")</f>
        <v/>
      </c>
    </row>
    <row r="28">
      <c r="A28" s="7" t="inlineStr">
        <is>
          <t>202502</t>
        </is>
      </c>
      <c r="B28" s="8" t="n">
        <v>4444</v>
      </c>
      <c r="C28" s="9" t="n">
        <v>0.1462496097384458</v>
      </c>
      <c r="D28" s="9" t="n">
        <v>0.14823869999618</v>
      </c>
      <c r="E28" s="9" t="n">
        <v>0.1264723181968003</v>
      </c>
      <c r="F28" s="9" t="n">
        <v>0.009675967596759675</v>
      </c>
      <c r="G28" s="9" t="n">
        <v>0.04387938793879388</v>
      </c>
      <c r="H28" s="9" t="n">
        <v>0.0738073807380738</v>
      </c>
      <c r="I28" s="9" t="n">
        <v>0.09113411341134113</v>
      </c>
      <c r="J28" s="9" t="n">
        <v>0.1032853285328533</v>
      </c>
      <c r="K28" s="9" t="n">
        <v>0.1165616561656166</v>
      </c>
      <c r="L28" s="9" t="n">
        <v>0.1275877587758776</v>
      </c>
      <c r="M28" s="9" t="n">
        <v>0.1388388838883888</v>
      </c>
      <c r="N28" s="9" t="n">
        <v>0.1476147614761476</v>
      </c>
      <c r="O28" s="9" t="n">
        <v>0.1523402340234023</v>
      </c>
      <c r="P28" s="13" t="n">
        <v>-0.0821028391221693</v>
      </c>
      <c r="Q28" s="14" t="n">
        <v>1.507106667423574</v>
      </c>
      <c r="R28" s="15" t="n">
        <v>12</v>
      </c>
      <c r="S28" s="9" t="n">
        <v>0.1523402340234023</v>
      </c>
      <c r="T28" s="13" t="n">
        <v>1</v>
      </c>
      <c r="U28" s="9" t="n">
        <v>0.1523402340234023</v>
      </c>
      <c r="V28" s="8" t="n">
        <v>1863</v>
      </c>
      <c r="W28" s="9" t="n">
        <v>0.131606783017012</v>
      </c>
      <c r="X28" s="9" t="n">
        <v>0.1663982823403113</v>
      </c>
      <c r="Y28" s="10">
        <f>IFERROR(D28/O28-1,"")</f>
        <v/>
      </c>
      <c r="Z28" s="10">
        <f>IFERROR(E28/O28-1,"")</f>
        <v/>
      </c>
      <c r="AA28" s="10">
        <f>IFERROR(E28/U28-1,"")</f>
        <v/>
      </c>
      <c r="AB28" s="10">
        <f>IFERROR(W28/X28-1,"")</f>
        <v/>
      </c>
    </row>
    <row r="29">
      <c r="A29" s="7" t="inlineStr">
        <is>
          <t>202503</t>
        </is>
      </c>
      <c r="B29" s="8" t="n">
        <v>5096</v>
      </c>
      <c r="C29" s="9" t="n">
        <v>0.1483439507600347</v>
      </c>
      <c r="D29" s="9" t="n">
        <v>0.1424779711483818</v>
      </c>
      <c r="E29" s="9" t="n">
        <v>0.1286166763915489</v>
      </c>
      <c r="F29" s="9" t="n">
        <v>0.009222919937205651</v>
      </c>
      <c r="G29" s="9" t="n">
        <v>0.03748037676609105</v>
      </c>
      <c r="H29" s="9" t="n">
        <v>0.06475667189952904</v>
      </c>
      <c r="I29" s="9" t="n">
        <v>0.08065149136577708</v>
      </c>
      <c r="J29" s="9" t="n">
        <v>0.09576138147566719</v>
      </c>
      <c r="K29" s="9" t="n">
        <v>0.1110675039246468</v>
      </c>
      <c r="L29" s="9" t="n">
        <v>0.1224489795918367</v>
      </c>
      <c r="M29" s="9" t="n">
        <v>0.1336342229199372</v>
      </c>
      <c r="N29" s="9" t="n">
        <v>0.1430533751962323</v>
      </c>
      <c r="O29" s="9" t="n">
        <v>0.1524725274725275</v>
      </c>
      <c r="P29" s="13" t="n">
        <v>-0.0901403058799683</v>
      </c>
      <c r="Q29" s="14" t="n">
        <v>1.323511708359959</v>
      </c>
      <c r="R29" s="15" t="n">
        <v>12</v>
      </c>
      <c r="S29" s="9" t="n">
        <v>0.1524725274725275</v>
      </c>
      <c r="T29" s="13" t="n">
        <v>1</v>
      </c>
      <c r="U29" s="9" t="n">
        <v>0.1524725274725275</v>
      </c>
      <c r="V29" s="8" t="n">
        <v>2158</v>
      </c>
      <c r="W29" s="9" t="n">
        <v>0.1317001022126525</v>
      </c>
      <c r="X29" s="9" t="n">
        <v>0.1580166821130677</v>
      </c>
      <c r="Y29" s="10">
        <f>IFERROR(D29/O29-1,"")</f>
        <v/>
      </c>
      <c r="Z29" s="10">
        <f>IFERROR(E29/O29-1,"")</f>
        <v/>
      </c>
      <c r="AA29" s="10">
        <f>IFERROR(E29/U29-1,"")</f>
        <v/>
      </c>
      <c r="AB29" s="10">
        <f>IFERROR(W29/X29-1,"")</f>
        <v/>
      </c>
    </row>
    <row r="30">
      <c r="A30" s="7" t="inlineStr">
        <is>
          <t>202504</t>
        </is>
      </c>
      <c r="B30" s="8" t="n">
        <v>4077</v>
      </c>
      <c r="C30" s="9" t="n">
        <v>0.1427492746959496</v>
      </c>
      <c r="D30" s="9" t="n">
        <v>0.1370534886507126</v>
      </c>
      <c r="E30" s="9" t="n">
        <v>0.1241257803236423</v>
      </c>
      <c r="F30" s="9" t="n">
        <v>0.006622516556291391</v>
      </c>
      <c r="G30" s="9" t="n">
        <v>0.02820701496198185</v>
      </c>
      <c r="H30" s="9" t="n">
        <v>0.05616875153298995</v>
      </c>
      <c r="I30" s="9" t="n">
        <v>0.06990434142752024</v>
      </c>
      <c r="J30" s="9" t="n">
        <v>0.0875643855776306</v>
      </c>
      <c r="K30" s="9" t="n">
        <v>0.09958302673534461</v>
      </c>
      <c r="L30" s="9" t="n">
        <v>0.1066961000735835</v>
      </c>
      <c r="M30" s="9" t="n">
        <v>0.1167525141035075</v>
      </c>
      <c r="N30" s="9" t="n">
        <v>0.1243561442236939</v>
      </c>
      <c r="O30" s="9" t="n">
        <v>0.1304881039980378</v>
      </c>
      <c r="P30" s="13" t="n">
        <v>-0.0763210869948466</v>
      </c>
      <c r="Q30" s="14" t="n">
        <v>1.639175710707863</v>
      </c>
      <c r="R30" s="15" t="n">
        <v>12</v>
      </c>
      <c r="S30" s="9" t="n">
        <v>0.1304881039980378</v>
      </c>
      <c r="T30" s="13" t="n">
        <v>1</v>
      </c>
      <c r="U30" s="9" t="n">
        <v>0.1304881039980378</v>
      </c>
      <c r="V30" s="8" t="n">
        <v>1741</v>
      </c>
      <c r="W30" s="9" t="n">
        <v>0.1260411373084199</v>
      </c>
      <c r="X30" s="9" t="n">
        <v>0.1332567489948306</v>
      </c>
      <c r="Y30" s="10">
        <f>IFERROR(D30/O30-1,"")</f>
        <v/>
      </c>
      <c r="Z30" s="10">
        <f>IFERROR(E30/O30-1,"")</f>
        <v/>
      </c>
      <c r="AA30" s="10">
        <f>IFERROR(E30/U30-1,"")</f>
        <v/>
      </c>
      <c r="AB30" s="10">
        <f>IFERROR(W30/X30-1,"")</f>
        <v/>
      </c>
    </row>
    <row r="31">
      <c r="A31" s="7" t="inlineStr">
        <is>
          <t>202505</t>
        </is>
      </c>
      <c r="B31" s="8" t="n">
        <v>5026</v>
      </c>
      <c r="C31" s="9" t="n">
        <v>0.1471202148302835</v>
      </c>
      <c r="D31" s="9" t="n">
        <v>0.141226058658709</v>
      </c>
      <c r="E31" s="9" t="n">
        <v>0.1291616962109224</v>
      </c>
      <c r="F31" s="9" t="n">
        <v>0.009948269001193792</v>
      </c>
      <c r="G31" s="9" t="n">
        <v>0.03521687226422603</v>
      </c>
      <c r="H31" s="9" t="n">
        <v>0.05909271786709112</v>
      </c>
      <c r="I31" s="9" t="n">
        <v>0.07620374054914444</v>
      </c>
      <c r="J31" s="9" t="n">
        <v>0.08794269797055312</v>
      </c>
      <c r="K31" s="9" t="n">
        <v>0.09749303621169916</v>
      </c>
      <c r="L31" s="9" t="n">
        <v>0.1064464783127736</v>
      </c>
      <c r="M31" s="9" t="n">
        <v>0.1165937126939912</v>
      </c>
      <c r="N31" s="9" t="n">
        <v>0.1275368085953044</v>
      </c>
      <c r="O31" s="9" t="n">
        <v>0.1366892160764027</v>
      </c>
      <c r="P31" s="13" t="n">
        <v>-0.0729545842663733</v>
      </c>
      <c r="Q31" s="14" t="n">
        <v>1.716074682641011</v>
      </c>
      <c r="R31" s="15" t="n">
        <v>12</v>
      </c>
      <c r="S31" s="9" t="n">
        <v>0.1366892160764027</v>
      </c>
      <c r="T31" s="13" t="n">
        <v>1</v>
      </c>
      <c r="U31" s="9" t="n">
        <v>0.1366892160764027</v>
      </c>
      <c r="V31" s="8" t="n">
        <v>2139</v>
      </c>
      <c r="W31" s="9" t="n">
        <v>0.1323409022433623</v>
      </c>
      <c r="X31" s="9" t="n">
        <v>0.142122487143525</v>
      </c>
      <c r="Y31" s="10">
        <f>IFERROR(D31/O31-1,"")</f>
        <v/>
      </c>
      <c r="Z31" s="10">
        <f>IFERROR(E31/O31-1,"")</f>
        <v/>
      </c>
      <c r="AA31" s="10">
        <f>IFERROR(E31/U31-1,"")</f>
        <v/>
      </c>
      <c r="AB31" s="10">
        <f>IFERROR(W31/X31-1,"")</f>
        <v/>
      </c>
    </row>
    <row r="32">
      <c r="A32" s="7" t="inlineStr">
        <is>
          <t>202506</t>
        </is>
      </c>
      <c r="B32" s="8" t="n">
        <v>5317</v>
      </c>
      <c r="C32" s="9" t="n">
        <v>0.147310211012644</v>
      </c>
      <c r="D32" s="9" t="n">
        <v>0.1414175864677958</v>
      </c>
      <c r="E32" s="9" t="n">
        <v>0.1288031711899578</v>
      </c>
      <c r="F32" s="9" t="n">
        <v>0.006958811359789355</v>
      </c>
      <c r="G32" s="9" t="n">
        <v>0.03197291705849163</v>
      </c>
      <c r="H32" s="9" t="n">
        <v>0.06018431446304307</v>
      </c>
      <c r="I32" s="9" t="n">
        <v>0.07334963325183375</v>
      </c>
      <c r="J32" s="9" t="n">
        <v>0.08689110400601843</v>
      </c>
      <c r="K32" s="9" t="n">
        <v>0.09535452322738386</v>
      </c>
      <c r="L32" s="9" t="n">
        <v>0.1066390821892044</v>
      </c>
      <c r="M32" s="9" t="n">
        <v>0.1190520970472071</v>
      </c>
      <c r="N32" s="9" t="n">
        <v>0.1309008839571187</v>
      </c>
      <c r="O32" s="9" t="n">
        <v>0.1391762271957871</v>
      </c>
      <c r="P32" s="13" t="n">
        <v>-0.07376569476056211</v>
      </c>
      <c r="Q32" s="14" t="n">
        <v>1.69754697951463</v>
      </c>
      <c r="R32" s="15" t="n">
        <v>12</v>
      </c>
      <c r="S32" s="9" t="n">
        <v>0.1391762271957871</v>
      </c>
      <c r="T32" s="13" t="n">
        <v>1</v>
      </c>
      <c r="U32" s="9" t="n">
        <v>0.1391762271957871</v>
      </c>
      <c r="V32" s="8" t="n">
        <v>2461</v>
      </c>
      <c r="W32" s="9" t="n">
        <v>0.1293168924484226</v>
      </c>
      <c r="X32" s="9" t="n">
        <v>0.1422186103210077</v>
      </c>
      <c r="Y32" s="10">
        <f>IFERROR(D32/O32-1,"")</f>
        <v/>
      </c>
      <c r="Z32" s="10">
        <f>IFERROR(E32/O32-1,"")</f>
        <v/>
      </c>
      <c r="AA32" s="10">
        <f>IFERROR(E32/U32-1,"")</f>
        <v/>
      </c>
      <c r="AB32" s="10">
        <f>IFERROR(W32/X32-1,"")</f>
        <v/>
      </c>
    </row>
    <row r="33">
      <c r="A33" s="7" t="inlineStr">
        <is>
          <t>202507</t>
        </is>
      </c>
      <c r="B33" s="8" t="n">
        <v>4979</v>
      </c>
      <c r="C33" s="9" t="n">
        <v>0.1506785898951791</v>
      </c>
      <c r="D33" s="9" t="n">
        <v>0.1446781351789757</v>
      </c>
      <c r="E33" s="9" t="n">
        <v>0.1324306078089289</v>
      </c>
      <c r="F33" s="9" t="n">
        <v>0.008435428800964049</v>
      </c>
      <c r="G33" s="9" t="n">
        <v>0.03655352480417755</v>
      </c>
      <c r="H33" s="9" t="n">
        <v>0.06005221932114883</v>
      </c>
      <c r="I33" s="9" t="n">
        <v>0.06949186583651336</v>
      </c>
      <c r="J33" s="9" t="n">
        <v>0.07873066880899779</v>
      </c>
      <c r="K33" s="9" t="n">
        <v>0.09278971681060454</v>
      </c>
      <c r="L33" s="9" t="n">
        <v>0.1038361116690098</v>
      </c>
      <c r="M33" s="9" t="n">
        <v>0.1152841936131753</v>
      </c>
      <c r="N33" s="9" t="n">
        <v>0.1245229965856598</v>
      </c>
      <c r="O33" s="9" t="n"/>
      <c r="P33" s="13" t="n">
        <v>-0.0736408959148164</v>
      </c>
      <c r="Q33" s="14" t="n">
        <v>1.700397683556876</v>
      </c>
      <c r="R33" s="15" t="n">
        <v>11</v>
      </c>
      <c r="S33" s="9" t="n">
        <v>0.1245229965856598</v>
      </c>
      <c r="T33" s="13" t="n">
        <v>1.069871201279569</v>
      </c>
      <c r="U33" s="9" t="n">
        <v>0.1332235679440315</v>
      </c>
      <c r="V33" s="8" t="n">
        <v>2259</v>
      </c>
      <c r="W33" s="9" t="n">
        <v>0.1363444224199016</v>
      </c>
      <c r="X33" s="9" t="n"/>
      <c r="Y33" s="10">
        <f>IFERROR(D33/O33-1,"")</f>
        <v/>
      </c>
      <c r="Z33" s="10">
        <f>IFERROR(E33/O33-1,"")</f>
        <v/>
      </c>
      <c r="AA33" s="10">
        <f>IFERROR(E33/U33-1,"")</f>
        <v/>
      </c>
      <c r="AB33" s="10">
        <f>IFERROR(W33/X33-1,"")</f>
        <v/>
      </c>
    </row>
    <row r="34">
      <c r="A34" s="7" t="inlineStr">
        <is>
          <t>202508</t>
        </is>
      </c>
      <c r="B34" s="8" t="n">
        <v>4492</v>
      </c>
      <c r="C34" s="9" t="n">
        <v>0.1497269316140201</v>
      </c>
      <c r="D34" s="9" t="n">
        <v>0.1437041214350047</v>
      </c>
      <c r="E34" s="9" t="n">
        <v>0.129538765487403</v>
      </c>
      <c r="F34" s="9" t="n">
        <v>0.007791629563668744</v>
      </c>
      <c r="G34" s="9" t="n">
        <v>0.03317008014247552</v>
      </c>
      <c r="H34" s="9" t="n">
        <v>0.05632235084594835</v>
      </c>
      <c r="I34" s="9" t="n">
        <v>0.06723063223508459</v>
      </c>
      <c r="J34" s="9" t="n">
        <v>0.08170080142475512</v>
      </c>
      <c r="K34" s="9" t="n">
        <v>0.09461264470169189</v>
      </c>
      <c r="L34" s="9" t="n">
        <v>0.1073018699910953</v>
      </c>
      <c r="M34" s="9" t="n">
        <v>0.1188780053428317</v>
      </c>
      <c r="N34" s="9" t="n"/>
      <c r="O34" s="9" t="n"/>
      <c r="P34" s="13" t="n">
        <v>-0.1003314429254493</v>
      </c>
      <c r="Q34" s="14" t="n">
        <v>1.090721770303759</v>
      </c>
      <c r="R34" s="15" t="n">
        <v>10</v>
      </c>
      <c r="S34" s="9" t="n">
        <v>0.1188780053428317</v>
      </c>
      <c r="T34" s="13" t="n">
        <v>1.166391336270191</v>
      </c>
      <c r="U34" s="9" t="n">
        <v>0.1386582755049604</v>
      </c>
      <c r="V34" s="8" t="n">
        <v>2116</v>
      </c>
      <c r="W34" s="9" t="n">
        <v>0.1329886895275563</v>
      </c>
      <c r="X34" s="9" t="n"/>
      <c r="Y34" s="10">
        <f>IFERROR(D34/O34-1,"")</f>
        <v/>
      </c>
      <c r="Z34" s="10">
        <f>IFERROR(E34/O34-1,"")</f>
        <v/>
      </c>
      <c r="AA34" s="10">
        <f>IFERROR(E34/U34-1,"")</f>
        <v/>
      </c>
      <c r="AB34" s="10">
        <f>IFERROR(W34/X34-1,"")</f>
        <v/>
      </c>
    </row>
    <row r="35">
      <c r="A35" s="7" t="inlineStr">
        <is>
          <t>202509</t>
        </is>
      </c>
      <c r="B35" s="8" t="n">
        <v>3925</v>
      </c>
      <c r="C35" s="9" t="n">
        <v>0.147832176278636</v>
      </c>
      <c r="D35" s="9" t="n">
        <v>0.1419560941322973</v>
      </c>
      <c r="E35" s="9" t="n">
        <v>0.1278408406085113</v>
      </c>
      <c r="F35" s="9" t="n">
        <v>0.009426751592356689</v>
      </c>
      <c r="G35" s="9" t="n">
        <v>0.03312101910828025</v>
      </c>
      <c r="H35" s="9" t="n">
        <v>0.05503184713375796</v>
      </c>
      <c r="I35" s="9" t="n">
        <v>0.07337579617834394</v>
      </c>
      <c r="J35" s="9" t="n">
        <v>0.08789808917197452</v>
      </c>
      <c r="K35" s="9" t="n">
        <v>0.09834394904458599</v>
      </c>
      <c r="L35" s="9" t="n">
        <v>0.107515923566879</v>
      </c>
      <c r="M35" s="9" t="n"/>
      <c r="N35" s="9" t="n"/>
      <c r="O35" s="9" t="n"/>
      <c r="P35" s="13" t="n">
        <v>-0.0943381636827425</v>
      </c>
      <c r="Q35" s="14" t="n">
        <v>1.227622598684031</v>
      </c>
      <c r="R35" s="15" t="n">
        <v>9</v>
      </c>
      <c r="S35" s="9" t="n">
        <v>0.107515923566879</v>
      </c>
      <c r="T35" s="13" t="n">
        <v>1.283867057278513</v>
      </c>
      <c r="U35" s="9" t="n">
        <v>0.1380361524003904</v>
      </c>
      <c r="V35" s="8" t="n">
        <v>1790</v>
      </c>
      <c r="W35" s="9" t="n">
        <v>0.130004434518436</v>
      </c>
      <c r="X35" s="9" t="n"/>
      <c r="Y35" s="10">
        <f>IFERROR(D35/O35-1,"")</f>
        <v/>
      </c>
      <c r="Z35" s="10">
        <f>IFERROR(E35/O35-1,"")</f>
        <v/>
      </c>
      <c r="AA35" s="10">
        <f>IFERROR(E35/U35-1,"")</f>
        <v/>
      </c>
      <c r="AB35" s="10">
        <f>IFERROR(W35/X35-1,"")</f>
        <v/>
      </c>
    </row>
    <row r="36">
      <c r="A36" s="7" t="inlineStr">
        <is>
          <t>202510</t>
        </is>
      </c>
      <c r="B36" s="8" t="n">
        <v>3718</v>
      </c>
      <c r="C36" s="9" t="n">
        <v>0.1456170310083458</v>
      </c>
      <c r="D36" s="9" t="n">
        <v>0.1397950623310689</v>
      </c>
      <c r="E36" s="9" t="n">
        <v>0.1253150062107966</v>
      </c>
      <c r="F36" s="9" t="n">
        <v>0.005648197955890263</v>
      </c>
      <c r="G36" s="9" t="n">
        <v>0.02555137170521786</v>
      </c>
      <c r="H36" s="9" t="n">
        <v>0.05675094136632598</v>
      </c>
      <c r="I36" s="9" t="n">
        <v>0.07019903173749327</v>
      </c>
      <c r="J36" s="9" t="n">
        <v>0.08095750403442711</v>
      </c>
      <c r="K36" s="9" t="n">
        <v>0.0944055944055944</v>
      </c>
      <c r="L36" s="9" t="n"/>
      <c r="M36" s="9" t="n"/>
      <c r="N36" s="9" t="n"/>
      <c r="O36" s="9" t="n"/>
      <c r="P36" s="13" t="n">
        <v>-0.0971864626399724</v>
      </c>
      <c r="Q36" s="14" t="n">
        <v>1.162560639958521</v>
      </c>
      <c r="R36" s="15" t="n">
        <v>8</v>
      </c>
      <c r="S36" s="9" t="n">
        <v>0.0944055944055944</v>
      </c>
      <c r="T36" s="13" t="n">
        <v>1.430710345603963</v>
      </c>
      <c r="U36" s="9" t="n">
        <v>0.1350670605989755</v>
      </c>
      <c r="V36" s="8" t="n">
        <v>1739</v>
      </c>
      <c r="W36" s="9" t="n">
        <v>0.1272255579569316</v>
      </c>
      <c r="X36" s="9" t="n"/>
      <c r="Y36" s="10">
        <f>IFERROR(D36/O36-1,"")</f>
        <v/>
      </c>
      <c r="Z36" s="10">
        <f>IFERROR(E36/O36-1,"")</f>
        <v/>
      </c>
      <c r="AA36" s="10">
        <f>IFERROR(E36/U36-1,"")</f>
        <v/>
      </c>
      <c r="AB36" s="10">
        <f>IFERROR(W36/X36-1,"")</f>
        <v/>
      </c>
    </row>
    <row r="37">
      <c r="A37" s="7" t="inlineStr">
        <is>
          <t>202511</t>
        </is>
      </c>
      <c r="B37" s="8" t="n">
        <v>4173</v>
      </c>
      <c r="C37" s="9" t="n">
        <v>0.1464713092218471</v>
      </c>
      <c r="D37" s="9" t="n">
        <v>0.1405844445805216</v>
      </c>
      <c r="E37" s="9" t="n">
        <v>0.1262769612655364</v>
      </c>
      <c r="F37" s="9" t="n">
        <v>0.005511622334052241</v>
      </c>
      <c r="G37" s="9" t="n">
        <v>0.03235082674335011</v>
      </c>
      <c r="H37" s="9" t="n">
        <v>0.0529595015576324</v>
      </c>
      <c r="I37" s="9" t="n">
        <v>0.06374311047208243</v>
      </c>
      <c r="J37" s="9" t="n">
        <v>0.07476635514018691</v>
      </c>
      <c r="K37" s="9" t="n"/>
      <c r="L37" s="9" t="n"/>
      <c r="M37" s="9" t="n"/>
      <c r="N37" s="9" t="n"/>
      <c r="O37" s="9" t="n"/>
      <c r="P37" s="13" t="n">
        <v>-0.0951950453295296</v>
      </c>
      <c r="Q37" s="14" t="n">
        <v>1.208049372989306</v>
      </c>
      <c r="R37" s="15" t="n">
        <v>7</v>
      </c>
      <c r="S37" s="9" t="n">
        <v>0.07476635514018691</v>
      </c>
      <c r="T37" s="13" t="n">
        <v>1.652021318081373</v>
      </c>
      <c r="U37" s="9" t="n">
        <v>0.1235156125668316</v>
      </c>
      <c r="V37" s="8" t="n">
        <v>1960</v>
      </c>
      <c r="W37" s="9" t="n">
        <v>0.1274216004802564</v>
      </c>
      <c r="X37" s="9" t="n"/>
      <c r="Y37" s="10">
        <f>IFERROR(D37/O37-1,"")</f>
        <v/>
      </c>
      <c r="Z37" s="10">
        <f>IFERROR(E37/O37-1,"")</f>
        <v/>
      </c>
      <c r="AA37" s="10">
        <f>IFERROR(E37/U37-1,"")</f>
        <v/>
      </c>
      <c r="AB37" s="10">
        <f>IFERROR(W37/X37-1,"")</f>
        <v/>
      </c>
    </row>
    <row r="38">
      <c r="A38" s="7" t="inlineStr">
        <is>
          <t>202512</t>
        </is>
      </c>
      <c r="B38" s="8" t="n">
        <v>4821</v>
      </c>
      <c r="C38" s="9" t="n">
        <v>0.152515072827578</v>
      </c>
      <c r="D38" s="9" t="n">
        <v>0.1464657426648131</v>
      </c>
      <c r="E38" s="9" t="n">
        <v>0.132373986501076</v>
      </c>
      <c r="F38" s="9" t="n">
        <v>0.008089607965152458</v>
      </c>
      <c r="G38" s="9" t="n">
        <v>0.0309064509437876</v>
      </c>
      <c r="H38" s="9" t="n">
        <v>0.05351586807716242</v>
      </c>
      <c r="I38" s="9" t="n">
        <v>0.06533914125700062</v>
      </c>
      <c r="J38" s="9" t="n"/>
      <c r="K38" s="9" t="n"/>
      <c r="L38" s="9" t="n"/>
      <c r="M38" s="9" t="n"/>
      <c r="N38" s="9" t="n"/>
      <c r="O38" s="9" t="n"/>
      <c r="P38" s="13" t="n">
        <v>-0.0907389631868307</v>
      </c>
      <c r="Q38" s="14" t="n">
        <v>1.309836944027043</v>
      </c>
      <c r="R38" s="15" t="n">
        <v>6</v>
      </c>
      <c r="S38" s="9" t="n">
        <v>0.06533914125700062</v>
      </c>
      <c r="T38" s="13" t="n">
        <v>1.983302122347066</v>
      </c>
      <c r="U38" s="9" t="n">
        <v>0.1295872575273441</v>
      </c>
      <c r="V38" s="8" t="n">
        <v>2157</v>
      </c>
      <c r="W38" s="9" t="n">
        <v>0.1358952000220839</v>
      </c>
      <c r="X38" s="9" t="n"/>
      <c r="Y38" s="10">
        <f>IFERROR(D38/O38-1,"")</f>
        <v/>
      </c>
      <c r="Z38" s="10">
        <f>IFERROR(E38/O38-1,"")</f>
        <v/>
      </c>
      <c r="AA38" s="10">
        <f>IFERROR(E38/U38-1,"")</f>
        <v/>
      </c>
      <c r="AB38" s="10">
        <f>IFERROR(W38/X38-1,"")</f>
        <v/>
      </c>
    </row>
    <row r="39">
      <c r="A39" s="7" t="inlineStr">
        <is>
          <t>202601</t>
        </is>
      </c>
      <c r="B39" s="8" t="n">
        <v>3705</v>
      </c>
      <c r="C39" s="9" t="n">
        <v>0.1477543070542849</v>
      </c>
      <c r="D39" s="9" t="n">
        <v>0.141885627445472</v>
      </c>
      <c r="E39" s="9" t="n">
        <v>0.1273734036213583</v>
      </c>
      <c r="F39" s="9" t="n">
        <v>0.005937921727395412</v>
      </c>
      <c r="G39" s="9" t="n">
        <v>0.02537112010796221</v>
      </c>
      <c r="H39" s="9" t="n">
        <v>0.04966261808367071</v>
      </c>
      <c r="I39" s="9" t="n"/>
      <c r="J39" s="9" t="n"/>
      <c r="K39" s="9" t="n"/>
      <c r="L39" s="9" t="n"/>
      <c r="M39" s="9" t="n"/>
      <c r="N39" s="9" t="n"/>
      <c r="O39" s="9" t="n"/>
      <c r="P39" s="13" t="n">
        <v>-0.0827512368458839</v>
      </c>
      <c r="Q39" s="14" t="n">
        <v>1.492295713035885</v>
      </c>
      <c r="R39" s="15" t="n">
        <v>5</v>
      </c>
      <c r="S39" s="9" t="n">
        <v>0.04966261808367071</v>
      </c>
      <c r="T39" s="13" t="n">
        <v>2.623116615067079</v>
      </c>
      <c r="U39" s="9" t="n">
        <v>0.1302708386430075</v>
      </c>
      <c r="V39" s="8" t="n">
        <v>1791</v>
      </c>
      <c r="W39" s="9" t="n">
        <v>0.1296830492695295</v>
      </c>
      <c r="X39" s="9" t="n"/>
      <c r="Y39" s="10">
        <f>IFERROR(D39/O39-1,"")</f>
        <v/>
      </c>
      <c r="Z39" s="10">
        <f>IFERROR(E39/O39-1,"")</f>
        <v/>
      </c>
      <c r="AA39" s="10">
        <f>IFERROR(E39/U39-1,"")</f>
        <v/>
      </c>
      <c r="AB39" s="10">
        <f>IFERROR(W39/X39-1,"")</f>
        <v/>
      </c>
    </row>
    <row r="40">
      <c r="A40" s="7" t="inlineStr">
        <is>
          <t>202602</t>
        </is>
      </c>
      <c r="B40" s="8" t="n">
        <v>3402</v>
      </c>
      <c r="C40" s="9" t="n">
        <v>0.152459408183402</v>
      </c>
      <c r="D40" s="9" t="n">
        <v>0.1463857051387521</v>
      </c>
      <c r="E40" s="9" t="n">
        <v>0.141431625604583</v>
      </c>
      <c r="F40" s="9" t="n">
        <v>0.00823045267489712</v>
      </c>
      <c r="G40" s="9" t="n">
        <v>0.03145208700764256</v>
      </c>
      <c r="H40" s="9" t="n"/>
      <c r="I40" s="9" t="n"/>
      <c r="J40" s="9" t="n"/>
      <c r="K40" s="9" t="n"/>
      <c r="L40" s="9" t="n"/>
      <c r="M40" s="9" t="n"/>
      <c r="N40" s="9" t="n"/>
      <c r="O40" s="9" t="n"/>
      <c r="P40" s="13" t="n">
        <v>-0.0370388932419964</v>
      </c>
      <c r="Q40" s="14" t="n">
        <v>2.53647494332808</v>
      </c>
      <c r="R40" s="15" t="n">
        <v>4</v>
      </c>
      <c r="S40" s="9" t="n">
        <v>0.03145208700764256</v>
      </c>
      <c r="T40" s="13" t="n">
        <v>4.759925093632959</v>
      </c>
      <c r="U40" s="9" t="n">
        <v>0.149709578194805</v>
      </c>
      <c r="V40" s="8" t="n">
        <v>1536</v>
      </c>
      <c r="W40" s="9" t="n">
        <v>0.1479242720340279</v>
      </c>
      <c r="X40" s="9" t="n"/>
      <c r="Y40" s="10">
        <f>IFERROR(D40/O40-1,"")</f>
        <v/>
      </c>
      <c r="Z40" s="10">
        <f>IFERROR(E40/O40-1,"")</f>
        <v/>
      </c>
      <c r="AA40" s="10">
        <f>IFERROR(E40/U40-1,"")</f>
        <v/>
      </c>
      <c r="AB40" s="10">
        <f>IFERROR(W40/X40-1,"")</f>
        <v/>
      </c>
    </row>
    <row r="41">
      <c r="A41" s="7" t="inlineStr">
        <is>
          <t>202603</t>
        </is>
      </c>
      <c r="B41" s="8" t="n">
        <v>4336</v>
      </c>
      <c r="C41" s="9" t="n">
        <v>0.1549551666557885</v>
      </c>
      <c r="D41" s="9" t="n">
        <v>0.1489306789673813</v>
      </c>
      <c r="E41" s="9" t="n">
        <v>0.1550350998910636</v>
      </c>
      <c r="F41" s="9" t="n">
        <v>0.006918819188191882</v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13" t="n">
        <v>0.014389803325765</v>
      </c>
      <c r="Q41" s="14" t="n">
        <v>3.711229343636036</v>
      </c>
      <c r="R41" s="15" t="n">
        <v>3</v>
      </c>
      <c r="S41" s="9" t="n">
        <v>0.006918819188191882</v>
      </c>
      <c r="T41" s="13" t="n">
        <v>19.5824345146379</v>
      </c>
      <c r="U41" s="9" t="n">
        <v>0.1354873236713877</v>
      </c>
      <c r="V41" s="8" t="n">
        <v>2021</v>
      </c>
      <c r="W41" s="9" t="n">
        <v>0.1595281351338919</v>
      </c>
      <c r="X41" s="9" t="n"/>
      <c r="Y41" s="10">
        <f>IFERROR(D41/O41-1,"")</f>
        <v/>
      </c>
      <c r="Z41" s="10">
        <f>IFERROR(E41/O41-1,"")</f>
        <v/>
      </c>
      <c r="AA41" s="10">
        <f>IFERROR(E41/U41-1,"")</f>
        <v/>
      </c>
      <c r="AB41" s="10">
        <f>IFERROR(W41/X41-1,"")</f>
        <v/>
      </c>
    </row>
    <row r="42">
      <c r="A42" s="7" t="inlineStr">
        <is>
          <t>202604</t>
        </is>
      </c>
      <c r="B42" s="8" t="n">
        <v>3591</v>
      </c>
      <c r="C42" s="9" t="n">
        <v>0.1462922732866274</v>
      </c>
      <c r="D42" s="9" t="n">
        <v>0.1384608891487341</v>
      </c>
      <c r="E42" s="9" t="n">
        <v>0.1471590768828682</v>
      </c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13" t="n">
        <v>0.0241851909297492</v>
      </c>
      <c r="Q42" s="14" t="n">
        <v>3.934979418175466</v>
      </c>
      <c r="R42" s="15" t="n"/>
      <c r="S42" s="9" t="n"/>
      <c r="T42" s="13" t="n"/>
      <c r="U42" s="9" t="n"/>
      <c r="V42" s="8" t="n">
        <v>1748</v>
      </c>
      <c r="W42" s="9" t="n">
        <v>0.1483660178249535</v>
      </c>
      <c r="X42" s="9" t="n"/>
      <c r="Y42" s="10">
        <f>IFERROR(D42/O42-1,"")</f>
        <v/>
      </c>
      <c r="Z42" s="10">
        <f>IFERROR(E42/O42-1,"")</f>
        <v/>
      </c>
      <c r="AA42" s="10">
        <f>IFERROR(E42/U42-1,"")</f>
        <v/>
      </c>
      <c r="AB42" s="10">
        <f>IFERROR(W42/X42-1,"")</f>
        <v/>
      </c>
    </row>
    <row r="43">
      <c r="A43" s="7" t="inlineStr">
        <is>
          <t>202605</t>
        </is>
      </c>
      <c r="B43" s="8" t="n">
        <v>4190</v>
      </c>
      <c r="C43" s="9" t="n">
        <v>0.1449249571896112</v>
      </c>
      <c r="D43" s="9" t="n">
        <v>0.1373976157006845</v>
      </c>
      <c r="E43" s="9" t="n">
        <v>0.145038916232958</v>
      </c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13" t="n">
        <v>0.0192471239254993</v>
      </c>
      <c r="Q43" s="14" t="n">
        <v>3.822182160430176</v>
      </c>
      <c r="R43" s="15" t="n"/>
      <c r="S43" s="9" t="n"/>
      <c r="T43" s="13" t="n"/>
      <c r="U43" s="9" t="n"/>
      <c r="V43" s="8" t="n">
        <v>1975</v>
      </c>
      <c r="W43" s="9" t="n">
        <v>0.1453080068911142</v>
      </c>
      <c r="X43" s="9" t="n"/>
      <c r="Y43" s="10">
        <f>IFERROR(D43/O43-1,"")</f>
        <v/>
      </c>
      <c r="Z43" s="10">
        <f>IFERROR(E43/O43-1,"")</f>
        <v/>
      </c>
      <c r="AA43" s="10">
        <f>IFERROR(E43/U43-1,"")</f>
        <v/>
      </c>
      <c r="AB43" s="10">
        <f>IFERROR(W43/X43-1,"")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2026-08-14T03:32:34Z</dcterms:created>
  <dcterms:modified xmlns:dcterms="http://purl.org/dc/terms/" xmlns:xsi="http://www.w3.org/2001/XMLSchema-instance" xsi:type="dcterms:W3CDTF">2026-08-14T03:32:34Z</dcterms:modified>
</cp:coreProperties>
</file>