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Junio 202606" sheetId="1" state="visible" r:id="rId1"/>
    <sheet xmlns:r="http://schemas.openxmlformats.org/officeDocument/2006/relationships" name="Julio 202607" sheetId="2" state="visible" r:id="rId2"/>
    <sheet xmlns:r="http://schemas.openxmlformats.org/officeDocument/2006/relationships" name="Detalle" sheetId="3" state="visible" r:id="rId3"/>
    <sheet xmlns:r="http://schemas.openxmlformats.org/officeDocument/2006/relationships" name="Mean PD" sheetId="4" state="visible" r:id="rId4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0.0&quot;%&quot;"/>
  </numFmts>
  <fonts count="6">
    <font>
      <name val="Calibri"/>
      <family val="2"/>
      <color theme="1"/>
      <sz val="11"/>
      <scheme val="minor"/>
    </font>
    <font>
      <name val="Poppins"/>
      <b val="1"/>
      <sz val="13"/>
    </font>
    <font>
      <name val="Poppins"/>
      <b val="1"/>
      <color rgb="00FFFFFF"/>
      <sz val="10"/>
    </font>
    <font>
      <name val="Poppins"/>
      <b val="1"/>
      <sz val="10"/>
    </font>
    <font>
      <name val="Poppins"/>
      <sz val="10"/>
    </font>
    <font>
      <name val="Poppins"/>
      <b val="1"/>
      <sz val="12"/>
    </font>
  </fonts>
  <fills count="5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F2F2F2"/>
      </patternFill>
    </fill>
    <fill>
      <patternFill patternType="solid">
        <fgColor rgb="00FCE4E4"/>
      </patternFill>
    </fill>
  </fills>
  <borders count="6">
    <border>
      <left/>
      <right/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</borders>
  <cellStyleXfs count="1">
    <xf numFmtId="0" fontId="0" fillId="0" borderId="0"/>
  </cellStyleXfs>
  <cellXfs count="14">
    <xf numFmtId="0" fontId="0" fillId="0" borderId="0" pivotButton="0" quotePrefix="0" xfId="0"/>
    <xf numFmtId="0" fontId="1" fillId="0" borderId="1" applyAlignment="1" pivotButton="0" quotePrefix="0" xfId="0">
      <alignment horizontal="left" vertical="center"/>
    </xf>
    <xf numFmtId="0" fontId="0" fillId="0" borderId="4" pivotButton="0" quotePrefix="0" xfId="0"/>
    <xf numFmtId="0" fontId="0" fillId="0" borderId="5" pivotButton="0" quotePrefix="0" xfId="0"/>
    <xf numFmtId="0" fontId="2" fillId="2" borderId="1" applyAlignment="1" pivotButton="0" quotePrefix="0" xfId="0">
      <alignment horizontal="center" vertical="center"/>
    </xf>
    <xf numFmtId="0" fontId="3" fillId="3" borderId="1" applyAlignment="1" pivotButton="0" quotePrefix="0" xfId="0">
      <alignment horizontal="left" vertical="center"/>
    </xf>
    <xf numFmtId="164" fontId="4" fillId="0" borderId="1" applyAlignment="1" pivotButton="0" quotePrefix="0" xfId="0">
      <alignment horizontal="center" vertical="center"/>
    </xf>
    <xf numFmtId="0" fontId="4" fillId="0" borderId="1" applyAlignment="1" pivotButton="0" quotePrefix="0" xfId="0">
      <alignment horizontal="left" vertical="center"/>
    </xf>
    <xf numFmtId="0" fontId="4" fillId="0" borderId="1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3" fontId="4" fillId="0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5" fillId="0" borderId="1" applyAlignment="1" pivotButton="0" quotePrefix="0" xfId="0">
      <alignment horizontal="left" vertical="center"/>
    </xf>
    <xf numFmtId="0" fontId="3" fillId="3" borderId="1" applyAlignment="1" pivotButton="0" quotePrefix="0" xfId="0">
      <alignment horizontal="center" vertic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Junio 202606 — composicion N% por grupo</a:t>
            </a:r>
          </a:p>
        </rich>
      </tx>
    </title>
    <plotArea>
      <barChart>
        <barDir val="col"/>
        <grouping val="percentStacked"/>
        <ser>
          <idx val="0"/>
          <order val="0"/>
          <tx>
            <strRef>
              <f>'Junio 202606'!B3</f>
            </strRef>
          </tx>
          <spPr>
            <a:solidFill xmlns:a="http://schemas.openxmlformats.org/drawingml/2006/main">
              <a:srgbClr val="1BAF7A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'Junio 202606'!$A$4:$A$9</f>
            </numRef>
          </cat>
          <val>
            <numRef>
              <f>'Junio 202606'!$B$4:$B$9</f>
            </numRef>
          </val>
        </ser>
        <ser>
          <idx val="1"/>
          <order val="1"/>
          <tx>
            <strRef>
              <f>'Junio 202606'!C3</f>
            </strRef>
          </tx>
          <spPr>
            <a:solidFill xmlns:a="http://schemas.openxmlformats.org/drawingml/2006/main">
              <a:srgbClr val="8BC34A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'Junio 202606'!$A$4:$A$9</f>
            </numRef>
          </cat>
          <val>
            <numRef>
              <f>'Junio 202606'!$C$4:$C$9</f>
            </numRef>
          </val>
        </ser>
        <ser>
          <idx val="2"/>
          <order val="2"/>
          <tx>
            <strRef>
              <f>'Junio 202606'!D3</f>
            </strRef>
          </tx>
          <spPr>
            <a:solidFill xmlns:a="http://schemas.openxmlformats.org/drawingml/2006/main">
              <a:srgbClr val="EDA100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'Junio 202606'!$A$4:$A$9</f>
            </numRef>
          </cat>
          <val>
            <numRef>
              <f>'Junio 202606'!$D$4:$D$9</f>
            </numRef>
          </val>
        </ser>
        <ser>
          <idx val="3"/>
          <order val="3"/>
          <tx>
            <strRef>
              <f>'Junio 202606'!E3</f>
            </strRef>
          </tx>
          <spPr>
            <a:solidFill xmlns:a="http://schemas.openxmlformats.org/drawingml/2006/main">
              <a:srgbClr val="EB6834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'Junio 202606'!$A$4:$A$9</f>
            </numRef>
          </cat>
          <val>
            <numRef>
              <f>'Junio 202606'!$E$4:$E$9</f>
            </numRef>
          </val>
        </ser>
        <ser>
          <idx val="4"/>
          <order val="4"/>
          <tx>
            <strRef>
              <f>'Junio 202606'!F3</f>
            </strRef>
          </tx>
          <spPr>
            <a:solidFill xmlns:a="http://schemas.openxmlformats.org/drawingml/2006/main">
              <a:srgbClr val="D95926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'Junio 202606'!$A$4:$A$9</f>
            </numRef>
          </cat>
          <val>
            <numRef>
              <f>'Junio 202606'!$F$4:$F$9</f>
            </numRef>
          </val>
        </ser>
        <ser>
          <idx val="5"/>
          <order val="5"/>
          <tx>
            <strRef>
              <f>'Junio 202606'!G3</f>
            </strRef>
          </tx>
          <spPr>
            <a:solidFill xmlns:a="http://schemas.openxmlformats.org/drawingml/2006/main">
              <a:srgbClr val="A32D2D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'Junio 202606'!$A$4:$A$9</f>
            </numRef>
          </cat>
          <val>
            <numRef>
              <f>'Junio 202606'!$G$4:$G$9</f>
            </numRef>
          </val>
        </ser>
        <dLbls>
          <numFmt formatCode="0.0"/>
          <txPr>
            <a:bodyPr xmlns:a="http://schemas.openxmlformats.org/drawingml/2006/main"/>
            <a:p xmlns:a="http://schemas.openxmlformats.org/drawingml/2006/main">
              <a:pPr>
                <a:defRPr>
                  <a:latin typeface="Poppins"/>
                </a:defRPr>
              </a:pPr>
              <a:r>
                <a:t/>
              </a:r>
              <a:endParaRPr>
                <a:latin typeface="Poppins"/>
              </a:endParaRPr>
            </a:p>
          </txPr>
          <showVal val="1"/>
        </dLbls>
        <gapWidth val="150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xPr>
          <a:bodyPr xmlns:a="http://schemas.openxmlformats.org/drawingml/2006/main"/>
          <a:p xmlns:a="http://schemas.openxmlformats.org/drawingml/2006/main">
            <a:pPr>
              <a:defRPr>
                <a:latin typeface="Poppins"/>
              </a:defRPr>
            </a:pPr>
            <a:r>
              <a:t/>
            </a:r>
            <a:endParaRPr>
              <a:latin typeface="Poppins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TickMark val="none"/>
        <minorTickMark val="none"/>
        <txPr>
          <a:bodyPr xmlns:a="http://schemas.openxmlformats.org/drawingml/2006/main"/>
          <a:p xmlns:a="http://schemas.openxmlformats.org/drawingml/2006/main">
            <a:pPr>
              <a:defRPr>
                <a:latin typeface="Poppins"/>
              </a:defRPr>
            </a:pPr>
            <a:r>
              <a:t/>
            </a:r>
            <a:endParaRPr>
              <a:latin typeface="Poppins"/>
            </a:endParaRPr>
          </a:p>
        </txPr>
        <crossAx val="10"/>
      </valAx>
    </plotArea>
    <legend>
      <legendPos val="b"/>
      <txPr>
        <a:bodyPr xmlns:a="http://schemas.openxmlformats.org/drawingml/2006/main"/>
        <a:p xmlns:a="http://schemas.openxmlformats.org/drawingml/2006/main">
          <a:pPr>
            <a:defRPr>
              <a:latin typeface="Poppins"/>
            </a:defRPr>
          </a:pPr>
          <a:r>
            <a:t/>
          </a:r>
          <a:endParaRPr>
            <a:latin typeface="Poppins"/>
          </a:endParaRPr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Julio 202607 — composicion N% por grupo</a:t>
            </a:r>
          </a:p>
        </rich>
      </tx>
    </title>
    <plotArea>
      <barChart>
        <barDir val="col"/>
        <grouping val="percentStacked"/>
        <ser>
          <idx val="0"/>
          <order val="0"/>
          <tx>
            <strRef>
              <f>'Julio 202607'!B3</f>
            </strRef>
          </tx>
          <spPr>
            <a:solidFill xmlns:a="http://schemas.openxmlformats.org/drawingml/2006/main">
              <a:srgbClr val="1BAF7A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'Julio 202607'!$A$4:$A$9</f>
            </numRef>
          </cat>
          <val>
            <numRef>
              <f>'Julio 202607'!$B$4:$B$9</f>
            </numRef>
          </val>
        </ser>
        <ser>
          <idx val="1"/>
          <order val="1"/>
          <tx>
            <strRef>
              <f>'Julio 202607'!C3</f>
            </strRef>
          </tx>
          <spPr>
            <a:solidFill xmlns:a="http://schemas.openxmlformats.org/drawingml/2006/main">
              <a:srgbClr val="8BC34A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'Julio 202607'!$A$4:$A$9</f>
            </numRef>
          </cat>
          <val>
            <numRef>
              <f>'Julio 202607'!$C$4:$C$9</f>
            </numRef>
          </val>
        </ser>
        <ser>
          <idx val="2"/>
          <order val="2"/>
          <tx>
            <strRef>
              <f>'Julio 202607'!D3</f>
            </strRef>
          </tx>
          <spPr>
            <a:solidFill xmlns:a="http://schemas.openxmlformats.org/drawingml/2006/main">
              <a:srgbClr val="EDA100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'Julio 202607'!$A$4:$A$9</f>
            </numRef>
          </cat>
          <val>
            <numRef>
              <f>'Julio 202607'!$D$4:$D$9</f>
            </numRef>
          </val>
        </ser>
        <ser>
          <idx val="3"/>
          <order val="3"/>
          <tx>
            <strRef>
              <f>'Julio 202607'!E3</f>
            </strRef>
          </tx>
          <spPr>
            <a:solidFill xmlns:a="http://schemas.openxmlformats.org/drawingml/2006/main">
              <a:srgbClr val="EB6834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'Julio 202607'!$A$4:$A$9</f>
            </numRef>
          </cat>
          <val>
            <numRef>
              <f>'Julio 202607'!$E$4:$E$9</f>
            </numRef>
          </val>
        </ser>
        <ser>
          <idx val="4"/>
          <order val="4"/>
          <tx>
            <strRef>
              <f>'Julio 202607'!F3</f>
            </strRef>
          </tx>
          <spPr>
            <a:solidFill xmlns:a="http://schemas.openxmlformats.org/drawingml/2006/main">
              <a:srgbClr val="D95926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'Julio 202607'!$A$4:$A$9</f>
            </numRef>
          </cat>
          <val>
            <numRef>
              <f>'Julio 202607'!$F$4:$F$9</f>
            </numRef>
          </val>
        </ser>
        <ser>
          <idx val="5"/>
          <order val="5"/>
          <tx>
            <strRef>
              <f>'Julio 202607'!G3</f>
            </strRef>
          </tx>
          <spPr>
            <a:solidFill xmlns:a="http://schemas.openxmlformats.org/drawingml/2006/main">
              <a:srgbClr val="A32D2D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'Julio 202607'!$A$4:$A$9</f>
            </numRef>
          </cat>
          <val>
            <numRef>
              <f>'Julio 202607'!$G$4:$G$9</f>
            </numRef>
          </val>
        </ser>
        <dLbls>
          <numFmt formatCode="0.0"/>
          <txPr>
            <a:bodyPr xmlns:a="http://schemas.openxmlformats.org/drawingml/2006/main"/>
            <a:p xmlns:a="http://schemas.openxmlformats.org/drawingml/2006/main">
              <a:pPr>
                <a:defRPr>
                  <a:latin typeface="Poppins"/>
                </a:defRPr>
              </a:pPr>
              <a:r>
                <a:t/>
              </a:r>
              <a:endParaRPr>
                <a:latin typeface="Poppins"/>
              </a:endParaRPr>
            </a:p>
          </txPr>
          <showVal val="1"/>
        </dLbls>
        <gapWidth val="150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xPr>
          <a:bodyPr xmlns:a="http://schemas.openxmlformats.org/drawingml/2006/main"/>
          <a:p xmlns:a="http://schemas.openxmlformats.org/drawingml/2006/main">
            <a:pPr>
              <a:defRPr>
                <a:latin typeface="Poppins"/>
              </a:defRPr>
            </a:pPr>
            <a:r>
              <a:t/>
            </a:r>
            <a:endParaRPr>
              <a:latin typeface="Poppins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TickMark val="none"/>
        <minorTickMark val="none"/>
        <txPr>
          <a:bodyPr xmlns:a="http://schemas.openxmlformats.org/drawingml/2006/main"/>
          <a:p xmlns:a="http://schemas.openxmlformats.org/drawingml/2006/main">
            <a:pPr>
              <a:defRPr>
                <a:latin typeface="Poppins"/>
              </a:defRPr>
            </a:pPr>
            <a:r>
              <a:t/>
            </a:r>
            <a:endParaRPr>
              <a:latin typeface="Poppins"/>
            </a:endParaRPr>
          </a:p>
        </txPr>
        <crossAx val="10"/>
      </valAx>
    </plotArea>
    <legend>
      <legendPos val="b"/>
      <txPr>
        <a:bodyPr xmlns:a="http://schemas.openxmlformats.org/drawingml/2006/main"/>
        <a:p xmlns:a="http://schemas.openxmlformats.org/drawingml/2006/main">
          <a:pPr>
            <a:defRPr>
              <a:latin typeface="Poppins"/>
            </a:defRPr>
          </a:pPr>
          <a:r>
            <a:t/>
          </a:r>
          <a:endParaRPr>
            <a:latin typeface="Poppins"/>
          </a:endParaRPr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Mean PD por grupo (PIT)</a:t>
            </a:r>
          </a:p>
        </rich>
      </tx>
    </title>
    <plotArea>
      <lineChart>
        <grouping val="standard"/>
        <ser>
          <idx val="0"/>
          <order val="0"/>
          <tx>
            <strRef>
              <f>'Mean PD'!B3</f>
            </strRef>
          </tx>
          <spPr>
            <a:ln xmlns:a="http://schemas.openxmlformats.org/drawingml/2006/main" w="28000">
              <a:solidFill>
                <a:srgbClr val="2A78D6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'Mean PD'!$A$4:$A$9</f>
            </numRef>
          </cat>
          <val>
            <numRef>
              <f>'Mean PD'!$B$4:$B$9</f>
            </numRef>
          </val>
          <smooth val="0"/>
        </ser>
        <ser>
          <idx val="1"/>
          <order val="1"/>
          <tx>
            <strRef>
              <f>'Mean PD'!C3</f>
            </strRef>
          </tx>
          <spPr>
            <a:ln xmlns:a="http://schemas.openxmlformats.org/drawingml/2006/main" w="28000">
              <a:solidFill>
                <a:srgbClr val="EB6834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'Mean PD'!$A$4:$A$9</f>
            </numRef>
          </cat>
          <val>
            <numRef>
              <f>'Mean PD'!$C$4:$C$9</f>
            </numRef>
          </val>
          <smooth val="0"/>
        </ser>
        <ser>
          <idx val="2"/>
          <order val="2"/>
          <tx>
            <strRef>
              <f>'Mean PD'!D3</f>
            </strRef>
          </tx>
          <spPr>
            <a:ln xmlns:a="http://schemas.openxmlformats.org/drawingml/2006/main" w="28000">
              <a:solidFill>
                <a:srgbClr val="85B7EB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'Mean PD'!$A$4:$A$9</f>
            </numRef>
          </cat>
          <val>
            <numRef>
              <f>'Mean PD'!$D$4:$D$9</f>
            </numRef>
          </val>
          <smooth val="0"/>
        </ser>
        <ser>
          <idx val="3"/>
          <order val="3"/>
          <tx>
            <strRef>
              <f>'Mean PD'!E3</f>
            </strRef>
          </tx>
          <spPr>
            <a:ln xmlns:a="http://schemas.openxmlformats.org/drawingml/2006/main" w="28000">
              <a:solidFill>
                <a:srgbClr val="F0997B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'Mean PD'!$A$4:$A$9</f>
            </numRef>
          </cat>
          <val>
            <numRef>
              <f>'Mean PD'!$E$4:$E$9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xPr>
          <a:bodyPr xmlns:a="http://schemas.openxmlformats.org/drawingml/2006/main"/>
          <a:p xmlns:a="http://schemas.openxmlformats.org/drawingml/2006/main">
            <a:pPr>
              <a:defRPr>
                <a:latin typeface="Poppins"/>
              </a:defRPr>
            </a:pPr>
            <a:r>
              <a:t/>
            </a:r>
            <a:endParaRPr>
              <a:latin typeface="Poppins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/>
        <majorTickMark val="none"/>
        <minorTickMark val="none"/>
        <txPr>
          <a:bodyPr xmlns:a="http://schemas.openxmlformats.org/drawingml/2006/main"/>
          <a:p xmlns:a="http://schemas.openxmlformats.org/drawingml/2006/main">
            <a:pPr>
              <a:defRPr>
                <a:latin typeface="Poppins"/>
              </a:defRPr>
            </a:pPr>
            <a:r>
              <a:t/>
            </a:r>
            <a:endParaRPr>
              <a:latin typeface="Poppins"/>
            </a:endParaRPr>
          </a:p>
        </txPr>
        <crossAx val="10"/>
      </valAx>
    </plotArea>
    <legend>
      <legendPos val="b"/>
      <txPr>
        <a:bodyPr xmlns:a="http://schemas.openxmlformats.org/drawingml/2006/main"/>
        <a:p xmlns:a="http://schemas.openxmlformats.org/drawingml/2006/main">
          <a:pPr>
            <a:defRPr>
              <a:latin typeface="Poppins"/>
            </a:defRPr>
          </a:pPr>
          <a:r>
            <a:t/>
          </a:r>
          <a:endParaRPr>
            <a:latin typeface="Poppins"/>
          </a:endParaRPr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Mean PD portafolio (RAW/TTC/PIT)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'Mean PD'!B15</f>
            </strRef>
          </tx>
          <spPr>
            <a:solidFill xmlns:a="http://schemas.openxmlformats.org/drawingml/2006/main">
              <a:srgbClr val="B5D4F4"/>
            </a:solidFill>
            <a:ln xmlns:a="http://schemas.openxmlformats.org/drawingml/2006/main">
              <a:prstDash val="solid"/>
            </a:ln>
          </spPr>
          <cat>
            <numRef>
              <f>'Mean PD'!$A$16:$A$19</f>
            </numRef>
          </cat>
          <val>
            <numRef>
              <f>'Mean PD'!$B$16:$B$19</f>
            </numRef>
          </val>
        </ser>
        <ser>
          <idx val="1"/>
          <order val="1"/>
          <tx>
            <strRef>
              <f>'Mean PD'!C15</f>
            </strRef>
          </tx>
          <spPr>
            <a:solidFill xmlns:a="http://schemas.openxmlformats.org/drawingml/2006/main">
              <a:srgbClr val="378ADD"/>
            </a:solidFill>
            <a:ln xmlns:a="http://schemas.openxmlformats.org/drawingml/2006/main">
              <a:prstDash val="solid"/>
            </a:ln>
          </spPr>
          <cat>
            <numRef>
              <f>'Mean PD'!$A$16:$A$19</f>
            </numRef>
          </cat>
          <val>
            <numRef>
              <f>'Mean PD'!$C$16:$C$19</f>
            </numRef>
          </val>
        </ser>
        <ser>
          <idx val="2"/>
          <order val="2"/>
          <tx>
            <strRef>
              <f>'Mean PD'!D15</f>
            </strRef>
          </tx>
          <spPr>
            <a:solidFill xmlns:a="http://schemas.openxmlformats.org/drawingml/2006/main">
              <a:srgbClr val="185FA5"/>
            </a:solidFill>
            <a:ln xmlns:a="http://schemas.openxmlformats.org/drawingml/2006/main">
              <a:prstDash val="solid"/>
            </a:ln>
          </spPr>
          <cat>
            <numRef>
              <f>'Mean PD'!$A$16:$A$19</f>
            </numRef>
          </cat>
          <val>
            <numRef>
              <f>'Mean PD'!$D$16:$D$19</f>
            </numRef>
          </val>
        </ser>
        <dLbls>
          <numFmt formatCode="0.0"/>
          <txPr>
            <a:bodyPr xmlns:a="http://schemas.openxmlformats.org/drawingml/2006/main"/>
            <a:p xmlns:a="http://schemas.openxmlformats.org/drawingml/2006/main">
              <a:pPr>
                <a:defRPr>
                  <a:latin typeface="Poppins"/>
                </a:defRPr>
              </a:pPr>
              <a:r>
                <a:t/>
              </a:r>
              <a:endParaRPr>
                <a:latin typeface="Poppins"/>
              </a:endParaRPr>
            </a:p>
          </txPr>
          <showVal val="1"/>
        </dLbls>
        <gapWidth val="15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xPr>
          <a:bodyPr xmlns:a="http://schemas.openxmlformats.org/drawingml/2006/main"/>
          <a:p xmlns:a="http://schemas.openxmlformats.org/drawingml/2006/main">
            <a:pPr>
              <a:defRPr>
                <a:latin typeface="Poppins"/>
              </a:defRPr>
            </a:pPr>
            <a:r>
              <a:t/>
            </a:r>
            <a:endParaRPr>
              <a:latin typeface="Poppins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/>
        <majorTickMark val="none"/>
        <minorTickMark val="none"/>
        <txPr>
          <a:bodyPr xmlns:a="http://schemas.openxmlformats.org/drawingml/2006/main"/>
          <a:p xmlns:a="http://schemas.openxmlformats.org/drawingml/2006/main">
            <a:pPr>
              <a:defRPr>
                <a:latin typeface="Poppins"/>
              </a:defRPr>
            </a:pPr>
            <a:r>
              <a:t/>
            </a:r>
            <a:endParaRPr>
              <a:latin typeface="Poppins"/>
            </a:endParaRPr>
          </a:p>
        </txPr>
        <crossAx val="10"/>
      </valAx>
    </plotArea>
    <legend>
      <legendPos val="b"/>
      <txPr>
        <a:bodyPr xmlns:a="http://schemas.openxmlformats.org/drawingml/2006/main"/>
        <a:p xmlns:a="http://schemas.openxmlformats.org/drawingml/2006/main">
          <a:pPr>
            <a:defRPr>
              <a:latin typeface="Poppins"/>
            </a:defRPr>
          </a:pPr>
          <a:r>
            <a:t/>
          </a:r>
          <a:endParaRPr>
            <a:latin typeface="Poppins"/>
          </a:endParaRPr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drawing1.xml><?xml version="1.0" encoding="utf-8"?>
<wsDr xmlns="http://schemas.openxmlformats.org/drawingml/2006/spreadsheetDrawing">
  <oneCellAnchor>
    <from>
      <col>8</col>
      <colOff>0</colOff>
      <row>2</row>
      <rowOff>0</rowOff>
    </from>
    <ext cx="6300000" cy="306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2.xml><?xml version="1.0" encoding="utf-8"?>
<wsDr xmlns="http://schemas.openxmlformats.org/drawingml/2006/spreadsheetDrawing">
  <oneCellAnchor>
    <from>
      <col>8</col>
      <colOff>0</colOff>
      <row>2</row>
      <rowOff>0</rowOff>
    </from>
    <ext cx="6300000" cy="306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3.xml><?xml version="1.0" encoding="utf-8"?>
<wsDr xmlns="http://schemas.openxmlformats.org/drawingml/2006/spreadsheetDrawing">
  <oneCellAnchor>
    <from>
      <col>6</col>
      <colOff>0</colOff>
      <row>2</row>
      <rowOff>0</rowOff>
    </from>
    <ext cx="540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6</col>
      <colOff>0</colOff>
      <row>19</row>
      <rowOff>0</rowOff>
    </from>
    <ext cx="5400000" cy="288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9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7" customWidth="1" min="2" max="2"/>
    <col width="7" customWidth="1" min="3" max="3"/>
    <col width="7" customWidth="1" min="4" max="4"/>
    <col width="7" customWidth="1" min="5" max="5"/>
    <col width="7" customWidth="1" min="6" max="6"/>
    <col width="7" customWidth="1" min="7" max="7"/>
  </cols>
  <sheetData>
    <row r="1">
      <c r="A1" s="1" t="inlineStr">
        <is>
          <t>Altas IBK P.Facil 202606 — % por grupo (N%), por corte y marca</t>
        </is>
      </c>
      <c r="B1" s="2" t="n"/>
      <c r="C1" s="2" t="n"/>
      <c r="D1" s="2" t="n"/>
      <c r="E1" s="2" t="n"/>
      <c r="F1" s="2" t="n"/>
      <c r="G1" s="3" t="n"/>
    </row>
    <row r="3">
      <c r="A3" s="4" t="inlineStr">
        <is>
          <t>Categoria</t>
        </is>
      </c>
      <c r="B3" s="4" t="inlineStr">
        <is>
          <t>G1</t>
        </is>
      </c>
      <c r="C3" s="4" t="inlineStr">
        <is>
          <t>G2</t>
        </is>
      </c>
      <c r="D3" s="4" t="inlineStr">
        <is>
          <t>G3</t>
        </is>
      </c>
      <c r="E3" s="4" t="inlineStr">
        <is>
          <t>G4</t>
        </is>
      </c>
      <c r="F3" s="4" t="inlineStr">
        <is>
          <t>G5</t>
        </is>
      </c>
      <c r="G3" s="4" t="inlineStr">
        <is>
          <t>R</t>
        </is>
      </c>
    </row>
    <row r="4">
      <c r="A4" s="5" t="inlineStr">
        <is>
          <t>Reg·RAW</t>
        </is>
      </c>
      <c r="B4" s="6" t="n">
        <v>7.9</v>
      </c>
      <c r="C4" s="6" t="n">
        <v>27.8</v>
      </c>
      <c r="D4" s="6" t="n">
        <v>29.3</v>
      </c>
      <c r="E4" s="6" t="n">
        <v>17.5</v>
      </c>
      <c r="F4" s="6" t="n">
        <v>10.7</v>
      </c>
      <c r="G4" s="6" t="n">
        <v>6.7</v>
      </c>
    </row>
    <row r="5">
      <c r="A5" s="5" t="inlineStr">
        <is>
          <t>Reg·TTC</t>
        </is>
      </c>
      <c r="B5" s="6" t="n">
        <v>17</v>
      </c>
      <c r="C5" s="6" t="n">
        <v>19.4</v>
      </c>
      <c r="D5" s="6" t="n">
        <v>26.2</v>
      </c>
      <c r="E5" s="6" t="n">
        <v>15.5</v>
      </c>
      <c r="F5" s="6" t="n">
        <v>14.5</v>
      </c>
      <c r="G5" s="6" t="n">
        <v>7.3</v>
      </c>
    </row>
    <row r="6">
      <c r="A6" s="5" t="inlineStr">
        <is>
          <t>Reg·PIT</t>
        </is>
      </c>
      <c r="B6" s="6" t="n">
        <v>6.4</v>
      </c>
      <c r="C6" s="6" t="n">
        <v>14.4</v>
      </c>
      <c r="D6" s="6" t="n">
        <v>32.8</v>
      </c>
      <c r="E6" s="6" t="n">
        <v>17.1</v>
      </c>
      <c r="F6" s="6" t="n">
        <v>10.3</v>
      </c>
      <c r="G6" s="6" t="n">
        <v>19</v>
      </c>
    </row>
    <row r="7">
      <c r="A7" s="5" t="inlineStr">
        <is>
          <t>Est·RAW</t>
        </is>
      </c>
      <c r="B7" s="6" t="n">
        <v>6.9</v>
      </c>
      <c r="C7" s="6" t="n">
        <v>13.6</v>
      </c>
      <c r="D7" s="6" t="n">
        <v>22.7</v>
      </c>
      <c r="E7" s="6" t="n">
        <v>24.2</v>
      </c>
      <c r="F7" s="6" t="n">
        <v>20.6</v>
      </c>
      <c r="G7" s="6" t="n">
        <v>12</v>
      </c>
    </row>
    <row r="8">
      <c r="A8" s="5" t="inlineStr">
        <is>
          <t>Est·TTC</t>
        </is>
      </c>
      <c r="B8" s="6" t="n">
        <v>10.5</v>
      </c>
      <c r="C8" s="6" t="n">
        <v>8.699999999999999</v>
      </c>
      <c r="D8" s="6" t="n">
        <v>16.4</v>
      </c>
      <c r="E8" s="6" t="n">
        <v>17.2</v>
      </c>
      <c r="F8" s="6" t="n">
        <v>25.5</v>
      </c>
      <c r="G8" s="6" t="n">
        <v>21.8</v>
      </c>
    </row>
    <row r="9">
      <c r="A9" s="5" t="inlineStr">
        <is>
          <t>Est·PIT</t>
        </is>
      </c>
      <c r="B9" s="6" t="n">
        <v>5.7</v>
      </c>
      <c r="C9" s="6" t="n">
        <v>6.3</v>
      </c>
      <c r="D9" s="6" t="n">
        <v>17.1</v>
      </c>
      <c r="E9" s="6" t="n">
        <v>14.4</v>
      </c>
      <c r="F9" s="6" t="n">
        <v>12.8</v>
      </c>
      <c r="G9" s="6" t="n">
        <v>43.6</v>
      </c>
    </row>
  </sheetData>
  <mergeCells count="1">
    <mergeCell ref="A1:G1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G9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7" customWidth="1" min="2" max="2"/>
    <col width="7" customWidth="1" min="3" max="3"/>
    <col width="7" customWidth="1" min="4" max="4"/>
    <col width="7" customWidth="1" min="5" max="5"/>
    <col width="7" customWidth="1" min="6" max="6"/>
    <col width="7" customWidth="1" min="7" max="7"/>
  </cols>
  <sheetData>
    <row r="1">
      <c r="A1" s="1" t="inlineStr">
        <is>
          <t>Altas IBK P.Facil 202607 — % por grupo (N%), por corte y marca</t>
        </is>
      </c>
      <c r="B1" s="2" t="n"/>
      <c r="C1" s="2" t="n"/>
      <c r="D1" s="2" t="n"/>
      <c r="E1" s="2" t="n"/>
      <c r="F1" s="2" t="n"/>
      <c r="G1" s="3" t="n"/>
    </row>
    <row r="3">
      <c r="A3" s="4" t="inlineStr">
        <is>
          <t>Categoria</t>
        </is>
      </c>
      <c r="B3" s="4" t="inlineStr">
        <is>
          <t>G1</t>
        </is>
      </c>
      <c r="C3" s="4" t="inlineStr">
        <is>
          <t>G2</t>
        </is>
      </c>
      <c r="D3" s="4" t="inlineStr">
        <is>
          <t>G3</t>
        </is>
      </c>
      <c r="E3" s="4" t="inlineStr">
        <is>
          <t>G4</t>
        </is>
      </c>
      <c r="F3" s="4" t="inlineStr">
        <is>
          <t>G5</t>
        </is>
      </c>
      <c r="G3" s="4" t="inlineStr">
        <is>
          <t>R</t>
        </is>
      </c>
    </row>
    <row r="4">
      <c r="A4" s="5" t="inlineStr">
        <is>
          <t>Reg·RAW</t>
        </is>
      </c>
      <c r="B4" s="6" t="n">
        <v>6.6</v>
      </c>
      <c r="C4" s="6" t="n">
        <v>26.2</v>
      </c>
      <c r="D4" s="6" t="n">
        <v>30.1</v>
      </c>
      <c r="E4" s="6" t="n">
        <v>18.7</v>
      </c>
      <c r="F4" s="6" t="n">
        <v>11.3</v>
      </c>
      <c r="G4" s="6" t="n">
        <v>7</v>
      </c>
    </row>
    <row r="5">
      <c r="A5" s="5" t="inlineStr">
        <is>
          <t>Reg·TTC</t>
        </is>
      </c>
      <c r="B5" s="6" t="n">
        <v>14.1</v>
      </c>
      <c r="C5" s="6" t="n">
        <v>18.6</v>
      </c>
      <c r="D5" s="6" t="n">
        <v>26.2</v>
      </c>
      <c r="E5" s="6" t="n">
        <v>17.5</v>
      </c>
      <c r="F5" s="6" t="n">
        <v>15.6</v>
      </c>
      <c r="G5" s="6" t="n">
        <v>8</v>
      </c>
    </row>
    <row r="6">
      <c r="A6" s="5" t="inlineStr">
        <is>
          <t>Reg·PIT</t>
        </is>
      </c>
      <c r="B6" s="6" t="n">
        <v>4.6</v>
      </c>
      <c r="C6" s="6" t="n">
        <v>12</v>
      </c>
      <c r="D6" s="6" t="n">
        <v>32.8</v>
      </c>
      <c r="E6" s="6" t="n">
        <v>18.2</v>
      </c>
      <c r="F6" s="6" t="n">
        <v>11.5</v>
      </c>
      <c r="G6" s="6" t="n">
        <v>20.9</v>
      </c>
    </row>
    <row r="7">
      <c r="A7" s="5" t="inlineStr">
        <is>
          <t>Est·RAW</t>
        </is>
      </c>
      <c r="B7" s="6" t="n">
        <v>5.7</v>
      </c>
      <c r="C7" s="6" t="n">
        <v>9.199999999999999</v>
      </c>
      <c r="D7" s="6" t="n">
        <v>21.9</v>
      </c>
      <c r="E7" s="6" t="n">
        <v>26.1</v>
      </c>
      <c r="F7" s="6" t="n">
        <v>22.5</v>
      </c>
      <c r="G7" s="6" t="n">
        <v>14.6</v>
      </c>
    </row>
    <row r="8">
      <c r="A8" s="5" t="inlineStr">
        <is>
          <t>Est·TTC</t>
        </is>
      </c>
      <c r="B8" s="6" t="n">
        <v>8</v>
      </c>
      <c r="C8" s="6" t="n">
        <v>5.8</v>
      </c>
      <c r="D8" s="6" t="n">
        <v>14.6</v>
      </c>
      <c r="E8" s="6" t="n">
        <v>18.5</v>
      </c>
      <c r="F8" s="6" t="n">
        <v>28.9</v>
      </c>
      <c r="G8" s="6" t="n">
        <v>24.2</v>
      </c>
    </row>
    <row r="9">
      <c r="A9" s="5" t="inlineStr">
        <is>
          <t>Est·PIT</t>
        </is>
      </c>
      <c r="B9" s="6" t="n">
        <v>4.3</v>
      </c>
      <c r="C9" s="6" t="n">
        <v>4.2</v>
      </c>
      <c r="D9" s="6" t="n">
        <v>13.5</v>
      </c>
      <c r="E9" s="6" t="n">
        <v>13.6</v>
      </c>
      <c r="F9" s="6" t="n">
        <v>15</v>
      </c>
      <c r="G9" s="6" t="n">
        <v>49.4</v>
      </c>
    </row>
  </sheetData>
  <mergeCells count="1">
    <mergeCell ref="A1:G1"/>
  </mergeCells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I75"/>
  <sheetViews>
    <sheetView showGridLines="0" workbookViewId="0">
      <selection activeCell="A1" sqref="A1"/>
    </sheetView>
  </sheetViews>
  <sheetFormatPr baseColWidth="8" defaultRowHeight="15"/>
  <cols>
    <col width="13" customWidth="1" min="1" max="1"/>
    <col width="9" customWidth="1" min="2" max="2"/>
    <col width="8" customWidth="1" min="3" max="3"/>
    <col width="8" customWidth="1" min="4" max="4"/>
    <col width="9" customWidth="1" min="5" max="5"/>
    <col width="9" customWidth="1" min="6" max="6"/>
    <col width="10" customWidth="1" min="7" max="7"/>
    <col width="10" customWidth="1" min="8" max="8"/>
    <col width="10" customWidth="1" min="9" max="9"/>
  </cols>
  <sheetData>
    <row r="1">
      <c r="A1" s="1" t="inlineStr">
        <is>
          <t>Detalle completo — altas IBK P.Facil jun/jul 2026</t>
        </is>
      </c>
      <c r="B1" s="2" t="n"/>
      <c r="C1" s="2" t="n"/>
      <c r="D1" s="2" t="n"/>
      <c r="E1" s="2" t="n"/>
      <c r="F1" s="2" t="n"/>
      <c r="G1" s="2" t="n"/>
      <c r="H1" s="2" t="n"/>
      <c r="I1" s="3" t="n"/>
    </row>
    <row r="3">
      <c r="A3" s="4" t="inlineStr">
        <is>
          <t>Marca</t>
        </is>
      </c>
      <c r="B3" s="4" t="inlineStr">
        <is>
          <t>Mes</t>
        </is>
      </c>
      <c r="C3" s="4" t="inlineStr">
        <is>
          <t>Corte</t>
        </is>
      </c>
      <c r="D3" s="4" t="inlineStr">
        <is>
          <t>Grupo</t>
        </is>
      </c>
      <c r="E3" s="4" t="inlineStr">
        <is>
          <t>n</t>
        </is>
      </c>
      <c r="F3" s="4" t="inlineStr">
        <is>
          <t xml:space="preserve">N% </t>
        </is>
      </c>
      <c r="G3" s="4" t="inlineStr">
        <is>
          <t>PD RAW</t>
        </is>
      </c>
      <c r="H3" s="4" t="inlineStr">
        <is>
          <t>PD TTC</t>
        </is>
      </c>
      <c r="I3" s="4" t="inlineStr">
        <is>
          <t>PD PIT</t>
        </is>
      </c>
    </row>
    <row r="4">
      <c r="A4" s="7" t="inlineStr">
        <is>
          <t>Regular</t>
        </is>
      </c>
      <c r="B4" s="8" t="inlineStr">
        <is>
          <t>202606</t>
        </is>
      </c>
      <c r="C4" s="8" t="inlineStr">
        <is>
          <t>RAW</t>
        </is>
      </c>
      <c r="D4" s="9" t="inlineStr">
        <is>
          <t>G1</t>
        </is>
      </c>
      <c r="E4" s="10" t="n">
        <v>281</v>
      </c>
      <c r="F4" s="6" t="n">
        <v>7.9</v>
      </c>
      <c r="G4" s="6" t="n">
        <v>2.39</v>
      </c>
      <c r="H4" s="6" t="n">
        <v>1.9</v>
      </c>
      <c r="I4" s="6" t="n">
        <v>1.18</v>
      </c>
    </row>
    <row r="5">
      <c r="A5" s="7" t="inlineStr">
        <is>
          <t>Regular</t>
        </is>
      </c>
      <c r="B5" s="8" t="inlineStr">
        <is>
          <t>202606</t>
        </is>
      </c>
      <c r="C5" s="8" t="inlineStr">
        <is>
          <t>RAW</t>
        </is>
      </c>
      <c r="D5" s="9" t="inlineStr">
        <is>
          <t>G2</t>
        </is>
      </c>
      <c r="E5" s="10" t="n">
        <v>992</v>
      </c>
      <c r="F5" s="6" t="n">
        <v>27.8</v>
      </c>
      <c r="G5" s="6" t="n">
        <v>5.07</v>
      </c>
      <c r="H5" s="6" t="n">
        <v>4.62</v>
      </c>
      <c r="I5" s="6" t="n">
        <v>3.75</v>
      </c>
    </row>
    <row r="6">
      <c r="A6" s="7" t="inlineStr">
        <is>
          <t>Regular</t>
        </is>
      </c>
      <c r="B6" s="8" t="inlineStr">
        <is>
          <t>202606</t>
        </is>
      </c>
      <c r="C6" s="8" t="inlineStr">
        <is>
          <t>RAW</t>
        </is>
      </c>
      <c r="D6" s="9" t="inlineStr">
        <is>
          <t>G3</t>
        </is>
      </c>
      <c r="E6" s="10" t="n">
        <v>1045</v>
      </c>
      <c r="F6" s="6" t="n">
        <v>29.3</v>
      </c>
      <c r="G6" s="6" t="n">
        <v>9.19</v>
      </c>
      <c r="H6" s="6" t="n">
        <v>8.869999999999999</v>
      </c>
      <c r="I6" s="6" t="n">
        <v>7.98</v>
      </c>
    </row>
    <row r="7">
      <c r="A7" s="7" t="inlineStr">
        <is>
          <t>Regular</t>
        </is>
      </c>
      <c r="B7" s="8" t="inlineStr">
        <is>
          <t>202606</t>
        </is>
      </c>
      <c r="C7" s="8" t="inlineStr">
        <is>
          <t>RAW</t>
        </is>
      </c>
      <c r="D7" s="9" t="inlineStr">
        <is>
          <t>G4</t>
        </is>
      </c>
      <c r="E7" s="10" t="n">
        <v>625</v>
      </c>
      <c r="F7" s="6" t="n">
        <v>17.5</v>
      </c>
      <c r="G7" s="6" t="n">
        <v>14.18</v>
      </c>
      <c r="H7" s="6" t="n">
        <v>13.2</v>
      </c>
      <c r="I7" s="6" t="n">
        <v>12.26</v>
      </c>
    </row>
    <row r="8">
      <c r="A8" s="7" t="inlineStr">
        <is>
          <t>Regular</t>
        </is>
      </c>
      <c r="B8" s="8" t="inlineStr">
        <is>
          <t>202606</t>
        </is>
      </c>
      <c r="C8" s="8" t="inlineStr">
        <is>
          <t>RAW</t>
        </is>
      </c>
      <c r="D8" s="9" t="inlineStr">
        <is>
          <t>G5</t>
        </is>
      </c>
      <c r="E8" s="10" t="n">
        <v>383</v>
      </c>
      <c r="F8" s="6" t="n">
        <v>10.7</v>
      </c>
      <c r="G8" s="6" t="n">
        <v>20.08</v>
      </c>
      <c r="H8" s="6" t="n">
        <v>18.16</v>
      </c>
      <c r="I8" s="6" t="n">
        <v>17.16</v>
      </c>
    </row>
    <row r="9">
      <c r="A9" s="7" t="inlineStr">
        <is>
          <t>Regular</t>
        </is>
      </c>
      <c r="B9" s="8" t="inlineStr">
        <is>
          <t>202606</t>
        </is>
      </c>
      <c r="C9" s="8" t="inlineStr">
        <is>
          <t>RAW</t>
        </is>
      </c>
      <c r="D9" s="11" t="inlineStr">
        <is>
          <t>R</t>
        </is>
      </c>
      <c r="E9" s="10" t="n">
        <v>240</v>
      </c>
      <c r="F9" s="6" t="n">
        <v>6.7</v>
      </c>
      <c r="G9" s="6" t="n">
        <v>31.83</v>
      </c>
      <c r="H9" s="6" t="n">
        <v>25.24</v>
      </c>
      <c r="I9" s="6" t="n">
        <v>24.22</v>
      </c>
    </row>
    <row r="10">
      <c r="A10" s="7" t="inlineStr">
        <is>
          <t>Regular</t>
        </is>
      </c>
      <c r="B10" s="8" t="inlineStr">
        <is>
          <t>202606</t>
        </is>
      </c>
      <c r="C10" s="8" t="inlineStr">
        <is>
          <t>TTC</t>
        </is>
      </c>
      <c r="D10" s="9" t="inlineStr">
        <is>
          <t>G1</t>
        </is>
      </c>
      <c r="E10" s="10" t="n">
        <v>607</v>
      </c>
      <c r="F10" s="6" t="n">
        <v>17</v>
      </c>
      <c r="G10" s="6" t="n">
        <v>3.42</v>
      </c>
      <c r="H10" s="6" t="n">
        <v>2.43</v>
      </c>
      <c r="I10" s="6" t="n">
        <v>1.65</v>
      </c>
    </row>
    <row r="11">
      <c r="A11" s="7" t="inlineStr">
        <is>
          <t>Regular</t>
        </is>
      </c>
      <c r="B11" s="8" t="inlineStr">
        <is>
          <t>202606</t>
        </is>
      </c>
      <c r="C11" s="8" t="inlineStr">
        <is>
          <t>TTC</t>
        </is>
      </c>
      <c r="D11" s="9" t="inlineStr">
        <is>
          <t>G2</t>
        </is>
      </c>
      <c r="E11" s="10" t="n">
        <v>693</v>
      </c>
      <c r="F11" s="6" t="n">
        <v>19.4</v>
      </c>
      <c r="G11" s="6" t="n">
        <v>5.93</v>
      </c>
      <c r="H11" s="6" t="n">
        <v>5.12</v>
      </c>
      <c r="I11" s="6" t="n">
        <v>4.23</v>
      </c>
    </row>
    <row r="12">
      <c r="A12" s="7" t="inlineStr">
        <is>
          <t>Regular</t>
        </is>
      </c>
      <c r="B12" s="8" t="inlineStr">
        <is>
          <t>202606</t>
        </is>
      </c>
      <c r="C12" s="8" t="inlineStr">
        <is>
          <t>TTC</t>
        </is>
      </c>
      <c r="D12" s="9" t="inlineStr">
        <is>
          <t>G3</t>
        </is>
      </c>
      <c r="E12" s="10" t="n">
        <v>934</v>
      </c>
      <c r="F12" s="6" t="n">
        <v>26.2</v>
      </c>
      <c r="G12" s="6" t="n">
        <v>9.24</v>
      </c>
      <c r="H12" s="6" t="n">
        <v>8.550000000000001</v>
      </c>
      <c r="I12" s="6" t="n">
        <v>7.66</v>
      </c>
    </row>
    <row r="13">
      <c r="A13" s="7" t="inlineStr">
        <is>
          <t>Regular</t>
        </is>
      </c>
      <c r="B13" s="8" t="inlineStr">
        <is>
          <t>202606</t>
        </is>
      </c>
      <c r="C13" s="8" t="inlineStr">
        <is>
          <t>TTC</t>
        </is>
      </c>
      <c r="D13" s="9" t="inlineStr">
        <is>
          <t>G4</t>
        </is>
      </c>
      <c r="E13" s="10" t="n">
        <v>552</v>
      </c>
      <c r="F13" s="6" t="n">
        <v>15.5</v>
      </c>
      <c r="G13" s="6" t="n">
        <v>13.24</v>
      </c>
      <c r="H13" s="6" t="n">
        <v>12.44</v>
      </c>
      <c r="I13" s="6" t="n">
        <v>11.51</v>
      </c>
    </row>
    <row r="14">
      <c r="A14" s="7" t="inlineStr">
        <is>
          <t>Regular</t>
        </is>
      </c>
      <c r="B14" s="8" t="inlineStr">
        <is>
          <t>202606</t>
        </is>
      </c>
      <c r="C14" s="8" t="inlineStr">
        <is>
          <t>TTC</t>
        </is>
      </c>
      <c r="D14" s="9" t="inlineStr">
        <is>
          <t>G5</t>
        </is>
      </c>
      <c r="E14" s="10" t="n">
        <v>518</v>
      </c>
      <c r="F14" s="6" t="n">
        <v>14.5</v>
      </c>
      <c r="G14" s="6" t="n">
        <v>18.51</v>
      </c>
      <c r="H14" s="6" t="n">
        <v>17.36</v>
      </c>
      <c r="I14" s="6" t="n">
        <v>16.36</v>
      </c>
    </row>
    <row r="15">
      <c r="A15" s="7" t="inlineStr">
        <is>
          <t>Regular</t>
        </is>
      </c>
      <c r="B15" s="8" t="inlineStr">
        <is>
          <t>202606</t>
        </is>
      </c>
      <c r="C15" s="8" t="inlineStr">
        <is>
          <t>TTC</t>
        </is>
      </c>
      <c r="D15" s="11" t="inlineStr">
        <is>
          <t>R</t>
        </is>
      </c>
      <c r="E15" s="10" t="n">
        <v>262</v>
      </c>
      <c r="F15" s="6" t="n">
        <v>7.3</v>
      </c>
      <c r="G15" s="6" t="n">
        <v>29.72</v>
      </c>
      <c r="H15" s="6" t="n">
        <v>25.92</v>
      </c>
      <c r="I15" s="6" t="n">
        <v>24.89</v>
      </c>
    </row>
    <row r="16">
      <c r="A16" s="7" t="inlineStr">
        <is>
          <t>Regular</t>
        </is>
      </c>
      <c r="B16" s="8" t="inlineStr">
        <is>
          <t>202606</t>
        </is>
      </c>
      <c r="C16" s="8" t="inlineStr">
        <is>
          <t>PIT</t>
        </is>
      </c>
      <c r="D16" s="9" t="inlineStr">
        <is>
          <t>G1</t>
        </is>
      </c>
      <c r="E16" s="10" t="n">
        <v>230</v>
      </c>
      <c r="F16" s="6" t="n">
        <v>6.4</v>
      </c>
      <c r="G16" s="6" t="n">
        <v>2.52</v>
      </c>
      <c r="H16" s="6" t="n">
        <v>1.46</v>
      </c>
      <c r="I16" s="6" t="n">
        <v>0.8</v>
      </c>
    </row>
    <row r="17">
      <c r="A17" s="7" t="inlineStr">
        <is>
          <t>Regular</t>
        </is>
      </c>
      <c r="B17" s="8" t="inlineStr">
        <is>
          <t>202606</t>
        </is>
      </c>
      <c r="C17" s="8" t="inlineStr">
        <is>
          <t>PIT</t>
        </is>
      </c>
      <c r="D17" s="9" t="inlineStr">
        <is>
          <t>G2</t>
        </is>
      </c>
      <c r="E17" s="10" t="n">
        <v>515</v>
      </c>
      <c r="F17" s="6" t="n">
        <v>14.4</v>
      </c>
      <c r="G17" s="6" t="n">
        <v>4.23</v>
      </c>
      <c r="H17" s="6" t="n">
        <v>3.29</v>
      </c>
      <c r="I17" s="6" t="n">
        <v>2.43</v>
      </c>
    </row>
    <row r="18">
      <c r="A18" s="7" t="inlineStr">
        <is>
          <t>Regular</t>
        </is>
      </c>
      <c r="B18" s="8" t="inlineStr">
        <is>
          <t>202606</t>
        </is>
      </c>
      <c r="C18" s="8" t="inlineStr">
        <is>
          <t>PIT</t>
        </is>
      </c>
      <c r="D18" s="9" t="inlineStr">
        <is>
          <t>G3</t>
        </is>
      </c>
      <c r="E18" s="10" t="n">
        <v>1168</v>
      </c>
      <c r="F18" s="6" t="n">
        <v>32.8</v>
      </c>
      <c r="G18" s="6" t="n">
        <v>7.41</v>
      </c>
      <c r="H18" s="6" t="n">
        <v>6.66</v>
      </c>
      <c r="I18" s="6" t="n">
        <v>5.78</v>
      </c>
    </row>
    <row r="19">
      <c r="A19" s="7" t="inlineStr">
        <is>
          <t>Regular</t>
        </is>
      </c>
      <c r="B19" s="8" t="inlineStr">
        <is>
          <t>202606</t>
        </is>
      </c>
      <c r="C19" s="8" t="inlineStr">
        <is>
          <t>PIT</t>
        </is>
      </c>
      <c r="D19" s="9" t="inlineStr">
        <is>
          <t>G4</t>
        </is>
      </c>
      <c r="E19" s="10" t="n">
        <v>609</v>
      </c>
      <c r="F19" s="6" t="n">
        <v>17.1</v>
      </c>
      <c r="G19" s="6" t="n">
        <v>11.38</v>
      </c>
      <c r="H19" s="6" t="n">
        <v>10.7</v>
      </c>
      <c r="I19" s="6" t="n">
        <v>9.800000000000001</v>
      </c>
    </row>
    <row r="20">
      <c r="A20" s="7" t="inlineStr">
        <is>
          <t>Regular</t>
        </is>
      </c>
      <c r="B20" s="8" t="inlineStr">
        <is>
          <t>202606</t>
        </is>
      </c>
      <c r="C20" s="8" t="inlineStr">
        <is>
          <t>PIT</t>
        </is>
      </c>
      <c r="D20" s="9" t="inlineStr">
        <is>
          <t>G5</t>
        </is>
      </c>
      <c r="E20" s="10" t="n">
        <v>368</v>
      </c>
      <c r="F20" s="6" t="n">
        <v>10.3</v>
      </c>
      <c r="G20" s="6" t="n">
        <v>14.83</v>
      </c>
      <c r="H20" s="6" t="n">
        <v>13.85</v>
      </c>
      <c r="I20" s="6" t="n">
        <v>12.9</v>
      </c>
    </row>
    <row r="21">
      <c r="A21" s="7" t="inlineStr">
        <is>
          <t>Regular</t>
        </is>
      </c>
      <c r="B21" s="8" t="inlineStr">
        <is>
          <t>202606</t>
        </is>
      </c>
      <c r="C21" s="8" t="inlineStr">
        <is>
          <t>PIT</t>
        </is>
      </c>
      <c r="D21" s="11" t="inlineStr">
        <is>
          <t>R</t>
        </is>
      </c>
      <c r="E21" s="10" t="n">
        <v>676</v>
      </c>
      <c r="F21" s="6" t="n">
        <v>19</v>
      </c>
      <c r="G21" s="6" t="n">
        <v>23.22</v>
      </c>
      <c r="H21" s="6" t="n">
        <v>21.04</v>
      </c>
      <c r="I21" s="6" t="n">
        <v>20.03</v>
      </c>
    </row>
    <row r="22">
      <c r="A22" s="7" t="inlineStr">
        <is>
          <t>Regular</t>
        </is>
      </c>
      <c r="B22" s="8" t="inlineStr">
        <is>
          <t>202607</t>
        </is>
      </c>
      <c r="C22" s="8" t="inlineStr">
        <is>
          <t>RAW</t>
        </is>
      </c>
      <c r="D22" s="9" t="inlineStr">
        <is>
          <t>G1</t>
        </is>
      </c>
      <c r="E22" s="10" t="n">
        <v>292</v>
      </c>
      <c r="F22" s="6" t="n">
        <v>6.6</v>
      </c>
      <c r="G22" s="6" t="n">
        <v>2.42</v>
      </c>
      <c r="H22" s="6" t="n">
        <v>1.99</v>
      </c>
      <c r="I22" s="6" t="n">
        <v>1.31</v>
      </c>
    </row>
    <row r="23">
      <c r="A23" s="7" t="inlineStr">
        <is>
          <t>Regular</t>
        </is>
      </c>
      <c r="B23" s="8" t="inlineStr">
        <is>
          <t>202607</t>
        </is>
      </c>
      <c r="C23" s="8" t="inlineStr">
        <is>
          <t>RAW</t>
        </is>
      </c>
      <c r="D23" s="9" t="inlineStr">
        <is>
          <t>G2</t>
        </is>
      </c>
      <c r="E23" s="10" t="n">
        <v>1155</v>
      </c>
      <c r="F23" s="6" t="n">
        <v>26.2</v>
      </c>
      <c r="G23" s="6" t="n">
        <v>5.09</v>
      </c>
      <c r="H23" s="6" t="n">
        <v>4.8</v>
      </c>
      <c r="I23" s="6" t="n">
        <v>4.03</v>
      </c>
    </row>
    <row r="24">
      <c r="A24" s="7" t="inlineStr">
        <is>
          <t>Regular</t>
        </is>
      </c>
      <c r="B24" s="8" t="inlineStr">
        <is>
          <t>202607</t>
        </is>
      </c>
      <c r="C24" s="8" t="inlineStr">
        <is>
          <t>RAW</t>
        </is>
      </c>
      <c r="D24" s="9" t="inlineStr">
        <is>
          <t>G3</t>
        </is>
      </c>
      <c r="E24" s="10" t="n">
        <v>1328</v>
      </c>
      <c r="F24" s="6" t="n">
        <v>30.1</v>
      </c>
      <c r="G24" s="6" t="n">
        <v>9.18</v>
      </c>
      <c r="H24" s="6" t="n">
        <v>8.99</v>
      </c>
      <c r="I24" s="6" t="n">
        <v>8.24</v>
      </c>
    </row>
    <row r="25">
      <c r="A25" s="7" t="inlineStr">
        <is>
          <t>Regular</t>
        </is>
      </c>
      <c r="B25" s="8" t="inlineStr">
        <is>
          <t>202607</t>
        </is>
      </c>
      <c r="C25" s="8" t="inlineStr">
        <is>
          <t>RAW</t>
        </is>
      </c>
      <c r="D25" s="9" t="inlineStr">
        <is>
          <t>G4</t>
        </is>
      </c>
      <c r="E25" s="10" t="n">
        <v>824</v>
      </c>
      <c r="F25" s="6" t="n">
        <v>18.7</v>
      </c>
      <c r="G25" s="6" t="n">
        <v>14.19</v>
      </c>
      <c r="H25" s="6" t="n">
        <v>13.53</v>
      </c>
      <c r="I25" s="6" t="n">
        <v>12.77</v>
      </c>
    </row>
    <row r="26">
      <c r="A26" s="7" t="inlineStr">
        <is>
          <t>Regular</t>
        </is>
      </c>
      <c r="B26" s="8" t="inlineStr">
        <is>
          <t>202607</t>
        </is>
      </c>
      <c r="C26" s="8" t="inlineStr">
        <is>
          <t>RAW</t>
        </is>
      </c>
      <c r="D26" s="9" t="inlineStr">
        <is>
          <t>G5</t>
        </is>
      </c>
      <c r="E26" s="10" t="n">
        <v>499</v>
      </c>
      <c r="F26" s="6" t="n">
        <v>11.3</v>
      </c>
      <c r="G26" s="6" t="n">
        <v>19.92</v>
      </c>
      <c r="H26" s="6" t="n">
        <v>18.06</v>
      </c>
      <c r="I26" s="6" t="n">
        <v>17.29</v>
      </c>
    </row>
    <row r="27">
      <c r="A27" s="7" t="inlineStr">
        <is>
          <t>Regular</t>
        </is>
      </c>
      <c r="B27" s="8" t="inlineStr">
        <is>
          <t>202607</t>
        </is>
      </c>
      <c r="C27" s="8" t="inlineStr">
        <is>
          <t>RAW</t>
        </is>
      </c>
      <c r="D27" s="11" t="inlineStr">
        <is>
          <t>R</t>
        </is>
      </c>
      <c r="E27" s="10" t="n">
        <v>307</v>
      </c>
      <c r="F27" s="6" t="n">
        <v>7</v>
      </c>
      <c r="G27" s="6" t="n">
        <v>30.63</v>
      </c>
      <c r="H27" s="6" t="n">
        <v>25.18</v>
      </c>
      <c r="I27" s="6" t="n">
        <v>24.42</v>
      </c>
    </row>
    <row r="28">
      <c r="A28" s="7" t="inlineStr">
        <is>
          <t>Regular</t>
        </is>
      </c>
      <c r="B28" s="8" t="inlineStr">
        <is>
          <t>202607</t>
        </is>
      </c>
      <c r="C28" s="8" t="inlineStr">
        <is>
          <t>TTC</t>
        </is>
      </c>
      <c r="D28" s="9" t="inlineStr">
        <is>
          <t>G1</t>
        </is>
      </c>
      <c r="E28" s="10" t="n">
        <v>623</v>
      </c>
      <c r="F28" s="6" t="n">
        <v>14.1</v>
      </c>
      <c r="G28" s="6" t="n">
        <v>3.42</v>
      </c>
      <c r="H28" s="6" t="n">
        <v>2.49</v>
      </c>
      <c r="I28" s="6" t="n">
        <v>1.76</v>
      </c>
    </row>
    <row r="29">
      <c r="A29" s="7" t="inlineStr">
        <is>
          <t>Regular</t>
        </is>
      </c>
      <c r="B29" s="8" t="inlineStr">
        <is>
          <t>202607</t>
        </is>
      </c>
      <c r="C29" s="8" t="inlineStr">
        <is>
          <t>TTC</t>
        </is>
      </c>
      <c r="D29" s="9" t="inlineStr">
        <is>
          <t>G2</t>
        </is>
      </c>
      <c r="E29" s="10" t="n">
        <v>819</v>
      </c>
      <c r="F29" s="6" t="n">
        <v>18.6</v>
      </c>
      <c r="G29" s="6" t="n">
        <v>5.81</v>
      </c>
      <c r="H29" s="6" t="n">
        <v>5.14</v>
      </c>
      <c r="I29" s="6" t="n">
        <v>4.37</v>
      </c>
    </row>
    <row r="30">
      <c r="A30" s="7" t="inlineStr">
        <is>
          <t>Regular</t>
        </is>
      </c>
      <c r="B30" s="8" t="inlineStr">
        <is>
          <t>202607</t>
        </is>
      </c>
      <c r="C30" s="8" t="inlineStr">
        <is>
          <t>TTC</t>
        </is>
      </c>
      <c r="D30" s="9" t="inlineStr">
        <is>
          <t>G3</t>
        </is>
      </c>
      <c r="E30" s="10" t="n">
        <v>1153</v>
      </c>
      <c r="F30" s="6" t="n">
        <v>26.2</v>
      </c>
      <c r="G30" s="6" t="n">
        <v>8.99</v>
      </c>
      <c r="H30" s="6" t="n">
        <v>8.49</v>
      </c>
      <c r="I30" s="6" t="n">
        <v>7.74</v>
      </c>
    </row>
    <row r="31">
      <c r="A31" s="7" t="inlineStr">
        <is>
          <t>Regular</t>
        </is>
      </c>
      <c r="B31" s="8" t="inlineStr">
        <is>
          <t>202607</t>
        </is>
      </c>
      <c r="C31" s="8" t="inlineStr">
        <is>
          <t>TTC</t>
        </is>
      </c>
      <c r="D31" s="9" t="inlineStr">
        <is>
          <t>G4</t>
        </is>
      </c>
      <c r="E31" s="10" t="n">
        <v>771</v>
      </c>
      <c r="F31" s="6" t="n">
        <v>17.5</v>
      </c>
      <c r="G31" s="6" t="n">
        <v>13.1</v>
      </c>
      <c r="H31" s="6" t="n">
        <v>12.4</v>
      </c>
      <c r="I31" s="6" t="n">
        <v>11.65</v>
      </c>
    </row>
    <row r="32">
      <c r="A32" s="7" t="inlineStr">
        <is>
          <t>Regular</t>
        </is>
      </c>
      <c r="B32" s="8" t="inlineStr">
        <is>
          <t>202607</t>
        </is>
      </c>
      <c r="C32" s="8" t="inlineStr">
        <is>
          <t>TTC</t>
        </is>
      </c>
      <c r="D32" s="9" t="inlineStr">
        <is>
          <t>G5</t>
        </is>
      </c>
      <c r="E32" s="10" t="n">
        <v>688</v>
      </c>
      <c r="F32" s="6" t="n">
        <v>15.6</v>
      </c>
      <c r="G32" s="6" t="n">
        <v>18.11</v>
      </c>
      <c r="H32" s="6" t="n">
        <v>17.3</v>
      </c>
      <c r="I32" s="6" t="n">
        <v>16.52</v>
      </c>
    </row>
    <row r="33">
      <c r="A33" s="7" t="inlineStr">
        <is>
          <t>Regular</t>
        </is>
      </c>
      <c r="B33" s="8" t="inlineStr">
        <is>
          <t>202607</t>
        </is>
      </c>
      <c r="C33" s="8" t="inlineStr">
        <is>
          <t>TTC</t>
        </is>
      </c>
      <c r="D33" s="11" t="inlineStr">
        <is>
          <t>R</t>
        </is>
      </c>
      <c r="E33" s="10" t="n">
        <v>351</v>
      </c>
      <c r="F33" s="6" t="n">
        <v>8</v>
      </c>
      <c r="G33" s="6" t="n">
        <v>28.51</v>
      </c>
      <c r="H33" s="6" t="n">
        <v>25.48</v>
      </c>
      <c r="I33" s="6" t="n">
        <v>24.72</v>
      </c>
    </row>
    <row r="34">
      <c r="A34" s="7" t="inlineStr">
        <is>
          <t>Regular</t>
        </is>
      </c>
      <c r="B34" s="8" t="inlineStr">
        <is>
          <t>202607</t>
        </is>
      </c>
      <c r="C34" s="8" t="inlineStr">
        <is>
          <t>PIT</t>
        </is>
      </c>
      <c r="D34" s="9" t="inlineStr">
        <is>
          <t>G1</t>
        </is>
      </c>
      <c r="E34" s="10" t="n">
        <v>204</v>
      </c>
      <c r="F34" s="6" t="n">
        <v>4.6</v>
      </c>
      <c r="G34" s="6" t="n">
        <v>2.51</v>
      </c>
      <c r="H34" s="6" t="n">
        <v>1.45</v>
      </c>
      <c r="I34" s="6" t="n">
        <v>0.83</v>
      </c>
    </row>
    <row r="35">
      <c r="A35" s="7" t="inlineStr">
        <is>
          <t>Regular</t>
        </is>
      </c>
      <c r="B35" s="8" t="inlineStr">
        <is>
          <t>202607</t>
        </is>
      </c>
      <c r="C35" s="8" t="inlineStr">
        <is>
          <t>PIT</t>
        </is>
      </c>
      <c r="D35" s="9" t="inlineStr">
        <is>
          <t>G2</t>
        </is>
      </c>
      <c r="E35" s="10" t="n">
        <v>527</v>
      </c>
      <c r="F35" s="6" t="n">
        <v>12</v>
      </c>
      <c r="G35" s="6" t="n">
        <v>4.02</v>
      </c>
      <c r="H35" s="6" t="n">
        <v>3.2</v>
      </c>
      <c r="I35" s="6" t="n">
        <v>2.41</v>
      </c>
    </row>
    <row r="36">
      <c r="A36" s="7" t="inlineStr">
        <is>
          <t>Regular</t>
        </is>
      </c>
      <c r="B36" s="8" t="inlineStr">
        <is>
          <t>202607</t>
        </is>
      </c>
      <c r="C36" s="8" t="inlineStr">
        <is>
          <t>PIT</t>
        </is>
      </c>
      <c r="D36" s="9" t="inlineStr">
        <is>
          <t>G3</t>
        </is>
      </c>
      <c r="E36" s="10" t="n">
        <v>1446</v>
      </c>
      <c r="F36" s="6" t="n">
        <v>32.8</v>
      </c>
      <c r="G36" s="6" t="n">
        <v>7.15</v>
      </c>
      <c r="H36" s="6" t="n">
        <v>6.55</v>
      </c>
      <c r="I36" s="6" t="n">
        <v>5.79</v>
      </c>
    </row>
    <row r="37">
      <c r="A37" s="7" t="inlineStr">
        <is>
          <t>Regular</t>
        </is>
      </c>
      <c r="B37" s="8" t="inlineStr">
        <is>
          <t>202607</t>
        </is>
      </c>
      <c r="C37" s="8" t="inlineStr">
        <is>
          <t>PIT</t>
        </is>
      </c>
      <c r="D37" s="9" t="inlineStr">
        <is>
          <t>G4</t>
        </is>
      </c>
      <c r="E37" s="10" t="n">
        <v>803</v>
      </c>
      <c r="F37" s="6" t="n">
        <v>18.2</v>
      </c>
      <c r="G37" s="6" t="n">
        <v>11.16</v>
      </c>
      <c r="H37" s="6" t="n">
        <v>10.6</v>
      </c>
      <c r="I37" s="6" t="n">
        <v>9.859999999999999</v>
      </c>
    </row>
    <row r="38">
      <c r="A38" s="7" t="inlineStr">
        <is>
          <t>Regular</t>
        </is>
      </c>
      <c r="B38" s="8" t="inlineStr">
        <is>
          <t>202607</t>
        </is>
      </c>
      <c r="C38" s="8" t="inlineStr">
        <is>
          <t>PIT</t>
        </is>
      </c>
      <c r="D38" s="9" t="inlineStr">
        <is>
          <t>G5</t>
        </is>
      </c>
      <c r="E38" s="10" t="n">
        <v>505</v>
      </c>
      <c r="F38" s="6" t="n">
        <v>11.5</v>
      </c>
      <c r="G38" s="6" t="n">
        <v>14.46</v>
      </c>
      <c r="H38" s="6" t="n">
        <v>13.69</v>
      </c>
      <c r="I38" s="6" t="n">
        <v>12.93</v>
      </c>
    </row>
    <row r="39">
      <c r="A39" s="7" t="inlineStr">
        <is>
          <t>Regular</t>
        </is>
      </c>
      <c r="B39" s="8" t="inlineStr">
        <is>
          <t>202607</t>
        </is>
      </c>
      <c r="C39" s="8" t="inlineStr">
        <is>
          <t>PIT</t>
        </is>
      </c>
      <c r="D39" s="11" t="inlineStr">
        <is>
          <t>R</t>
        </is>
      </c>
      <c r="E39" s="10" t="n">
        <v>920</v>
      </c>
      <c r="F39" s="6" t="n">
        <v>20.9</v>
      </c>
      <c r="G39" s="6" t="n">
        <v>22.38</v>
      </c>
      <c r="H39" s="6" t="n">
        <v>20.74</v>
      </c>
      <c r="I39" s="6" t="n">
        <v>19.97</v>
      </c>
    </row>
    <row r="40">
      <c r="A40" s="7" t="inlineStr">
        <is>
          <t>Estrategias</t>
        </is>
      </c>
      <c r="B40" s="8" t="inlineStr">
        <is>
          <t>202606</t>
        </is>
      </c>
      <c r="C40" s="8" t="inlineStr">
        <is>
          <t>RAW</t>
        </is>
      </c>
      <c r="D40" s="9" t="inlineStr">
        <is>
          <t>G1</t>
        </is>
      </c>
      <c r="E40" s="10" t="n">
        <v>195</v>
      </c>
      <c r="F40" s="6" t="n">
        <v>6.9</v>
      </c>
      <c r="G40" s="6" t="n">
        <v>2.16</v>
      </c>
      <c r="H40" s="6" t="n">
        <v>1.72</v>
      </c>
      <c r="I40" s="6" t="n">
        <v>1.05</v>
      </c>
    </row>
    <row r="41">
      <c r="A41" s="7" t="inlineStr">
        <is>
          <t>Estrategias</t>
        </is>
      </c>
      <c r="B41" s="8" t="inlineStr">
        <is>
          <t>202606</t>
        </is>
      </c>
      <c r="C41" s="8" t="inlineStr">
        <is>
          <t>RAW</t>
        </is>
      </c>
      <c r="D41" s="9" t="inlineStr">
        <is>
          <t>G2</t>
        </is>
      </c>
      <c r="E41" s="10" t="n">
        <v>385</v>
      </c>
      <c r="F41" s="6" t="n">
        <v>13.6</v>
      </c>
      <c r="G41" s="6" t="n">
        <v>5.17</v>
      </c>
      <c r="H41" s="6" t="n">
        <v>5.01</v>
      </c>
      <c r="I41" s="6" t="n">
        <v>4.14</v>
      </c>
    </row>
    <row r="42">
      <c r="A42" s="7" t="inlineStr">
        <is>
          <t>Estrategias</t>
        </is>
      </c>
      <c r="B42" s="8" t="inlineStr">
        <is>
          <t>202606</t>
        </is>
      </c>
      <c r="C42" s="8" t="inlineStr">
        <is>
          <t>RAW</t>
        </is>
      </c>
      <c r="D42" s="9" t="inlineStr">
        <is>
          <t>G3</t>
        </is>
      </c>
      <c r="E42" s="10" t="n">
        <v>643</v>
      </c>
      <c r="F42" s="6" t="n">
        <v>22.7</v>
      </c>
      <c r="G42" s="6" t="n">
        <v>9.33</v>
      </c>
      <c r="H42" s="6" t="n">
        <v>9.949999999999999</v>
      </c>
      <c r="I42" s="6" t="n">
        <v>9.039999999999999</v>
      </c>
    </row>
    <row r="43">
      <c r="A43" s="7" t="inlineStr">
        <is>
          <t>Estrategias</t>
        </is>
      </c>
      <c r="B43" s="8" t="inlineStr">
        <is>
          <t>202606</t>
        </is>
      </c>
      <c r="C43" s="8" t="inlineStr">
        <is>
          <t>RAW</t>
        </is>
      </c>
      <c r="D43" s="9" t="inlineStr">
        <is>
          <t>G4</t>
        </is>
      </c>
      <c r="E43" s="10" t="n">
        <v>685</v>
      </c>
      <c r="F43" s="6" t="n">
        <v>24.2</v>
      </c>
      <c r="G43" s="6" t="n">
        <v>14.39</v>
      </c>
      <c r="H43" s="6" t="n">
        <v>15.53</v>
      </c>
      <c r="I43" s="6" t="n">
        <v>14.56</v>
      </c>
    </row>
    <row r="44">
      <c r="A44" s="7" t="inlineStr">
        <is>
          <t>Estrategias</t>
        </is>
      </c>
      <c r="B44" s="8" t="inlineStr">
        <is>
          <t>202606</t>
        </is>
      </c>
      <c r="C44" s="8" t="inlineStr">
        <is>
          <t>RAW</t>
        </is>
      </c>
      <c r="D44" s="9" t="inlineStr">
        <is>
          <t>G5</t>
        </is>
      </c>
      <c r="E44" s="10" t="n">
        <v>583</v>
      </c>
      <c r="F44" s="6" t="n">
        <v>20.6</v>
      </c>
      <c r="G44" s="6" t="n">
        <v>20.03</v>
      </c>
      <c r="H44" s="6" t="n">
        <v>20.71</v>
      </c>
      <c r="I44" s="6" t="n">
        <v>19.69</v>
      </c>
    </row>
    <row r="45">
      <c r="A45" s="7" t="inlineStr">
        <is>
          <t>Estrategias</t>
        </is>
      </c>
      <c r="B45" s="8" t="inlineStr">
        <is>
          <t>202606</t>
        </is>
      </c>
      <c r="C45" s="8" t="inlineStr">
        <is>
          <t>RAW</t>
        </is>
      </c>
      <c r="D45" s="11" t="inlineStr">
        <is>
          <t>R</t>
        </is>
      </c>
      <c r="E45" s="10" t="n">
        <v>339</v>
      </c>
      <c r="F45" s="6" t="n">
        <v>12</v>
      </c>
      <c r="G45" s="6" t="n">
        <v>30.66</v>
      </c>
      <c r="H45" s="6" t="n">
        <v>28.69</v>
      </c>
      <c r="I45" s="6" t="n">
        <v>27.67</v>
      </c>
    </row>
    <row r="46">
      <c r="A46" s="7" t="inlineStr">
        <is>
          <t>Estrategias</t>
        </is>
      </c>
      <c r="B46" s="8" t="inlineStr">
        <is>
          <t>202606</t>
        </is>
      </c>
      <c r="C46" s="8" t="inlineStr">
        <is>
          <t>TTC</t>
        </is>
      </c>
      <c r="D46" s="9" t="inlineStr">
        <is>
          <t>G1</t>
        </is>
      </c>
      <c r="E46" s="10" t="n">
        <v>296</v>
      </c>
      <c r="F46" s="6" t="n">
        <v>10.5</v>
      </c>
      <c r="G46" s="6" t="n">
        <v>2.86</v>
      </c>
      <c r="H46" s="6" t="n">
        <v>2.09</v>
      </c>
      <c r="I46" s="6" t="n">
        <v>1.36</v>
      </c>
    </row>
    <row r="47">
      <c r="A47" s="7" t="inlineStr">
        <is>
          <t>Estrategias</t>
        </is>
      </c>
      <c r="B47" s="8" t="inlineStr">
        <is>
          <t>202606</t>
        </is>
      </c>
      <c r="C47" s="8" t="inlineStr">
        <is>
          <t>TTC</t>
        </is>
      </c>
      <c r="D47" s="9" t="inlineStr">
        <is>
          <t>G2</t>
        </is>
      </c>
      <c r="E47" s="10" t="n">
        <v>247</v>
      </c>
      <c r="F47" s="6" t="n">
        <v>8.699999999999999</v>
      </c>
      <c r="G47" s="6" t="n">
        <v>5.63</v>
      </c>
      <c r="H47" s="6" t="n">
        <v>5.21</v>
      </c>
      <c r="I47" s="6" t="n">
        <v>4.32</v>
      </c>
    </row>
    <row r="48">
      <c r="A48" s="7" t="inlineStr">
        <is>
          <t>Estrategias</t>
        </is>
      </c>
      <c r="B48" s="8" t="inlineStr">
        <is>
          <t>202606</t>
        </is>
      </c>
      <c r="C48" s="8" t="inlineStr">
        <is>
          <t>TTC</t>
        </is>
      </c>
      <c r="D48" s="9" t="inlineStr">
        <is>
          <t>G3</t>
        </is>
      </c>
      <c r="E48" s="10" t="n">
        <v>463</v>
      </c>
      <c r="F48" s="6" t="n">
        <v>16.4</v>
      </c>
      <c r="G48" s="6" t="n">
        <v>8.48</v>
      </c>
      <c r="H48" s="6" t="n">
        <v>8.699999999999999</v>
      </c>
      <c r="I48" s="6" t="n">
        <v>7.82</v>
      </c>
    </row>
    <row r="49">
      <c r="A49" s="7" t="inlineStr">
        <is>
          <t>Estrategias</t>
        </is>
      </c>
      <c r="B49" s="8" t="inlineStr">
        <is>
          <t>202606</t>
        </is>
      </c>
      <c r="C49" s="8" t="inlineStr">
        <is>
          <t>TTC</t>
        </is>
      </c>
      <c r="D49" s="9" t="inlineStr">
        <is>
          <t>G4</t>
        </is>
      </c>
      <c r="E49" s="10" t="n">
        <v>487</v>
      </c>
      <c r="F49" s="6" t="n">
        <v>17.2</v>
      </c>
      <c r="G49" s="6" t="n">
        <v>12.35</v>
      </c>
      <c r="H49" s="6" t="n">
        <v>12.62</v>
      </c>
      <c r="I49" s="6" t="n">
        <v>11.69</v>
      </c>
    </row>
    <row r="50">
      <c r="A50" s="7" t="inlineStr">
        <is>
          <t>Estrategias</t>
        </is>
      </c>
      <c r="B50" s="8" t="inlineStr">
        <is>
          <t>202606</t>
        </is>
      </c>
      <c r="C50" s="8" t="inlineStr">
        <is>
          <t>TTC</t>
        </is>
      </c>
      <c r="D50" s="9" t="inlineStr">
        <is>
          <t>G5</t>
        </is>
      </c>
      <c r="E50" s="10" t="n">
        <v>721</v>
      </c>
      <c r="F50" s="6" t="n">
        <v>25.5</v>
      </c>
      <c r="G50" s="6" t="n">
        <v>16.9</v>
      </c>
      <c r="H50" s="6" t="n">
        <v>17.59</v>
      </c>
      <c r="I50" s="6" t="n">
        <v>16.59</v>
      </c>
    </row>
    <row r="51">
      <c r="A51" s="7" t="inlineStr">
        <is>
          <t>Estrategias</t>
        </is>
      </c>
      <c r="B51" s="8" t="inlineStr">
        <is>
          <t>202606</t>
        </is>
      </c>
      <c r="C51" s="8" t="inlineStr">
        <is>
          <t>TTC</t>
        </is>
      </c>
      <c r="D51" s="11" t="inlineStr">
        <is>
          <t>R</t>
        </is>
      </c>
      <c r="E51" s="10" t="n">
        <v>616</v>
      </c>
      <c r="F51" s="6" t="n">
        <v>21.8</v>
      </c>
      <c r="G51" s="6" t="n">
        <v>25.94</v>
      </c>
      <c r="H51" s="6" t="n">
        <v>26.52</v>
      </c>
      <c r="I51" s="6" t="n">
        <v>25.5</v>
      </c>
    </row>
    <row r="52">
      <c r="A52" s="7" t="inlineStr">
        <is>
          <t>Estrategias</t>
        </is>
      </c>
      <c r="B52" s="8" t="inlineStr">
        <is>
          <t>202606</t>
        </is>
      </c>
      <c r="C52" s="8" t="inlineStr">
        <is>
          <t>PIT</t>
        </is>
      </c>
      <c r="D52" s="9" t="inlineStr">
        <is>
          <t>G1</t>
        </is>
      </c>
      <c r="E52" s="10" t="n">
        <v>161</v>
      </c>
      <c r="F52" s="6" t="n">
        <v>5.7</v>
      </c>
      <c r="G52" s="6" t="n">
        <v>2.19</v>
      </c>
      <c r="H52" s="6" t="n">
        <v>1.38</v>
      </c>
      <c r="I52" s="6" t="n">
        <v>0.76</v>
      </c>
    </row>
    <row r="53">
      <c r="A53" s="7" t="inlineStr">
        <is>
          <t>Estrategias</t>
        </is>
      </c>
      <c r="B53" s="8" t="inlineStr">
        <is>
          <t>202606</t>
        </is>
      </c>
      <c r="C53" s="8" t="inlineStr">
        <is>
          <t>PIT</t>
        </is>
      </c>
      <c r="D53" s="9" t="inlineStr">
        <is>
          <t>G2</t>
        </is>
      </c>
      <c r="E53" s="10" t="n">
        <v>179</v>
      </c>
      <c r="F53" s="6" t="n">
        <v>6.3</v>
      </c>
      <c r="G53" s="6" t="n">
        <v>3.93</v>
      </c>
      <c r="H53" s="6" t="n">
        <v>3.21</v>
      </c>
      <c r="I53" s="6" t="n">
        <v>2.34</v>
      </c>
    </row>
    <row r="54">
      <c r="A54" s="7" t="inlineStr">
        <is>
          <t>Estrategias</t>
        </is>
      </c>
      <c r="B54" s="8" t="inlineStr">
        <is>
          <t>202606</t>
        </is>
      </c>
      <c r="C54" s="8" t="inlineStr">
        <is>
          <t>PIT</t>
        </is>
      </c>
      <c r="D54" s="9" t="inlineStr">
        <is>
          <t>G3</t>
        </is>
      </c>
      <c r="E54" s="10" t="n">
        <v>485</v>
      </c>
      <c r="F54" s="6" t="n">
        <v>17.1</v>
      </c>
      <c r="G54" s="6" t="n">
        <v>6.97</v>
      </c>
      <c r="H54" s="6" t="n">
        <v>6.88</v>
      </c>
      <c r="I54" s="6" t="n">
        <v>6</v>
      </c>
    </row>
    <row r="55">
      <c r="A55" s="7" t="inlineStr">
        <is>
          <t>Estrategias</t>
        </is>
      </c>
      <c r="B55" s="8" t="inlineStr">
        <is>
          <t>202606</t>
        </is>
      </c>
      <c r="C55" s="8" t="inlineStr">
        <is>
          <t>PIT</t>
        </is>
      </c>
      <c r="D55" s="9" t="inlineStr">
        <is>
          <t>G4</t>
        </is>
      </c>
      <c r="E55" s="10" t="n">
        <v>408</v>
      </c>
      <c r="F55" s="6" t="n">
        <v>14.4</v>
      </c>
      <c r="G55" s="6" t="n">
        <v>10.56</v>
      </c>
      <c r="H55" s="6" t="n">
        <v>10.87</v>
      </c>
      <c r="I55" s="6" t="n">
        <v>9.960000000000001</v>
      </c>
    </row>
    <row r="56">
      <c r="A56" s="7" t="inlineStr">
        <is>
          <t>Estrategias</t>
        </is>
      </c>
      <c r="B56" s="8" t="inlineStr">
        <is>
          <t>202606</t>
        </is>
      </c>
      <c r="C56" s="8" t="inlineStr">
        <is>
          <t>PIT</t>
        </is>
      </c>
      <c r="D56" s="9" t="inlineStr">
        <is>
          <t>G5</t>
        </is>
      </c>
      <c r="E56" s="10" t="n">
        <v>363</v>
      </c>
      <c r="F56" s="6" t="n">
        <v>12.8</v>
      </c>
      <c r="G56" s="6" t="n">
        <v>13.64</v>
      </c>
      <c r="H56" s="6" t="n">
        <v>13.94</v>
      </c>
      <c r="I56" s="6" t="n">
        <v>12.98</v>
      </c>
    </row>
    <row r="57">
      <c r="A57" s="7" t="inlineStr">
        <is>
          <t>Estrategias</t>
        </is>
      </c>
      <c r="B57" s="8" t="inlineStr">
        <is>
          <t>202606</t>
        </is>
      </c>
      <c r="C57" s="8" t="inlineStr">
        <is>
          <t>PIT</t>
        </is>
      </c>
      <c r="D57" s="11" t="inlineStr">
        <is>
          <t>R</t>
        </is>
      </c>
      <c r="E57" s="10" t="n">
        <v>1234</v>
      </c>
      <c r="F57" s="6" t="n">
        <v>43.6</v>
      </c>
      <c r="G57" s="6" t="n">
        <v>21.59</v>
      </c>
      <c r="H57" s="6" t="n">
        <v>22.26</v>
      </c>
      <c r="I57" s="6" t="n">
        <v>21.25</v>
      </c>
    </row>
    <row r="58">
      <c r="A58" s="7" t="inlineStr">
        <is>
          <t>Estrategias</t>
        </is>
      </c>
      <c r="B58" s="8" t="inlineStr">
        <is>
          <t>202607</t>
        </is>
      </c>
      <c r="C58" s="8" t="inlineStr">
        <is>
          <t>RAW</t>
        </is>
      </c>
      <c r="D58" s="9" t="inlineStr">
        <is>
          <t>G1</t>
        </is>
      </c>
      <c r="E58" s="10" t="n">
        <v>195</v>
      </c>
      <c r="F58" s="6" t="n">
        <v>5.7</v>
      </c>
      <c r="G58" s="6" t="n">
        <v>2.13</v>
      </c>
      <c r="H58" s="6" t="n">
        <v>1.6</v>
      </c>
      <c r="I58" s="6" t="n">
        <v>0.99</v>
      </c>
    </row>
    <row r="59">
      <c r="A59" s="7" t="inlineStr">
        <is>
          <t>Estrategias</t>
        </is>
      </c>
      <c r="B59" s="8" t="inlineStr">
        <is>
          <t>202607</t>
        </is>
      </c>
      <c r="C59" s="8" t="inlineStr">
        <is>
          <t>RAW</t>
        </is>
      </c>
      <c r="D59" s="9" t="inlineStr">
        <is>
          <t>G2</t>
        </is>
      </c>
      <c r="E59" s="10" t="n">
        <v>314</v>
      </c>
      <c r="F59" s="6" t="n">
        <v>9.199999999999999</v>
      </c>
      <c r="G59" s="6" t="n">
        <v>5.17</v>
      </c>
      <c r="H59" s="6" t="n">
        <v>5.18</v>
      </c>
      <c r="I59" s="6" t="n">
        <v>4.41</v>
      </c>
    </row>
    <row r="60">
      <c r="A60" s="7" t="inlineStr">
        <is>
          <t>Estrategias</t>
        </is>
      </c>
      <c r="B60" s="8" t="inlineStr">
        <is>
          <t>202607</t>
        </is>
      </c>
      <c r="C60" s="8" t="inlineStr">
        <is>
          <t>RAW</t>
        </is>
      </c>
      <c r="D60" s="9" t="inlineStr">
        <is>
          <t>G3</t>
        </is>
      </c>
      <c r="E60" s="10" t="n">
        <v>746</v>
      </c>
      <c r="F60" s="6" t="n">
        <v>21.9</v>
      </c>
      <c r="G60" s="6" t="n">
        <v>9.57</v>
      </c>
      <c r="H60" s="6" t="n">
        <v>10.28</v>
      </c>
      <c r="I60" s="6" t="n">
        <v>9.529999999999999</v>
      </c>
    </row>
    <row r="61">
      <c r="A61" s="7" t="inlineStr">
        <is>
          <t>Estrategias</t>
        </is>
      </c>
      <c r="B61" s="8" t="inlineStr">
        <is>
          <t>202607</t>
        </is>
      </c>
      <c r="C61" s="8" t="inlineStr">
        <is>
          <t>RAW</t>
        </is>
      </c>
      <c r="D61" s="9" t="inlineStr">
        <is>
          <t>G4</t>
        </is>
      </c>
      <c r="E61" s="10" t="n">
        <v>891</v>
      </c>
      <c r="F61" s="6" t="n">
        <v>26.1</v>
      </c>
      <c r="G61" s="6" t="n">
        <v>14.46</v>
      </c>
      <c r="H61" s="6" t="n">
        <v>15.34</v>
      </c>
      <c r="I61" s="6" t="n">
        <v>14.58</v>
      </c>
    </row>
    <row r="62">
      <c r="A62" s="7" t="inlineStr">
        <is>
          <t>Estrategias</t>
        </is>
      </c>
      <c r="B62" s="8" t="inlineStr">
        <is>
          <t>202607</t>
        </is>
      </c>
      <c r="C62" s="8" t="inlineStr">
        <is>
          <t>RAW</t>
        </is>
      </c>
      <c r="D62" s="9" t="inlineStr">
        <is>
          <t>G5</t>
        </is>
      </c>
      <c r="E62" s="10" t="n">
        <v>766</v>
      </c>
      <c r="F62" s="6" t="n">
        <v>22.5</v>
      </c>
      <c r="G62" s="6" t="n">
        <v>20.09</v>
      </c>
      <c r="H62" s="6" t="n">
        <v>20.7</v>
      </c>
      <c r="I62" s="6" t="n">
        <v>19.92</v>
      </c>
    </row>
    <row r="63">
      <c r="A63" s="7" t="inlineStr">
        <is>
          <t>Estrategias</t>
        </is>
      </c>
      <c r="B63" s="8" t="inlineStr">
        <is>
          <t>202607</t>
        </is>
      </c>
      <c r="C63" s="8" t="inlineStr">
        <is>
          <t>RAW</t>
        </is>
      </c>
      <c r="D63" s="11" t="inlineStr">
        <is>
          <t>R</t>
        </is>
      </c>
      <c r="E63" s="10" t="n">
        <v>496</v>
      </c>
      <c r="F63" s="6" t="n">
        <v>14.6</v>
      </c>
      <c r="G63" s="6" t="n">
        <v>30.81</v>
      </c>
      <c r="H63" s="6" t="n">
        <v>29.13</v>
      </c>
      <c r="I63" s="6" t="n">
        <v>28.42</v>
      </c>
    </row>
    <row r="64">
      <c r="A64" s="7" t="inlineStr">
        <is>
          <t>Estrategias</t>
        </is>
      </c>
      <c r="B64" s="8" t="inlineStr">
        <is>
          <t>202607</t>
        </is>
      </c>
      <c r="C64" s="8" t="inlineStr">
        <is>
          <t>TTC</t>
        </is>
      </c>
      <c r="D64" s="9" t="inlineStr">
        <is>
          <t>G1</t>
        </is>
      </c>
      <c r="E64" s="10" t="n">
        <v>271</v>
      </c>
      <c r="F64" s="6" t="n">
        <v>8</v>
      </c>
      <c r="G64" s="6" t="n">
        <v>2.7</v>
      </c>
      <c r="H64" s="6" t="n">
        <v>1.98</v>
      </c>
      <c r="I64" s="6" t="n">
        <v>1.33</v>
      </c>
    </row>
    <row r="65">
      <c r="A65" s="7" t="inlineStr">
        <is>
          <t>Estrategias</t>
        </is>
      </c>
      <c r="B65" s="8" t="inlineStr">
        <is>
          <t>202607</t>
        </is>
      </c>
      <c r="C65" s="8" t="inlineStr">
        <is>
          <t>TTC</t>
        </is>
      </c>
      <c r="D65" s="9" t="inlineStr">
        <is>
          <t>G2</t>
        </is>
      </c>
      <c r="E65" s="10" t="n">
        <v>197</v>
      </c>
      <c r="F65" s="6" t="n">
        <v>5.8</v>
      </c>
      <c r="G65" s="6" t="n">
        <v>5.61</v>
      </c>
      <c r="H65" s="6" t="n">
        <v>5.24</v>
      </c>
      <c r="I65" s="6" t="n">
        <v>4.46</v>
      </c>
    </row>
    <row r="66">
      <c r="A66" s="7" t="inlineStr">
        <is>
          <t>Estrategias</t>
        </is>
      </c>
      <c r="B66" s="8" t="inlineStr">
        <is>
          <t>202607</t>
        </is>
      </c>
      <c r="C66" s="8" t="inlineStr">
        <is>
          <t>TTC</t>
        </is>
      </c>
      <c r="D66" s="9" t="inlineStr">
        <is>
          <t>G3</t>
        </is>
      </c>
      <c r="E66" s="10" t="n">
        <v>498</v>
      </c>
      <c r="F66" s="6" t="n">
        <v>14.6</v>
      </c>
      <c r="G66" s="6" t="n">
        <v>8.710000000000001</v>
      </c>
      <c r="H66" s="6" t="n">
        <v>8.73</v>
      </c>
      <c r="I66" s="6" t="n">
        <v>7.99</v>
      </c>
    </row>
    <row r="67">
      <c r="A67" s="7" t="inlineStr">
        <is>
          <t>Estrategias</t>
        </is>
      </c>
      <c r="B67" s="8" t="inlineStr">
        <is>
          <t>202607</t>
        </is>
      </c>
      <c r="C67" s="8" t="inlineStr">
        <is>
          <t>TTC</t>
        </is>
      </c>
      <c r="D67" s="9" t="inlineStr">
        <is>
          <t>G4</t>
        </is>
      </c>
      <c r="E67" s="10" t="n">
        <v>630</v>
      </c>
      <c r="F67" s="6" t="n">
        <v>18.5</v>
      </c>
      <c r="G67" s="6" t="n">
        <v>12.33</v>
      </c>
      <c r="H67" s="6" t="n">
        <v>12.64</v>
      </c>
      <c r="I67" s="6" t="n">
        <v>11.89</v>
      </c>
    </row>
    <row r="68">
      <c r="A68" s="7" t="inlineStr">
        <is>
          <t>Estrategias</t>
        </is>
      </c>
      <c r="B68" s="8" t="inlineStr">
        <is>
          <t>202607</t>
        </is>
      </c>
      <c r="C68" s="8" t="inlineStr">
        <is>
          <t>TTC</t>
        </is>
      </c>
      <c r="D68" s="9" t="inlineStr">
        <is>
          <t>G5</t>
        </is>
      </c>
      <c r="E68" s="10" t="n">
        <v>986</v>
      </c>
      <c r="F68" s="6" t="n">
        <v>28.9</v>
      </c>
      <c r="G68" s="6" t="n">
        <v>17.1</v>
      </c>
      <c r="H68" s="6" t="n">
        <v>17.61</v>
      </c>
      <c r="I68" s="6" t="n">
        <v>16.83</v>
      </c>
    </row>
    <row r="69">
      <c r="A69" s="7" t="inlineStr">
        <is>
          <t>Estrategias</t>
        </is>
      </c>
      <c r="B69" s="8" t="inlineStr">
        <is>
          <t>202607</t>
        </is>
      </c>
      <c r="C69" s="8" t="inlineStr">
        <is>
          <t>TTC</t>
        </is>
      </c>
      <c r="D69" s="11" t="inlineStr">
        <is>
          <t>R</t>
        </is>
      </c>
      <c r="E69" s="10" t="n">
        <v>826</v>
      </c>
      <c r="F69" s="6" t="n">
        <v>24.2</v>
      </c>
      <c r="G69" s="6" t="n">
        <v>26.55</v>
      </c>
      <c r="H69" s="6" t="n">
        <v>27.05</v>
      </c>
      <c r="I69" s="6" t="n">
        <v>26.31</v>
      </c>
    </row>
    <row r="70">
      <c r="A70" s="7" t="inlineStr">
        <is>
          <t>Estrategias</t>
        </is>
      </c>
      <c r="B70" s="8" t="inlineStr">
        <is>
          <t>202607</t>
        </is>
      </c>
      <c r="C70" s="8" t="inlineStr">
        <is>
          <t>PIT</t>
        </is>
      </c>
      <c r="D70" s="9" t="inlineStr">
        <is>
          <t>G1</t>
        </is>
      </c>
      <c r="E70" s="10" t="n">
        <v>148</v>
      </c>
      <c r="F70" s="6" t="n">
        <v>4.3</v>
      </c>
      <c r="G70" s="6" t="n">
        <v>1.99</v>
      </c>
      <c r="H70" s="6" t="n">
        <v>1.21</v>
      </c>
      <c r="I70" s="6" t="n">
        <v>0.66</v>
      </c>
    </row>
    <row r="71">
      <c r="A71" s="7" t="inlineStr">
        <is>
          <t>Estrategias</t>
        </is>
      </c>
      <c r="B71" s="8" t="inlineStr">
        <is>
          <t>202607</t>
        </is>
      </c>
      <c r="C71" s="8" t="inlineStr">
        <is>
          <t>PIT</t>
        </is>
      </c>
      <c r="D71" s="9" t="inlineStr">
        <is>
          <t>G2</t>
        </is>
      </c>
      <c r="E71" s="10" t="n">
        <v>142</v>
      </c>
      <c r="F71" s="6" t="n">
        <v>4.2</v>
      </c>
      <c r="G71" s="6" t="n">
        <v>3.63</v>
      </c>
      <c r="H71" s="6" t="n">
        <v>3.06</v>
      </c>
      <c r="I71" s="6" t="n">
        <v>2.28</v>
      </c>
    </row>
    <row r="72">
      <c r="A72" s="7" t="inlineStr">
        <is>
          <t>Estrategias</t>
        </is>
      </c>
      <c r="B72" s="8" t="inlineStr">
        <is>
          <t>202607</t>
        </is>
      </c>
      <c r="C72" s="8" t="inlineStr">
        <is>
          <t>PIT</t>
        </is>
      </c>
      <c r="D72" s="9" t="inlineStr">
        <is>
          <t>G3</t>
        </is>
      </c>
      <c r="E72" s="10" t="n">
        <v>460</v>
      </c>
      <c r="F72" s="6" t="n">
        <v>13.5</v>
      </c>
      <c r="G72" s="6" t="n">
        <v>7.11</v>
      </c>
      <c r="H72" s="6" t="n">
        <v>6.89</v>
      </c>
      <c r="I72" s="6" t="n">
        <v>6.13</v>
      </c>
    </row>
    <row r="73">
      <c r="A73" s="7" t="inlineStr">
        <is>
          <t>Estrategias</t>
        </is>
      </c>
      <c r="B73" s="8" t="inlineStr">
        <is>
          <t>202607</t>
        </is>
      </c>
      <c r="C73" s="8" t="inlineStr">
        <is>
          <t>PIT</t>
        </is>
      </c>
      <c r="D73" s="9" t="inlineStr">
        <is>
          <t>G4</t>
        </is>
      </c>
      <c r="E73" s="10" t="n">
        <v>463</v>
      </c>
      <c r="F73" s="6" t="n">
        <v>13.6</v>
      </c>
      <c r="G73" s="6" t="n">
        <v>10.61</v>
      </c>
      <c r="H73" s="6" t="n">
        <v>10.75</v>
      </c>
      <c r="I73" s="6" t="n">
        <v>10.01</v>
      </c>
    </row>
    <row r="74">
      <c r="A74" s="7" t="inlineStr">
        <is>
          <t>Estrategias</t>
        </is>
      </c>
      <c r="B74" s="8" t="inlineStr">
        <is>
          <t>202607</t>
        </is>
      </c>
      <c r="C74" s="8" t="inlineStr">
        <is>
          <t>PIT</t>
        </is>
      </c>
      <c r="D74" s="9" t="inlineStr">
        <is>
          <t>G5</t>
        </is>
      </c>
      <c r="E74" s="10" t="n">
        <v>512</v>
      </c>
      <c r="F74" s="6" t="n">
        <v>15</v>
      </c>
      <c r="G74" s="6" t="n">
        <v>13.32</v>
      </c>
      <c r="H74" s="6" t="n">
        <v>13.75</v>
      </c>
      <c r="I74" s="6" t="n">
        <v>12.99</v>
      </c>
    </row>
    <row r="75">
      <c r="A75" s="7" t="inlineStr">
        <is>
          <t>Estrategias</t>
        </is>
      </c>
      <c r="B75" s="8" t="inlineStr">
        <is>
          <t>202607</t>
        </is>
      </c>
      <c r="C75" s="8" t="inlineStr">
        <is>
          <t>PIT</t>
        </is>
      </c>
      <c r="D75" s="11" t="inlineStr">
        <is>
          <t>R</t>
        </is>
      </c>
      <c r="E75" s="10" t="n">
        <v>1683</v>
      </c>
      <c r="F75" s="6" t="n">
        <v>49.4</v>
      </c>
      <c r="G75" s="6" t="n">
        <v>21.94</v>
      </c>
      <c r="H75" s="6" t="n">
        <v>22.45</v>
      </c>
      <c r="I75" s="6" t="n">
        <v>21.69</v>
      </c>
    </row>
  </sheetData>
  <mergeCells count="1">
    <mergeCell ref="A1:I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19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9" customWidth="1" min="2" max="2"/>
    <col width="9" customWidth="1" min="3" max="3"/>
    <col width="9" customWidth="1" min="4" max="4"/>
    <col width="9" customWidth="1" min="5" max="5"/>
  </cols>
  <sheetData>
    <row r="1">
      <c r="A1" s="12" t="inlineStr">
        <is>
          <t>Mean PD por grupo (agrupacion PIT) — Reg vs Est se superponen = equi-riesgo</t>
        </is>
      </c>
      <c r="B1" s="2" t="n"/>
      <c r="C1" s="2" t="n"/>
      <c r="D1" s="2" t="n"/>
      <c r="E1" s="3" t="n"/>
    </row>
    <row r="3">
      <c r="A3" s="4" t="inlineStr">
        <is>
          <t>Grupo</t>
        </is>
      </c>
      <c r="B3" s="4" t="inlineStr">
        <is>
          <t>Reg jun</t>
        </is>
      </c>
      <c r="C3" s="4" t="inlineStr">
        <is>
          <t>Est jun</t>
        </is>
      </c>
      <c r="D3" s="4" t="inlineStr">
        <is>
          <t>Reg jul</t>
        </is>
      </c>
      <c r="E3" s="4" t="inlineStr">
        <is>
          <t>Est jul</t>
        </is>
      </c>
    </row>
    <row r="4">
      <c r="A4" s="13" t="inlineStr">
        <is>
          <t>G1</t>
        </is>
      </c>
      <c r="B4" s="6" t="n">
        <v>0.8</v>
      </c>
      <c r="C4" s="6" t="n">
        <v>0.76</v>
      </c>
      <c r="D4" s="6" t="n">
        <v>0.83</v>
      </c>
      <c r="E4" s="6" t="n">
        <v>0.66</v>
      </c>
    </row>
    <row r="5">
      <c r="A5" s="13" t="inlineStr">
        <is>
          <t>G2</t>
        </is>
      </c>
      <c r="B5" s="6" t="n">
        <v>2.43</v>
      </c>
      <c r="C5" s="6" t="n">
        <v>2.34</v>
      </c>
      <c r="D5" s="6" t="n">
        <v>2.41</v>
      </c>
      <c r="E5" s="6" t="n">
        <v>2.28</v>
      </c>
    </row>
    <row r="6">
      <c r="A6" s="13" t="inlineStr">
        <is>
          <t>G3</t>
        </is>
      </c>
      <c r="B6" s="6" t="n">
        <v>5.78</v>
      </c>
      <c r="C6" s="6" t="n">
        <v>6</v>
      </c>
      <c r="D6" s="6" t="n">
        <v>5.79</v>
      </c>
      <c r="E6" s="6" t="n">
        <v>6.13</v>
      </c>
    </row>
    <row r="7">
      <c r="A7" s="13" t="inlineStr">
        <is>
          <t>G4</t>
        </is>
      </c>
      <c r="B7" s="6" t="n">
        <v>9.800000000000001</v>
      </c>
      <c r="C7" s="6" t="n">
        <v>9.960000000000001</v>
      </c>
      <c r="D7" s="6" t="n">
        <v>9.859999999999999</v>
      </c>
      <c r="E7" s="6" t="n">
        <v>10.01</v>
      </c>
    </row>
    <row r="8">
      <c r="A8" s="13" t="inlineStr">
        <is>
          <t>G5</t>
        </is>
      </c>
      <c r="B8" s="6" t="n">
        <v>12.9</v>
      </c>
      <c r="C8" s="6" t="n">
        <v>12.98</v>
      </c>
      <c r="D8" s="6" t="n">
        <v>12.93</v>
      </c>
      <c r="E8" s="6" t="n">
        <v>12.99</v>
      </c>
    </row>
    <row r="9">
      <c r="A9" s="13" t="inlineStr">
        <is>
          <t>R</t>
        </is>
      </c>
      <c r="B9" s="6" t="n">
        <v>20.03</v>
      </c>
      <c r="C9" s="6" t="n">
        <v>21.25</v>
      </c>
      <c r="D9" s="6" t="n">
        <v>19.97</v>
      </c>
      <c r="E9" s="6" t="n">
        <v>21.69</v>
      </c>
    </row>
    <row r="13">
      <c r="A13" s="12" t="inlineStr">
        <is>
          <t>Mean PD portafolio (ponderado por n)</t>
        </is>
      </c>
      <c r="B13" s="2" t="n"/>
      <c r="C13" s="2" t="n"/>
      <c r="D13" s="3" t="n"/>
    </row>
    <row r="15">
      <c r="A15" s="4" t="inlineStr">
        <is>
          <t>Marca / Mes</t>
        </is>
      </c>
      <c r="B15" s="4" t="inlineStr">
        <is>
          <t>PD RAW</t>
        </is>
      </c>
      <c r="C15" s="4" t="inlineStr">
        <is>
          <t>PD TTC</t>
        </is>
      </c>
      <c r="D15" s="4" t="inlineStr">
        <is>
          <t>PD PIT</t>
        </is>
      </c>
    </row>
    <row r="16">
      <c r="A16" s="5" t="inlineStr">
        <is>
          <t>Regular jun</t>
        </is>
      </c>
      <c r="B16" s="6" t="n">
        <v>11.1</v>
      </c>
      <c r="C16" s="6" t="n">
        <v>10</v>
      </c>
      <c r="D16" s="6" t="n">
        <v>9.1</v>
      </c>
    </row>
    <row r="17">
      <c r="A17" s="5" t="inlineStr">
        <is>
          <t>Regular jul</t>
        </is>
      </c>
      <c r="B17" s="6" t="n">
        <v>11.3</v>
      </c>
      <c r="C17" s="6" t="n">
        <v>10.4</v>
      </c>
      <c r="D17" s="6" t="n">
        <v>9.699999999999999</v>
      </c>
    </row>
    <row r="18">
      <c r="A18" s="5" t="inlineStr">
        <is>
          <t>Estrategias jun</t>
        </is>
      </c>
      <c r="B18" s="6" t="n">
        <v>14.3</v>
      </c>
      <c r="C18" s="6" t="n">
        <v>14.5</v>
      </c>
      <c r="D18" s="6" t="n">
        <v>13.6</v>
      </c>
    </row>
    <row r="19">
      <c r="A19" s="5" t="inlineStr">
        <is>
          <t>Estrategias jul</t>
        </is>
      </c>
      <c r="B19" s="6" t="n">
        <v>15.5</v>
      </c>
      <c r="C19" s="6" t="n">
        <v>15.7</v>
      </c>
      <c r="D19" s="6" t="n">
        <v>15</v>
      </c>
    </row>
  </sheetData>
  <mergeCells count="2">
    <mergeCell ref="A1:E1"/>
    <mergeCell ref="A13:D13"/>
  </mergeCells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2026-08-19T22:36:24Z</dcterms:created>
  <dcterms:modified xmlns:dcterms="http://purl.org/dc/terms/" xmlns:xsi="http://www.w3.org/2001/XMLSchema-instance" xsi:type="dcterms:W3CDTF">2026-08-19T22:36:24Z</dcterms:modified>
</cp:coreProperties>
</file>