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SERIE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+0.0000;-0.0000"/>
    <numFmt numFmtId="166" formatCode="0.0&quot;x&quot;"/>
    <numFmt numFmtId="167" formatCode="+0.0%;-0.0%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9"/>
    </font>
    <font>
      <name val="Arial"/>
      <b val="1"/>
      <color rgb="001F3864"/>
      <sz val="11"/>
    </font>
    <font>
      <name val="Arial"/>
      <b val="1"/>
      <sz val="9"/>
    </font>
    <font>
      <name val="Arial"/>
      <i val="1"/>
      <color rgb="00595959"/>
      <sz val="8.5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wrapText="1"/>
    </xf>
    <xf numFmtId="0" fontId="4" fillId="0" borderId="1" pivotButton="0" quotePrefix="0" xfId="0"/>
    <xf numFmtId="1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0" fontId="2" fillId="0" borderId="1" pivotButton="0" quotePrefix="0" xfId="0"/>
    <xf numFmtId="166" fontId="2" fillId="0" borderId="1" pivotButton="0" quotePrefix="0" xfId="0"/>
    <xf numFmtId="167" fontId="4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49" fontId="2" fillId="0" borderId="1" pivotButton="0" quotePrefix="0" xfId="0"/>
    <xf numFmtId="167" fontId="2" fillId="0" borderId="1" pivotButton="0" quotePrefix="0" xfId="0"/>
    <xf numFmtId="49" fontId="4" fillId="0" borderId="1" pivotButton="0" quotePrefix="0" xfId="0"/>
    <xf numFmtId="3" fontId="4" fillId="0" borderId="1" pivotButton="0" quotePrefix="0" xfId="0"/>
    <xf numFmtId="10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Poder discriminante mensual - Admision TC No Bancarizado</t>
        </is>
      </c>
    </row>
    <row r="2">
      <c r="A2" s="2" t="inlineStr"/>
    </row>
    <row r="3">
      <c r="A3" s="3" t="inlineStr">
        <is>
          <t>COMO SE CALCULA</t>
        </is>
      </c>
    </row>
    <row r="4">
      <c r="A4" s="2" t="inlineStr">
        <is>
          <t>Gini = 2 x AUC - 1, sobre la mora a 12 meses cerrada. Es la definicion estandar y la que usa el</t>
        </is>
      </c>
    </row>
    <row r="5">
      <c r="A5" s="2" t="inlineStr">
        <is>
          <t>pipeline en monitoring.json. NO se usa el area de la curva CAP normalizada por 0.5, que subestima</t>
        </is>
      </c>
    </row>
    <row r="6">
      <c r="A6" s="2" t="inlineStr">
        <is>
          <t>el Gini por un factor (1 - tasa de mora).</t>
        </is>
      </c>
    </row>
    <row r="7">
      <c r="A7" s="2" t="inlineStr"/>
    </row>
    <row r="8">
      <c r="A8" s="3" t="inlineStr">
        <is>
          <t>LAS DOS COLUMNAS DE GINI</t>
        </is>
      </c>
    </row>
    <row r="9">
      <c r="A9" s="2" t="inlineStr">
        <is>
          <t>gini_raw    sobre pd_raw, el score sin calibrar</t>
        </is>
      </c>
    </row>
    <row r="10">
      <c r="A10" s="2" t="inlineStr">
        <is>
          <t>gini_cal    sobre pd_pit, la PD calibrada entregada</t>
        </is>
      </c>
    </row>
    <row r="11">
      <c r="A11" s="2" t="inlineStr">
        <is>
          <t>gini_banda  sobre pd_raw pero restringido a una banda FIJA de score comun a todos los meses:</t>
        </is>
      </c>
    </row>
    <row r="12">
      <c r="A12" s="2" t="inlineStr">
        <is>
          <t xml:space="preserve">            probit(pd) en [-1.9636, -0.5894], o sea pd entre 2.48% y 27.78%.</t>
        </is>
      </c>
    </row>
    <row r="13">
      <c r="A13" s="2" t="inlineStr">
        <is>
          <t xml:space="preserve">            Sirve para descartar que la caida sea truncamiento del rango de score.</t>
        </is>
      </c>
    </row>
    <row r="14">
      <c r="A14" s="2" t="inlineStr"/>
    </row>
    <row r="15">
      <c r="A15" s="3" t="inlineStr">
        <is>
          <t>QUE MUESTRA</t>
        </is>
      </c>
    </row>
    <row r="16">
      <c r="A16" s="2" t="inlineStr">
        <is>
          <t>El Gini cae de 0.5214 (pre 202411) a 0.3562 (regimen), un 31.7%. La caida es real:</t>
        </is>
      </c>
    </row>
    <row r="17">
      <c r="A17" s="2" t="inlineStr">
        <is>
          <t xml:space="preserve">  - controlando por banda fija de score la caida es 33.2%, o sea MAYOR, no menor</t>
        </is>
      </c>
    </row>
    <row r="18">
      <c r="A18" s="2" t="inlineStr">
        <is>
          <t xml:space="preserve">  - reponderando el regimen a la composicion de score previa da 0.3006, tambien peor</t>
        </is>
      </c>
    </row>
    <row r="19">
      <c r="A19" s="2" t="inlineStr">
        <is>
          <t xml:space="preserve">  - el truncamiento del score explica -4.6% de la caida, o sea nada</t>
        </is>
      </c>
    </row>
    <row r="20">
      <c r="A20" s="2" t="inlineStr"/>
    </row>
    <row r="21">
      <c r="A21" s="3" t="inlineStr">
        <is>
          <t>PERO NO ES QUE EL MODELO SE HAYA ROTO. Mirar las dos ultimas columnas:</t>
        </is>
      </c>
    </row>
    <row r="22">
      <c r="A22" s="2" t="inlineStr">
        <is>
          <t xml:space="preserve">  el decil BUENO   0.90%  -&gt;  0.69%    casi no se mueve</t>
        </is>
      </c>
    </row>
    <row r="23">
      <c r="A23" s="2" t="inlineStr">
        <is>
          <t xml:space="preserve">  el decil MALO   35.11%  -&gt; 11.72%    cae 67%</t>
        </is>
      </c>
    </row>
    <row r="24">
      <c r="A24" s="2" t="inlineStr">
        <is>
          <t>El score sigue ordenando; lo que desaparecio es la cola. Los 20 filtros de admision sacaron a los</t>
        </is>
      </c>
    </row>
    <row r="25">
      <c r="A25" s="2" t="inlineStr">
        <is>
          <t>clientes que habrian incumplido al 35%. El truncamiento ocurrio en una dimension que el score no ve,</t>
        </is>
      </c>
    </row>
    <row r="26">
      <c r="A26" s="2" t="inlineStr">
        <is>
          <t>por eso controlar por banda de score no lo captura.</t>
        </is>
      </c>
    </row>
    <row r="27">
      <c r="A27" s="2" t="inlineStr"/>
    </row>
    <row r="28">
      <c r="A28" s="4" t="inlineStr">
        <is>
          <t>Consecuencia: un Gini de 0.36 sobre poblacion ya filtrada no es comparable con uno de 0.52 sobre</t>
        </is>
      </c>
    </row>
    <row r="29">
      <c r="A29" s="4" t="inlineStr">
        <is>
          <t>poblacion sin filtrar. Presentarlos lado a lado como deterioro del modelo seria incorrecto.</t>
        </is>
      </c>
    </row>
    <row r="30">
      <c r="A30" s="2" t="inlineStr"/>
    </row>
    <row r="31">
      <c r="A31" s="3" t="inlineStr">
        <is>
          <t>LIMITACIONES</t>
        </is>
      </c>
    </row>
    <row r="32">
      <c r="A32" s="2" t="inlineStr">
        <is>
          <t>1. Los IC95 del regimen son anchos: con 114 a 193 malos por mes la banda va de +-0.09 a +-0.10.</t>
        </is>
      </c>
    </row>
    <row r="33">
      <c r="A33" s="2" t="inlineStr">
        <is>
          <t xml:space="preserve">   Ningun mes individual del regimen es distinguible de otro. Lo significativo es el escalon</t>
        </is>
      </c>
    </row>
    <row r="34">
      <c r="A34" s="2" t="inlineStr">
        <is>
          <t xml:space="preserve">   agregado: z=11.14, p&lt;1e-16.</t>
        </is>
      </c>
    </row>
    <row r="35">
      <c r="A35" s="2" t="inlineStr">
        <is>
          <t>2. 202403 y 202412 no tienen ratio d10/d1 porque su decil 1 tuvo cero malos.</t>
        </is>
      </c>
    </row>
    <row r="36">
      <c r="A36" s="5" t="inlineStr">
        <is>
          <t>3. La columna gini_cal usa la PD entregada, que tiene un defecto pendiente de correccion: el paso 06</t>
        </is>
      </c>
    </row>
    <row r="37">
      <c r="A37" s="5" t="inlineStr">
        <is>
          <t xml:space="preserve">   ancla los nodos a la LRA cruda en vez de la estandarizada (targets corridos -149/-181/-102 bps).</t>
        </is>
      </c>
    </row>
    <row r="38">
      <c r="A38" s="5" t="inlineStr">
        <is>
          <t xml:space="preserve">   gini_raw y gini_banda no dependen de la calibracion y no estan afectados.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1" customWidth="1" min="3" max="3"/>
    <col width="15" customWidth="1" min="4" max="4"/>
    <col width="15" customWidth="1" min="5" max="5"/>
    <col width="11" customWidth="1" min="6" max="6"/>
    <col width="15" customWidth="1" min="7" max="7"/>
    <col width="12" customWidth="1" min="8" max="8"/>
    <col width="13" customWidth="1" min="9" max="9"/>
    <col width="12" customWidth="1" min="10" max="10"/>
  </cols>
  <sheetData>
    <row r="1">
      <c r="A1" s="1" t="inlineStr">
        <is>
          <t>Antes y despues del quiebre de admision de 202411</t>
        </is>
      </c>
    </row>
    <row r="2">
      <c r="A2" s="5" t="inlineStr">
        <is>
          <t>Promedios ponderados por n. Todas las celdas son formulas sobre SERIE_MENSUAL.</t>
        </is>
      </c>
    </row>
    <row r="4">
      <c r="A4" s="6" t="inlineStr">
        <is>
          <t>tramo</t>
        </is>
      </c>
      <c r="B4" s="6" t="inlineStr">
        <is>
          <t>meses</t>
        </is>
      </c>
      <c r="C4" s="6" t="inlineStr">
        <is>
          <t>n</t>
        </is>
      </c>
      <c r="D4" s="6" t="inlineStr">
        <is>
          <t>Gini SIN calibrar</t>
        </is>
      </c>
      <c r="E4" s="6" t="inlineStr">
        <is>
          <t>Gini CON calibracion</t>
        </is>
      </c>
      <c r="F4" s="6" t="inlineStr">
        <is>
          <t>aporte</t>
        </is>
      </c>
      <c r="G4" s="6" t="inlineStr">
        <is>
          <t>Gini en banda fija</t>
        </is>
      </c>
      <c r="H4" s="6" t="inlineStr">
        <is>
          <t>mora decil 1</t>
        </is>
      </c>
      <c r="I4" s="6" t="inlineStr">
        <is>
          <t>mora decil 10</t>
        </is>
      </c>
      <c r="J4" s="6" t="inlineStr">
        <is>
          <t>ratio d10/d1</t>
        </is>
      </c>
    </row>
    <row r="5">
      <c r="A5" s="7" t="inlineStr">
        <is>
          <t>pre 202303-202410</t>
        </is>
      </c>
      <c r="B5" s="8">
        <f>COUNT(SERIE_MENSUAL!$B$5:$B$24)</f>
        <v/>
      </c>
      <c r="C5" s="9">
        <f>SUM(SERIE_MENSUAL!$B$5:$B$24)</f>
        <v/>
      </c>
      <c r="D5" s="10">
        <f>SUMPRODUCT(SERIE_MENSUAL!$E$5:$E$24,SERIE_MENSUAL!$B$5:$B$24)/SUM(SERIE_MENSUAL!$B$5:$B$24)</f>
        <v/>
      </c>
      <c r="E5" s="10">
        <f>SUMPRODUCT(SERIE_MENSUAL!$F$5:$F$24,SERIE_MENSUAL!$B$5:$B$24)/SUM(SERIE_MENSUAL!$B$5:$B$24)</f>
        <v/>
      </c>
      <c r="F5" s="11">
        <f>E5-D5</f>
        <v/>
      </c>
      <c r="G5" s="10">
        <f>SUMPRODUCT(SERIE_MENSUAL!$K$5:$K$24,SERIE_MENSUAL!$B$5:$B$24)/SUM(SERIE_MENSUAL!$B$5:$B$24)</f>
        <v/>
      </c>
      <c r="H5" s="12">
        <f>SUMPRODUCT(SERIE_MENSUAL!$M$5:$M$24,SERIE_MENSUAL!$B$5:$B$24)/SUM(SERIE_MENSUAL!$B$5:$B$24)</f>
        <v/>
      </c>
      <c r="I5" s="12">
        <f>SUMPRODUCT(SERIE_MENSUAL!$N$5:$N$24,SERIE_MENSUAL!$B$5:$B$24)/SUM(SERIE_MENSUAL!$B$5:$B$24)</f>
        <v/>
      </c>
      <c r="J5" s="13">
        <f>IFERROR(I5/H5,"")</f>
        <v/>
      </c>
    </row>
    <row r="6">
      <c r="A6" s="7" t="inlineStr">
        <is>
          <t>REGIMEN 202411-202506</t>
        </is>
      </c>
      <c r="B6" s="8">
        <f>COUNT(SERIE_MENSUAL!$B$25:$B$32)</f>
        <v/>
      </c>
      <c r="C6" s="9">
        <f>SUM(SERIE_MENSUAL!$B$25:$B$32)</f>
        <v/>
      </c>
      <c r="D6" s="10">
        <f>SUMPRODUCT(SERIE_MENSUAL!$E$25:$E$32,SERIE_MENSUAL!$B$25:$B$32)/SUM(SERIE_MENSUAL!$B$25:$B$32)</f>
        <v/>
      </c>
      <c r="E6" s="10">
        <f>SUMPRODUCT(SERIE_MENSUAL!$F$25:$F$32,SERIE_MENSUAL!$B$25:$B$32)/SUM(SERIE_MENSUAL!$B$25:$B$32)</f>
        <v/>
      </c>
      <c r="F6" s="11">
        <f>E6-D6</f>
        <v/>
      </c>
      <c r="G6" s="10">
        <f>SUMPRODUCT(SERIE_MENSUAL!$K$25:$K$32,SERIE_MENSUAL!$B$25:$B$32)/SUM(SERIE_MENSUAL!$B$25:$B$32)</f>
        <v/>
      </c>
      <c r="H6" s="12">
        <f>SUMPRODUCT(SERIE_MENSUAL!$M$25:$M$32,SERIE_MENSUAL!$B$25:$B$32)/SUM(SERIE_MENSUAL!$B$25:$B$32)</f>
        <v/>
      </c>
      <c r="I6" s="12">
        <f>SUMPRODUCT(SERIE_MENSUAL!$N$25:$N$32,SERIE_MENSUAL!$B$25:$B$32)/SUM(SERIE_MENSUAL!$B$25:$B$32)</f>
        <v/>
      </c>
      <c r="J6" s="13">
        <f>IFERROR(I6/H6,"")</f>
        <v/>
      </c>
    </row>
    <row r="7">
      <c r="A7" s="4" t="inlineStr">
        <is>
          <t>caida</t>
        </is>
      </c>
      <c r="D7" s="14">
        <f>IFERROR(D6/D5-1,"")</f>
        <v/>
      </c>
      <c r="E7" s="14">
        <f>IFERROR(E6/E5-1,"")</f>
        <v/>
      </c>
      <c r="G7" s="14">
        <f>IFERROR(G6/G5-1,"")</f>
        <v/>
      </c>
      <c r="H7" s="14">
        <f>IFERROR(H6/H5-1,"")</f>
        <v/>
      </c>
      <c r="I7" s="14">
        <f>IFERROR(I6/I5-1,"")</f>
        <v/>
      </c>
    </row>
    <row r="9">
      <c r="A9" s="5" t="inlineStr">
        <is>
          <t>El truncamiento del score explica -4.6% de la caida: en banda fija cae MAS que sin controlar.</t>
        </is>
      </c>
    </row>
    <row r="10">
      <c r="A10" s="5" t="inlineStr">
        <is>
          <t>El decil malo cae 67% y el bueno casi no se mueve: desaparecio la cola, no el ordenamiento.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1" customWidth="1" min="4" max="4"/>
    <col width="13" customWidth="1" min="5" max="5"/>
    <col width="13" customWidth="1" min="6" max="6"/>
    <col width="10" customWidth="1" min="7" max="7"/>
    <col width="10" customWidth="1" min="8" max="8"/>
    <col width="11" customWidth="1" min="9" max="9"/>
    <col width="11" customWidth="1" min="10" max="10"/>
    <col width="13" customWidth="1" min="11" max="11"/>
    <col width="11" customWidth="1" min="12" max="12"/>
    <col width="11" customWidth="1" min="13" max="13"/>
    <col width="12" customWidth="1" min="14" max="14"/>
    <col width="9" customWidth="1" min="15" max="15"/>
    <col width="10" customWidth="1" min="16" max="16"/>
    <col width="9" customWidth="1" min="17" max="17"/>
    <col width="10" customWidth="1" min="18" max="18"/>
    <col width="9" customWidth="1" min="19" max="19"/>
    <col width="10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Gini mensual - Interbank, poblacion clean con score y mora 12m cerrada</t>
        </is>
      </c>
    </row>
    <row r="2">
      <c r="A2" s="5" t="inlineStr">
        <is>
          <t>202303-202506, 28 meses, 103,656 altas y 11,172 malos. Las columnas naranjas son formulas.</t>
        </is>
      </c>
    </row>
    <row r="4">
      <c r="A4" s="15" t="inlineStr">
        <is>
          <t>codmes</t>
        </is>
      </c>
      <c r="B4" s="15" t="inlineStr">
        <is>
          <t>n</t>
        </is>
      </c>
      <c r="C4" s="15" t="inlineStr">
        <is>
          <t>malos</t>
        </is>
      </c>
      <c r="D4" s="15" t="inlineStr">
        <is>
          <t>mora 12m</t>
        </is>
      </c>
      <c r="E4" s="15" t="inlineStr">
        <is>
          <t>Gini SIN calibrar</t>
        </is>
      </c>
      <c r="F4" s="15" t="inlineStr">
        <is>
          <t>Gini CON calibracion</t>
        </is>
      </c>
      <c r="G4" s="15" t="inlineStr">
        <is>
          <t>IC95 inf</t>
        </is>
      </c>
      <c r="H4" s="15" t="inlineStr">
        <is>
          <t>IC95 sup</t>
        </is>
      </c>
      <c r="I4" s="15" t="inlineStr">
        <is>
          <t>n en banda</t>
        </is>
      </c>
      <c r="J4" s="15" t="inlineStr">
        <is>
          <t>malos banda</t>
        </is>
      </c>
      <c r="K4" s="15" t="inlineStr">
        <is>
          <t>Gini en banda fija</t>
        </is>
      </c>
      <c r="L4" s="15" t="inlineStr">
        <is>
          <t>sd del score</t>
        </is>
      </c>
      <c r="M4" s="15" t="inlineStr">
        <is>
          <t>mora decil 1</t>
        </is>
      </c>
      <c r="N4" s="15" t="inlineStr">
        <is>
          <t>mora decil 10</t>
        </is>
      </c>
      <c r="O4" s="15" t="inlineStr">
        <is>
          <t>n N1</t>
        </is>
      </c>
      <c r="P4" s="15" t="inlineStr">
        <is>
          <t>Gini N1</t>
        </is>
      </c>
      <c r="Q4" s="15" t="inlineStr">
        <is>
          <t>n N2</t>
        </is>
      </c>
      <c r="R4" s="15" t="inlineStr">
        <is>
          <t>Gini N2</t>
        </is>
      </c>
      <c r="S4" s="15" t="inlineStr">
        <is>
          <t>n N3</t>
        </is>
      </c>
      <c r="T4" s="15" t="inlineStr">
        <is>
          <t>Gini N3</t>
        </is>
      </c>
      <c r="U4" s="16" t="inlineStr">
        <is>
          <t>aporte de calibrar</t>
        </is>
      </c>
      <c r="V4" s="16" t="inlineStr">
        <is>
          <t>ratio d10/d1</t>
        </is>
      </c>
      <c r="W4" s="16" t="inlineStr">
        <is>
          <t>Gini vs media pre</t>
        </is>
      </c>
    </row>
    <row r="5">
      <c r="A5" s="17" t="inlineStr">
        <is>
          <t>202303</t>
        </is>
      </c>
      <c r="B5" s="9" t="n">
        <v>6747</v>
      </c>
      <c r="C5" s="9" t="n">
        <v>1109</v>
      </c>
      <c r="D5" s="12" t="n">
        <v>0.1643693493404476</v>
      </c>
      <c r="E5" s="10" t="n">
        <v>0.4855450791054263</v>
      </c>
      <c r="F5" s="10" t="n">
        <v>0.4890372587661147</v>
      </c>
      <c r="G5" s="10" t="n">
        <v>0.4575487534321156</v>
      </c>
      <c r="H5" s="10" t="n">
        <v>0.5178037202985117</v>
      </c>
      <c r="I5" s="9" t="n">
        <v>6298</v>
      </c>
      <c r="J5" s="9" t="n">
        <v>970</v>
      </c>
      <c r="K5" s="10" t="n">
        <v>0.4346554673229932</v>
      </c>
      <c r="L5" s="10" t="n">
        <v>0.3823074998649567</v>
      </c>
      <c r="M5" s="12" t="n">
        <v>0.01333333333333333</v>
      </c>
      <c r="N5" s="12" t="n">
        <v>0.4088888888888889</v>
      </c>
      <c r="O5" s="9" t="n">
        <v>547</v>
      </c>
      <c r="P5" s="10" t="n">
        <v>0.5673012914392224</v>
      </c>
      <c r="Q5" s="9" t="n">
        <v>2129</v>
      </c>
      <c r="R5" s="10" t="n">
        <v>0.4885232622486706</v>
      </c>
      <c r="S5" s="9" t="n">
        <v>4071</v>
      </c>
      <c r="T5" s="10" t="n">
        <v>0.4248908290342621</v>
      </c>
      <c r="U5" s="11">
        <f>IFERROR(F5-E5,"")</f>
        <v/>
      </c>
      <c r="V5" s="13">
        <f>IFERROR(N5/M5,"")</f>
        <v/>
      </c>
      <c r="W5" s="18">
        <f>IFERROR(E5/0.5214-1,"")</f>
        <v/>
      </c>
    </row>
    <row r="6">
      <c r="A6" s="17" t="inlineStr">
        <is>
          <t>202304</t>
        </is>
      </c>
      <c r="B6" s="9" t="n">
        <v>5942</v>
      </c>
      <c r="C6" s="9" t="n">
        <v>873</v>
      </c>
      <c r="D6" s="12" t="n">
        <v>0.1469202288791653</v>
      </c>
      <c r="E6" s="10" t="n">
        <v>0.5017091739945225</v>
      </c>
      <c r="F6" s="10" t="n">
        <v>0.5062607946195876</v>
      </c>
      <c r="G6" s="10" t="n">
        <v>0.4748452000665647</v>
      </c>
      <c r="H6" s="10" t="n">
        <v>0.5359420678789147</v>
      </c>
      <c r="I6" s="9" t="n">
        <v>5511</v>
      </c>
      <c r="J6" s="9" t="n">
        <v>758</v>
      </c>
      <c r="K6" s="10" t="n">
        <v>0.4306545456362236</v>
      </c>
      <c r="L6" s="10" t="n">
        <v>0.3852713722192325</v>
      </c>
      <c r="M6" s="12" t="n">
        <v>0.01680672268907563</v>
      </c>
      <c r="N6" s="12" t="n">
        <v>0.4235294117647059</v>
      </c>
      <c r="O6" s="9" t="n">
        <v>639</v>
      </c>
      <c r="P6" s="10" t="n">
        <v>0.5280914737436475</v>
      </c>
      <c r="Q6" s="9" t="n">
        <v>2131</v>
      </c>
      <c r="R6" s="10" t="n">
        <v>0.4621286549707602</v>
      </c>
      <c r="S6" s="9" t="n">
        <v>3172</v>
      </c>
      <c r="T6" s="10" t="n">
        <v>0.4525045360290303</v>
      </c>
      <c r="U6" s="11">
        <f>IFERROR(F6-E6,"")</f>
        <v/>
      </c>
      <c r="V6" s="13">
        <f>IFERROR(N6/M6,"")</f>
        <v/>
      </c>
      <c r="W6" s="18">
        <f>IFERROR(E6/0.5214-1,"")</f>
        <v/>
      </c>
    </row>
    <row r="7">
      <c r="A7" s="17" t="inlineStr">
        <is>
          <t>202305</t>
        </is>
      </c>
      <c r="B7" s="9" t="n">
        <v>7417</v>
      </c>
      <c r="C7" s="9" t="n">
        <v>1170</v>
      </c>
      <c r="D7" s="12" t="n">
        <v>0.1577457192935149</v>
      </c>
      <c r="E7" s="10" t="n">
        <v>0.5275493604451504</v>
      </c>
      <c r="F7" s="10" t="n">
        <v>0.5363240338268351</v>
      </c>
      <c r="G7" s="10" t="n">
        <v>0.5094361201367957</v>
      </c>
      <c r="H7" s="10" t="n">
        <v>0.5631568205157244</v>
      </c>
      <c r="I7" s="9" t="n">
        <v>6945</v>
      </c>
      <c r="J7" s="9" t="n">
        <v>1045</v>
      </c>
      <c r="K7" s="10" t="n">
        <v>0.4802022544805773</v>
      </c>
      <c r="L7" s="10" t="n">
        <v>0.3806477839286848</v>
      </c>
      <c r="M7" s="12" t="n">
        <v>0.009433962264150943</v>
      </c>
      <c r="N7" s="12" t="n">
        <v>0.4568733153638814</v>
      </c>
      <c r="O7" s="9" t="n">
        <v>746</v>
      </c>
      <c r="P7" s="10" t="n">
        <v>0.6266523463317912</v>
      </c>
      <c r="Q7" s="9" t="n">
        <v>2511</v>
      </c>
      <c r="R7" s="10" t="n">
        <v>0.5346131296883689</v>
      </c>
      <c r="S7" s="9" t="n">
        <v>4160</v>
      </c>
      <c r="T7" s="10" t="n">
        <v>0.4566479672234478</v>
      </c>
      <c r="U7" s="11">
        <f>IFERROR(F7-E7,"")</f>
        <v/>
      </c>
      <c r="V7" s="13">
        <f>IFERROR(N7/M7,"")</f>
        <v/>
      </c>
      <c r="W7" s="18">
        <f>IFERROR(E7/0.5214-1,"")</f>
        <v/>
      </c>
    </row>
    <row r="8">
      <c r="A8" s="17" t="inlineStr">
        <is>
          <t>202306</t>
        </is>
      </c>
      <c r="B8" s="9" t="n">
        <v>5236</v>
      </c>
      <c r="C8" s="9" t="n">
        <v>721</v>
      </c>
      <c r="D8" s="12" t="n">
        <v>0.1377005347593583</v>
      </c>
      <c r="E8" s="10" t="n">
        <v>0.5493775563962322</v>
      </c>
      <c r="F8" s="10" t="n">
        <v>0.5497904196675283</v>
      </c>
      <c r="G8" s="10" t="n">
        <v>0.518884977505132</v>
      </c>
      <c r="H8" s="10" t="n">
        <v>0.5850922979862255</v>
      </c>
      <c r="I8" s="9" t="n">
        <v>4849</v>
      </c>
      <c r="J8" s="9" t="n">
        <v>634</v>
      </c>
      <c r="K8" s="10" t="n">
        <v>0.4926456885615815</v>
      </c>
      <c r="L8" s="10" t="n">
        <v>0.3855132868840202</v>
      </c>
      <c r="M8" s="12" t="n">
        <v>0.01145038167938931</v>
      </c>
      <c r="N8" s="12" t="n">
        <v>0.4083969465648855</v>
      </c>
      <c r="O8" s="9" t="n">
        <v>674</v>
      </c>
      <c r="P8" s="10" t="n">
        <v>0.6354788541614409</v>
      </c>
      <c r="Q8" s="9" t="n">
        <v>1808</v>
      </c>
      <c r="R8" s="10" t="n">
        <v>0.4792686937813624</v>
      </c>
      <c r="S8" s="9" t="n">
        <v>2754</v>
      </c>
      <c r="T8" s="10" t="n">
        <v>0.5160093099326917</v>
      </c>
      <c r="U8" s="11">
        <f>IFERROR(F8-E8,"")</f>
        <v/>
      </c>
      <c r="V8" s="13">
        <f>IFERROR(N8/M8,"")</f>
        <v/>
      </c>
      <c r="W8" s="18">
        <f>IFERROR(E8/0.5214-1,"")</f>
        <v/>
      </c>
    </row>
    <row r="9">
      <c r="A9" s="17" t="inlineStr">
        <is>
          <t>202307</t>
        </is>
      </c>
      <c r="B9" s="9" t="n">
        <v>3361</v>
      </c>
      <c r="C9" s="9" t="n">
        <v>266</v>
      </c>
      <c r="D9" s="12" t="n">
        <v>0.07914311216899732</v>
      </c>
      <c r="E9" s="10" t="n">
        <v>0.5288981743534926</v>
      </c>
      <c r="F9" s="10" t="n">
        <v>0.535425801984768</v>
      </c>
      <c r="G9" s="10" t="n">
        <v>0.4756394602295906</v>
      </c>
      <c r="H9" s="10" t="n">
        <v>0.5871187433664903</v>
      </c>
      <c r="I9" s="9" t="n">
        <v>3077</v>
      </c>
      <c r="J9" s="9" t="n">
        <v>247</v>
      </c>
      <c r="K9" s="10" t="n">
        <v>0.4777470994692494</v>
      </c>
      <c r="L9" s="10" t="n">
        <v>0.3664950017630923</v>
      </c>
      <c r="M9" s="12" t="n">
        <v>0.005934718100890208</v>
      </c>
      <c r="N9" s="12" t="n">
        <v>0.2470238095238095</v>
      </c>
      <c r="O9" s="9" t="n">
        <v>558</v>
      </c>
      <c r="P9" s="10" t="n">
        <v>0.5994423791821561</v>
      </c>
      <c r="Q9" s="9" t="n">
        <v>1213</v>
      </c>
      <c r="R9" s="10" t="n">
        <v>0.459206647011525</v>
      </c>
      <c r="S9" s="9" t="n">
        <v>1590</v>
      </c>
      <c r="T9" s="10" t="n">
        <v>0.470852334440397</v>
      </c>
      <c r="U9" s="11">
        <f>IFERROR(F9-E9,"")</f>
        <v/>
      </c>
      <c r="V9" s="13">
        <f>IFERROR(N9/M9,"")</f>
        <v/>
      </c>
      <c r="W9" s="18">
        <f>IFERROR(E9/0.5214-1,"")</f>
        <v/>
      </c>
    </row>
    <row r="10">
      <c r="A10" s="17" t="inlineStr">
        <is>
          <t>202308</t>
        </is>
      </c>
      <c r="B10" s="9" t="n">
        <v>4277</v>
      </c>
      <c r="C10" s="9" t="n">
        <v>354</v>
      </c>
      <c r="D10" s="12" t="n">
        <v>0.08276829553425298</v>
      </c>
      <c r="E10" s="10" t="n">
        <v>0.5324898361250687</v>
      </c>
      <c r="F10" s="10" t="n">
        <v>0.5494404288197521</v>
      </c>
      <c r="G10" s="10" t="n">
        <v>0.5034932145623349</v>
      </c>
      <c r="H10" s="10" t="n">
        <v>0.5949137342489546</v>
      </c>
      <c r="I10" s="9" t="n">
        <v>3948</v>
      </c>
      <c r="J10" s="9" t="n">
        <v>319</v>
      </c>
      <c r="K10" s="10" t="n">
        <v>0.4794018231746873</v>
      </c>
      <c r="L10" s="10" t="n">
        <v>0.3690176107472227</v>
      </c>
      <c r="M10" s="12" t="n">
        <v>0.009345794392523364</v>
      </c>
      <c r="N10" s="12" t="n">
        <v>0.2803738317757009</v>
      </c>
      <c r="O10" s="9" t="n">
        <v>784</v>
      </c>
      <c r="P10" s="10" t="n">
        <v>0.6376883463665839</v>
      </c>
      <c r="Q10" s="9" t="n">
        <v>1418</v>
      </c>
      <c r="R10" s="10" t="n">
        <v>0.5076495408289898</v>
      </c>
      <c r="S10" s="9" t="n">
        <v>2075</v>
      </c>
      <c r="T10" s="10" t="n">
        <v>0.4705146341245041</v>
      </c>
      <c r="U10" s="11">
        <f>IFERROR(F10-E10,"")</f>
        <v/>
      </c>
      <c r="V10" s="13">
        <f>IFERROR(N10/M10,"")</f>
        <v/>
      </c>
      <c r="W10" s="18">
        <f>IFERROR(E10/0.5214-1,"")</f>
        <v/>
      </c>
    </row>
    <row r="11">
      <c r="A11" s="17" t="inlineStr">
        <is>
          <t>202309</t>
        </is>
      </c>
      <c r="B11" s="9" t="n">
        <v>2877</v>
      </c>
      <c r="C11" s="9" t="n">
        <v>241</v>
      </c>
      <c r="D11" s="12" t="n">
        <v>0.08376781369482099</v>
      </c>
      <c r="E11" s="10" t="n">
        <v>0.5016732884604487</v>
      </c>
      <c r="F11" s="10" t="n">
        <v>0.5091597982609133</v>
      </c>
      <c r="G11" s="10" t="n">
        <v>0.4469475967189575</v>
      </c>
      <c r="H11" s="10" t="n">
        <v>0.571304509569734</v>
      </c>
      <c r="I11" s="9" t="n">
        <v>2610</v>
      </c>
      <c r="J11" s="9" t="n">
        <v>218</v>
      </c>
      <c r="K11" s="10" t="n">
        <v>0.4662119143321779</v>
      </c>
      <c r="L11" s="10" t="n">
        <v>0.3755425139716678</v>
      </c>
      <c r="M11" s="12" t="n">
        <v>0.01388888888888889</v>
      </c>
      <c r="N11" s="12" t="n">
        <v>0.28125</v>
      </c>
      <c r="O11" s="9" t="n">
        <v>506</v>
      </c>
      <c r="P11" s="10" t="n">
        <v>0.5854839875659654</v>
      </c>
      <c r="Q11" s="9" t="n">
        <v>919</v>
      </c>
      <c r="R11" s="10" t="n">
        <v>0.5189437428243397</v>
      </c>
      <c r="S11" s="9" t="n">
        <v>1452</v>
      </c>
      <c r="T11" s="10" t="n">
        <v>0.4373248371458871</v>
      </c>
      <c r="U11" s="11">
        <f>IFERROR(F11-E11,"")</f>
        <v/>
      </c>
      <c r="V11" s="13">
        <f>IFERROR(N11/M11,"")</f>
        <v/>
      </c>
      <c r="W11" s="18">
        <f>IFERROR(E11/0.5214-1,"")</f>
        <v/>
      </c>
    </row>
    <row r="12">
      <c r="A12" s="17" t="inlineStr">
        <is>
          <t>202310</t>
        </is>
      </c>
      <c r="B12" s="9" t="n">
        <v>2474</v>
      </c>
      <c r="C12" s="9" t="n">
        <v>176</v>
      </c>
      <c r="D12" s="12" t="n">
        <v>0.07113985448666128</v>
      </c>
      <c r="E12" s="10" t="n">
        <v>0.4455455336656382</v>
      </c>
      <c r="F12" s="10" t="n">
        <v>0.4458620143998737</v>
      </c>
      <c r="G12" s="10" t="n">
        <v>0.3668311678092418</v>
      </c>
      <c r="H12" s="10" t="n">
        <v>0.5182337631470906</v>
      </c>
      <c r="I12" s="9" t="n">
        <v>2246</v>
      </c>
      <c r="J12" s="9" t="n">
        <v>157</v>
      </c>
      <c r="K12" s="10" t="n">
        <v>0.3928463623529985</v>
      </c>
      <c r="L12" s="10" t="n">
        <v>0.3885515212439485</v>
      </c>
      <c r="M12" s="12" t="n">
        <v>0.004032258064516129</v>
      </c>
      <c r="N12" s="12" t="n">
        <v>0.1854838709677419</v>
      </c>
      <c r="O12" s="9" t="n">
        <v>390</v>
      </c>
      <c r="P12" s="10" t="n">
        <v>0.6891534391534393</v>
      </c>
      <c r="Q12" s="9" t="n">
        <v>888</v>
      </c>
      <c r="R12" s="10" t="n">
        <v>0.4098128434065935</v>
      </c>
      <c r="S12" s="9" t="n">
        <v>1196</v>
      </c>
      <c r="T12" s="10" t="n">
        <v>0.3612472766884531</v>
      </c>
      <c r="U12" s="11">
        <f>IFERROR(F12-E12,"")</f>
        <v/>
      </c>
      <c r="V12" s="13">
        <f>IFERROR(N12/M12,"")</f>
        <v/>
      </c>
      <c r="W12" s="18">
        <f>IFERROR(E12/0.5214-1,"")</f>
        <v/>
      </c>
    </row>
    <row r="13">
      <c r="A13" s="17" t="inlineStr">
        <is>
          <t>202311</t>
        </is>
      </c>
      <c r="B13" s="9" t="n">
        <v>2866</v>
      </c>
      <c r="C13" s="9" t="n">
        <v>378</v>
      </c>
      <c r="D13" s="12" t="n">
        <v>0.1318911374738311</v>
      </c>
      <c r="E13" s="10" t="n">
        <v>0.4676787202912605</v>
      </c>
      <c r="F13" s="10" t="n">
        <v>0.4694310468024294</v>
      </c>
      <c r="G13" s="10" t="n">
        <v>0.4188854685482382</v>
      </c>
      <c r="H13" s="10" t="n">
        <v>0.5212791486742455</v>
      </c>
      <c r="I13" s="9" t="n">
        <v>2536</v>
      </c>
      <c r="J13" s="9" t="n">
        <v>298</v>
      </c>
      <c r="K13" s="10" t="n">
        <v>0.4009017519237574</v>
      </c>
      <c r="L13" s="10" t="n">
        <v>0.4375119212114205</v>
      </c>
      <c r="M13" s="12" t="n">
        <v>0.01045296167247387</v>
      </c>
      <c r="N13" s="12" t="n">
        <v>0.3275261324041812</v>
      </c>
      <c r="O13" s="9" t="n">
        <v>413</v>
      </c>
      <c r="P13" s="10" t="n">
        <v>0.6456205509130299</v>
      </c>
      <c r="Q13" s="9" t="n">
        <v>828</v>
      </c>
      <c r="R13" s="10" t="n">
        <v>0.4733832449138118</v>
      </c>
      <c r="S13" s="9" t="n">
        <v>1625</v>
      </c>
      <c r="T13" s="10" t="n">
        <v>0.3923907023279911</v>
      </c>
      <c r="U13" s="11">
        <f>IFERROR(F13-E13,"")</f>
        <v/>
      </c>
      <c r="V13" s="13">
        <f>IFERROR(N13/M13,"")</f>
        <v/>
      </c>
      <c r="W13" s="18">
        <f>IFERROR(E13/0.5214-1,"")</f>
        <v/>
      </c>
    </row>
    <row r="14">
      <c r="A14" s="17" t="inlineStr">
        <is>
          <t>202312</t>
        </is>
      </c>
      <c r="B14" s="9" t="n">
        <v>3376</v>
      </c>
      <c r="C14" s="9" t="n">
        <v>534</v>
      </c>
      <c r="D14" s="12" t="n">
        <v>0.158175355450237</v>
      </c>
      <c r="E14" s="10" t="n">
        <v>0.5256097014551655</v>
      </c>
      <c r="F14" s="10" t="n">
        <v>0.5352668769948892</v>
      </c>
      <c r="G14" s="10" t="n">
        <v>0.4935596949291418</v>
      </c>
      <c r="H14" s="10" t="n">
        <v>0.5743395897064749</v>
      </c>
      <c r="I14" s="9" t="n">
        <v>2948</v>
      </c>
      <c r="J14" s="9" t="n">
        <v>394</v>
      </c>
      <c r="K14" s="10" t="n">
        <v>0.4553800349009614</v>
      </c>
      <c r="L14" s="10" t="n">
        <v>0.4417446661625024</v>
      </c>
      <c r="M14" s="12" t="n">
        <v>0.005917159763313609</v>
      </c>
      <c r="N14" s="12" t="n">
        <v>0.4201183431952663</v>
      </c>
      <c r="O14" s="9" t="n">
        <v>622</v>
      </c>
      <c r="P14" s="10" t="n">
        <v>0.723712979526933</v>
      </c>
      <c r="Q14" s="9" t="n">
        <v>896</v>
      </c>
      <c r="R14" s="10" t="n">
        <v>0.582875261951</v>
      </c>
      <c r="S14" s="9" t="n">
        <v>1858</v>
      </c>
      <c r="T14" s="10" t="n">
        <v>0.4481120026445486</v>
      </c>
      <c r="U14" s="11">
        <f>IFERROR(F14-E14,"")</f>
        <v/>
      </c>
      <c r="V14" s="13">
        <f>IFERROR(N14/M14,"")</f>
        <v/>
      </c>
      <c r="W14" s="18">
        <f>IFERROR(E14/0.5214-1,"")</f>
        <v/>
      </c>
    </row>
    <row r="15">
      <c r="A15" s="17" t="inlineStr">
        <is>
          <t>202401</t>
        </is>
      </c>
      <c r="B15" s="9" t="n">
        <v>4019</v>
      </c>
      <c r="C15" s="9" t="n">
        <v>477</v>
      </c>
      <c r="D15" s="12" t="n">
        <v>0.1186862403582981</v>
      </c>
      <c r="E15" s="10" t="n">
        <v>0.546089039936456</v>
      </c>
      <c r="F15" s="10" t="n">
        <v>0.5569547579391714</v>
      </c>
      <c r="G15" s="10" t="n">
        <v>0.5141860313876502</v>
      </c>
      <c r="H15" s="10" t="n">
        <v>0.5941188845760104</v>
      </c>
      <c r="I15" s="9" t="n">
        <v>3545</v>
      </c>
      <c r="J15" s="9" t="n">
        <v>367</v>
      </c>
      <c r="K15" s="10" t="n">
        <v>0.4790461671951067</v>
      </c>
      <c r="L15" s="10" t="n">
        <v>0.434225235971776</v>
      </c>
      <c r="M15" s="12" t="n">
        <v>0.009950248756218905</v>
      </c>
      <c r="N15" s="12" t="n">
        <v>0.3606965174129353</v>
      </c>
      <c r="O15" s="9" t="n">
        <v>858</v>
      </c>
      <c r="P15" s="10" t="n">
        <v>0.7030186037631787</v>
      </c>
      <c r="Q15" s="9" t="n">
        <v>1016</v>
      </c>
      <c r="R15" s="10" t="n">
        <v>0.62205910031997</v>
      </c>
      <c r="S15" s="9" t="n">
        <v>2145</v>
      </c>
      <c r="T15" s="10" t="n">
        <v>0.446156284886525</v>
      </c>
      <c r="U15" s="11">
        <f>IFERROR(F15-E15,"")</f>
        <v/>
      </c>
      <c r="V15" s="13">
        <f>IFERROR(N15/M15,"")</f>
        <v/>
      </c>
      <c r="W15" s="18">
        <f>IFERROR(E15/0.5214-1,"")</f>
        <v/>
      </c>
    </row>
    <row r="16">
      <c r="A16" s="17" t="inlineStr">
        <is>
          <t>202402</t>
        </is>
      </c>
      <c r="B16" s="9" t="n">
        <v>3916</v>
      </c>
      <c r="C16" s="9" t="n">
        <v>525</v>
      </c>
      <c r="D16" s="12" t="n">
        <v>0.1340653728294178</v>
      </c>
      <c r="E16" s="10" t="n">
        <v>0.5188428753984637</v>
      </c>
      <c r="F16" s="10" t="n">
        <v>0.5238612012189128</v>
      </c>
      <c r="G16" s="10" t="n">
        <v>0.4817743874215434</v>
      </c>
      <c r="H16" s="10" t="n">
        <v>0.5632858283530819</v>
      </c>
      <c r="I16" s="9" t="n">
        <v>3453</v>
      </c>
      <c r="J16" s="9" t="n">
        <v>405</v>
      </c>
      <c r="K16" s="10" t="n">
        <v>0.4499108907682836</v>
      </c>
      <c r="L16" s="10" t="n">
        <v>0.4392878906046913</v>
      </c>
      <c r="M16" s="12" t="n">
        <v>0.01020408163265306</v>
      </c>
      <c r="N16" s="12" t="n">
        <v>0.3673469387755102</v>
      </c>
      <c r="O16" s="9" t="n">
        <v>768</v>
      </c>
      <c r="P16" s="10" t="n">
        <v>0.6783050555507708</v>
      </c>
      <c r="Q16" s="9" t="n">
        <v>1020</v>
      </c>
      <c r="R16" s="10" t="n">
        <v>0.536105693614344</v>
      </c>
      <c r="S16" s="9" t="n">
        <v>2128</v>
      </c>
      <c r="T16" s="10" t="n">
        <v>0.4407982015045717</v>
      </c>
      <c r="U16" s="11">
        <f>IFERROR(F16-E16,"")</f>
        <v/>
      </c>
      <c r="V16" s="13">
        <f>IFERROR(N16/M16,"")</f>
        <v/>
      </c>
      <c r="W16" s="18">
        <f>IFERROR(E16/0.5214-1,"")</f>
        <v/>
      </c>
    </row>
    <row r="17">
      <c r="A17" s="17" t="inlineStr">
        <is>
          <t>202403</t>
        </is>
      </c>
      <c r="B17" s="9" t="n">
        <v>3822</v>
      </c>
      <c r="C17" s="9" t="n">
        <v>457</v>
      </c>
      <c r="D17" s="12" t="n">
        <v>0.119570905285191</v>
      </c>
      <c r="E17" s="10" t="n">
        <v>0.5451887593030327</v>
      </c>
      <c r="F17" s="10" t="n">
        <v>0.5536573232627024</v>
      </c>
      <c r="G17" s="10" t="n">
        <v>0.5139453960466677</v>
      </c>
      <c r="H17" s="10" t="n">
        <v>0.5943095697953963</v>
      </c>
      <c r="I17" s="9" t="n">
        <v>3348</v>
      </c>
      <c r="J17" s="9" t="n">
        <v>353</v>
      </c>
      <c r="K17" s="10" t="n">
        <v>0.4653837604695266</v>
      </c>
      <c r="L17" s="10" t="n">
        <v>0.4473102333300565</v>
      </c>
      <c r="M17" s="12" t="n">
        <v>0</v>
      </c>
      <c r="N17" s="12" t="n">
        <v>0.3629242819843342</v>
      </c>
      <c r="O17" s="9" t="n">
        <v>809</v>
      </c>
      <c r="P17" s="10" t="n">
        <v>0.6649275362318841</v>
      </c>
      <c r="Q17" s="9" t="n">
        <v>956</v>
      </c>
      <c r="R17" s="10" t="n">
        <v>0.6063638696433151</v>
      </c>
      <c r="S17" s="9" t="n">
        <v>2057</v>
      </c>
      <c r="T17" s="10" t="n">
        <v>0.4511294825773233</v>
      </c>
      <c r="U17" s="11">
        <f>IFERROR(F17-E17,"")</f>
        <v/>
      </c>
      <c r="V17" s="13">
        <f>IFERROR(N17/M17,"")</f>
        <v/>
      </c>
      <c r="W17" s="18">
        <f>IFERROR(E17/0.5214-1,"")</f>
        <v/>
      </c>
    </row>
    <row r="18">
      <c r="A18" s="17" t="inlineStr">
        <is>
          <t>202404</t>
        </is>
      </c>
      <c r="B18" s="9" t="n">
        <v>4496</v>
      </c>
      <c r="C18" s="9" t="n">
        <v>516</v>
      </c>
      <c r="D18" s="12" t="n">
        <v>0.1147686832740214</v>
      </c>
      <c r="E18" s="10" t="n">
        <v>0.5417509056912471</v>
      </c>
      <c r="F18" s="10" t="n">
        <v>0.5460417397062836</v>
      </c>
      <c r="G18" s="10" t="n">
        <v>0.5065205902502921</v>
      </c>
      <c r="H18" s="10" t="n">
        <v>0.5854015059693168</v>
      </c>
      <c r="I18" s="9" t="n">
        <v>3930</v>
      </c>
      <c r="J18" s="9" t="n">
        <v>378</v>
      </c>
      <c r="K18" s="10" t="n">
        <v>0.4413557903141236</v>
      </c>
      <c r="L18" s="10" t="n">
        <v>0.4494461513238783</v>
      </c>
      <c r="M18" s="12" t="n">
        <v>0.004444444444444444</v>
      </c>
      <c r="N18" s="12" t="n">
        <v>0.3622222222222222</v>
      </c>
      <c r="O18" s="9" t="n">
        <v>1051</v>
      </c>
      <c r="P18" s="10" t="n">
        <v>0.6338569028507426</v>
      </c>
      <c r="Q18" s="9" t="n">
        <v>1073</v>
      </c>
      <c r="R18" s="10" t="n">
        <v>0.5628254316251027</v>
      </c>
      <c r="S18" s="9" t="n">
        <v>2372</v>
      </c>
      <c r="T18" s="10" t="n">
        <v>0.4685219725872545</v>
      </c>
      <c r="U18" s="11">
        <f>IFERROR(F18-E18,"")</f>
        <v/>
      </c>
      <c r="V18" s="13">
        <f>IFERROR(N18/M18,"")</f>
        <v/>
      </c>
      <c r="W18" s="18">
        <f>IFERROR(E18/0.5214-1,"")</f>
        <v/>
      </c>
    </row>
    <row r="19">
      <c r="A19" s="17" t="inlineStr">
        <is>
          <t>202405</t>
        </is>
      </c>
      <c r="B19" s="9" t="n">
        <v>3617</v>
      </c>
      <c r="C19" s="9" t="n">
        <v>377</v>
      </c>
      <c r="D19" s="12" t="n">
        <v>0.1042300248824993</v>
      </c>
      <c r="E19" s="10" t="n">
        <v>0.5738202835903985</v>
      </c>
      <c r="F19" s="10" t="n">
        <v>0.5775976684022661</v>
      </c>
      <c r="G19" s="10" t="n">
        <v>0.5369787820833551</v>
      </c>
      <c r="H19" s="10" t="n">
        <v>0.6195499694530369</v>
      </c>
      <c r="I19" s="9" t="n">
        <v>3049</v>
      </c>
      <c r="J19" s="9" t="n">
        <v>258</v>
      </c>
      <c r="K19" s="10" t="n">
        <v>0.4621416013265229</v>
      </c>
      <c r="L19" s="10" t="n">
        <v>0.4755791667883899</v>
      </c>
      <c r="M19" s="12" t="n">
        <v>0.0138121546961326</v>
      </c>
      <c r="N19" s="12" t="n">
        <v>0.3453038674033149</v>
      </c>
      <c r="O19" s="9" t="n">
        <v>862</v>
      </c>
      <c r="P19" s="10" t="n">
        <v>0.6579558804333636</v>
      </c>
      <c r="Q19" s="9" t="n">
        <v>943</v>
      </c>
      <c r="R19" s="10" t="n">
        <v>0.572634007163237</v>
      </c>
      <c r="S19" s="9" t="n">
        <v>1812</v>
      </c>
      <c r="T19" s="10" t="n">
        <v>0.4841609978470278</v>
      </c>
      <c r="U19" s="11">
        <f>IFERROR(F19-E19,"")</f>
        <v/>
      </c>
      <c r="V19" s="13">
        <f>IFERROR(N19/M19,"")</f>
        <v/>
      </c>
      <c r="W19" s="18">
        <f>IFERROR(E19/0.5214-1,"")</f>
        <v/>
      </c>
    </row>
    <row r="20">
      <c r="A20" s="17" t="inlineStr">
        <is>
          <t>202406</t>
        </is>
      </c>
      <c r="B20" s="9" t="n">
        <v>2897</v>
      </c>
      <c r="C20" s="9" t="n">
        <v>293</v>
      </c>
      <c r="D20" s="12" t="n">
        <v>0.1011391094235416</v>
      </c>
      <c r="E20" s="10" t="n">
        <v>0.537870328137861</v>
      </c>
      <c r="F20" s="10" t="n">
        <v>0.5419989200127922</v>
      </c>
      <c r="G20" s="10" t="n">
        <v>0.4941128264831081</v>
      </c>
      <c r="H20" s="10" t="n">
        <v>0.5885915022952158</v>
      </c>
      <c r="I20" s="9" t="n">
        <v>2449</v>
      </c>
      <c r="J20" s="9" t="n">
        <v>212</v>
      </c>
      <c r="K20" s="10" t="n">
        <v>0.4632130295797099</v>
      </c>
      <c r="L20" s="10" t="n">
        <v>0.4771454455798412</v>
      </c>
      <c r="M20" s="12" t="n">
        <v>0.006896551724137931</v>
      </c>
      <c r="N20" s="12" t="n">
        <v>0.293103448275862</v>
      </c>
      <c r="O20" s="9" t="n">
        <v>638</v>
      </c>
      <c r="P20" s="10" t="n">
        <v>0.6516416249304395</v>
      </c>
      <c r="Q20" s="9" t="n">
        <v>744</v>
      </c>
      <c r="R20" s="10" t="n">
        <v>0.5845375722543351</v>
      </c>
      <c r="S20" s="9" t="n">
        <v>1515</v>
      </c>
      <c r="T20" s="10" t="n">
        <v>0.4412764962711047</v>
      </c>
      <c r="U20" s="11">
        <f>IFERROR(F20-E20,"")</f>
        <v/>
      </c>
      <c r="V20" s="13">
        <f>IFERROR(N20/M20,"")</f>
        <v/>
      </c>
      <c r="W20" s="18">
        <f>IFERROR(E20/0.5214-1,"")</f>
        <v/>
      </c>
    </row>
    <row r="21">
      <c r="A21" s="17" t="inlineStr">
        <is>
          <t>202407</t>
        </is>
      </c>
      <c r="B21" s="9" t="n">
        <v>3862</v>
      </c>
      <c r="C21" s="9" t="n">
        <v>450</v>
      </c>
      <c r="D21" s="12" t="n">
        <v>0.1165199378560331</v>
      </c>
      <c r="E21" s="10" t="n">
        <v>0.5530812817506838</v>
      </c>
      <c r="F21" s="10" t="n">
        <v>0.5516451738960531</v>
      </c>
      <c r="G21" s="10" t="n">
        <v>0.5121113305849616</v>
      </c>
      <c r="H21" s="10" t="n">
        <v>0.5919749370606855</v>
      </c>
      <c r="I21" s="9" t="n">
        <v>3287</v>
      </c>
      <c r="J21" s="9" t="n">
        <v>312</v>
      </c>
      <c r="K21" s="10" t="n">
        <v>0.4639118724412843</v>
      </c>
      <c r="L21" s="10" t="n">
        <v>0.4704470249894415</v>
      </c>
      <c r="M21" s="12" t="n">
        <v>0.00516795865633075</v>
      </c>
      <c r="N21" s="12" t="n">
        <v>0.3565891472868217</v>
      </c>
      <c r="O21" s="9" t="n">
        <v>779</v>
      </c>
      <c r="P21" s="10" t="n">
        <v>0.6618427704752274</v>
      </c>
      <c r="Q21" s="9" t="n">
        <v>947</v>
      </c>
      <c r="R21" s="10" t="n">
        <v>0.4656294735704831</v>
      </c>
      <c r="S21" s="9" t="n">
        <v>2136</v>
      </c>
      <c r="T21" s="10" t="n">
        <v>0.5044823768698024</v>
      </c>
      <c r="U21" s="11">
        <f>IFERROR(F21-E21,"")</f>
        <v/>
      </c>
      <c r="V21" s="13">
        <f>IFERROR(N21/M21,"")</f>
        <v/>
      </c>
      <c r="W21" s="18">
        <f>IFERROR(E21/0.5214-1,"")</f>
        <v/>
      </c>
    </row>
    <row r="22">
      <c r="A22" s="17" t="inlineStr">
        <is>
          <t>202408</t>
        </is>
      </c>
      <c r="B22" s="9" t="n">
        <v>3605</v>
      </c>
      <c r="C22" s="9" t="n">
        <v>340</v>
      </c>
      <c r="D22" s="12" t="n">
        <v>0.09431345353675451</v>
      </c>
      <c r="E22" s="10" t="n">
        <v>0.5358526258895597</v>
      </c>
      <c r="F22" s="10" t="n">
        <v>0.5357607422754707</v>
      </c>
      <c r="G22" s="10" t="n">
        <v>0.4926679180635231</v>
      </c>
      <c r="H22" s="10" t="n">
        <v>0.5845553458081585</v>
      </c>
      <c r="I22" s="9" t="n">
        <v>3137</v>
      </c>
      <c r="J22" s="9" t="n">
        <v>248</v>
      </c>
      <c r="K22" s="10" t="n">
        <v>0.4312548152614479</v>
      </c>
      <c r="L22" s="10" t="n">
        <v>0.4440743744510588</v>
      </c>
      <c r="M22" s="12" t="n">
        <v>0.00554016620498615</v>
      </c>
      <c r="N22" s="12" t="n">
        <v>0.3102493074792244</v>
      </c>
      <c r="O22" s="9" t="n">
        <v>846</v>
      </c>
      <c r="P22" s="10" t="n">
        <v>0.5432086804882774</v>
      </c>
      <c r="Q22" s="9" t="n">
        <v>844</v>
      </c>
      <c r="R22" s="10" t="n">
        <v>0.5076852171909205</v>
      </c>
      <c r="S22" s="9" t="n">
        <v>1915</v>
      </c>
      <c r="T22" s="10" t="n">
        <v>0.500844590284405</v>
      </c>
      <c r="U22" s="11">
        <f>IFERROR(F22-E22,"")</f>
        <v/>
      </c>
      <c r="V22" s="13">
        <f>IFERROR(N22/M22,"")</f>
        <v/>
      </c>
      <c r="W22" s="18">
        <f>IFERROR(E22/0.5214-1,"")</f>
        <v/>
      </c>
    </row>
    <row r="23">
      <c r="A23" s="17" t="inlineStr">
        <is>
          <t>202409</t>
        </is>
      </c>
      <c r="B23" s="9" t="n">
        <v>4229</v>
      </c>
      <c r="C23" s="9" t="n">
        <v>344</v>
      </c>
      <c r="D23" s="12" t="n">
        <v>0.08134310711752188</v>
      </c>
      <c r="E23" s="10" t="n">
        <v>0.5116593337523569</v>
      </c>
      <c r="F23" s="10" t="n">
        <v>0.5235042351321419</v>
      </c>
      <c r="G23" s="10" t="n">
        <v>0.4702611026027739</v>
      </c>
      <c r="H23" s="10" t="n">
        <v>0.5714026236230511</v>
      </c>
      <c r="I23" s="9" t="n">
        <v>3748</v>
      </c>
      <c r="J23" s="9" t="n">
        <v>263</v>
      </c>
      <c r="K23" s="10" t="n">
        <v>0.4288045998330703</v>
      </c>
      <c r="L23" s="10" t="n">
        <v>0.434176408084702</v>
      </c>
      <c r="M23" s="12" t="n">
        <v>0.009456264775413711</v>
      </c>
      <c r="N23" s="12" t="n">
        <v>0.2742316784869976</v>
      </c>
      <c r="O23" s="9" t="n">
        <v>942</v>
      </c>
      <c r="P23" s="10" t="n">
        <v>0.714896727213665</v>
      </c>
      <c r="Q23" s="9" t="n">
        <v>1109</v>
      </c>
      <c r="R23" s="10" t="n">
        <v>0.5184323266515047</v>
      </c>
      <c r="S23" s="9" t="n">
        <v>2178</v>
      </c>
      <c r="T23" s="10" t="n">
        <v>0.4280644585304882</v>
      </c>
      <c r="U23" s="11">
        <f>IFERROR(F23-E23,"")</f>
        <v/>
      </c>
      <c r="V23" s="13">
        <f>IFERROR(N23/M23,"")</f>
        <v/>
      </c>
      <c r="W23" s="18">
        <f>IFERROR(E23/0.5214-1,"")</f>
        <v/>
      </c>
    </row>
    <row r="24">
      <c r="A24" s="17" t="inlineStr">
        <is>
          <t>202410</t>
        </is>
      </c>
      <c r="B24" s="9" t="n">
        <v>4272</v>
      </c>
      <c r="C24" s="9" t="n">
        <v>419</v>
      </c>
      <c r="D24" s="12" t="n">
        <v>0.09808052434456929</v>
      </c>
      <c r="E24" s="10" t="n">
        <v>0.4828212464390951</v>
      </c>
      <c r="F24" s="10" t="n">
        <v>0.492898011467988</v>
      </c>
      <c r="G24" s="10" t="n">
        <v>0.4432564711386385</v>
      </c>
      <c r="H24" s="10" t="n">
        <v>0.5382109208981948</v>
      </c>
      <c r="I24" s="9" t="n">
        <v>3896</v>
      </c>
      <c r="J24" s="9" t="n">
        <v>359</v>
      </c>
      <c r="K24" s="10" t="n">
        <v>0.4124200749261882</v>
      </c>
      <c r="L24" s="10" t="n">
        <v>0.3957216504082686</v>
      </c>
      <c r="M24" s="12" t="n">
        <v>0.004672897196261682</v>
      </c>
      <c r="N24" s="12" t="n">
        <v>0.2663551401869159</v>
      </c>
      <c r="O24" s="9" t="n">
        <v>827</v>
      </c>
      <c r="P24" s="10" t="n">
        <v>0.6094292803970223</v>
      </c>
      <c r="Q24" s="9" t="n">
        <v>1060</v>
      </c>
      <c r="R24" s="10" t="n">
        <v>0.4950934707527002</v>
      </c>
      <c r="S24" s="9" t="n">
        <v>2385</v>
      </c>
      <c r="T24" s="10" t="n">
        <v>0.4174834735282795</v>
      </c>
      <c r="U24" s="11">
        <f>IFERROR(F24-E24,"")</f>
        <v/>
      </c>
      <c r="V24" s="13">
        <f>IFERROR(N24/M24,"")</f>
        <v/>
      </c>
      <c r="W24" s="18">
        <f>IFERROR(E24/0.5214-1,"")</f>
        <v/>
      </c>
    </row>
    <row r="25">
      <c r="A25" s="19" t="inlineStr">
        <is>
          <t>202411</t>
        </is>
      </c>
      <c r="B25" s="20" t="n">
        <v>2813</v>
      </c>
      <c r="C25" s="20" t="n">
        <v>193</v>
      </c>
      <c r="D25" s="21" t="n">
        <v>0.06861002488446498</v>
      </c>
      <c r="E25" s="22" t="n">
        <v>0.4081082150061306</v>
      </c>
      <c r="F25" s="22" t="n">
        <v>0.4143495629474352</v>
      </c>
      <c r="G25" s="22" t="n">
        <v>0.3498227132310899</v>
      </c>
      <c r="H25" s="22" t="n">
        <v>0.4785925434271253</v>
      </c>
      <c r="I25" s="20" t="n">
        <v>2569</v>
      </c>
      <c r="J25" s="20" t="n">
        <v>184</v>
      </c>
      <c r="K25" s="22" t="n">
        <v>0.3635037826998446</v>
      </c>
      <c r="L25" s="22" t="n">
        <v>0.3730775834894291</v>
      </c>
      <c r="M25" s="21" t="n">
        <v>0.01063829787234043</v>
      </c>
      <c r="N25" s="21" t="n">
        <v>0.1560283687943262</v>
      </c>
      <c r="O25" s="20" t="n">
        <v>622</v>
      </c>
      <c r="P25" s="22" t="n">
        <v>0.6412328658584898</v>
      </c>
      <c r="Q25" s="20" t="n">
        <v>704</v>
      </c>
      <c r="R25" s="22" t="n">
        <v>0.4086636178861789</v>
      </c>
      <c r="S25" s="20" t="n">
        <v>1487</v>
      </c>
      <c r="T25" s="22" t="n">
        <v>0.3177052516981043</v>
      </c>
      <c r="U25" s="11">
        <f>IFERROR(F25-E25,"")</f>
        <v/>
      </c>
      <c r="V25" s="13">
        <f>IFERROR(N25/M25,"")</f>
        <v/>
      </c>
      <c r="W25" s="18">
        <f>IFERROR(E25/0.5214-1,"")</f>
        <v/>
      </c>
    </row>
    <row r="26">
      <c r="A26" s="17" t="inlineStr">
        <is>
          <t>202412</t>
        </is>
      </c>
      <c r="B26" s="9" t="n">
        <v>2474</v>
      </c>
      <c r="C26" s="9" t="n">
        <v>139</v>
      </c>
      <c r="D26" s="12" t="n">
        <v>0.05618431689571544</v>
      </c>
      <c r="E26" s="10" t="n">
        <v>0.3834886694498791</v>
      </c>
      <c r="F26" s="10" t="n">
        <v>0.4066458182490411</v>
      </c>
      <c r="G26" s="10" t="n">
        <v>0.3271103015666169</v>
      </c>
      <c r="H26" s="10" t="n">
        <v>0.4786308436374675</v>
      </c>
      <c r="I26" s="9" t="n">
        <v>2214</v>
      </c>
      <c r="J26" s="9" t="n">
        <v>124</v>
      </c>
      <c r="K26" s="10" t="n">
        <v>0.2873745948448836</v>
      </c>
      <c r="L26" s="10" t="n">
        <v>0.3822168170976369</v>
      </c>
      <c r="M26" s="12" t="n">
        <v>0</v>
      </c>
      <c r="N26" s="12" t="n">
        <v>0.1209677419354839</v>
      </c>
      <c r="O26" s="9" t="n">
        <v>637</v>
      </c>
      <c r="P26" s="10" t="n">
        <v>0.393719806763285</v>
      </c>
      <c r="Q26" s="9" t="n">
        <v>664</v>
      </c>
      <c r="R26" s="10" t="n">
        <v>0.4280181419762523</v>
      </c>
      <c r="S26" s="9" t="n">
        <v>1173</v>
      </c>
      <c r="T26" s="10" t="n">
        <v>0.3150665647749669</v>
      </c>
      <c r="U26" s="11">
        <f>IFERROR(F26-E26,"")</f>
        <v/>
      </c>
      <c r="V26" s="13">
        <f>IFERROR(N26/M26,"")</f>
        <v/>
      </c>
      <c r="W26" s="18">
        <f>IFERROR(E26/0.5214-1,"")</f>
        <v/>
      </c>
    </row>
    <row r="27">
      <c r="A27" s="17" t="inlineStr">
        <is>
          <t>202501</t>
        </is>
      </c>
      <c r="B27" s="9" t="n">
        <v>3152</v>
      </c>
      <c r="C27" s="9" t="n">
        <v>152</v>
      </c>
      <c r="D27" s="12" t="n">
        <v>0.04822335025380711</v>
      </c>
      <c r="E27" s="10" t="n">
        <v>0.3236008771929824</v>
      </c>
      <c r="F27" s="10" t="n">
        <v>0.3551491228070176</v>
      </c>
      <c r="G27" s="10" t="n">
        <v>0.2756473331949696</v>
      </c>
      <c r="H27" s="10" t="n">
        <v>0.4374502146208372</v>
      </c>
      <c r="I27" s="9" t="n">
        <v>2852</v>
      </c>
      <c r="J27" s="9" t="n">
        <v>142</v>
      </c>
      <c r="K27" s="10" t="n">
        <v>0.2422899017722573</v>
      </c>
      <c r="L27" s="10" t="n">
        <v>0.3650631640511275</v>
      </c>
      <c r="M27" s="12" t="n">
        <v>0.003164556962025316</v>
      </c>
      <c r="N27" s="12" t="n">
        <v>0.1044303797468354</v>
      </c>
      <c r="O27" s="9" t="n">
        <v>756</v>
      </c>
      <c r="P27" s="10" t="n">
        <v>0.6304054054054054</v>
      </c>
      <c r="Q27" s="9" t="n">
        <v>871</v>
      </c>
      <c r="R27" s="10" t="n">
        <v>0.3596385922790168</v>
      </c>
      <c r="S27" s="9" t="n">
        <v>1525</v>
      </c>
      <c r="T27" s="10" t="n">
        <v>0.1973027473077529</v>
      </c>
      <c r="U27" s="11">
        <f>IFERROR(F27-E27,"")</f>
        <v/>
      </c>
      <c r="V27" s="13">
        <f>IFERROR(N27/M27,"")</f>
        <v/>
      </c>
      <c r="W27" s="18">
        <f>IFERROR(E27/0.5214-1,"")</f>
        <v/>
      </c>
    </row>
    <row r="28">
      <c r="A28" s="17" t="inlineStr">
        <is>
          <t>202502</t>
        </is>
      </c>
      <c r="B28" s="9" t="n">
        <v>2702</v>
      </c>
      <c r="C28" s="9" t="n">
        <v>161</v>
      </c>
      <c r="D28" s="12" t="n">
        <v>0.05958549222797927</v>
      </c>
      <c r="E28" s="10" t="n">
        <v>0.3760318356591648</v>
      </c>
      <c r="F28" s="10" t="n">
        <v>0.3722870391419235</v>
      </c>
      <c r="G28" s="10" t="n">
        <v>0.2945865613343192</v>
      </c>
      <c r="H28" s="10" t="n">
        <v>0.4373012287264003</v>
      </c>
      <c r="I28" s="9" t="n">
        <v>2457</v>
      </c>
      <c r="J28" s="9" t="n">
        <v>148</v>
      </c>
      <c r="K28" s="10" t="n">
        <v>0.321743354441492</v>
      </c>
      <c r="L28" s="10" t="n">
        <v>0.3564739885711052</v>
      </c>
      <c r="M28" s="12" t="n">
        <v>0.01107011070110701</v>
      </c>
      <c r="N28" s="12" t="n">
        <v>0.1254612546125461</v>
      </c>
      <c r="O28" s="9" t="n">
        <v>586</v>
      </c>
      <c r="P28" s="10" t="n">
        <v>0.4661921708185055</v>
      </c>
      <c r="Q28" s="9" t="n">
        <v>800</v>
      </c>
      <c r="R28" s="10" t="n">
        <v>0.4043193757488248</v>
      </c>
      <c r="S28" s="9" t="n">
        <v>1316</v>
      </c>
      <c r="T28" s="10" t="n">
        <v>0.3027300901904795</v>
      </c>
      <c r="U28" s="11">
        <f>IFERROR(F28-E28,"")</f>
        <v/>
      </c>
      <c r="V28" s="13">
        <f>IFERROR(N28/M28,"")</f>
        <v/>
      </c>
      <c r="W28" s="18">
        <f>IFERROR(E28/0.5214-1,"")</f>
        <v/>
      </c>
    </row>
    <row r="29">
      <c r="A29" s="17" t="inlineStr">
        <is>
          <t>202503</t>
        </is>
      </c>
      <c r="B29" s="9" t="n">
        <v>2482</v>
      </c>
      <c r="C29" s="9" t="n">
        <v>145</v>
      </c>
      <c r="D29" s="12" t="n">
        <v>0.05842062852538275</v>
      </c>
      <c r="E29" s="10" t="n">
        <v>0.3215705369394892</v>
      </c>
      <c r="F29" s="10" t="n">
        <v>0.3421214938102195</v>
      </c>
      <c r="G29" s="10" t="n">
        <v>0.2558991637001782</v>
      </c>
      <c r="H29" s="10" t="n">
        <v>0.4245310239187621</v>
      </c>
      <c r="I29" s="9" t="n">
        <v>2262</v>
      </c>
      <c r="J29" s="9" t="n">
        <v>134</v>
      </c>
      <c r="K29" s="10" t="n">
        <v>0.2822775221636178</v>
      </c>
      <c r="L29" s="10" t="n">
        <v>0.3663391436555167</v>
      </c>
      <c r="M29" s="12" t="n">
        <v>0.008032128514056224</v>
      </c>
      <c r="N29" s="12" t="n">
        <v>0.1244979919678715</v>
      </c>
      <c r="O29" s="9" t="n">
        <v>519</v>
      </c>
      <c r="P29" s="10" t="n">
        <v>0.2550927333536028</v>
      </c>
      <c r="Q29" s="9" t="n">
        <v>674</v>
      </c>
      <c r="R29" s="10" t="n">
        <v>0.3261904761904761</v>
      </c>
      <c r="S29" s="9" t="n">
        <v>1289</v>
      </c>
      <c r="T29" s="10" t="n">
        <v>0.2525728067132498</v>
      </c>
      <c r="U29" s="11">
        <f>IFERROR(F29-E29,"")</f>
        <v/>
      </c>
      <c r="V29" s="13">
        <f>IFERROR(N29/M29,"")</f>
        <v/>
      </c>
      <c r="W29" s="18">
        <f>IFERROR(E29/0.5214-1,"")</f>
        <v/>
      </c>
    </row>
    <row r="30">
      <c r="A30" s="17" t="inlineStr">
        <is>
          <t>202504</t>
        </is>
      </c>
      <c r="B30" s="9" t="n">
        <v>2228</v>
      </c>
      <c r="C30" s="9" t="n">
        <v>114</v>
      </c>
      <c r="D30" s="12" t="n">
        <v>0.05116696588868941</v>
      </c>
      <c r="E30" s="10" t="n">
        <v>0.3107229995518597</v>
      </c>
      <c r="F30" s="10" t="n">
        <v>0.3400637354976845</v>
      </c>
      <c r="G30" s="10" t="n">
        <v>0.2546513149295973</v>
      </c>
      <c r="H30" s="10" t="n">
        <v>0.4186715875657923</v>
      </c>
      <c r="I30" s="9" t="n">
        <v>2039</v>
      </c>
      <c r="J30" s="9" t="n">
        <v>111</v>
      </c>
      <c r="K30" s="10" t="n">
        <v>0.3015074202833539</v>
      </c>
      <c r="L30" s="10" t="n">
        <v>0.3660322600224001</v>
      </c>
      <c r="M30" s="12" t="n">
        <v>0.004484304932735426</v>
      </c>
      <c r="N30" s="12" t="n">
        <v>0.05381165919282511</v>
      </c>
      <c r="O30" s="9" t="n">
        <v>431</v>
      </c>
      <c r="P30" s="10" t="n"/>
      <c r="Q30" s="9" t="n">
        <v>610</v>
      </c>
      <c r="R30" s="10" t="n">
        <v>0.4393939393939392</v>
      </c>
      <c r="S30" s="9" t="n">
        <v>1187</v>
      </c>
      <c r="T30" s="10" t="n">
        <v>0.1858999266070891</v>
      </c>
      <c r="U30" s="11">
        <f>IFERROR(F30-E30,"")</f>
        <v/>
      </c>
      <c r="V30" s="13">
        <f>IFERROR(N30/M30,"")</f>
        <v/>
      </c>
      <c r="W30" s="18">
        <f>IFERROR(E30/0.5214-1,"")</f>
        <v/>
      </c>
    </row>
    <row r="31">
      <c r="A31" s="17" t="inlineStr">
        <is>
          <t>202505</t>
        </is>
      </c>
      <c r="B31" s="9" t="n">
        <v>2238</v>
      </c>
      <c r="C31" s="9" t="n">
        <v>125</v>
      </c>
      <c r="D31" s="12" t="n">
        <v>0.05585344057193923</v>
      </c>
      <c r="E31" s="10" t="n">
        <v>0.3784155229531474</v>
      </c>
      <c r="F31" s="10" t="n">
        <v>0.3849578797917652</v>
      </c>
      <c r="G31" s="10" t="n">
        <v>0.3078970688154664</v>
      </c>
      <c r="H31" s="10" t="n">
        <v>0.4692403141086757</v>
      </c>
      <c r="I31" s="9" t="n">
        <v>2036</v>
      </c>
      <c r="J31" s="9" t="n">
        <v>116</v>
      </c>
      <c r="K31" s="10" t="n">
        <v>0.3267600574712644</v>
      </c>
      <c r="L31" s="10" t="n">
        <v>0.3765587646669233</v>
      </c>
      <c r="M31" s="12" t="n">
        <v>0.004464285714285714</v>
      </c>
      <c r="N31" s="12" t="n">
        <v>0.125</v>
      </c>
      <c r="O31" s="9" t="n">
        <v>483</v>
      </c>
      <c r="P31" s="10" t="n">
        <v>0.4897435897435898</v>
      </c>
      <c r="Q31" s="9" t="n">
        <v>607</v>
      </c>
      <c r="R31" s="10" t="n">
        <v>0.4897746967071057</v>
      </c>
      <c r="S31" s="9" t="n">
        <v>1148</v>
      </c>
      <c r="T31" s="10" t="n">
        <v>0.2523174157303372</v>
      </c>
      <c r="U31" s="11">
        <f>IFERROR(F31-E31,"")</f>
        <v/>
      </c>
      <c r="V31" s="13">
        <f>IFERROR(N31/M31,"")</f>
        <v/>
      </c>
      <c r="W31" s="18">
        <f>IFERROR(E31/0.5214-1,"")</f>
        <v/>
      </c>
    </row>
    <row r="32">
      <c r="A32" s="17" t="inlineStr">
        <is>
          <t>202506</t>
        </is>
      </c>
      <c r="B32" s="9" t="n">
        <v>2259</v>
      </c>
      <c r="C32" s="9" t="n">
        <v>123</v>
      </c>
      <c r="D32" s="12" t="n">
        <v>0.05444887118193891</v>
      </c>
      <c r="E32" s="10" t="n">
        <v>0.3442191163484669</v>
      </c>
      <c r="F32" s="10" t="n">
        <v>0.3599083462744741</v>
      </c>
      <c r="G32" s="10" t="n">
        <v>0.2754247739106607</v>
      </c>
      <c r="H32" s="10" t="n">
        <v>0.450598191566536</v>
      </c>
      <c r="I32" s="9" t="n">
        <v>2051</v>
      </c>
      <c r="J32" s="9" t="n">
        <v>111</v>
      </c>
      <c r="K32" s="10" t="n">
        <v>0.3007801616049037</v>
      </c>
      <c r="L32" s="10" t="n">
        <v>0.3713550750228445</v>
      </c>
      <c r="M32" s="12" t="n">
        <v>0.01327433628318584</v>
      </c>
      <c r="N32" s="12" t="n">
        <v>0.1194690265486726</v>
      </c>
      <c r="O32" s="9" t="n">
        <v>509</v>
      </c>
      <c r="P32" s="10" t="n">
        <v>0.5191675794085431</v>
      </c>
      <c r="Q32" s="9" t="n">
        <v>631</v>
      </c>
      <c r="R32" s="10" t="n">
        <v>0.3826462128475552</v>
      </c>
      <c r="S32" s="9" t="n">
        <v>1119</v>
      </c>
      <c r="T32" s="10" t="n">
        <v>0.2476506219308523</v>
      </c>
      <c r="U32" s="11">
        <f>IFERROR(F32-E32,"")</f>
        <v/>
      </c>
      <c r="V32" s="13">
        <f>IFERROR(N32/M32,"")</f>
        <v/>
      </c>
      <c r="W32" s="18">
        <f>IFERROR(E32/0.5214-1,"")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2026-08-13T23:59:57Z</dcterms:created>
  <dcterms:modified xmlns:dcterms="http://purl.org/dc/terms/" xmlns:xsi="http://www.w3.org/2001/XMLSchema-instance" xsi:type="dcterms:W3CDTF">2026-08-13T23:59:57Z</dcterms:modified>
</cp:coreProperties>
</file>