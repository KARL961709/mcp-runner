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ologia" sheetId="1" state="visible" r:id="rId1"/>
    <sheet xmlns:r="http://schemas.openxmlformats.org/officeDocument/2006/relationships" name="Factores" sheetId="2" state="visible" r:id="rId2"/>
    <sheet xmlns:r="http://schemas.openxmlformats.org/officeDocument/2006/relationships" name="Mapeo CIIU" sheetId="3" state="visible" r:id="rId3"/>
    <sheet xmlns:r="http://schemas.openxmlformats.org/officeDocument/2006/relationships" name="Empleo Censo" sheetId="4" state="visible" r:id="rId4"/>
    <sheet xmlns:r="http://schemas.openxmlformats.org/officeDocument/2006/relationships" name="Score 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b val="1"/>
      <color rgb="00005F1E"/>
      <sz val="15"/>
    </font>
    <font>
      <color rgb="00333333"/>
      <sz val="11"/>
    </font>
    <font>
      <color rgb="00808080"/>
      <sz val="10"/>
    </font>
    <font>
      <b val="1"/>
      <color rgb="00333333"/>
      <sz val="11"/>
    </font>
    <font>
      <color rgb="00005F1E"/>
      <sz val="12"/>
    </font>
    <font>
      <b val="1"/>
      <color rgb="00005F1E"/>
    </font>
    <font>
      <b val="1"/>
    </font>
    <font>
      <color rgb="00808080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1F6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center" wrapText="1"/>
    </xf>
    <xf numFmtId="164" fontId="0" fillId="0" borderId="0" pivotButton="0" quotePrefix="0" xfId="0"/>
    <xf numFmtId="164" fontId="7" fillId="2" borderId="0" pivotButton="0" quotePrefix="0" xfId="0"/>
    <xf numFmtId="0" fontId="8" fillId="0" borderId="0" pivotButton="0" quotePrefix="0" xfId="0"/>
    <xf numFmtId="2" fontId="7" fillId="2" borderId="0" pivotButton="0" quotePrefix="0" xfId="0"/>
    <xf numFmtId="0" fontId="9" fillId="3" borderId="0" pivotButton="0" quotePrefix="0" xfId="0"/>
    <xf numFmtId="0" fontId="9" fillId="3" borderId="0" applyAlignment="1" pivotButton="0" quotePrefix="0" xfId="0">
      <alignment vertical="center" wrapText="1"/>
    </xf>
    <xf numFmtId="165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2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Score indirecto FEN por % de empleo — Metodologia</t>
        </is>
      </c>
    </row>
    <row r="4">
      <c r="B4" s="2" t="inlineStr">
        <is>
          <t>Que mide: la exposicion del EMPLEO de cada distrito a la contraccion sectorial que proyecta Apoyo bajo el golpe FEN (2026).</t>
        </is>
      </c>
    </row>
    <row r="6">
      <c r="B6" s="2" t="inlineStr">
        <is>
          <t>1) Categorias = los 8 sectores economicos de Apoyo (Agropecuario, Pesca, Mineria, Manufactura, Electricidad y agua, Construccion, Comercio, Servicios).</t>
        </is>
      </c>
    </row>
    <row r="7">
      <c r="B7" s="3" t="inlineStr">
        <is>
          <t xml:space="preserve">   Las 21 ramas del Censo 2017 (PEA ocupada, Cuadro 11) se reagrupan a esos 8 sectores (ver hoja 'Mapeo CIIU'). La pesca se separa del agro con el bisturi CENEC (pesca_personal).</t>
        </is>
      </c>
    </row>
    <row r="9">
      <c r="B9" s="2" t="inlineStr">
        <is>
          <t>2) Factor por sector = la CAIDA del base de Apoyo 2026 (Tabla B.2, var% real), con signo invertido: factor = -(var%). Positivo = contraccion = estres. Ver hoja 'Factores' (editable).</t>
        </is>
      </c>
    </row>
    <row r="10">
      <c r="B10" s="3" t="inlineStr">
        <is>
          <t xml:space="preserve">   El base 2026 ya incorpora el FEN (mar caliente): Pesca -31,1%, Agro -1,5%. En 2027 ambos recuperan, por eso se usa 2026.</t>
        </is>
      </c>
    </row>
    <row r="12">
      <c r="B12" s="4" t="inlineStr">
        <is>
          <t>3) Formula (hoja 'Score s'):</t>
        </is>
      </c>
    </row>
    <row r="13">
      <c r="B13" s="5" t="inlineStr">
        <is>
          <t xml:space="preserve">        s[distrito]  =  Sum_sectores ( %empleo_del_distrito_en_el_sector  x  factor_del_sector )</t>
        </is>
      </c>
    </row>
    <row r="14">
      <c r="B14" s="3" t="inlineStr">
        <is>
          <t xml:space="preserve">   %empleo del Censo (suma 100% por distrito) x factor de Apoyo. s alto = mas contraccion = mas estres FEN. s negativo = el distrito crece (sectores en expansion pesan mas).</t>
        </is>
      </c>
    </row>
    <row r="16">
      <c r="B16" s="3" t="inlineStr">
        <is>
          <t>Trazabilidad: 'Empleo Censo' (data) -&gt; 'Score s' (formulas =SUMPRODUCT que referencian 'Factores'). Editar un factor recalcula todos los distritos.</t>
        </is>
      </c>
    </row>
    <row r="18">
      <c r="B18" s="3" t="inlineStr">
        <is>
          <t>Fuentes: Censo Nacional 2017 (INEI, Cuadro 11) para el empleo por rama x distrito; Proyecciones Apoyo Consultoria (Set-2026), Tabla B.2, escenario base, para la caida sectorial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6" t="inlineStr">
        <is>
          <t>Sector economico (Apoyo)</t>
        </is>
      </c>
      <c r="B1" s="7" t="inlineStr">
        <is>
          <t>Agropecuario</t>
        </is>
      </c>
      <c r="C1" s="7" t="inlineStr">
        <is>
          <t>Pesca</t>
        </is>
      </c>
      <c r="D1" s="7" t="inlineStr">
        <is>
          <t>Mineria e hidrocarburos</t>
        </is>
      </c>
      <c r="E1" s="7" t="inlineStr">
        <is>
          <t>Manufactura</t>
        </is>
      </c>
      <c r="F1" s="7" t="inlineStr">
        <is>
          <t>Electricidad y agua</t>
        </is>
      </c>
      <c r="G1" s="7" t="inlineStr">
        <is>
          <t>Construccion</t>
        </is>
      </c>
      <c r="H1" s="7" t="inlineStr">
        <is>
          <t>Comercio</t>
        </is>
      </c>
      <c r="I1" s="7" t="inlineStr">
        <is>
          <t>Servicios</t>
        </is>
      </c>
    </row>
    <row r="2">
      <c r="A2" s="6" t="inlineStr">
        <is>
          <t>var% real base 2026 (Tabla B.2)</t>
        </is>
      </c>
      <c r="B2" s="8" t="n">
        <v>-0.015</v>
      </c>
      <c r="C2" s="8" t="n">
        <v>-0.311</v>
      </c>
      <c r="D2" s="8" t="n">
        <v>-0.008</v>
      </c>
      <c r="E2" s="8" t="n">
        <v>-0.015</v>
      </c>
      <c r="F2" s="8" t="n">
        <v>0.044</v>
      </c>
      <c r="G2" s="8" t="n">
        <v>0.094</v>
      </c>
      <c r="H2" s="8" t="n">
        <v>0.057</v>
      </c>
      <c r="I2" s="8" t="n">
        <v>0.032</v>
      </c>
    </row>
    <row r="3">
      <c r="A3" s="6" t="inlineStr">
        <is>
          <t>FACTOR = -(var%)  [editable]</t>
        </is>
      </c>
      <c r="B3" s="9">
        <f>-B2</f>
        <v/>
      </c>
      <c r="C3" s="9">
        <f>-C2</f>
        <v/>
      </c>
      <c r="D3" s="9">
        <f>-D2</f>
        <v/>
      </c>
      <c r="E3" s="9">
        <f>-E2</f>
        <v/>
      </c>
      <c r="F3" s="9">
        <f>-F2</f>
        <v/>
      </c>
      <c r="G3" s="9">
        <f>-G2</f>
        <v/>
      </c>
      <c r="H3" s="9">
        <f>-H2</f>
        <v/>
      </c>
      <c r="I3" s="9">
        <f>-I2</f>
        <v/>
      </c>
    </row>
    <row r="5">
      <c r="A5" s="10" t="inlineStr">
        <is>
          <t>Nota: fila 3 es el peso que usa 'Score s'. Positivo = el sector cae (estres). Editar aqui recalcula todo.</t>
        </is>
      </c>
    </row>
    <row r="7">
      <c r="A7" s="6" t="inlineStr">
        <is>
          <t>PEOR (imputacion sin dato: PEA=0)</t>
        </is>
      </c>
      <c r="B7" s="11">
        <f>MAXIFS('Score s'!$L$2:$L$1892,'Score s'!$M$2:$M$1892,"&gt;0")</f>
        <v/>
      </c>
    </row>
    <row r="8">
      <c r="A8" s="10" t="inlineStr">
        <is>
          <t>Regla: distrito sin PEA (post-2017) -&gt; se le da el PEOR caso (conservador), no un neutro.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12" t="inlineStr">
        <is>
          <t>Rama del Censo 2017 (CIIU)</t>
        </is>
      </c>
      <c r="B1" s="12" t="inlineStr">
        <is>
          <t>Sector Apoyo</t>
        </is>
      </c>
    </row>
    <row r="2">
      <c r="A2" t="inlineStr">
        <is>
          <t>Agricultura, ganaderia, silvicultura y pesca</t>
        </is>
      </c>
      <c r="B2" t="inlineStr">
        <is>
          <t>Agropecuario (+ Pesca via CENEC)</t>
        </is>
      </c>
    </row>
    <row r="3">
      <c r="A3" t="inlineStr">
        <is>
          <t>Explotacion de minas y canteras</t>
        </is>
      </c>
      <c r="B3" t="inlineStr">
        <is>
          <t>Mineria e hidrocarburos</t>
        </is>
      </c>
    </row>
    <row r="4">
      <c r="A4" t="inlineStr">
        <is>
          <t>Industrias manufactureras</t>
        </is>
      </c>
      <c r="B4" t="inlineStr">
        <is>
          <t>Manufactura</t>
        </is>
      </c>
    </row>
    <row r="5">
      <c r="A5" t="inlineStr">
        <is>
          <t>Suministro de electricidad, gas</t>
        </is>
      </c>
      <c r="B5" t="inlineStr">
        <is>
          <t>Electricidad y agua</t>
        </is>
      </c>
    </row>
    <row r="6">
      <c r="A6" t="inlineStr">
        <is>
          <t>Suministro de agua; saneamiento</t>
        </is>
      </c>
      <c r="B6" t="inlineStr">
        <is>
          <t>Electricidad y agua</t>
        </is>
      </c>
    </row>
    <row r="7">
      <c r="A7" t="inlineStr">
        <is>
          <t>Construccion</t>
        </is>
      </c>
      <c r="B7" t="inlineStr">
        <is>
          <t>Construccion</t>
        </is>
      </c>
    </row>
    <row r="8">
      <c r="A8" t="inlineStr">
        <is>
          <t>Comercio y reparacion de vehiculos</t>
        </is>
      </c>
      <c r="B8" t="inlineStr">
        <is>
          <t>Comercio</t>
        </is>
      </c>
    </row>
    <row r="9">
      <c r="A9" t="inlineStr">
        <is>
          <t>Transporte y almacenamiento</t>
        </is>
      </c>
      <c r="B9" t="inlineStr">
        <is>
          <t>Servicios</t>
        </is>
      </c>
    </row>
    <row r="10">
      <c r="A10" t="inlineStr">
        <is>
          <t>Alojamiento y servicio de comidas</t>
        </is>
      </c>
      <c r="B10" t="inlineStr">
        <is>
          <t>Servicios</t>
        </is>
      </c>
    </row>
    <row r="11">
      <c r="A11" t="inlineStr">
        <is>
          <t>Informacion y comunicaciones</t>
        </is>
      </c>
      <c r="B11" t="inlineStr">
        <is>
          <t>Servicios</t>
        </is>
      </c>
    </row>
    <row r="12">
      <c r="A12" t="inlineStr">
        <is>
          <t>Actividades financieras y de seguros</t>
        </is>
      </c>
      <c r="B12" t="inlineStr">
        <is>
          <t>Servicios</t>
        </is>
      </c>
    </row>
    <row r="13">
      <c r="A13" t="inlineStr">
        <is>
          <t>Actividades inmobiliarias</t>
        </is>
      </c>
      <c r="B13" t="inlineStr">
        <is>
          <t>Servicios</t>
        </is>
      </c>
    </row>
    <row r="14">
      <c r="A14" t="inlineStr">
        <is>
          <t>Actividades profesionales/tecnicas</t>
        </is>
      </c>
      <c r="B14" t="inlineStr">
        <is>
          <t>Servicios</t>
        </is>
      </c>
    </row>
    <row r="15">
      <c r="A15" t="inlineStr">
        <is>
          <t>Servicios administrativos y de apoyo</t>
        </is>
      </c>
      <c r="B15" t="inlineStr">
        <is>
          <t>Servicios</t>
        </is>
      </c>
    </row>
    <row r="16">
      <c r="A16" t="inlineStr">
        <is>
          <t>Adm. publica y defensa</t>
        </is>
      </c>
      <c r="B16" t="inlineStr">
        <is>
          <t>Servicios</t>
        </is>
      </c>
    </row>
    <row r="17">
      <c r="A17" t="inlineStr">
        <is>
          <t>Ensenanza</t>
        </is>
      </c>
      <c r="B17" t="inlineStr">
        <is>
          <t>Servicios</t>
        </is>
      </c>
    </row>
    <row r="18">
      <c r="A18" t="inlineStr">
        <is>
          <t>Salud y asistencia social</t>
        </is>
      </c>
      <c r="B18" t="inlineStr">
        <is>
          <t>Servicios</t>
        </is>
      </c>
    </row>
    <row r="19">
      <c r="A19" t="inlineStr">
        <is>
          <t>Artisticas, entretenimiento</t>
        </is>
      </c>
      <c r="B19" t="inlineStr">
        <is>
          <t>Servicios</t>
        </is>
      </c>
    </row>
    <row r="20">
      <c r="A20" t="inlineStr">
        <is>
          <t>Otras actividades de servicios</t>
        </is>
      </c>
      <c r="B20" t="inlineStr">
        <is>
          <t>Servicios</t>
        </is>
      </c>
    </row>
    <row r="21">
      <c r="A21" t="inlineStr">
        <is>
          <t>Hogares como empleadores</t>
        </is>
      </c>
      <c r="B21" t="inlineStr">
        <is>
          <t>Servicios</t>
        </is>
      </c>
    </row>
    <row r="22">
      <c r="A22" t="inlineStr">
        <is>
          <t>Organizaciones extraterritoriales</t>
        </is>
      </c>
      <c r="B22" t="inlineStr">
        <is>
          <t>Servicios</t>
        </is>
      </c>
    </row>
    <row r="24">
      <c r="A24" s="10" t="inlineStr">
        <is>
          <t>La unica rama que se parte es 'agricultura...y pesca' (combinada en Censo, separada en Apoyo) via pesca_personal (CENEC).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9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16" customWidth="1" min="3" max="3"/>
    <col width="22" customWidth="1" min="4" max="4"/>
  </cols>
  <sheetData>
    <row r="1">
      <c r="A1" s="13" t="inlineStr">
        <is>
          <t>ubigeo</t>
        </is>
      </c>
      <c r="B1" s="13" t="inlineStr">
        <is>
          <t>departamento</t>
        </is>
      </c>
      <c r="C1" s="13" t="inlineStr">
        <is>
          <t>provincia</t>
        </is>
      </c>
      <c r="D1" s="13" t="inlineStr">
        <is>
          <t>distrito</t>
        </is>
      </c>
      <c r="E1" s="13" t="inlineStr">
        <is>
          <t>PEA ocup.</t>
        </is>
      </c>
      <c r="F1" s="13" t="inlineStr">
        <is>
          <t>% Pesca (CENEC)</t>
        </is>
      </c>
      <c r="G1" s="13" t="inlineStr">
        <is>
          <t>Agricultura, ganaderia, silvicultura y pesca</t>
        </is>
      </c>
      <c r="H1" s="13" t="inlineStr">
        <is>
          <t>Minas y canteras</t>
        </is>
      </c>
      <c r="I1" s="13" t="inlineStr">
        <is>
          <t>Industrias manufactureras</t>
        </is>
      </c>
      <c r="J1" s="13" t="inlineStr">
        <is>
          <t>Sum. electricidad/gas</t>
        </is>
      </c>
      <c r="K1" s="13" t="inlineStr">
        <is>
          <t>Sum. agua/saneamiento</t>
        </is>
      </c>
      <c r="L1" s="13" t="inlineStr">
        <is>
          <t>Construccion</t>
        </is>
      </c>
      <c r="M1" s="13" t="inlineStr">
        <is>
          <t>Comercio y reparacion</t>
        </is>
      </c>
      <c r="N1" s="13" t="inlineStr">
        <is>
          <t>Transporte y almacen.</t>
        </is>
      </c>
      <c r="O1" s="13" t="inlineStr">
        <is>
          <t>Alojamiento y comidas</t>
        </is>
      </c>
      <c r="P1" s="13" t="inlineStr">
        <is>
          <t>Informacion y comunic.</t>
        </is>
      </c>
      <c r="Q1" s="13" t="inlineStr">
        <is>
          <t>Financieras y seguros</t>
        </is>
      </c>
      <c r="R1" s="13" t="inlineStr">
        <is>
          <t>Inmobiliarias</t>
        </is>
      </c>
      <c r="S1" s="13" t="inlineStr">
        <is>
          <t>Profesionales/tecnicas</t>
        </is>
      </c>
      <c r="T1" s="13" t="inlineStr">
        <is>
          <t>Servicios administrativos</t>
        </is>
      </c>
      <c r="U1" s="13" t="inlineStr">
        <is>
          <t>Adm. publica y defensa</t>
        </is>
      </c>
      <c r="V1" s="13" t="inlineStr">
        <is>
          <t>Ensenanza</t>
        </is>
      </c>
      <c r="W1" s="13" t="inlineStr">
        <is>
          <t>Salud y asist. social</t>
        </is>
      </c>
      <c r="X1" s="13" t="inlineStr">
        <is>
          <t>Artisticas/entretenim.</t>
        </is>
      </c>
      <c r="Y1" s="13" t="inlineStr">
        <is>
          <t>Otras act. de servicios</t>
        </is>
      </c>
      <c r="Z1" s="13" t="inlineStr">
        <is>
          <t>Hogares empleadores</t>
        </is>
      </c>
      <c r="AA1" s="13" t="inlineStr">
        <is>
          <t>Organizaciones extraterr.</t>
        </is>
      </c>
    </row>
    <row r="2">
      <c r="A2" t="inlineStr">
        <is>
          <t>100101</t>
        </is>
      </c>
      <c r="B2" t="inlineStr">
        <is>
          <t>HUANUCO</t>
        </is>
      </c>
      <c r="C2" t="inlineStr">
        <is>
          <t>HUANUCO</t>
        </is>
      </c>
      <c r="D2" t="inlineStr">
        <is>
          <t>HUANUCO</t>
        </is>
      </c>
      <c r="E2" t="n">
        <v>37683</v>
      </c>
      <c r="F2" s="14" t="n">
        <v>0</v>
      </c>
      <c r="G2" s="14" t="n">
        <v>7.1</v>
      </c>
      <c r="H2" s="14" t="n">
        <v>0.36</v>
      </c>
      <c r="I2" s="14" t="n">
        <v>4.67</v>
      </c>
      <c r="J2" s="14" t="n">
        <v>0.06</v>
      </c>
      <c r="K2" s="14" t="n">
        <v>0.21</v>
      </c>
      <c r="L2" s="14" t="n">
        <v>7.76</v>
      </c>
      <c r="M2" s="14" t="n">
        <v>25.44</v>
      </c>
      <c r="N2" s="14" t="n">
        <v>10.82</v>
      </c>
      <c r="O2" s="14" t="n">
        <v>6.71</v>
      </c>
      <c r="P2" s="14" t="n">
        <v>0.96</v>
      </c>
      <c r="Q2" s="14" t="n">
        <v>1.05</v>
      </c>
      <c r="R2" s="14" t="n">
        <v>0.12</v>
      </c>
      <c r="S2" s="14" t="n">
        <v>7.42</v>
      </c>
      <c r="T2" s="14" t="n">
        <v>2.42</v>
      </c>
      <c r="U2" s="14" t="n">
        <v>5.3</v>
      </c>
      <c r="V2" s="14" t="n">
        <v>9.960000000000001</v>
      </c>
      <c r="W2" s="14" t="n">
        <v>4.1</v>
      </c>
      <c r="X2" s="14" t="n">
        <v>1.19</v>
      </c>
      <c r="Y2" s="14" t="n">
        <v>3.13</v>
      </c>
      <c r="Z2" s="14" t="n">
        <v>1.21</v>
      </c>
      <c r="AA2" s="14" t="n">
        <v>0</v>
      </c>
    </row>
    <row r="3">
      <c r="A3" t="inlineStr">
        <is>
          <t>100102</t>
        </is>
      </c>
      <c r="B3" t="inlineStr">
        <is>
          <t>HUANUCO</t>
        </is>
      </c>
      <c r="C3" t="inlineStr">
        <is>
          <t>HUANUCO</t>
        </is>
      </c>
      <c r="D3" t="inlineStr">
        <is>
          <t>AMARILIS</t>
        </is>
      </c>
      <c r="E3" t="n">
        <v>33541</v>
      </c>
      <c r="F3" s="14" t="n">
        <v>0</v>
      </c>
      <c r="G3" s="14" t="n">
        <v>7.81</v>
      </c>
      <c r="H3" s="14" t="n">
        <v>0.43</v>
      </c>
      <c r="I3" s="14" t="n">
        <v>4.36</v>
      </c>
      <c r="J3" s="14" t="n">
        <v>0.06</v>
      </c>
      <c r="K3" s="14" t="n">
        <v>0.17</v>
      </c>
      <c r="L3" s="14" t="n">
        <v>8.6</v>
      </c>
      <c r="M3" s="14" t="n">
        <v>21.56</v>
      </c>
      <c r="N3" s="14" t="n">
        <v>11.51</v>
      </c>
      <c r="O3" s="14" t="n">
        <v>6.78</v>
      </c>
      <c r="P3" s="14" t="n">
        <v>0.83</v>
      </c>
      <c r="Q3" s="14" t="n">
        <v>1</v>
      </c>
      <c r="R3" s="14" t="n">
        <v>0.1</v>
      </c>
      <c r="S3" s="14" t="n">
        <v>6.41</v>
      </c>
      <c r="T3" s="14" t="n">
        <v>2.39</v>
      </c>
      <c r="U3" s="14" t="n">
        <v>6.04</v>
      </c>
      <c r="V3" s="14" t="n">
        <v>11.27</v>
      </c>
      <c r="W3" s="14" t="n">
        <v>4.76</v>
      </c>
      <c r="X3" s="14" t="n">
        <v>1.17</v>
      </c>
      <c r="Y3" s="14" t="n">
        <v>3.25</v>
      </c>
      <c r="Z3" s="14" t="n">
        <v>1.5</v>
      </c>
      <c r="AA3" s="14" t="n">
        <v>0</v>
      </c>
    </row>
    <row r="4">
      <c r="A4" t="inlineStr">
        <is>
          <t>100103</t>
        </is>
      </c>
      <c r="B4" t="inlineStr">
        <is>
          <t>HUANUCO</t>
        </is>
      </c>
      <c r="C4" t="inlineStr">
        <is>
          <t>HUANUCO</t>
        </is>
      </c>
      <c r="D4" t="inlineStr">
        <is>
          <t>CHINCHAO</t>
        </is>
      </c>
      <c r="E4" t="n">
        <v>4256</v>
      </c>
      <c r="F4" s="14" t="n">
        <v>0</v>
      </c>
      <c r="G4" s="14" t="n">
        <v>82.98999999999999</v>
      </c>
      <c r="H4" s="14" t="n">
        <v>0.05</v>
      </c>
      <c r="I4" s="14" t="n">
        <v>0.75</v>
      </c>
      <c r="J4" s="14" t="n">
        <v>0</v>
      </c>
      <c r="K4" s="14" t="n">
        <v>0</v>
      </c>
      <c r="L4" s="14" t="n">
        <v>1.86</v>
      </c>
      <c r="M4" s="14" t="n">
        <v>4.72</v>
      </c>
      <c r="N4" s="14" t="n">
        <v>4.11</v>
      </c>
      <c r="O4" s="14" t="n">
        <v>1.95</v>
      </c>
      <c r="P4" s="14" t="n">
        <v>0.02</v>
      </c>
      <c r="Q4" s="14" t="n">
        <v>0.02</v>
      </c>
      <c r="R4" s="14" t="n">
        <v>0</v>
      </c>
      <c r="S4" s="14" t="n">
        <v>0.21</v>
      </c>
      <c r="T4" s="14" t="n">
        <v>0.14</v>
      </c>
      <c r="U4" s="14" t="n">
        <v>1.1</v>
      </c>
      <c r="V4" s="14" t="n">
        <v>0.54</v>
      </c>
      <c r="W4" s="14" t="n">
        <v>0.4</v>
      </c>
      <c r="X4" s="14" t="n">
        <v>0.07000000000000001</v>
      </c>
      <c r="Y4" s="14" t="n">
        <v>0.87</v>
      </c>
      <c r="Z4" s="14" t="n">
        <v>0.19</v>
      </c>
      <c r="AA4" s="14" t="n">
        <v>0</v>
      </c>
    </row>
    <row r="5">
      <c r="A5" t="inlineStr">
        <is>
          <t>100104</t>
        </is>
      </c>
      <c r="B5" t="inlineStr">
        <is>
          <t>HUANUCO</t>
        </is>
      </c>
      <c r="C5" t="inlineStr">
        <is>
          <t>HUANUCO</t>
        </is>
      </c>
      <c r="D5" t="inlineStr">
        <is>
          <t>CHURUBAMBA</t>
        </is>
      </c>
      <c r="E5" t="n">
        <v>4782</v>
      </c>
      <c r="F5" s="14" t="n">
        <v>0</v>
      </c>
      <c r="G5" s="14" t="n">
        <v>86.03</v>
      </c>
      <c r="H5" s="14" t="n">
        <v>0</v>
      </c>
      <c r="I5" s="14" t="n">
        <v>1.05</v>
      </c>
      <c r="J5" s="14" t="n">
        <v>0</v>
      </c>
      <c r="K5" s="14" t="n">
        <v>0.1</v>
      </c>
      <c r="L5" s="14" t="n">
        <v>1.8</v>
      </c>
      <c r="M5" s="14" t="n">
        <v>3.72</v>
      </c>
      <c r="N5" s="14" t="n">
        <v>2.28</v>
      </c>
      <c r="O5" s="14" t="n">
        <v>1.59</v>
      </c>
      <c r="P5" s="14" t="n">
        <v>0</v>
      </c>
      <c r="Q5" s="14" t="n">
        <v>0.02</v>
      </c>
      <c r="R5" s="14" t="n">
        <v>0</v>
      </c>
      <c r="S5" s="14" t="n">
        <v>0.4</v>
      </c>
      <c r="T5" s="14" t="n">
        <v>0.17</v>
      </c>
      <c r="U5" s="14" t="n">
        <v>0.52</v>
      </c>
      <c r="V5" s="14" t="n">
        <v>0.59</v>
      </c>
      <c r="W5" s="14" t="n">
        <v>0.4</v>
      </c>
      <c r="X5" s="14" t="n">
        <v>0.02</v>
      </c>
      <c r="Y5" s="14" t="n">
        <v>0.73</v>
      </c>
      <c r="Z5" s="14" t="n">
        <v>0.59</v>
      </c>
      <c r="AA5" s="14" t="n">
        <v>0</v>
      </c>
    </row>
    <row r="6">
      <c r="A6" t="inlineStr">
        <is>
          <t>100105</t>
        </is>
      </c>
      <c r="B6" t="inlineStr">
        <is>
          <t>HUANUCO</t>
        </is>
      </c>
      <c r="C6" t="inlineStr">
        <is>
          <t>HUANUCO</t>
        </is>
      </c>
      <c r="D6" t="inlineStr">
        <is>
          <t>MARGOS</t>
        </is>
      </c>
      <c r="E6" t="n">
        <v>1432</v>
      </c>
      <c r="F6" s="14" t="n">
        <v>0</v>
      </c>
      <c r="G6" s="14" t="n">
        <v>86.09999999999999</v>
      </c>
      <c r="H6" s="14" t="n">
        <v>0.07000000000000001</v>
      </c>
      <c r="I6" s="14" t="n">
        <v>0.77</v>
      </c>
      <c r="J6" s="14" t="n">
        <v>0</v>
      </c>
      <c r="K6" s="14" t="n">
        <v>0</v>
      </c>
      <c r="L6" s="14" t="n">
        <v>1.82</v>
      </c>
      <c r="M6" s="14" t="n">
        <v>3.91</v>
      </c>
      <c r="N6" s="14" t="n">
        <v>0.35</v>
      </c>
      <c r="O6" s="14" t="n">
        <v>0.42</v>
      </c>
      <c r="P6" s="14" t="n">
        <v>0</v>
      </c>
      <c r="Q6" s="14" t="n">
        <v>0</v>
      </c>
      <c r="R6" s="14" t="n">
        <v>0</v>
      </c>
      <c r="S6" s="14" t="n">
        <v>0.5600000000000001</v>
      </c>
      <c r="T6" s="14" t="n">
        <v>0.49</v>
      </c>
      <c r="U6" s="14" t="n">
        <v>1.61</v>
      </c>
      <c r="V6" s="14" t="n">
        <v>1.68</v>
      </c>
      <c r="W6" s="14" t="n">
        <v>1.19</v>
      </c>
      <c r="X6" s="14" t="n">
        <v>0</v>
      </c>
      <c r="Y6" s="14" t="n">
        <v>0.63</v>
      </c>
      <c r="Z6" s="14" t="n">
        <v>0.42</v>
      </c>
      <c r="AA6" s="14" t="n">
        <v>0</v>
      </c>
    </row>
    <row r="7">
      <c r="A7" t="inlineStr">
        <is>
          <t>100106</t>
        </is>
      </c>
      <c r="B7" t="inlineStr">
        <is>
          <t>HUANUCO</t>
        </is>
      </c>
      <c r="C7" t="inlineStr">
        <is>
          <t>HUANUCO</t>
        </is>
      </c>
      <c r="D7" t="inlineStr">
        <is>
          <t>QUISQUI</t>
        </is>
      </c>
      <c r="E7" t="n">
        <v>1007</v>
      </c>
      <c r="F7" s="14" t="n">
        <v>0</v>
      </c>
      <c r="G7" s="14" t="n">
        <v>86.3</v>
      </c>
      <c r="H7" s="14" t="n">
        <v>0.1</v>
      </c>
      <c r="I7" s="14" t="n">
        <v>0.2</v>
      </c>
      <c r="J7" s="14" t="n">
        <v>0</v>
      </c>
      <c r="K7" s="14" t="n">
        <v>0</v>
      </c>
      <c r="L7" s="14" t="n">
        <v>1.09</v>
      </c>
      <c r="M7" s="14" t="n">
        <v>2.48</v>
      </c>
      <c r="N7" s="14" t="n">
        <v>2.68</v>
      </c>
      <c r="O7" s="14" t="n">
        <v>1.99</v>
      </c>
      <c r="P7" s="14" t="n">
        <v>0.1</v>
      </c>
      <c r="Q7" s="14" t="n">
        <v>0</v>
      </c>
      <c r="R7" s="14" t="n">
        <v>0</v>
      </c>
      <c r="S7" s="14" t="n">
        <v>0</v>
      </c>
      <c r="T7" s="14" t="n">
        <v>0.4</v>
      </c>
      <c r="U7" s="14" t="n">
        <v>1.89</v>
      </c>
      <c r="V7" s="14" t="n">
        <v>1.59</v>
      </c>
      <c r="W7" s="14" t="n">
        <v>0.7</v>
      </c>
      <c r="X7" s="14" t="n">
        <v>0</v>
      </c>
      <c r="Y7" s="14" t="n">
        <v>0.1</v>
      </c>
      <c r="Z7" s="14" t="n">
        <v>0.4</v>
      </c>
      <c r="AA7" s="14" t="n">
        <v>0</v>
      </c>
    </row>
    <row r="8">
      <c r="A8" t="inlineStr">
        <is>
          <t>100107</t>
        </is>
      </c>
      <c r="B8" t="inlineStr">
        <is>
          <t>HUANUCO</t>
        </is>
      </c>
      <c r="C8" t="inlineStr">
        <is>
          <t>HUANUCO</t>
        </is>
      </c>
      <c r="D8" t="inlineStr">
        <is>
          <t>SAN FRANCISCO DE CAYRAN</t>
        </is>
      </c>
      <c r="E8" t="n">
        <v>1658</v>
      </c>
      <c r="F8" s="14" t="n">
        <v>0</v>
      </c>
      <c r="G8" s="14" t="n">
        <v>74.91</v>
      </c>
      <c r="H8" s="14" t="n">
        <v>0.18</v>
      </c>
      <c r="I8" s="14" t="n">
        <v>1.51</v>
      </c>
      <c r="J8" s="14" t="n">
        <v>0</v>
      </c>
      <c r="K8" s="14" t="n">
        <v>0</v>
      </c>
      <c r="L8" s="14" t="n">
        <v>2.23</v>
      </c>
      <c r="M8" s="14" t="n">
        <v>6.63</v>
      </c>
      <c r="N8" s="14" t="n">
        <v>5.67</v>
      </c>
      <c r="O8" s="14" t="n">
        <v>1.33</v>
      </c>
      <c r="P8" s="14" t="n">
        <v>0.06</v>
      </c>
      <c r="Q8" s="14" t="n">
        <v>0.12</v>
      </c>
      <c r="R8" s="14" t="n">
        <v>0</v>
      </c>
      <c r="S8" s="14" t="n">
        <v>0.72</v>
      </c>
      <c r="T8" s="14" t="n">
        <v>0.78</v>
      </c>
      <c r="U8" s="14" t="n">
        <v>0.97</v>
      </c>
      <c r="V8" s="14" t="n">
        <v>1.93</v>
      </c>
      <c r="W8" s="14" t="n">
        <v>1.93</v>
      </c>
      <c r="X8" s="14" t="n">
        <v>0.12</v>
      </c>
      <c r="Y8" s="14" t="n">
        <v>0.48</v>
      </c>
      <c r="Z8" s="14" t="n">
        <v>0.42</v>
      </c>
      <c r="AA8" s="14" t="n">
        <v>0</v>
      </c>
    </row>
    <row r="9">
      <c r="A9" t="inlineStr">
        <is>
          <t>100108</t>
        </is>
      </c>
      <c r="B9" t="inlineStr">
        <is>
          <t>HUANUCO</t>
        </is>
      </c>
      <c r="C9" t="inlineStr">
        <is>
          <t>HUANUCO</t>
        </is>
      </c>
      <c r="D9" t="inlineStr">
        <is>
          <t>SAN PEDRO DE CHAULAN</t>
        </is>
      </c>
      <c r="E9" t="n">
        <v>864</v>
      </c>
      <c r="F9" s="14" t="n">
        <v>0</v>
      </c>
      <c r="G9" s="14" t="n">
        <v>91.44</v>
      </c>
      <c r="H9" s="14" t="n">
        <v>0.12</v>
      </c>
      <c r="I9" s="14" t="n">
        <v>0.35</v>
      </c>
      <c r="J9" s="14" t="n">
        <v>0</v>
      </c>
      <c r="K9" s="14" t="n">
        <v>0</v>
      </c>
      <c r="L9" s="14" t="n">
        <v>0</v>
      </c>
      <c r="M9" s="14" t="n">
        <v>1.62</v>
      </c>
      <c r="N9" s="14" t="n">
        <v>1.04</v>
      </c>
      <c r="O9" s="14" t="n">
        <v>0.58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0.46</v>
      </c>
      <c r="U9" s="14" t="n">
        <v>2.43</v>
      </c>
      <c r="V9" s="14" t="n">
        <v>0.93</v>
      </c>
      <c r="W9" s="14" t="n">
        <v>0.58</v>
      </c>
      <c r="X9" s="14" t="n">
        <v>0</v>
      </c>
      <c r="Y9" s="14" t="n">
        <v>0.46</v>
      </c>
      <c r="Z9" s="14" t="n">
        <v>0</v>
      </c>
      <c r="AA9" s="14" t="n">
        <v>0</v>
      </c>
    </row>
    <row r="10">
      <c r="A10" t="inlineStr">
        <is>
          <t>100109</t>
        </is>
      </c>
      <c r="B10" t="inlineStr">
        <is>
          <t>HUANUCO</t>
        </is>
      </c>
      <c r="C10" t="inlineStr">
        <is>
          <t>HUANUCO</t>
        </is>
      </c>
      <c r="D10" t="inlineStr">
        <is>
          <t>SANTA MARIA DEL VALLE</t>
        </is>
      </c>
      <c r="E10" t="n">
        <v>6001</v>
      </c>
      <c r="F10" s="14" t="n">
        <v>0</v>
      </c>
      <c r="G10" s="14" t="n">
        <v>75.79000000000001</v>
      </c>
      <c r="H10" s="14" t="n">
        <v>0.08</v>
      </c>
      <c r="I10" s="14" t="n">
        <v>1.48</v>
      </c>
      <c r="J10" s="14" t="n">
        <v>0</v>
      </c>
      <c r="K10" s="14" t="n">
        <v>0.02</v>
      </c>
      <c r="L10" s="14" t="n">
        <v>3.28</v>
      </c>
      <c r="M10" s="14" t="n">
        <v>7.15</v>
      </c>
      <c r="N10" s="14" t="n">
        <v>4.2</v>
      </c>
      <c r="O10" s="14" t="n">
        <v>2.07</v>
      </c>
      <c r="P10" s="14" t="n">
        <v>0.1</v>
      </c>
      <c r="Q10" s="14" t="n">
        <v>0.05</v>
      </c>
      <c r="R10" s="14" t="n">
        <v>0</v>
      </c>
      <c r="S10" s="14" t="n">
        <v>0.43</v>
      </c>
      <c r="T10" s="14" t="n">
        <v>0.42</v>
      </c>
      <c r="U10" s="14" t="n">
        <v>1.63</v>
      </c>
      <c r="V10" s="14" t="n">
        <v>1.2</v>
      </c>
      <c r="W10" s="14" t="n">
        <v>0.67</v>
      </c>
      <c r="X10" s="14" t="n">
        <v>0.3</v>
      </c>
      <c r="Y10" s="14" t="n">
        <v>0.47</v>
      </c>
      <c r="Z10" s="14" t="n">
        <v>0.67</v>
      </c>
      <c r="AA10" s="14" t="n">
        <v>0</v>
      </c>
    </row>
    <row r="11">
      <c r="A11" t="inlineStr">
        <is>
          <t>100110</t>
        </is>
      </c>
      <c r="B11" t="inlineStr">
        <is>
          <t>HUANUCO</t>
        </is>
      </c>
      <c r="C11" t="inlineStr">
        <is>
          <t>HUANUCO</t>
        </is>
      </c>
      <c r="D11" t="inlineStr">
        <is>
          <t>YARUMAYO</t>
        </is>
      </c>
      <c r="E11" t="n">
        <v>410</v>
      </c>
      <c r="F11" s="14" t="n">
        <v>0</v>
      </c>
      <c r="G11" s="14" t="n">
        <v>87.56</v>
      </c>
      <c r="H11" s="14" t="n">
        <v>0</v>
      </c>
      <c r="I11" s="14" t="n">
        <v>0.73</v>
      </c>
      <c r="J11" s="14" t="n">
        <v>0</v>
      </c>
      <c r="K11" s="14" t="n">
        <v>0</v>
      </c>
      <c r="L11" s="14" t="n">
        <v>0.24</v>
      </c>
      <c r="M11" s="14" t="n">
        <v>4.63</v>
      </c>
      <c r="N11" s="14" t="n">
        <v>1.71</v>
      </c>
      <c r="O11" s="14" t="n">
        <v>0.98</v>
      </c>
      <c r="P11" s="14" t="n">
        <v>0</v>
      </c>
      <c r="Q11" s="14" t="n">
        <v>0</v>
      </c>
      <c r="R11" s="14" t="n">
        <v>0</v>
      </c>
      <c r="S11" s="14" t="n">
        <v>0.24</v>
      </c>
      <c r="T11" s="14" t="n">
        <v>0.24</v>
      </c>
      <c r="U11" s="14" t="n">
        <v>0.49</v>
      </c>
      <c r="V11" s="14" t="n">
        <v>1.22</v>
      </c>
      <c r="W11" s="14" t="n">
        <v>0.98</v>
      </c>
      <c r="X11" s="14" t="n">
        <v>0</v>
      </c>
      <c r="Y11" s="14" t="n">
        <v>0.24</v>
      </c>
      <c r="Z11" s="14" t="n">
        <v>0.73</v>
      </c>
      <c r="AA11" s="14" t="n">
        <v>0</v>
      </c>
    </row>
    <row r="12">
      <c r="A12" t="inlineStr">
        <is>
          <t>100111</t>
        </is>
      </c>
      <c r="B12" t="inlineStr">
        <is>
          <t>HUANUCO</t>
        </is>
      </c>
      <c r="C12" t="inlineStr">
        <is>
          <t>HUANUCO</t>
        </is>
      </c>
      <c r="D12" t="inlineStr">
        <is>
          <t>PILLCO MARCA</t>
        </is>
      </c>
      <c r="E12" t="n">
        <v>16879</v>
      </c>
      <c r="F12" s="14" t="n">
        <v>0</v>
      </c>
      <c r="G12" s="14" t="n">
        <v>6.38</v>
      </c>
      <c r="H12" s="14" t="n">
        <v>1.03</v>
      </c>
      <c r="I12" s="14" t="n">
        <v>11.43</v>
      </c>
      <c r="J12" s="14" t="n">
        <v>0.06</v>
      </c>
      <c r="K12" s="14" t="n">
        <v>0.17</v>
      </c>
      <c r="L12" s="14" t="n">
        <v>9.25</v>
      </c>
      <c r="M12" s="14" t="n">
        <v>18.1</v>
      </c>
      <c r="N12" s="14" t="n">
        <v>11.11</v>
      </c>
      <c r="O12" s="14" t="n">
        <v>6.08</v>
      </c>
      <c r="P12" s="14" t="n">
        <v>0.88</v>
      </c>
      <c r="Q12" s="14" t="n">
        <v>0.82</v>
      </c>
      <c r="R12" s="14" t="n">
        <v>0.04</v>
      </c>
      <c r="S12" s="14" t="n">
        <v>5.89</v>
      </c>
      <c r="T12" s="14" t="n">
        <v>2.11</v>
      </c>
      <c r="U12" s="14" t="n">
        <v>5.8</v>
      </c>
      <c r="V12" s="14" t="n">
        <v>11.81</v>
      </c>
      <c r="W12" s="14" t="n">
        <v>4.06</v>
      </c>
      <c r="X12" s="14" t="n">
        <v>0.73</v>
      </c>
      <c r="Y12" s="14" t="n">
        <v>2.91</v>
      </c>
      <c r="Z12" s="14" t="n">
        <v>1.32</v>
      </c>
      <c r="AA12" s="14" t="n">
        <v>0</v>
      </c>
    </row>
    <row r="13">
      <c r="A13" t="inlineStr">
        <is>
          <t>100112</t>
        </is>
      </c>
      <c r="B13" t="inlineStr">
        <is>
          <t>HUANUCO</t>
        </is>
      </c>
      <c r="C13" t="inlineStr">
        <is>
          <t>HUANUCO</t>
        </is>
      </c>
      <c r="D13" t="inlineStr">
        <is>
          <t>YACUS</t>
        </is>
      </c>
      <c r="E13" t="n">
        <v>2129</v>
      </c>
      <c r="F13" s="14" t="n">
        <v>0</v>
      </c>
      <c r="G13" s="14" t="n">
        <v>91.69</v>
      </c>
      <c r="H13" s="14" t="n">
        <v>0</v>
      </c>
      <c r="I13" s="14" t="n">
        <v>0.5600000000000001</v>
      </c>
      <c r="J13" s="14" t="n">
        <v>0</v>
      </c>
      <c r="K13" s="14" t="n">
        <v>0</v>
      </c>
      <c r="L13" s="14" t="n">
        <v>1.08</v>
      </c>
      <c r="M13" s="14" t="n">
        <v>2.4</v>
      </c>
      <c r="N13" s="14" t="n">
        <v>0.38</v>
      </c>
      <c r="O13" s="14" t="n">
        <v>1.27</v>
      </c>
      <c r="P13" s="14" t="n">
        <v>0</v>
      </c>
      <c r="Q13" s="14" t="n">
        <v>0</v>
      </c>
      <c r="R13" s="14" t="n">
        <v>0</v>
      </c>
      <c r="S13" s="14" t="n">
        <v>0.7</v>
      </c>
      <c r="T13" s="14" t="n">
        <v>0</v>
      </c>
      <c r="U13" s="14" t="n">
        <v>0.09</v>
      </c>
      <c r="V13" s="14" t="n">
        <v>0.61</v>
      </c>
      <c r="W13" s="14" t="n">
        <v>0.38</v>
      </c>
      <c r="X13" s="14" t="n">
        <v>0.09</v>
      </c>
      <c r="Y13" s="14" t="n">
        <v>0.66</v>
      </c>
      <c r="Z13" s="14" t="n">
        <v>0.09</v>
      </c>
      <c r="AA13" s="14" t="n">
        <v>0</v>
      </c>
    </row>
    <row r="14">
      <c r="A14" t="inlineStr">
        <is>
          <t>100113</t>
        </is>
      </c>
      <c r="B14" t="inlineStr">
        <is>
          <t>HUANUCO</t>
        </is>
      </c>
      <c r="C14" t="inlineStr">
        <is>
          <t>HUANUCO</t>
        </is>
      </c>
      <c r="D14" t="inlineStr">
        <is>
          <t>SAN PABLO DE PILLAO</t>
        </is>
      </c>
      <c r="E14" t="n">
        <v>2777</v>
      </c>
      <c r="F14" s="14" t="n">
        <v>0</v>
      </c>
      <c r="G14" s="14" t="n">
        <v>86.56999999999999</v>
      </c>
      <c r="H14" s="14" t="n">
        <v>0.18</v>
      </c>
      <c r="I14" s="14" t="n">
        <v>0.65</v>
      </c>
      <c r="J14" s="14" t="n">
        <v>0.04</v>
      </c>
      <c r="K14" s="14" t="n">
        <v>0</v>
      </c>
      <c r="L14" s="14" t="n">
        <v>0.83</v>
      </c>
      <c r="M14" s="14" t="n">
        <v>6.63</v>
      </c>
      <c r="N14" s="14" t="n">
        <v>1.51</v>
      </c>
      <c r="O14" s="14" t="n">
        <v>1.04</v>
      </c>
      <c r="P14" s="14" t="n">
        <v>0.04</v>
      </c>
      <c r="Q14" s="14" t="n">
        <v>0</v>
      </c>
      <c r="R14" s="14" t="n">
        <v>0</v>
      </c>
      <c r="S14" s="14" t="n">
        <v>0.07000000000000001</v>
      </c>
      <c r="T14" s="14" t="n">
        <v>0</v>
      </c>
      <c r="U14" s="14" t="n">
        <v>0.86</v>
      </c>
      <c r="V14" s="14" t="n">
        <v>0.43</v>
      </c>
      <c r="W14" s="14" t="n">
        <v>0.36</v>
      </c>
      <c r="X14" s="14" t="n">
        <v>0.07000000000000001</v>
      </c>
      <c r="Y14" s="14" t="n">
        <v>0.43</v>
      </c>
      <c r="Z14" s="14" t="n">
        <v>0.29</v>
      </c>
      <c r="AA14" s="14" t="n">
        <v>0</v>
      </c>
    </row>
    <row r="15">
      <c r="A15" t="inlineStr">
        <is>
          <t>100201</t>
        </is>
      </c>
      <c r="B15" t="inlineStr">
        <is>
          <t>HUANUCO</t>
        </is>
      </c>
      <c r="C15" t="inlineStr">
        <is>
          <t>AMBO</t>
        </is>
      </c>
      <c r="D15" t="inlineStr">
        <is>
          <t>AMBO</t>
        </is>
      </c>
      <c r="E15" t="n">
        <v>6667</v>
      </c>
      <c r="F15" s="14" t="n">
        <v>0</v>
      </c>
      <c r="G15" s="14" t="n">
        <v>41.02</v>
      </c>
      <c r="H15" s="14" t="n">
        <v>0.7</v>
      </c>
      <c r="I15" s="14" t="n">
        <v>3.42</v>
      </c>
      <c r="J15" s="14" t="n">
        <v>0.06</v>
      </c>
      <c r="K15" s="14" t="n">
        <v>0.09</v>
      </c>
      <c r="L15" s="14" t="n">
        <v>7.86</v>
      </c>
      <c r="M15" s="14" t="n">
        <v>15.42</v>
      </c>
      <c r="N15" s="14" t="n">
        <v>9.06</v>
      </c>
      <c r="O15" s="14" t="n">
        <v>5.71</v>
      </c>
      <c r="P15" s="14" t="n">
        <v>0.37</v>
      </c>
      <c r="Q15" s="14" t="n">
        <v>0.34</v>
      </c>
      <c r="R15" s="14" t="n">
        <v>0.03</v>
      </c>
      <c r="S15" s="14" t="n">
        <v>1.92</v>
      </c>
      <c r="T15" s="14" t="n">
        <v>0.93</v>
      </c>
      <c r="U15" s="14" t="n">
        <v>3.1</v>
      </c>
      <c r="V15" s="14" t="n">
        <v>4.18</v>
      </c>
      <c r="W15" s="14" t="n">
        <v>1.86</v>
      </c>
      <c r="X15" s="14" t="n">
        <v>0.88</v>
      </c>
      <c r="Y15" s="14" t="n">
        <v>2.25</v>
      </c>
      <c r="Z15" s="14" t="n">
        <v>0.76</v>
      </c>
      <c r="AA15" s="14" t="n">
        <v>0</v>
      </c>
    </row>
    <row r="16">
      <c r="A16" t="inlineStr">
        <is>
          <t>100202</t>
        </is>
      </c>
      <c r="B16" t="inlineStr">
        <is>
          <t>HUANUCO</t>
        </is>
      </c>
      <c r="C16" t="inlineStr">
        <is>
          <t>AMBO</t>
        </is>
      </c>
      <c r="D16" t="inlineStr">
        <is>
          <t>CAYNA</t>
        </is>
      </c>
      <c r="E16" t="n">
        <v>614</v>
      </c>
      <c r="F16" s="14" t="n">
        <v>0</v>
      </c>
      <c r="G16" s="14" t="n">
        <v>87.95</v>
      </c>
      <c r="H16" s="14" t="n">
        <v>0</v>
      </c>
      <c r="I16" s="14" t="n">
        <v>0.16</v>
      </c>
      <c r="J16" s="14" t="n">
        <v>0</v>
      </c>
      <c r="K16" s="14" t="n">
        <v>0</v>
      </c>
      <c r="L16" s="14" t="n">
        <v>3.09</v>
      </c>
      <c r="M16" s="14" t="n">
        <v>1.63</v>
      </c>
      <c r="N16" s="14" t="n">
        <v>1.47</v>
      </c>
      <c r="O16" s="14" t="n">
        <v>1.14</v>
      </c>
      <c r="P16" s="14" t="n">
        <v>0</v>
      </c>
      <c r="Q16" s="14" t="n">
        <v>0</v>
      </c>
      <c r="R16" s="14" t="n">
        <v>0</v>
      </c>
      <c r="S16" s="14" t="n">
        <v>0.65</v>
      </c>
      <c r="T16" s="14" t="n">
        <v>0.33</v>
      </c>
      <c r="U16" s="14" t="n">
        <v>0.98</v>
      </c>
      <c r="V16" s="14" t="n">
        <v>1.95</v>
      </c>
      <c r="W16" s="14" t="n">
        <v>0</v>
      </c>
      <c r="X16" s="14" t="n">
        <v>0</v>
      </c>
      <c r="Y16" s="14" t="n">
        <v>0.49</v>
      </c>
      <c r="Z16" s="14" t="n">
        <v>0.16</v>
      </c>
      <c r="AA16" s="14" t="n">
        <v>0</v>
      </c>
    </row>
    <row r="17">
      <c r="A17" t="inlineStr">
        <is>
          <t>100203</t>
        </is>
      </c>
      <c r="B17" t="inlineStr">
        <is>
          <t>HUANUCO</t>
        </is>
      </c>
      <c r="C17" t="inlineStr">
        <is>
          <t>AMBO</t>
        </is>
      </c>
      <c r="D17" t="inlineStr">
        <is>
          <t>COLPAS</t>
        </is>
      </c>
      <c r="E17" t="n">
        <v>521</v>
      </c>
      <c r="F17" s="14" t="n">
        <v>0</v>
      </c>
      <c r="G17" s="14" t="n">
        <v>92.51000000000001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0.96</v>
      </c>
      <c r="M17" s="14" t="n">
        <v>1.92</v>
      </c>
      <c r="N17" s="14" t="n">
        <v>0.38</v>
      </c>
      <c r="O17" s="14" t="n">
        <v>0.77</v>
      </c>
      <c r="P17" s="14" t="n">
        <v>0</v>
      </c>
      <c r="Q17" s="14" t="n">
        <v>0</v>
      </c>
      <c r="R17" s="14" t="n">
        <v>0</v>
      </c>
      <c r="S17" s="14" t="n">
        <v>0.38</v>
      </c>
      <c r="T17" s="14" t="n">
        <v>0</v>
      </c>
      <c r="U17" s="14" t="n">
        <v>1.73</v>
      </c>
      <c r="V17" s="14" t="n">
        <v>1.15</v>
      </c>
      <c r="W17" s="14" t="n">
        <v>0.19</v>
      </c>
      <c r="X17" s="14" t="n">
        <v>0</v>
      </c>
      <c r="Y17" s="14" t="n">
        <v>0</v>
      </c>
      <c r="Z17" s="14" t="n">
        <v>0</v>
      </c>
      <c r="AA17" s="14" t="n">
        <v>0</v>
      </c>
    </row>
    <row r="18">
      <c r="A18" t="inlineStr">
        <is>
          <t>100204</t>
        </is>
      </c>
      <c r="B18" t="inlineStr">
        <is>
          <t>HUANUCO</t>
        </is>
      </c>
      <c r="C18" t="inlineStr">
        <is>
          <t>AMBO</t>
        </is>
      </c>
      <c r="D18" t="inlineStr">
        <is>
          <t>CONCHAMARCA</t>
        </is>
      </c>
      <c r="E18" t="n">
        <v>1368</v>
      </c>
      <c r="F18" s="14" t="n">
        <v>0</v>
      </c>
      <c r="G18" s="14" t="n">
        <v>62.94</v>
      </c>
      <c r="H18" s="14" t="n">
        <v>0.37</v>
      </c>
      <c r="I18" s="14" t="n">
        <v>2.78</v>
      </c>
      <c r="J18" s="14" t="n">
        <v>0.07000000000000001</v>
      </c>
      <c r="K18" s="14" t="n">
        <v>0.07000000000000001</v>
      </c>
      <c r="L18" s="14" t="n">
        <v>9.140000000000001</v>
      </c>
      <c r="M18" s="14" t="n">
        <v>6.87</v>
      </c>
      <c r="N18" s="14" t="n">
        <v>6.58</v>
      </c>
      <c r="O18" s="14" t="n">
        <v>2.12</v>
      </c>
      <c r="P18" s="14" t="n">
        <v>0.07000000000000001</v>
      </c>
      <c r="Q18" s="14" t="n">
        <v>0.37</v>
      </c>
      <c r="R18" s="14" t="n">
        <v>0</v>
      </c>
      <c r="S18" s="14" t="n">
        <v>0.8</v>
      </c>
      <c r="T18" s="14" t="n">
        <v>0.51</v>
      </c>
      <c r="U18" s="14" t="n">
        <v>1.68</v>
      </c>
      <c r="V18" s="14" t="n">
        <v>2.49</v>
      </c>
      <c r="W18" s="14" t="n">
        <v>1.17</v>
      </c>
      <c r="X18" s="14" t="n">
        <v>0.44</v>
      </c>
      <c r="Y18" s="14" t="n">
        <v>0.8</v>
      </c>
      <c r="Z18" s="14" t="n">
        <v>0.73</v>
      </c>
      <c r="AA18" s="14" t="n">
        <v>0</v>
      </c>
    </row>
    <row r="19">
      <c r="A19" t="inlineStr">
        <is>
          <t>100205</t>
        </is>
      </c>
      <c r="B19" t="inlineStr">
        <is>
          <t>HUANUCO</t>
        </is>
      </c>
      <c r="C19" t="inlineStr">
        <is>
          <t>AMBO</t>
        </is>
      </c>
      <c r="D19" t="inlineStr">
        <is>
          <t>HUACAR</t>
        </is>
      </c>
      <c r="E19" t="n">
        <v>2508</v>
      </c>
      <c r="F19" s="14" t="n">
        <v>0</v>
      </c>
      <c r="G19" s="14" t="n">
        <v>75.31999999999999</v>
      </c>
      <c r="H19" s="14" t="n">
        <v>0.12</v>
      </c>
      <c r="I19" s="14" t="n">
        <v>1.52</v>
      </c>
      <c r="J19" s="14" t="n">
        <v>0</v>
      </c>
      <c r="K19" s="14" t="n">
        <v>0.04</v>
      </c>
      <c r="L19" s="14" t="n">
        <v>3.67</v>
      </c>
      <c r="M19" s="14" t="n">
        <v>6.58</v>
      </c>
      <c r="N19" s="14" t="n">
        <v>2.75</v>
      </c>
      <c r="O19" s="14" t="n">
        <v>2.19</v>
      </c>
      <c r="P19" s="14" t="n">
        <v>0.12</v>
      </c>
      <c r="Q19" s="14" t="n">
        <v>0.04</v>
      </c>
      <c r="R19" s="14" t="n">
        <v>0</v>
      </c>
      <c r="S19" s="14" t="n">
        <v>1.12</v>
      </c>
      <c r="T19" s="14" t="n">
        <v>0.4</v>
      </c>
      <c r="U19" s="14" t="n">
        <v>1.28</v>
      </c>
      <c r="V19" s="14" t="n">
        <v>1.44</v>
      </c>
      <c r="W19" s="14" t="n">
        <v>1.24</v>
      </c>
      <c r="X19" s="14" t="n">
        <v>0.12</v>
      </c>
      <c r="Y19" s="14" t="n">
        <v>1.36</v>
      </c>
      <c r="Z19" s="14" t="n">
        <v>0.72</v>
      </c>
      <c r="AA19" s="14" t="n">
        <v>0</v>
      </c>
    </row>
    <row r="20">
      <c r="A20" t="inlineStr">
        <is>
          <t>100206</t>
        </is>
      </c>
      <c r="B20" t="inlineStr">
        <is>
          <t>HUANUCO</t>
        </is>
      </c>
      <c r="C20" t="inlineStr">
        <is>
          <t>AMBO</t>
        </is>
      </c>
      <c r="D20" t="inlineStr">
        <is>
          <t>SAN FRANCISCO</t>
        </is>
      </c>
      <c r="E20" t="n">
        <v>462</v>
      </c>
      <c r="F20" s="14" t="n">
        <v>0</v>
      </c>
      <c r="G20" s="14" t="n">
        <v>83.12</v>
      </c>
      <c r="H20" s="14" t="n">
        <v>0.87</v>
      </c>
      <c r="I20" s="14" t="n">
        <v>1.08</v>
      </c>
      <c r="J20" s="14" t="n">
        <v>0</v>
      </c>
      <c r="K20" s="14" t="n">
        <v>0</v>
      </c>
      <c r="L20" s="14" t="n">
        <v>2.16</v>
      </c>
      <c r="M20" s="14" t="n">
        <v>5.41</v>
      </c>
      <c r="N20" s="14" t="n">
        <v>1.08</v>
      </c>
      <c r="O20" s="14" t="n">
        <v>0.22</v>
      </c>
      <c r="P20" s="14" t="n">
        <v>0</v>
      </c>
      <c r="Q20" s="14" t="n">
        <v>0</v>
      </c>
      <c r="R20" s="14" t="n">
        <v>0</v>
      </c>
      <c r="S20" s="14" t="n">
        <v>0.65</v>
      </c>
      <c r="T20" s="14" t="n">
        <v>0</v>
      </c>
      <c r="U20" s="14" t="n">
        <v>0.65</v>
      </c>
      <c r="V20" s="14" t="n">
        <v>1.73</v>
      </c>
      <c r="W20" s="14" t="n">
        <v>1.73</v>
      </c>
      <c r="X20" s="14" t="n">
        <v>0</v>
      </c>
      <c r="Y20" s="14" t="n">
        <v>0.87</v>
      </c>
      <c r="Z20" s="14" t="n">
        <v>0.43</v>
      </c>
      <c r="AA20" s="14" t="n">
        <v>0</v>
      </c>
    </row>
    <row r="21">
      <c r="A21" t="inlineStr">
        <is>
          <t>100207</t>
        </is>
      </c>
      <c r="B21" t="inlineStr">
        <is>
          <t>HUANUCO</t>
        </is>
      </c>
      <c r="C21" t="inlineStr">
        <is>
          <t>AMBO</t>
        </is>
      </c>
      <c r="D21" t="inlineStr">
        <is>
          <t>SAN RAFAEL</t>
        </is>
      </c>
      <c r="E21" t="n">
        <v>2567</v>
      </c>
      <c r="F21" s="14" t="n">
        <v>0</v>
      </c>
      <c r="G21" s="14" t="n">
        <v>76.86</v>
      </c>
      <c r="H21" s="14" t="n">
        <v>0.43</v>
      </c>
      <c r="I21" s="14" t="n">
        <v>1.13</v>
      </c>
      <c r="J21" s="14" t="n">
        <v>0</v>
      </c>
      <c r="K21" s="14" t="n">
        <v>0.04</v>
      </c>
      <c r="L21" s="14" t="n">
        <v>3.82</v>
      </c>
      <c r="M21" s="14" t="n">
        <v>6.78</v>
      </c>
      <c r="N21" s="14" t="n">
        <v>3.47</v>
      </c>
      <c r="O21" s="14" t="n">
        <v>2.18</v>
      </c>
      <c r="P21" s="14" t="n">
        <v>0.08</v>
      </c>
      <c r="Q21" s="14" t="n">
        <v>0.04</v>
      </c>
      <c r="R21" s="14" t="n">
        <v>0</v>
      </c>
      <c r="S21" s="14" t="n">
        <v>0.74</v>
      </c>
      <c r="T21" s="14" t="n">
        <v>0.35</v>
      </c>
      <c r="U21" s="14" t="n">
        <v>1.09</v>
      </c>
      <c r="V21" s="14" t="n">
        <v>1.13</v>
      </c>
      <c r="W21" s="14" t="n">
        <v>1.05</v>
      </c>
      <c r="X21" s="14" t="n">
        <v>0.16</v>
      </c>
      <c r="Y21" s="14" t="n">
        <v>0.58</v>
      </c>
      <c r="Z21" s="14" t="n">
        <v>0.08</v>
      </c>
      <c r="AA21" s="14" t="n">
        <v>0</v>
      </c>
    </row>
    <row r="22">
      <c r="A22" t="inlineStr">
        <is>
          <t>100208</t>
        </is>
      </c>
      <c r="B22" t="inlineStr">
        <is>
          <t>HUANUCO</t>
        </is>
      </c>
      <c r="C22" t="inlineStr">
        <is>
          <t>AMBO</t>
        </is>
      </c>
      <c r="D22" t="inlineStr">
        <is>
          <t>TOMAY KICHWA</t>
        </is>
      </c>
      <c r="E22" t="n">
        <v>1155</v>
      </c>
      <c r="F22" s="14" t="n">
        <v>0</v>
      </c>
      <c r="G22" s="14" t="n">
        <v>36.36</v>
      </c>
      <c r="H22" s="14" t="n">
        <v>0.35</v>
      </c>
      <c r="I22" s="14" t="n">
        <v>3.12</v>
      </c>
      <c r="J22" s="14" t="n">
        <v>0</v>
      </c>
      <c r="K22" s="14" t="n">
        <v>0.17</v>
      </c>
      <c r="L22" s="14" t="n">
        <v>11.26</v>
      </c>
      <c r="M22" s="14" t="n">
        <v>11.6</v>
      </c>
      <c r="N22" s="14" t="n">
        <v>5.71</v>
      </c>
      <c r="O22" s="14" t="n">
        <v>5.28</v>
      </c>
      <c r="P22" s="14" t="n">
        <v>0.17</v>
      </c>
      <c r="Q22" s="14" t="n">
        <v>0.52</v>
      </c>
      <c r="R22" s="14" t="n">
        <v>0</v>
      </c>
      <c r="S22" s="14" t="n">
        <v>4.68</v>
      </c>
      <c r="T22" s="14" t="n">
        <v>2.42</v>
      </c>
      <c r="U22" s="14" t="n">
        <v>4.16</v>
      </c>
      <c r="V22" s="14" t="n">
        <v>7.27</v>
      </c>
      <c r="W22" s="14" t="n">
        <v>2.51</v>
      </c>
      <c r="X22" s="14" t="n">
        <v>0.87</v>
      </c>
      <c r="Y22" s="14" t="n">
        <v>1.99</v>
      </c>
      <c r="Z22" s="14" t="n">
        <v>1.56</v>
      </c>
      <c r="AA22" s="14" t="n">
        <v>0</v>
      </c>
    </row>
    <row r="23">
      <c r="A23" t="inlineStr">
        <is>
          <t>100301</t>
        </is>
      </c>
      <c r="B23" t="inlineStr">
        <is>
          <t>HUANUCO</t>
        </is>
      </c>
      <c r="C23" t="inlineStr">
        <is>
          <t>DOS DE MAYO</t>
        </is>
      </c>
      <c r="D23" t="inlineStr">
        <is>
          <t>LA UNION</t>
        </is>
      </c>
      <c r="E23" t="n">
        <v>2234</v>
      </c>
      <c r="F23" s="14" t="n">
        <v>0</v>
      </c>
      <c r="G23" s="14" t="n">
        <v>20.95</v>
      </c>
      <c r="H23" s="14" t="n">
        <v>0.67</v>
      </c>
      <c r="I23" s="14" t="n">
        <v>3.67</v>
      </c>
      <c r="J23" s="14" t="n">
        <v>0</v>
      </c>
      <c r="K23" s="14" t="n">
        <v>0.04</v>
      </c>
      <c r="L23" s="14" t="n">
        <v>5.6</v>
      </c>
      <c r="M23" s="14" t="n">
        <v>20.32</v>
      </c>
      <c r="N23" s="14" t="n">
        <v>4.48</v>
      </c>
      <c r="O23" s="14" t="n">
        <v>6.09</v>
      </c>
      <c r="P23" s="14" t="n">
        <v>0.36</v>
      </c>
      <c r="Q23" s="14" t="n">
        <v>0.27</v>
      </c>
      <c r="R23" s="14" t="n">
        <v>0.09</v>
      </c>
      <c r="S23" s="14" t="n">
        <v>3.45</v>
      </c>
      <c r="T23" s="14" t="n">
        <v>0.9</v>
      </c>
      <c r="U23" s="14" t="n">
        <v>4.74</v>
      </c>
      <c r="V23" s="14" t="n">
        <v>20.05</v>
      </c>
      <c r="W23" s="14" t="n">
        <v>4.03</v>
      </c>
      <c r="X23" s="14" t="n">
        <v>0.36</v>
      </c>
      <c r="Y23" s="14" t="n">
        <v>2.95</v>
      </c>
      <c r="Z23" s="14" t="n">
        <v>0.98</v>
      </c>
      <c r="AA23" s="14" t="n">
        <v>0</v>
      </c>
    </row>
    <row r="24">
      <c r="A24" t="inlineStr">
        <is>
          <t>100307</t>
        </is>
      </c>
      <c r="B24" t="inlineStr">
        <is>
          <t>HUANUCO</t>
        </is>
      </c>
      <c r="C24" t="inlineStr">
        <is>
          <t>DOS DE MAYO</t>
        </is>
      </c>
      <c r="D24" t="inlineStr">
        <is>
          <t>CHUQUIS</t>
        </is>
      </c>
      <c r="E24" t="n">
        <v>992</v>
      </c>
      <c r="F24" s="14" t="n">
        <v>0</v>
      </c>
      <c r="G24" s="14" t="n">
        <v>79.64</v>
      </c>
      <c r="H24" s="14" t="n">
        <v>0.2</v>
      </c>
      <c r="I24" s="14" t="n">
        <v>0.91</v>
      </c>
      <c r="J24" s="14" t="n">
        <v>0</v>
      </c>
      <c r="K24" s="14" t="n">
        <v>0</v>
      </c>
      <c r="L24" s="14" t="n">
        <v>5.14</v>
      </c>
      <c r="M24" s="14" t="n">
        <v>3.63</v>
      </c>
      <c r="N24" s="14" t="n">
        <v>0.6</v>
      </c>
      <c r="O24" s="14" t="n">
        <v>1.81</v>
      </c>
      <c r="P24" s="14" t="n">
        <v>0</v>
      </c>
      <c r="Q24" s="14" t="n">
        <v>0</v>
      </c>
      <c r="R24" s="14" t="n">
        <v>0</v>
      </c>
      <c r="S24" s="14" t="n">
        <v>0.71</v>
      </c>
      <c r="T24" s="14" t="n">
        <v>0.6</v>
      </c>
      <c r="U24" s="14" t="n">
        <v>1.31</v>
      </c>
      <c r="V24" s="14" t="n">
        <v>3.73</v>
      </c>
      <c r="W24" s="14" t="n">
        <v>1.21</v>
      </c>
      <c r="X24" s="14" t="n">
        <v>0</v>
      </c>
      <c r="Y24" s="14" t="n">
        <v>0.4</v>
      </c>
      <c r="Z24" s="14" t="n">
        <v>0.1</v>
      </c>
      <c r="AA24" s="14" t="n">
        <v>0</v>
      </c>
    </row>
    <row r="25">
      <c r="A25" t="inlineStr">
        <is>
          <t>100311</t>
        </is>
      </c>
      <c r="B25" t="inlineStr">
        <is>
          <t>HUANUCO</t>
        </is>
      </c>
      <c r="C25" t="inlineStr">
        <is>
          <t>DOS DE MAYO</t>
        </is>
      </c>
      <c r="D25" t="inlineStr">
        <is>
          <t>MARIAS</t>
        </is>
      </c>
      <c r="E25" t="n">
        <v>1152</v>
      </c>
      <c r="F25" s="14" t="n">
        <v>0</v>
      </c>
      <c r="G25" s="14" t="n">
        <v>77.52</v>
      </c>
      <c r="H25" s="14" t="n">
        <v>0.17</v>
      </c>
      <c r="I25" s="14" t="n">
        <v>2.26</v>
      </c>
      <c r="J25" s="14" t="n">
        <v>0.09</v>
      </c>
      <c r="K25" s="14" t="n">
        <v>0</v>
      </c>
      <c r="L25" s="14" t="n">
        <v>3.47</v>
      </c>
      <c r="M25" s="14" t="n">
        <v>4.51</v>
      </c>
      <c r="N25" s="14" t="n">
        <v>0.87</v>
      </c>
      <c r="O25" s="14" t="n">
        <v>1.22</v>
      </c>
      <c r="P25" s="14" t="n">
        <v>0.17</v>
      </c>
      <c r="Q25" s="14" t="n">
        <v>0</v>
      </c>
      <c r="R25" s="14" t="n">
        <v>0</v>
      </c>
      <c r="S25" s="14" t="n">
        <v>0.43</v>
      </c>
      <c r="T25" s="14" t="n">
        <v>0.26</v>
      </c>
      <c r="U25" s="14" t="n">
        <v>1.13</v>
      </c>
      <c r="V25" s="14" t="n">
        <v>4.25</v>
      </c>
      <c r="W25" s="14" t="n">
        <v>1.82</v>
      </c>
      <c r="X25" s="14" t="n">
        <v>0</v>
      </c>
      <c r="Y25" s="14" t="n">
        <v>0.78</v>
      </c>
      <c r="Z25" s="14" t="n">
        <v>1.04</v>
      </c>
      <c r="AA25" s="14" t="n">
        <v>0</v>
      </c>
    </row>
    <row r="26">
      <c r="A26" t="inlineStr">
        <is>
          <t>100313</t>
        </is>
      </c>
      <c r="B26" t="inlineStr">
        <is>
          <t>HUANUCO</t>
        </is>
      </c>
      <c r="C26" t="inlineStr">
        <is>
          <t>DOS DE MAYO</t>
        </is>
      </c>
      <c r="D26" t="inlineStr">
        <is>
          <t>PACHAS</t>
        </is>
      </c>
      <c r="E26" t="n">
        <v>1345</v>
      </c>
      <c r="F26" s="14" t="n">
        <v>0</v>
      </c>
      <c r="G26" s="14" t="n">
        <v>77.09999999999999</v>
      </c>
      <c r="H26" s="14" t="n">
        <v>0.07000000000000001</v>
      </c>
      <c r="I26" s="14" t="n">
        <v>1.34</v>
      </c>
      <c r="J26" s="14" t="n">
        <v>0</v>
      </c>
      <c r="K26" s="14" t="n">
        <v>0.07000000000000001</v>
      </c>
      <c r="L26" s="14" t="n">
        <v>1.19</v>
      </c>
      <c r="M26" s="14" t="n">
        <v>3.49</v>
      </c>
      <c r="N26" s="14" t="n">
        <v>1.56</v>
      </c>
      <c r="O26" s="14" t="n">
        <v>1.04</v>
      </c>
      <c r="P26" s="14" t="n">
        <v>0.07000000000000001</v>
      </c>
      <c r="Q26" s="14" t="n">
        <v>0</v>
      </c>
      <c r="R26" s="14" t="n">
        <v>0</v>
      </c>
      <c r="S26" s="14" t="n">
        <v>0.74</v>
      </c>
      <c r="T26" s="14" t="n">
        <v>0.15</v>
      </c>
      <c r="U26" s="14" t="n">
        <v>1.86</v>
      </c>
      <c r="V26" s="14" t="n">
        <v>7.66</v>
      </c>
      <c r="W26" s="14" t="n">
        <v>1.86</v>
      </c>
      <c r="X26" s="14" t="n">
        <v>0.22</v>
      </c>
      <c r="Y26" s="14" t="n">
        <v>1.12</v>
      </c>
      <c r="Z26" s="14" t="n">
        <v>0.45</v>
      </c>
      <c r="AA26" s="14" t="n">
        <v>0</v>
      </c>
    </row>
    <row r="27">
      <c r="A27" t="inlineStr">
        <is>
          <t>100316</t>
        </is>
      </c>
      <c r="B27" t="inlineStr">
        <is>
          <t>HUANUCO</t>
        </is>
      </c>
      <c r="C27" t="inlineStr">
        <is>
          <t>DOS DE MAYO</t>
        </is>
      </c>
      <c r="D27" t="inlineStr">
        <is>
          <t>QUIVILLA</t>
        </is>
      </c>
      <c r="E27" t="n">
        <v>346</v>
      </c>
      <c r="F27" s="14" t="n">
        <v>0</v>
      </c>
      <c r="G27" s="14" t="n">
        <v>54.91</v>
      </c>
      <c r="H27" s="14" t="n">
        <v>0.58</v>
      </c>
      <c r="I27" s="14" t="n">
        <v>3.47</v>
      </c>
      <c r="J27" s="14" t="n">
        <v>0.29</v>
      </c>
      <c r="K27" s="14" t="n">
        <v>0</v>
      </c>
      <c r="L27" s="14" t="n">
        <v>4.05</v>
      </c>
      <c r="M27" s="14" t="n">
        <v>6.94</v>
      </c>
      <c r="N27" s="14" t="n">
        <v>4.34</v>
      </c>
      <c r="O27" s="14" t="n">
        <v>3.18</v>
      </c>
      <c r="P27" s="14" t="n">
        <v>0</v>
      </c>
      <c r="Q27" s="14" t="n">
        <v>0</v>
      </c>
      <c r="R27" s="14" t="n">
        <v>0</v>
      </c>
      <c r="S27" s="14" t="n">
        <v>2.6</v>
      </c>
      <c r="T27" s="14" t="n">
        <v>0</v>
      </c>
      <c r="U27" s="14" t="n">
        <v>2.89</v>
      </c>
      <c r="V27" s="14" t="n">
        <v>8.960000000000001</v>
      </c>
      <c r="W27" s="14" t="n">
        <v>2.6</v>
      </c>
      <c r="X27" s="14" t="n">
        <v>0</v>
      </c>
      <c r="Y27" s="14" t="n">
        <v>4.62</v>
      </c>
      <c r="Z27" s="14" t="n">
        <v>0.58</v>
      </c>
      <c r="AA27" s="14" t="n">
        <v>0</v>
      </c>
    </row>
    <row r="28">
      <c r="A28" t="inlineStr">
        <is>
          <t>100317</t>
        </is>
      </c>
      <c r="B28" t="inlineStr">
        <is>
          <t>HUANUCO</t>
        </is>
      </c>
      <c r="C28" t="inlineStr">
        <is>
          <t>DOS DE MAYO</t>
        </is>
      </c>
      <c r="D28" t="inlineStr">
        <is>
          <t>RIPAN</t>
        </is>
      </c>
      <c r="E28" t="n">
        <v>1518</v>
      </c>
      <c r="F28" s="14" t="n">
        <v>0</v>
      </c>
      <c r="G28" s="14" t="n">
        <v>43.28</v>
      </c>
      <c r="H28" s="14" t="n">
        <v>0.46</v>
      </c>
      <c r="I28" s="14" t="n">
        <v>2.57</v>
      </c>
      <c r="J28" s="14" t="n">
        <v>0</v>
      </c>
      <c r="K28" s="14" t="n">
        <v>0.07000000000000001</v>
      </c>
      <c r="L28" s="14" t="n">
        <v>5.93</v>
      </c>
      <c r="M28" s="14" t="n">
        <v>14.36</v>
      </c>
      <c r="N28" s="14" t="n">
        <v>2.44</v>
      </c>
      <c r="O28" s="14" t="n">
        <v>3.95</v>
      </c>
      <c r="P28" s="14" t="n">
        <v>0.2</v>
      </c>
      <c r="Q28" s="14" t="n">
        <v>0.07000000000000001</v>
      </c>
      <c r="R28" s="14" t="n">
        <v>0</v>
      </c>
      <c r="S28" s="14" t="n">
        <v>3.16</v>
      </c>
      <c r="T28" s="14" t="n">
        <v>1.19</v>
      </c>
      <c r="U28" s="14" t="n">
        <v>2.37</v>
      </c>
      <c r="V28" s="14" t="n">
        <v>15.81</v>
      </c>
      <c r="W28" s="14" t="n">
        <v>2.04</v>
      </c>
      <c r="X28" s="14" t="n">
        <v>0.26</v>
      </c>
      <c r="Y28" s="14" t="n">
        <v>1.38</v>
      </c>
      <c r="Z28" s="14" t="n">
        <v>0.46</v>
      </c>
      <c r="AA28" s="14" t="n">
        <v>0</v>
      </c>
    </row>
    <row r="29">
      <c r="A29" t="inlineStr">
        <is>
          <t>100321</t>
        </is>
      </c>
      <c r="B29" t="inlineStr">
        <is>
          <t>HUANUCO</t>
        </is>
      </c>
      <c r="C29" t="inlineStr">
        <is>
          <t>DOS DE MAYO</t>
        </is>
      </c>
      <c r="D29" t="inlineStr">
        <is>
          <t>SHUNQUI</t>
        </is>
      </c>
      <c r="E29" t="n">
        <v>379</v>
      </c>
      <c r="F29" s="14" t="n">
        <v>0</v>
      </c>
      <c r="G29" s="14" t="n">
        <v>87.34</v>
      </c>
      <c r="H29" s="14" t="n">
        <v>0.26</v>
      </c>
      <c r="I29" s="14" t="n">
        <v>0.53</v>
      </c>
      <c r="J29" s="14" t="n">
        <v>0</v>
      </c>
      <c r="K29" s="14" t="n">
        <v>0.53</v>
      </c>
      <c r="L29" s="14" t="n">
        <v>0.26</v>
      </c>
      <c r="M29" s="14" t="n">
        <v>2.64</v>
      </c>
      <c r="N29" s="14" t="n">
        <v>1.32</v>
      </c>
      <c r="O29" s="14" t="n">
        <v>0.53</v>
      </c>
      <c r="P29" s="14" t="n">
        <v>0</v>
      </c>
      <c r="Q29" s="14" t="n">
        <v>0</v>
      </c>
      <c r="R29" s="14" t="n">
        <v>0</v>
      </c>
      <c r="S29" s="14" t="n">
        <v>0.26</v>
      </c>
      <c r="T29" s="14" t="n">
        <v>0</v>
      </c>
      <c r="U29" s="14" t="n">
        <v>1.06</v>
      </c>
      <c r="V29" s="14" t="n">
        <v>4.49</v>
      </c>
      <c r="W29" s="14" t="n">
        <v>0.53</v>
      </c>
      <c r="X29" s="14" t="n">
        <v>0</v>
      </c>
      <c r="Y29" s="14" t="n">
        <v>0.26</v>
      </c>
      <c r="Z29" s="14" t="n">
        <v>0</v>
      </c>
      <c r="AA29" s="14" t="n">
        <v>0</v>
      </c>
    </row>
    <row r="30">
      <c r="A30" t="inlineStr">
        <is>
          <t>100322</t>
        </is>
      </c>
      <c r="B30" t="inlineStr">
        <is>
          <t>HUANUCO</t>
        </is>
      </c>
      <c r="C30" t="inlineStr">
        <is>
          <t>DOS DE MAYO</t>
        </is>
      </c>
      <c r="D30" t="inlineStr">
        <is>
          <t>SILLAPATA</t>
        </is>
      </c>
      <c r="E30" t="n">
        <v>362</v>
      </c>
      <c r="F30" s="14" t="n">
        <v>0</v>
      </c>
      <c r="G30" s="14" t="n">
        <v>77.90000000000001</v>
      </c>
      <c r="H30" s="14" t="n">
        <v>0</v>
      </c>
      <c r="I30" s="14" t="n">
        <v>0.83</v>
      </c>
      <c r="J30" s="14" t="n">
        <v>0</v>
      </c>
      <c r="K30" s="14" t="n">
        <v>0</v>
      </c>
      <c r="L30" s="14" t="n">
        <v>1.66</v>
      </c>
      <c r="M30" s="14" t="n">
        <v>2.49</v>
      </c>
      <c r="N30" s="14" t="n">
        <v>1.66</v>
      </c>
      <c r="O30" s="14" t="n">
        <v>1.1</v>
      </c>
      <c r="P30" s="14" t="n">
        <v>0.28</v>
      </c>
      <c r="Q30" s="14" t="n">
        <v>0</v>
      </c>
      <c r="R30" s="14" t="n">
        <v>0</v>
      </c>
      <c r="S30" s="14" t="n">
        <v>1.38</v>
      </c>
      <c r="T30" s="14" t="n">
        <v>1.1</v>
      </c>
      <c r="U30" s="14" t="n">
        <v>0.55</v>
      </c>
      <c r="V30" s="14" t="n">
        <v>7.73</v>
      </c>
      <c r="W30" s="14" t="n">
        <v>3.04</v>
      </c>
      <c r="X30" s="14" t="n">
        <v>0</v>
      </c>
      <c r="Y30" s="14" t="n">
        <v>0</v>
      </c>
      <c r="Z30" s="14" t="n">
        <v>0.28</v>
      </c>
      <c r="AA30" s="14" t="n">
        <v>0</v>
      </c>
    </row>
    <row r="31">
      <c r="A31" t="inlineStr">
        <is>
          <t>100323</t>
        </is>
      </c>
      <c r="B31" t="inlineStr">
        <is>
          <t>HUANUCO</t>
        </is>
      </c>
      <c r="C31" t="inlineStr">
        <is>
          <t>DOS DE MAYO</t>
        </is>
      </c>
      <c r="D31" t="inlineStr">
        <is>
          <t>YANAS</t>
        </is>
      </c>
      <c r="E31" t="n">
        <v>606</v>
      </c>
      <c r="F31" s="14" t="n">
        <v>0</v>
      </c>
      <c r="G31" s="14" t="n">
        <v>80.53</v>
      </c>
      <c r="H31" s="14" t="n">
        <v>0.17</v>
      </c>
      <c r="I31" s="14" t="n">
        <v>0.83</v>
      </c>
      <c r="J31" s="14" t="n">
        <v>0</v>
      </c>
      <c r="K31" s="14" t="n">
        <v>0</v>
      </c>
      <c r="L31" s="14" t="n">
        <v>0.99</v>
      </c>
      <c r="M31" s="14" t="n">
        <v>4.13</v>
      </c>
      <c r="N31" s="14" t="n">
        <v>0.66</v>
      </c>
      <c r="O31" s="14" t="n">
        <v>1.98</v>
      </c>
      <c r="P31" s="14" t="n">
        <v>0</v>
      </c>
      <c r="Q31" s="14" t="n">
        <v>0</v>
      </c>
      <c r="R31" s="14" t="n">
        <v>0</v>
      </c>
      <c r="S31" s="14" t="n">
        <v>1.49</v>
      </c>
      <c r="T31" s="14" t="n">
        <v>0.33</v>
      </c>
      <c r="U31" s="14" t="n">
        <v>3.63</v>
      </c>
      <c r="V31" s="14" t="n">
        <v>2.81</v>
      </c>
      <c r="W31" s="14" t="n">
        <v>0.83</v>
      </c>
      <c r="X31" s="14" t="n">
        <v>0</v>
      </c>
      <c r="Y31" s="14" t="n">
        <v>0.99</v>
      </c>
      <c r="Z31" s="14" t="n">
        <v>0.66</v>
      </c>
      <c r="AA31" s="14" t="n">
        <v>0</v>
      </c>
    </row>
    <row r="32">
      <c r="A32" t="inlineStr">
        <is>
          <t>100401</t>
        </is>
      </c>
      <c r="B32" t="inlineStr">
        <is>
          <t>HUANUCO</t>
        </is>
      </c>
      <c r="C32" t="inlineStr">
        <is>
          <t>HUACAYBAMBA</t>
        </is>
      </c>
      <c r="D32" t="inlineStr">
        <is>
          <t>HUACAYBAMBA</t>
        </is>
      </c>
      <c r="E32" t="n">
        <v>1398</v>
      </c>
      <c r="F32" s="14" t="n">
        <v>0</v>
      </c>
      <c r="G32" s="14" t="n">
        <v>49.14</v>
      </c>
      <c r="H32" s="14" t="n">
        <v>0.14</v>
      </c>
      <c r="I32" s="14" t="n">
        <v>1.22</v>
      </c>
      <c r="J32" s="14" t="n">
        <v>0</v>
      </c>
      <c r="K32" s="14" t="n">
        <v>0.07000000000000001</v>
      </c>
      <c r="L32" s="14" t="n">
        <v>3.29</v>
      </c>
      <c r="M32" s="14" t="n">
        <v>10.52</v>
      </c>
      <c r="N32" s="14" t="n">
        <v>2.07</v>
      </c>
      <c r="O32" s="14" t="n">
        <v>2.58</v>
      </c>
      <c r="P32" s="14" t="n">
        <v>0.21</v>
      </c>
      <c r="Q32" s="14" t="n">
        <v>0.07000000000000001</v>
      </c>
      <c r="R32" s="14" t="n">
        <v>0</v>
      </c>
      <c r="S32" s="14" t="n">
        <v>1.93</v>
      </c>
      <c r="T32" s="14" t="n">
        <v>0.21</v>
      </c>
      <c r="U32" s="14" t="n">
        <v>6.94</v>
      </c>
      <c r="V32" s="14" t="n">
        <v>16.02</v>
      </c>
      <c r="W32" s="14" t="n">
        <v>3.22</v>
      </c>
      <c r="X32" s="14" t="n">
        <v>0</v>
      </c>
      <c r="Y32" s="14" t="n">
        <v>1.5</v>
      </c>
      <c r="Z32" s="14" t="n">
        <v>0.86</v>
      </c>
      <c r="AA32" s="14" t="n">
        <v>0</v>
      </c>
    </row>
    <row r="33">
      <c r="A33" t="inlineStr">
        <is>
          <t>100402</t>
        </is>
      </c>
      <c r="B33" t="inlineStr">
        <is>
          <t>HUANUCO</t>
        </is>
      </c>
      <c r="C33" t="inlineStr">
        <is>
          <t>HUACAYBAMBA</t>
        </is>
      </c>
      <c r="D33" t="inlineStr">
        <is>
          <t>CANCHABAMBA</t>
        </is>
      </c>
      <c r="E33" t="n">
        <v>393</v>
      </c>
      <c r="F33" s="14" t="n">
        <v>0</v>
      </c>
      <c r="G33" s="14" t="n">
        <v>64.89</v>
      </c>
      <c r="H33" s="14" t="n">
        <v>0.25</v>
      </c>
      <c r="I33" s="14" t="n">
        <v>0.76</v>
      </c>
      <c r="J33" s="14" t="n">
        <v>0</v>
      </c>
      <c r="K33" s="14" t="n">
        <v>0</v>
      </c>
      <c r="L33" s="14" t="n">
        <v>1.53</v>
      </c>
      <c r="M33" s="14" t="n">
        <v>11.7</v>
      </c>
      <c r="N33" s="14" t="n">
        <v>0</v>
      </c>
      <c r="O33" s="14" t="n">
        <v>0</v>
      </c>
      <c r="P33" s="14" t="n">
        <v>0.25</v>
      </c>
      <c r="Q33" s="14" t="n">
        <v>0</v>
      </c>
      <c r="R33" s="14" t="n">
        <v>0</v>
      </c>
      <c r="S33" s="14" t="n">
        <v>0.51</v>
      </c>
      <c r="T33" s="14" t="n">
        <v>0</v>
      </c>
      <c r="U33" s="14" t="n">
        <v>1.27</v>
      </c>
      <c r="V33" s="14" t="n">
        <v>15.01</v>
      </c>
      <c r="W33" s="14" t="n">
        <v>3.56</v>
      </c>
      <c r="X33" s="14" t="n">
        <v>0</v>
      </c>
      <c r="Y33" s="14" t="n">
        <v>0.25</v>
      </c>
      <c r="Z33" s="14" t="n">
        <v>0</v>
      </c>
      <c r="AA33" s="14" t="n">
        <v>0</v>
      </c>
    </row>
    <row r="34">
      <c r="A34" t="inlineStr">
        <is>
          <t>100403</t>
        </is>
      </c>
      <c r="B34" t="inlineStr">
        <is>
          <t>HUANUCO</t>
        </is>
      </c>
      <c r="C34" t="inlineStr">
        <is>
          <t>HUACAYBAMBA</t>
        </is>
      </c>
      <c r="D34" t="inlineStr">
        <is>
          <t>COCHABAMBA</t>
        </is>
      </c>
      <c r="E34" t="n">
        <v>487</v>
      </c>
      <c r="F34" s="14" t="n">
        <v>0</v>
      </c>
      <c r="G34" s="14" t="n">
        <v>64.89</v>
      </c>
      <c r="H34" s="14" t="n">
        <v>0</v>
      </c>
      <c r="I34" s="14" t="n">
        <v>1.03</v>
      </c>
      <c r="J34" s="14" t="n">
        <v>0</v>
      </c>
      <c r="K34" s="14" t="n">
        <v>0</v>
      </c>
      <c r="L34" s="14" t="n">
        <v>13.96</v>
      </c>
      <c r="M34" s="14" t="n">
        <v>2.46</v>
      </c>
      <c r="N34" s="14" t="n">
        <v>1.44</v>
      </c>
      <c r="O34" s="14" t="n">
        <v>2.46</v>
      </c>
      <c r="P34" s="14" t="n">
        <v>0</v>
      </c>
      <c r="Q34" s="14" t="n">
        <v>0</v>
      </c>
      <c r="R34" s="14" t="n">
        <v>0.21</v>
      </c>
      <c r="S34" s="14" t="n">
        <v>1.23</v>
      </c>
      <c r="T34" s="14" t="n">
        <v>0</v>
      </c>
      <c r="U34" s="14" t="n">
        <v>2.87</v>
      </c>
      <c r="V34" s="14" t="n">
        <v>7.8</v>
      </c>
      <c r="W34" s="14" t="n">
        <v>1.44</v>
      </c>
      <c r="X34" s="14" t="n">
        <v>0</v>
      </c>
      <c r="Y34" s="14" t="n">
        <v>0.21</v>
      </c>
      <c r="Z34" s="14" t="n">
        <v>0</v>
      </c>
      <c r="AA34" s="14" t="n">
        <v>0</v>
      </c>
    </row>
    <row r="35">
      <c r="A35" t="inlineStr">
        <is>
          <t>100404</t>
        </is>
      </c>
      <c r="B35" t="inlineStr">
        <is>
          <t>HUANUCO</t>
        </is>
      </c>
      <c r="C35" t="inlineStr">
        <is>
          <t>HUACAYBAMBA</t>
        </is>
      </c>
      <c r="D35" t="inlineStr">
        <is>
          <t>PINRA</t>
        </is>
      </c>
      <c r="E35" t="n">
        <v>491</v>
      </c>
      <c r="F35" s="14" t="n">
        <v>0</v>
      </c>
      <c r="G35" s="14" t="n">
        <v>44.81</v>
      </c>
      <c r="H35" s="14" t="n">
        <v>0</v>
      </c>
      <c r="I35" s="14" t="n">
        <v>1.63</v>
      </c>
      <c r="J35" s="14" t="n">
        <v>0</v>
      </c>
      <c r="K35" s="14" t="n">
        <v>0</v>
      </c>
      <c r="L35" s="14" t="n">
        <v>4.48</v>
      </c>
      <c r="M35" s="14" t="n">
        <v>5.09</v>
      </c>
      <c r="N35" s="14" t="n">
        <v>0.61</v>
      </c>
      <c r="O35" s="14" t="n">
        <v>1.63</v>
      </c>
      <c r="P35" s="14" t="n">
        <v>0</v>
      </c>
      <c r="Q35" s="14" t="n">
        <v>0</v>
      </c>
      <c r="R35" s="14" t="n">
        <v>0</v>
      </c>
      <c r="S35" s="14" t="n">
        <v>2.04</v>
      </c>
      <c r="T35" s="14" t="n">
        <v>1.43</v>
      </c>
      <c r="U35" s="14" t="n">
        <v>1.83</v>
      </c>
      <c r="V35" s="14" t="n">
        <v>31.98</v>
      </c>
      <c r="W35" s="14" t="n">
        <v>2.65</v>
      </c>
      <c r="X35" s="14" t="n">
        <v>0</v>
      </c>
      <c r="Y35" s="14" t="n">
        <v>1.43</v>
      </c>
      <c r="Z35" s="14" t="n">
        <v>0.41</v>
      </c>
      <c r="AA35" s="14" t="n">
        <v>0</v>
      </c>
    </row>
    <row r="36">
      <c r="A36" t="inlineStr">
        <is>
          <t>100501</t>
        </is>
      </c>
      <c r="B36" t="inlineStr">
        <is>
          <t>HUANUCO</t>
        </is>
      </c>
      <c r="C36" t="inlineStr">
        <is>
          <t>HUAMALIES</t>
        </is>
      </c>
      <c r="D36" t="inlineStr">
        <is>
          <t>LLATA</t>
        </is>
      </c>
      <c r="E36" t="n">
        <v>4098</v>
      </c>
      <c r="F36" s="14" t="n">
        <v>0</v>
      </c>
      <c r="G36" s="14" t="n">
        <v>50.37</v>
      </c>
      <c r="H36" s="14" t="n">
        <v>0.27</v>
      </c>
      <c r="I36" s="14" t="n">
        <v>2</v>
      </c>
      <c r="J36" s="14" t="n">
        <v>0.02</v>
      </c>
      <c r="K36" s="14" t="n">
        <v>0.02</v>
      </c>
      <c r="L36" s="14" t="n">
        <v>2.93</v>
      </c>
      <c r="M36" s="14" t="n">
        <v>12.52</v>
      </c>
      <c r="N36" s="14" t="n">
        <v>1.85</v>
      </c>
      <c r="O36" s="14" t="n">
        <v>3.78</v>
      </c>
      <c r="P36" s="14" t="n">
        <v>0.32</v>
      </c>
      <c r="Q36" s="14" t="n">
        <v>0.1</v>
      </c>
      <c r="R36" s="14" t="n">
        <v>0</v>
      </c>
      <c r="S36" s="14" t="n">
        <v>2.71</v>
      </c>
      <c r="T36" s="14" t="n">
        <v>0.71</v>
      </c>
      <c r="U36" s="14" t="n">
        <v>3.71</v>
      </c>
      <c r="V36" s="14" t="n">
        <v>12.25</v>
      </c>
      <c r="W36" s="14" t="n">
        <v>2.54</v>
      </c>
      <c r="X36" s="14" t="n">
        <v>0.24</v>
      </c>
      <c r="Y36" s="14" t="n">
        <v>2.86</v>
      </c>
      <c r="Z36" s="14" t="n">
        <v>0.8100000000000001</v>
      </c>
      <c r="AA36" s="14" t="n">
        <v>0</v>
      </c>
    </row>
    <row r="37">
      <c r="A37" t="inlineStr">
        <is>
          <t>100502</t>
        </is>
      </c>
      <c r="B37" t="inlineStr">
        <is>
          <t>HUANUCO</t>
        </is>
      </c>
      <c r="C37" t="inlineStr">
        <is>
          <t>HUAMALIES</t>
        </is>
      </c>
      <c r="D37" t="inlineStr">
        <is>
          <t>ARANCAY</t>
        </is>
      </c>
      <c r="E37" t="n">
        <v>414</v>
      </c>
      <c r="F37" s="14" t="n">
        <v>0</v>
      </c>
      <c r="G37" s="14" t="n">
        <v>64.01000000000001</v>
      </c>
      <c r="H37" s="14" t="n">
        <v>0</v>
      </c>
      <c r="I37" s="14" t="n">
        <v>0.72</v>
      </c>
      <c r="J37" s="14" t="n">
        <v>0</v>
      </c>
      <c r="K37" s="14" t="n">
        <v>0.97</v>
      </c>
      <c r="L37" s="14" t="n">
        <v>12.08</v>
      </c>
      <c r="M37" s="14" t="n">
        <v>4.11</v>
      </c>
      <c r="N37" s="14" t="n">
        <v>1.21</v>
      </c>
      <c r="O37" s="14" t="n">
        <v>0.72</v>
      </c>
      <c r="P37" s="14" t="n">
        <v>0</v>
      </c>
      <c r="Q37" s="14" t="n">
        <v>0</v>
      </c>
      <c r="R37" s="14" t="n">
        <v>0</v>
      </c>
      <c r="S37" s="14" t="n">
        <v>1.21</v>
      </c>
      <c r="T37" s="14" t="n">
        <v>0</v>
      </c>
      <c r="U37" s="14" t="n">
        <v>3.14</v>
      </c>
      <c r="V37" s="14" t="n">
        <v>8.210000000000001</v>
      </c>
      <c r="W37" s="14" t="n">
        <v>2.9</v>
      </c>
      <c r="X37" s="14" t="n">
        <v>0</v>
      </c>
      <c r="Y37" s="14" t="n">
        <v>0.48</v>
      </c>
      <c r="Z37" s="14" t="n">
        <v>0.24</v>
      </c>
      <c r="AA37" s="14" t="n">
        <v>0</v>
      </c>
    </row>
    <row r="38">
      <c r="A38" t="inlineStr">
        <is>
          <t>100503</t>
        </is>
      </c>
      <c r="B38" t="inlineStr">
        <is>
          <t>HUANUCO</t>
        </is>
      </c>
      <c r="C38" t="inlineStr">
        <is>
          <t>HUAMALIES</t>
        </is>
      </c>
      <c r="D38" t="inlineStr">
        <is>
          <t>CHAVIN DE PARIARCA</t>
        </is>
      </c>
      <c r="E38" t="n">
        <v>1234</v>
      </c>
      <c r="F38" s="14" t="n">
        <v>0</v>
      </c>
      <c r="G38" s="14" t="n">
        <v>81.04000000000001</v>
      </c>
      <c r="H38" s="14" t="n">
        <v>0</v>
      </c>
      <c r="I38" s="14" t="n">
        <v>1.7</v>
      </c>
      <c r="J38" s="14" t="n">
        <v>0</v>
      </c>
      <c r="K38" s="14" t="n">
        <v>0</v>
      </c>
      <c r="L38" s="14" t="n">
        <v>2.19</v>
      </c>
      <c r="M38" s="14" t="n">
        <v>2.67</v>
      </c>
      <c r="N38" s="14" t="n">
        <v>1.3</v>
      </c>
      <c r="O38" s="14" t="n">
        <v>1.46</v>
      </c>
      <c r="P38" s="14" t="n">
        <v>0</v>
      </c>
      <c r="Q38" s="14" t="n">
        <v>0</v>
      </c>
      <c r="R38" s="14" t="n">
        <v>0</v>
      </c>
      <c r="S38" s="14" t="n">
        <v>0.32</v>
      </c>
      <c r="T38" s="14" t="n">
        <v>0</v>
      </c>
      <c r="U38" s="14" t="n">
        <v>1.38</v>
      </c>
      <c r="V38" s="14" t="n">
        <v>4.38</v>
      </c>
      <c r="W38" s="14" t="n">
        <v>1.86</v>
      </c>
      <c r="X38" s="14" t="n">
        <v>0.08</v>
      </c>
      <c r="Y38" s="14" t="n">
        <v>0.65</v>
      </c>
      <c r="Z38" s="14" t="n">
        <v>0.97</v>
      </c>
      <c r="AA38" s="14" t="n">
        <v>0</v>
      </c>
    </row>
    <row r="39">
      <c r="A39" t="inlineStr">
        <is>
          <t>100504</t>
        </is>
      </c>
      <c r="B39" t="inlineStr">
        <is>
          <t>HUANUCO</t>
        </is>
      </c>
      <c r="C39" t="inlineStr">
        <is>
          <t>HUAMALIES</t>
        </is>
      </c>
      <c r="D39" t="inlineStr">
        <is>
          <t>JACAS GRANDE</t>
        </is>
      </c>
      <c r="E39" t="n">
        <v>1379</v>
      </c>
      <c r="F39" s="14" t="n">
        <v>0</v>
      </c>
      <c r="G39" s="14" t="n">
        <v>67.37</v>
      </c>
      <c r="H39" s="14" t="n">
        <v>0.22</v>
      </c>
      <c r="I39" s="14" t="n">
        <v>1.6</v>
      </c>
      <c r="J39" s="14" t="n">
        <v>0.07000000000000001</v>
      </c>
      <c r="K39" s="14" t="n">
        <v>0.07000000000000001</v>
      </c>
      <c r="L39" s="14" t="n">
        <v>2.18</v>
      </c>
      <c r="M39" s="14" t="n">
        <v>13.13</v>
      </c>
      <c r="N39" s="14" t="n">
        <v>1.67</v>
      </c>
      <c r="O39" s="14" t="n">
        <v>0.9399999999999999</v>
      </c>
      <c r="P39" s="14" t="n">
        <v>0</v>
      </c>
      <c r="Q39" s="14" t="n">
        <v>0</v>
      </c>
      <c r="R39" s="14" t="n">
        <v>0</v>
      </c>
      <c r="S39" s="14" t="n">
        <v>1.09</v>
      </c>
      <c r="T39" s="14" t="n">
        <v>0.15</v>
      </c>
      <c r="U39" s="14" t="n">
        <v>1.96</v>
      </c>
      <c r="V39" s="14" t="n">
        <v>5.58</v>
      </c>
      <c r="W39" s="14" t="n">
        <v>1.89</v>
      </c>
      <c r="X39" s="14" t="n">
        <v>0</v>
      </c>
      <c r="Y39" s="14" t="n">
        <v>1.23</v>
      </c>
      <c r="Z39" s="14" t="n">
        <v>0.87</v>
      </c>
      <c r="AA39" s="14" t="n">
        <v>0</v>
      </c>
    </row>
    <row r="40">
      <c r="A40" t="inlineStr">
        <is>
          <t>100505</t>
        </is>
      </c>
      <c r="B40" t="inlineStr">
        <is>
          <t>HUANUCO</t>
        </is>
      </c>
      <c r="C40" t="inlineStr">
        <is>
          <t>HUAMALIES</t>
        </is>
      </c>
      <c r="D40" t="inlineStr">
        <is>
          <t>JIRCAN</t>
        </is>
      </c>
      <c r="E40" t="n">
        <v>467</v>
      </c>
      <c r="F40" s="14" t="n">
        <v>0</v>
      </c>
      <c r="G40" s="14" t="n">
        <v>80.94</v>
      </c>
      <c r="H40" s="14" t="n">
        <v>0</v>
      </c>
      <c r="I40" s="14" t="n">
        <v>1.93</v>
      </c>
      <c r="J40" s="14" t="n">
        <v>0</v>
      </c>
      <c r="K40" s="14" t="n">
        <v>0</v>
      </c>
      <c r="L40" s="14" t="n">
        <v>0.86</v>
      </c>
      <c r="M40" s="14" t="n">
        <v>3.64</v>
      </c>
      <c r="N40" s="14" t="n">
        <v>0.43</v>
      </c>
      <c r="O40" s="14" t="n">
        <v>0.86</v>
      </c>
      <c r="P40" s="14" t="n">
        <v>0</v>
      </c>
      <c r="Q40" s="14" t="n">
        <v>0</v>
      </c>
      <c r="R40" s="14" t="n">
        <v>0</v>
      </c>
      <c r="S40" s="14" t="n">
        <v>1.28</v>
      </c>
      <c r="T40" s="14" t="n">
        <v>0.43</v>
      </c>
      <c r="U40" s="14" t="n">
        <v>1.5</v>
      </c>
      <c r="V40" s="14" t="n">
        <v>6</v>
      </c>
      <c r="W40" s="14" t="n">
        <v>1.28</v>
      </c>
      <c r="X40" s="14" t="n">
        <v>0.21</v>
      </c>
      <c r="Y40" s="14" t="n">
        <v>0</v>
      </c>
      <c r="Z40" s="14" t="n">
        <v>0.64</v>
      </c>
      <c r="AA40" s="14" t="n">
        <v>0</v>
      </c>
    </row>
    <row r="41">
      <c r="A41" t="inlineStr">
        <is>
          <t>100506</t>
        </is>
      </c>
      <c r="B41" t="inlineStr">
        <is>
          <t>HUANUCO</t>
        </is>
      </c>
      <c r="C41" t="inlineStr">
        <is>
          <t>HUAMALIES</t>
        </is>
      </c>
      <c r="D41" t="inlineStr">
        <is>
          <t>MIRAFLORES</t>
        </is>
      </c>
      <c r="E41" t="n">
        <v>885</v>
      </c>
      <c r="F41" s="14" t="n">
        <v>0</v>
      </c>
      <c r="G41" s="14" t="n">
        <v>79.31999999999999</v>
      </c>
      <c r="H41" s="14" t="n">
        <v>0.11</v>
      </c>
      <c r="I41" s="14" t="n">
        <v>1.36</v>
      </c>
      <c r="J41" s="14" t="n">
        <v>0</v>
      </c>
      <c r="K41" s="14" t="n">
        <v>0</v>
      </c>
      <c r="L41" s="14" t="n">
        <v>1.58</v>
      </c>
      <c r="M41" s="14" t="n">
        <v>4.86</v>
      </c>
      <c r="N41" s="14" t="n">
        <v>0.68</v>
      </c>
      <c r="O41" s="14" t="n">
        <v>0.9</v>
      </c>
      <c r="P41" s="14" t="n">
        <v>0</v>
      </c>
      <c r="Q41" s="14" t="n">
        <v>0</v>
      </c>
      <c r="R41" s="14" t="n">
        <v>0</v>
      </c>
      <c r="S41" s="14" t="n">
        <v>1.02</v>
      </c>
      <c r="T41" s="14" t="n">
        <v>0.45</v>
      </c>
      <c r="U41" s="14" t="n">
        <v>1.36</v>
      </c>
      <c r="V41" s="14" t="n">
        <v>5.65</v>
      </c>
      <c r="W41" s="14" t="n">
        <v>1.81</v>
      </c>
      <c r="X41" s="14" t="n">
        <v>0</v>
      </c>
      <c r="Y41" s="14" t="n">
        <v>0.79</v>
      </c>
      <c r="Z41" s="14" t="n">
        <v>0.11</v>
      </c>
      <c r="AA41" s="14" t="n">
        <v>0</v>
      </c>
    </row>
    <row r="42">
      <c r="A42" t="inlineStr">
        <is>
          <t>100507</t>
        </is>
      </c>
      <c r="B42" t="inlineStr">
        <is>
          <t>HUANUCO</t>
        </is>
      </c>
      <c r="C42" t="inlineStr">
        <is>
          <t>HUAMALIES</t>
        </is>
      </c>
      <c r="D42" t="inlineStr">
        <is>
          <t>MONZON</t>
        </is>
      </c>
      <c r="E42" t="n">
        <v>4548</v>
      </c>
      <c r="F42" s="14" t="n">
        <v>0</v>
      </c>
      <c r="G42" s="14" t="n">
        <v>75.79000000000001</v>
      </c>
      <c r="H42" s="14" t="n">
        <v>0.11</v>
      </c>
      <c r="I42" s="14" t="n">
        <v>1.1</v>
      </c>
      <c r="J42" s="14" t="n">
        <v>0</v>
      </c>
      <c r="K42" s="14" t="n">
        <v>0</v>
      </c>
      <c r="L42" s="14" t="n">
        <v>3.28</v>
      </c>
      <c r="M42" s="14" t="n">
        <v>5.34</v>
      </c>
      <c r="N42" s="14" t="n">
        <v>1.82</v>
      </c>
      <c r="O42" s="14" t="n">
        <v>3.36</v>
      </c>
      <c r="P42" s="14" t="n">
        <v>0.13</v>
      </c>
      <c r="Q42" s="14" t="n">
        <v>0.04</v>
      </c>
      <c r="R42" s="14" t="n">
        <v>0</v>
      </c>
      <c r="S42" s="14" t="n">
        <v>0.84</v>
      </c>
      <c r="T42" s="14" t="n">
        <v>0.53</v>
      </c>
      <c r="U42" s="14" t="n">
        <v>1.1</v>
      </c>
      <c r="V42" s="14" t="n">
        <v>3.74</v>
      </c>
      <c r="W42" s="14" t="n">
        <v>1.08</v>
      </c>
      <c r="X42" s="14" t="n">
        <v>0.04</v>
      </c>
      <c r="Y42" s="14" t="n">
        <v>1.21</v>
      </c>
      <c r="Z42" s="14" t="n">
        <v>0.48</v>
      </c>
      <c r="AA42" s="14" t="n">
        <v>0</v>
      </c>
    </row>
    <row r="43">
      <c r="A43" t="inlineStr">
        <is>
          <t>100508</t>
        </is>
      </c>
      <c r="B43" t="inlineStr">
        <is>
          <t>HUANUCO</t>
        </is>
      </c>
      <c r="C43" t="inlineStr">
        <is>
          <t>HUAMALIES</t>
        </is>
      </c>
      <c r="D43" t="inlineStr">
        <is>
          <t>PUNCHAO</t>
        </is>
      </c>
      <c r="E43" t="n">
        <v>505</v>
      </c>
      <c r="F43" s="14" t="n">
        <v>0</v>
      </c>
      <c r="G43" s="14" t="n">
        <v>67.52</v>
      </c>
      <c r="H43" s="14" t="n">
        <v>0.2</v>
      </c>
      <c r="I43" s="14" t="n">
        <v>3.17</v>
      </c>
      <c r="J43" s="14" t="n">
        <v>0.2</v>
      </c>
      <c r="K43" s="14" t="n">
        <v>0</v>
      </c>
      <c r="L43" s="14" t="n">
        <v>2.18</v>
      </c>
      <c r="M43" s="14" t="n">
        <v>3.17</v>
      </c>
      <c r="N43" s="14" t="n">
        <v>0.4</v>
      </c>
      <c r="O43" s="14" t="n">
        <v>0.99</v>
      </c>
      <c r="P43" s="14" t="n">
        <v>0</v>
      </c>
      <c r="Q43" s="14" t="n">
        <v>0</v>
      </c>
      <c r="R43" s="14" t="n">
        <v>0</v>
      </c>
      <c r="S43" s="14" t="n">
        <v>1.78</v>
      </c>
      <c r="T43" s="14" t="n">
        <v>0.4</v>
      </c>
      <c r="U43" s="14" t="n">
        <v>1.98</v>
      </c>
      <c r="V43" s="14" t="n">
        <v>11.68</v>
      </c>
      <c r="W43" s="14" t="n">
        <v>1.19</v>
      </c>
      <c r="X43" s="14" t="n">
        <v>0</v>
      </c>
      <c r="Y43" s="14" t="n">
        <v>4.55</v>
      </c>
      <c r="Z43" s="14" t="n">
        <v>0.59</v>
      </c>
      <c r="AA43" s="14" t="n">
        <v>0</v>
      </c>
    </row>
    <row r="44">
      <c r="A44" t="inlineStr">
        <is>
          <t>100509</t>
        </is>
      </c>
      <c r="B44" t="inlineStr">
        <is>
          <t>HUANUCO</t>
        </is>
      </c>
      <c r="C44" t="inlineStr">
        <is>
          <t>HUAMALIES</t>
        </is>
      </c>
      <c r="D44" t="inlineStr">
        <is>
          <t>PUÑOS</t>
        </is>
      </c>
      <c r="E44" t="n">
        <v>834</v>
      </c>
      <c r="F44" s="14" t="n">
        <v>0</v>
      </c>
      <c r="G44" s="14" t="n">
        <v>83.81</v>
      </c>
      <c r="H44" s="14" t="n">
        <v>0.36</v>
      </c>
      <c r="I44" s="14" t="n">
        <v>0.36</v>
      </c>
      <c r="J44" s="14" t="n">
        <v>0</v>
      </c>
      <c r="K44" s="14" t="n">
        <v>0</v>
      </c>
      <c r="L44" s="14" t="n">
        <v>2.64</v>
      </c>
      <c r="M44" s="14" t="n">
        <v>3</v>
      </c>
      <c r="N44" s="14" t="n">
        <v>0.6</v>
      </c>
      <c r="O44" s="14" t="n">
        <v>0.12</v>
      </c>
      <c r="P44" s="14" t="n">
        <v>0</v>
      </c>
      <c r="Q44" s="14" t="n">
        <v>0</v>
      </c>
      <c r="R44" s="14" t="n">
        <v>0</v>
      </c>
      <c r="S44" s="14" t="n">
        <v>1.56</v>
      </c>
      <c r="T44" s="14" t="n">
        <v>0.24</v>
      </c>
      <c r="U44" s="14" t="n">
        <v>0.48</v>
      </c>
      <c r="V44" s="14" t="n">
        <v>4.08</v>
      </c>
      <c r="W44" s="14" t="n">
        <v>2.4</v>
      </c>
      <c r="X44" s="14" t="n">
        <v>0</v>
      </c>
      <c r="Y44" s="14" t="n">
        <v>0.24</v>
      </c>
      <c r="Z44" s="14" t="n">
        <v>0.12</v>
      </c>
      <c r="AA44" s="14" t="n">
        <v>0</v>
      </c>
    </row>
    <row r="45">
      <c r="A45" t="inlineStr">
        <is>
          <t>100510</t>
        </is>
      </c>
      <c r="B45" t="inlineStr">
        <is>
          <t>HUANUCO</t>
        </is>
      </c>
      <c r="C45" t="inlineStr">
        <is>
          <t>HUAMALIES</t>
        </is>
      </c>
      <c r="D45" t="inlineStr">
        <is>
          <t>SINGA</t>
        </is>
      </c>
      <c r="E45" t="n">
        <v>667</v>
      </c>
      <c r="F45" s="14" t="n">
        <v>0</v>
      </c>
      <c r="G45" s="14" t="n">
        <v>55.47</v>
      </c>
      <c r="H45" s="14" t="n">
        <v>0.3</v>
      </c>
      <c r="I45" s="14" t="n">
        <v>1.65</v>
      </c>
      <c r="J45" s="14" t="n">
        <v>0</v>
      </c>
      <c r="K45" s="14" t="n">
        <v>0.6</v>
      </c>
      <c r="L45" s="14" t="n">
        <v>6.6</v>
      </c>
      <c r="M45" s="14" t="n">
        <v>16.34</v>
      </c>
      <c r="N45" s="14" t="n">
        <v>0.45</v>
      </c>
      <c r="O45" s="14" t="n">
        <v>1.65</v>
      </c>
      <c r="P45" s="14" t="n">
        <v>0</v>
      </c>
      <c r="Q45" s="14" t="n">
        <v>0</v>
      </c>
      <c r="R45" s="14" t="n">
        <v>0</v>
      </c>
      <c r="S45" s="14" t="n">
        <v>2.1</v>
      </c>
      <c r="T45" s="14" t="n">
        <v>0.3</v>
      </c>
      <c r="U45" s="14" t="n">
        <v>2.25</v>
      </c>
      <c r="V45" s="14" t="n">
        <v>7.8</v>
      </c>
      <c r="W45" s="14" t="n">
        <v>1.05</v>
      </c>
      <c r="X45" s="14" t="n">
        <v>0</v>
      </c>
      <c r="Y45" s="14" t="n">
        <v>2.25</v>
      </c>
      <c r="Z45" s="14" t="n">
        <v>1.2</v>
      </c>
      <c r="AA45" s="14" t="n">
        <v>0</v>
      </c>
    </row>
    <row r="46">
      <c r="A46" t="inlineStr">
        <is>
          <t>100511</t>
        </is>
      </c>
      <c r="B46" t="inlineStr">
        <is>
          <t>HUANUCO</t>
        </is>
      </c>
      <c r="C46" t="inlineStr">
        <is>
          <t>HUAMALIES</t>
        </is>
      </c>
      <c r="D46" t="inlineStr">
        <is>
          <t>TANTAMAYO</t>
        </is>
      </c>
      <c r="E46" t="n">
        <v>446</v>
      </c>
      <c r="F46" s="14" t="n">
        <v>0</v>
      </c>
      <c r="G46" s="14" t="n">
        <v>72.87</v>
      </c>
      <c r="H46" s="14" t="n">
        <v>0.22</v>
      </c>
      <c r="I46" s="14" t="n">
        <v>1.35</v>
      </c>
      <c r="J46" s="14" t="n">
        <v>0</v>
      </c>
      <c r="K46" s="14" t="n">
        <v>0</v>
      </c>
      <c r="L46" s="14" t="n">
        <v>2.91</v>
      </c>
      <c r="M46" s="14" t="n">
        <v>4.04</v>
      </c>
      <c r="N46" s="14" t="n">
        <v>1.79</v>
      </c>
      <c r="O46" s="14" t="n">
        <v>0.9</v>
      </c>
      <c r="P46" s="14" t="n">
        <v>0</v>
      </c>
      <c r="Q46" s="14" t="n">
        <v>0</v>
      </c>
      <c r="R46" s="14" t="n">
        <v>0</v>
      </c>
      <c r="S46" s="14" t="n">
        <v>0.45</v>
      </c>
      <c r="T46" s="14" t="n">
        <v>0.22</v>
      </c>
      <c r="U46" s="14" t="n">
        <v>0.9</v>
      </c>
      <c r="V46" s="14" t="n">
        <v>10.54</v>
      </c>
      <c r="W46" s="14" t="n">
        <v>2.47</v>
      </c>
      <c r="X46" s="14" t="n">
        <v>0</v>
      </c>
      <c r="Y46" s="14" t="n">
        <v>0.67</v>
      </c>
      <c r="Z46" s="14" t="n">
        <v>0.67</v>
      </c>
      <c r="AA46" s="14" t="n">
        <v>0</v>
      </c>
    </row>
    <row r="47">
      <c r="A47" t="inlineStr">
        <is>
          <t>100601</t>
        </is>
      </c>
      <c r="B47" t="inlineStr">
        <is>
          <t>HUANUCO</t>
        </is>
      </c>
      <c r="C47" t="inlineStr">
        <is>
          <t>LEONCIO PRADO</t>
        </is>
      </c>
      <c r="D47" t="inlineStr">
        <is>
          <t>RUPA-RUPA</t>
        </is>
      </c>
      <c r="E47" t="n">
        <v>22967</v>
      </c>
      <c r="F47" s="14" t="n">
        <v>0.017</v>
      </c>
      <c r="G47" s="14" t="n">
        <v>14.25</v>
      </c>
      <c r="H47" s="14" t="n">
        <v>0.15</v>
      </c>
      <c r="I47" s="14" t="n">
        <v>3.75</v>
      </c>
      <c r="J47" s="14" t="n">
        <v>0.1</v>
      </c>
      <c r="K47" s="14" t="n">
        <v>0.21</v>
      </c>
      <c r="L47" s="14" t="n">
        <v>8.51</v>
      </c>
      <c r="M47" s="14" t="n">
        <v>23.85</v>
      </c>
      <c r="N47" s="14" t="n">
        <v>9.52</v>
      </c>
      <c r="O47" s="14" t="n">
        <v>8.48</v>
      </c>
      <c r="P47" s="14" t="n">
        <v>0.6</v>
      </c>
      <c r="Q47" s="14" t="n">
        <v>1.18</v>
      </c>
      <c r="R47" s="14" t="n">
        <v>0.13</v>
      </c>
      <c r="S47" s="14" t="n">
        <v>6.56</v>
      </c>
      <c r="T47" s="14" t="n">
        <v>2.12</v>
      </c>
      <c r="U47" s="14" t="n">
        <v>5.47</v>
      </c>
      <c r="V47" s="14" t="n">
        <v>6</v>
      </c>
      <c r="W47" s="14" t="n">
        <v>3.03</v>
      </c>
      <c r="X47" s="14" t="n">
        <v>0.88</v>
      </c>
      <c r="Y47" s="14" t="n">
        <v>4.1</v>
      </c>
      <c r="Z47" s="14" t="n">
        <v>1.11</v>
      </c>
      <c r="AA47" s="14" t="n">
        <v>0</v>
      </c>
    </row>
    <row r="48">
      <c r="A48" t="inlineStr">
        <is>
          <t>100602</t>
        </is>
      </c>
      <c r="B48" t="inlineStr">
        <is>
          <t>HUANUCO</t>
        </is>
      </c>
      <c r="C48" t="inlineStr">
        <is>
          <t>LEONCIO PRADO</t>
        </is>
      </c>
      <c r="D48" t="inlineStr">
        <is>
          <t>DANIEL ALOMIAS ROBLES</t>
        </is>
      </c>
      <c r="E48" t="n">
        <v>2219</v>
      </c>
      <c r="F48" s="14" t="n">
        <v>0</v>
      </c>
      <c r="G48" s="14" t="n">
        <v>80.22</v>
      </c>
      <c r="H48" s="14" t="n">
        <v>0.09</v>
      </c>
      <c r="I48" s="14" t="n">
        <v>0.45</v>
      </c>
      <c r="J48" s="14" t="n">
        <v>0.05</v>
      </c>
      <c r="K48" s="14" t="n">
        <v>0.09</v>
      </c>
      <c r="L48" s="14" t="n">
        <v>2.48</v>
      </c>
      <c r="M48" s="14" t="n">
        <v>5.59</v>
      </c>
      <c r="N48" s="14" t="n">
        <v>2.84</v>
      </c>
      <c r="O48" s="14" t="n">
        <v>3.38</v>
      </c>
      <c r="P48" s="14" t="n">
        <v>0.09</v>
      </c>
      <c r="Q48" s="14" t="n">
        <v>0</v>
      </c>
      <c r="R48" s="14" t="n">
        <v>0</v>
      </c>
      <c r="S48" s="14" t="n">
        <v>0.32</v>
      </c>
      <c r="T48" s="14" t="n">
        <v>0.14</v>
      </c>
      <c r="U48" s="14" t="n">
        <v>1.04</v>
      </c>
      <c r="V48" s="14" t="n">
        <v>0.9</v>
      </c>
      <c r="W48" s="14" t="n">
        <v>0.8100000000000001</v>
      </c>
      <c r="X48" s="14" t="n">
        <v>0.14</v>
      </c>
      <c r="Y48" s="14" t="n">
        <v>0.99</v>
      </c>
      <c r="Z48" s="14" t="n">
        <v>0.41</v>
      </c>
      <c r="AA48" s="14" t="n">
        <v>0</v>
      </c>
    </row>
    <row r="49">
      <c r="A49" t="inlineStr">
        <is>
          <t>100603</t>
        </is>
      </c>
      <c r="B49" t="inlineStr">
        <is>
          <t>HUANUCO</t>
        </is>
      </c>
      <c r="C49" t="inlineStr">
        <is>
          <t>LEONCIO PRADO</t>
        </is>
      </c>
      <c r="D49" t="inlineStr">
        <is>
          <t>HERMILIO VALDIZAN</t>
        </is>
      </c>
      <c r="E49" t="n">
        <v>1164</v>
      </c>
      <c r="F49" s="14" t="n">
        <v>0</v>
      </c>
      <c r="G49" s="14" t="n">
        <v>83.08</v>
      </c>
      <c r="H49" s="14" t="n">
        <v>0</v>
      </c>
      <c r="I49" s="14" t="n">
        <v>1.03</v>
      </c>
      <c r="J49" s="14" t="n">
        <v>0</v>
      </c>
      <c r="K49" s="14" t="n">
        <v>0</v>
      </c>
      <c r="L49" s="14" t="n">
        <v>1.55</v>
      </c>
      <c r="M49" s="14" t="n">
        <v>3.44</v>
      </c>
      <c r="N49" s="14" t="n">
        <v>3.09</v>
      </c>
      <c r="O49" s="14" t="n">
        <v>1.72</v>
      </c>
      <c r="P49" s="14" t="n">
        <v>0.17</v>
      </c>
      <c r="Q49" s="14" t="n">
        <v>0.09</v>
      </c>
      <c r="R49" s="14" t="n">
        <v>0</v>
      </c>
      <c r="S49" s="14" t="n">
        <v>0.34</v>
      </c>
      <c r="T49" s="14" t="n">
        <v>0.34</v>
      </c>
      <c r="U49" s="14" t="n">
        <v>1.72</v>
      </c>
      <c r="V49" s="14" t="n">
        <v>2.23</v>
      </c>
      <c r="W49" s="14" t="n">
        <v>0.6</v>
      </c>
      <c r="X49" s="14" t="n">
        <v>0.26</v>
      </c>
      <c r="Y49" s="14" t="n">
        <v>0.09</v>
      </c>
      <c r="Z49" s="14" t="n">
        <v>0.26</v>
      </c>
      <c r="AA49" s="14" t="n">
        <v>0</v>
      </c>
    </row>
    <row r="50">
      <c r="A50" t="inlineStr">
        <is>
          <t>100604</t>
        </is>
      </c>
      <c r="B50" t="inlineStr">
        <is>
          <t>HUANUCO</t>
        </is>
      </c>
      <c r="C50" t="inlineStr">
        <is>
          <t>LEONCIO PRADO</t>
        </is>
      </c>
      <c r="D50" t="inlineStr">
        <is>
          <t>JOSE CRESPO Y CASTILLO</t>
        </is>
      </c>
      <c r="E50" t="n">
        <v>9071</v>
      </c>
      <c r="F50" s="14" t="n">
        <v>0</v>
      </c>
      <c r="G50" s="14" t="n">
        <v>51</v>
      </c>
      <c r="H50" s="14" t="n">
        <v>0.08</v>
      </c>
      <c r="I50" s="14" t="n">
        <v>3.26</v>
      </c>
      <c r="J50" s="14" t="n">
        <v>0.06</v>
      </c>
      <c r="K50" s="14" t="n">
        <v>0.1</v>
      </c>
      <c r="L50" s="14" t="n">
        <v>4.92</v>
      </c>
      <c r="M50" s="14" t="n">
        <v>14.18</v>
      </c>
      <c r="N50" s="14" t="n">
        <v>5.15</v>
      </c>
      <c r="O50" s="14" t="n">
        <v>6.79</v>
      </c>
      <c r="P50" s="14" t="n">
        <v>0.4</v>
      </c>
      <c r="Q50" s="14" t="n">
        <v>0.44</v>
      </c>
      <c r="R50" s="14" t="n">
        <v>0.02</v>
      </c>
      <c r="S50" s="14" t="n">
        <v>1.5</v>
      </c>
      <c r="T50" s="14" t="n">
        <v>0.79</v>
      </c>
      <c r="U50" s="14" t="n">
        <v>2.27</v>
      </c>
      <c r="V50" s="14" t="n">
        <v>4.55</v>
      </c>
      <c r="W50" s="14" t="n">
        <v>1.26</v>
      </c>
      <c r="X50" s="14" t="n">
        <v>0.3</v>
      </c>
      <c r="Y50" s="14" t="n">
        <v>1.9</v>
      </c>
      <c r="Z50" s="14" t="n">
        <v>1.05</v>
      </c>
      <c r="AA50" s="14" t="n">
        <v>0</v>
      </c>
    </row>
    <row r="51">
      <c r="A51" t="inlineStr">
        <is>
          <t>100605</t>
        </is>
      </c>
      <c r="B51" t="inlineStr">
        <is>
          <t>HUANUCO</t>
        </is>
      </c>
      <c r="C51" t="inlineStr">
        <is>
          <t>LEONCIO PRADO</t>
        </is>
      </c>
      <c r="D51" t="inlineStr">
        <is>
          <t>LUYANDO</t>
        </is>
      </c>
      <c r="E51" t="n">
        <v>3223</v>
      </c>
      <c r="F51" s="14" t="n">
        <v>0</v>
      </c>
      <c r="G51" s="14" t="n">
        <v>48.71</v>
      </c>
      <c r="H51" s="14" t="n">
        <v>0.19</v>
      </c>
      <c r="I51" s="14" t="n">
        <v>2.95</v>
      </c>
      <c r="J51" s="14" t="n">
        <v>0</v>
      </c>
      <c r="K51" s="14" t="n">
        <v>0.19</v>
      </c>
      <c r="L51" s="14" t="n">
        <v>6.52</v>
      </c>
      <c r="M51" s="14" t="n">
        <v>11.91</v>
      </c>
      <c r="N51" s="14" t="n">
        <v>8.9</v>
      </c>
      <c r="O51" s="14" t="n">
        <v>5.68</v>
      </c>
      <c r="P51" s="14" t="n">
        <v>0.19</v>
      </c>
      <c r="Q51" s="14" t="n">
        <v>0.28</v>
      </c>
      <c r="R51" s="14" t="n">
        <v>0.09</v>
      </c>
      <c r="S51" s="14" t="n">
        <v>1.77</v>
      </c>
      <c r="T51" s="14" t="n">
        <v>1.3</v>
      </c>
      <c r="U51" s="14" t="n">
        <v>2.26</v>
      </c>
      <c r="V51" s="14" t="n">
        <v>2.73</v>
      </c>
      <c r="W51" s="14" t="n">
        <v>3.44</v>
      </c>
      <c r="X51" s="14" t="n">
        <v>0.34</v>
      </c>
      <c r="Y51" s="14" t="n">
        <v>1.49</v>
      </c>
      <c r="Z51" s="14" t="n">
        <v>1.05</v>
      </c>
      <c r="AA51" s="14" t="n">
        <v>0</v>
      </c>
    </row>
    <row r="52">
      <c r="A52" t="inlineStr">
        <is>
          <t>100606</t>
        </is>
      </c>
      <c r="B52" t="inlineStr">
        <is>
          <t>HUANUCO</t>
        </is>
      </c>
      <c r="C52" t="inlineStr">
        <is>
          <t>LEONCIO PRADO</t>
        </is>
      </c>
      <c r="D52" t="inlineStr">
        <is>
          <t>MARIANO DAMASO BERAUN</t>
        </is>
      </c>
      <c r="E52" t="n">
        <v>3583</v>
      </c>
      <c r="F52" s="14" t="n">
        <v>0</v>
      </c>
      <c r="G52" s="14" t="n">
        <v>58.22</v>
      </c>
      <c r="H52" s="14" t="n">
        <v>0.11</v>
      </c>
      <c r="I52" s="14" t="n">
        <v>1.65</v>
      </c>
      <c r="J52" s="14" t="n">
        <v>0</v>
      </c>
      <c r="K52" s="14" t="n">
        <v>0.11</v>
      </c>
      <c r="L52" s="14" t="n">
        <v>4.66</v>
      </c>
      <c r="M52" s="14" t="n">
        <v>11.81</v>
      </c>
      <c r="N52" s="14" t="n">
        <v>7.51</v>
      </c>
      <c r="O52" s="14" t="n">
        <v>6.08</v>
      </c>
      <c r="P52" s="14" t="n">
        <v>0.11</v>
      </c>
      <c r="Q52" s="14" t="n">
        <v>0.11</v>
      </c>
      <c r="R52" s="14" t="n">
        <v>0</v>
      </c>
      <c r="S52" s="14" t="n">
        <v>1.28</v>
      </c>
      <c r="T52" s="14" t="n">
        <v>1</v>
      </c>
      <c r="U52" s="14" t="n">
        <v>1.42</v>
      </c>
      <c r="V52" s="14" t="n">
        <v>2.01</v>
      </c>
      <c r="W52" s="14" t="n">
        <v>1.37</v>
      </c>
      <c r="X52" s="14" t="n">
        <v>0.11</v>
      </c>
      <c r="Y52" s="14" t="n">
        <v>1.31</v>
      </c>
      <c r="Z52" s="14" t="n">
        <v>1.12</v>
      </c>
      <c r="AA52" s="14" t="n">
        <v>0</v>
      </c>
    </row>
    <row r="53">
      <c r="A53" t="inlineStr">
        <is>
          <t>100607</t>
        </is>
      </c>
      <c r="B53" t="inlineStr">
        <is>
          <t>HUANUCO</t>
        </is>
      </c>
      <c r="C53" t="inlineStr">
        <is>
          <t>LEONCIO PRADO</t>
        </is>
      </c>
      <c r="D53" t="inlineStr">
        <is>
          <t>PUCAYACU</t>
        </is>
      </c>
      <c r="E53" t="n">
        <v>1402</v>
      </c>
      <c r="F53" s="14" t="n">
        <v>0</v>
      </c>
      <c r="G53" s="14" t="n">
        <v>86.02</v>
      </c>
      <c r="H53" s="14" t="n">
        <v>0</v>
      </c>
      <c r="I53" s="14" t="n">
        <v>1.07</v>
      </c>
      <c r="J53" s="14" t="n">
        <v>0</v>
      </c>
      <c r="K53" s="14" t="n">
        <v>0</v>
      </c>
      <c r="L53" s="14" t="n">
        <v>0.93</v>
      </c>
      <c r="M53" s="14" t="n">
        <v>3.07</v>
      </c>
      <c r="N53" s="14" t="n">
        <v>1.07</v>
      </c>
      <c r="O53" s="14" t="n">
        <v>2.43</v>
      </c>
      <c r="P53" s="14" t="n">
        <v>0.14</v>
      </c>
      <c r="Q53" s="14" t="n">
        <v>0</v>
      </c>
      <c r="R53" s="14" t="n">
        <v>0</v>
      </c>
      <c r="S53" s="14" t="n">
        <v>0.21</v>
      </c>
      <c r="T53" s="14" t="n">
        <v>0.43</v>
      </c>
      <c r="U53" s="14" t="n">
        <v>1.36</v>
      </c>
      <c r="V53" s="14" t="n">
        <v>1.36</v>
      </c>
      <c r="W53" s="14" t="n">
        <v>0.78</v>
      </c>
      <c r="X53" s="14" t="n">
        <v>0.14</v>
      </c>
      <c r="Y53" s="14" t="n">
        <v>0.57</v>
      </c>
      <c r="Z53" s="14" t="n">
        <v>0.43</v>
      </c>
      <c r="AA53" s="14" t="n">
        <v>0</v>
      </c>
    </row>
    <row r="54">
      <c r="A54" t="inlineStr">
        <is>
          <t>100608</t>
        </is>
      </c>
      <c r="B54" t="inlineStr">
        <is>
          <t>HUANUCO</t>
        </is>
      </c>
      <c r="C54" t="inlineStr">
        <is>
          <t>LEONCIO PRADO</t>
        </is>
      </c>
      <c r="D54" t="inlineStr">
        <is>
          <t>CASTILLO GRANDE</t>
        </is>
      </c>
      <c r="E54" t="n">
        <v>5830</v>
      </c>
      <c r="F54" s="14" t="n">
        <v>0</v>
      </c>
      <c r="G54" s="14" t="n">
        <v>18.35</v>
      </c>
      <c r="H54" s="14" t="n">
        <v>0.15</v>
      </c>
      <c r="I54" s="14" t="n">
        <v>4.61</v>
      </c>
      <c r="J54" s="14" t="n">
        <v>0.14</v>
      </c>
      <c r="K54" s="14" t="n">
        <v>0.17</v>
      </c>
      <c r="L54" s="14" t="n">
        <v>8.15</v>
      </c>
      <c r="M54" s="14" t="n">
        <v>18.52</v>
      </c>
      <c r="N54" s="14" t="n">
        <v>11.05</v>
      </c>
      <c r="O54" s="14" t="n">
        <v>8.640000000000001</v>
      </c>
      <c r="P54" s="14" t="n">
        <v>0.72</v>
      </c>
      <c r="Q54" s="14" t="n">
        <v>1.05</v>
      </c>
      <c r="R54" s="14" t="n">
        <v>0.22</v>
      </c>
      <c r="S54" s="14" t="n">
        <v>4.51</v>
      </c>
      <c r="T54" s="14" t="n">
        <v>2.25</v>
      </c>
      <c r="U54" s="14" t="n">
        <v>7.22</v>
      </c>
      <c r="V54" s="14" t="n">
        <v>5.85</v>
      </c>
      <c r="W54" s="14" t="n">
        <v>3.16</v>
      </c>
      <c r="X54" s="14" t="n">
        <v>0.96</v>
      </c>
      <c r="Y54" s="14" t="n">
        <v>2.92</v>
      </c>
      <c r="Z54" s="14" t="n">
        <v>1.36</v>
      </c>
      <c r="AA54" s="14" t="n">
        <v>0</v>
      </c>
    </row>
    <row r="55">
      <c r="A55" t="inlineStr">
        <is>
          <t>100609</t>
        </is>
      </c>
      <c r="B55" t="inlineStr">
        <is>
          <t>HUANUCO</t>
        </is>
      </c>
      <c r="C55" t="inlineStr">
        <is>
          <t>LEONCIO PRADO</t>
        </is>
      </c>
      <c r="D55" t="inlineStr">
        <is>
          <t>PUEBLO NUEVO</t>
        </is>
      </c>
      <c r="E55" t="n">
        <v>1691</v>
      </c>
      <c r="F55" s="14" t="n">
        <v>0</v>
      </c>
      <c r="G55" s="14" t="n">
        <v>81.90000000000001</v>
      </c>
      <c r="H55" s="14" t="n">
        <v>0</v>
      </c>
      <c r="I55" s="14" t="n">
        <v>0.59</v>
      </c>
      <c r="J55" s="14" t="n">
        <v>0</v>
      </c>
      <c r="K55" s="14" t="n">
        <v>0</v>
      </c>
      <c r="L55" s="14" t="n">
        <v>1.18</v>
      </c>
      <c r="M55" s="14" t="n">
        <v>2.42</v>
      </c>
      <c r="N55" s="14" t="n">
        <v>2.07</v>
      </c>
      <c r="O55" s="14" t="n">
        <v>1.89</v>
      </c>
      <c r="P55" s="14" t="n">
        <v>0.06</v>
      </c>
      <c r="Q55" s="14" t="n">
        <v>0</v>
      </c>
      <c r="R55" s="14" t="n">
        <v>0</v>
      </c>
      <c r="S55" s="14" t="n">
        <v>0.77</v>
      </c>
      <c r="T55" s="14" t="n">
        <v>1.01</v>
      </c>
      <c r="U55" s="14" t="n">
        <v>4.08</v>
      </c>
      <c r="V55" s="14" t="n">
        <v>1.83</v>
      </c>
      <c r="W55" s="14" t="n">
        <v>0.89</v>
      </c>
      <c r="X55" s="14" t="n">
        <v>0.06</v>
      </c>
      <c r="Y55" s="14" t="n">
        <v>0.71</v>
      </c>
      <c r="Z55" s="14" t="n">
        <v>0.53</v>
      </c>
      <c r="AA55" s="14" t="n">
        <v>0</v>
      </c>
    </row>
    <row r="56">
      <c r="A56" t="inlineStr">
        <is>
          <t>100610</t>
        </is>
      </c>
      <c r="B56" t="inlineStr">
        <is>
          <t>HUANUCO</t>
        </is>
      </c>
      <c r="C56" t="inlineStr">
        <is>
          <t>LEONCIO PRADO</t>
        </is>
      </c>
      <c r="D56" t="inlineStr">
        <is>
          <t>SANTO DOMINGO DE ANDA</t>
        </is>
      </c>
      <c r="E56" t="n">
        <v>947</v>
      </c>
      <c r="F56" s="14" t="n">
        <v>0</v>
      </c>
      <c r="G56" s="14" t="n">
        <v>90.39</v>
      </c>
      <c r="H56" s="14" t="n">
        <v>0.11</v>
      </c>
      <c r="I56" s="14" t="n">
        <v>1.48</v>
      </c>
      <c r="J56" s="14" t="n">
        <v>0</v>
      </c>
      <c r="K56" s="14" t="n">
        <v>0.11</v>
      </c>
      <c r="L56" s="14" t="n">
        <v>0.42</v>
      </c>
      <c r="M56" s="14" t="n">
        <v>2.96</v>
      </c>
      <c r="N56" s="14" t="n">
        <v>1.9</v>
      </c>
      <c r="O56" s="14" t="n">
        <v>0.53</v>
      </c>
      <c r="P56" s="14" t="n">
        <v>0</v>
      </c>
      <c r="Q56" s="14" t="n">
        <v>0</v>
      </c>
      <c r="R56" s="14" t="n">
        <v>0</v>
      </c>
      <c r="S56" s="14" t="n">
        <v>0.11</v>
      </c>
      <c r="T56" s="14" t="n">
        <v>0</v>
      </c>
      <c r="U56" s="14" t="n">
        <v>0.32</v>
      </c>
      <c r="V56" s="14" t="n">
        <v>0.95</v>
      </c>
      <c r="W56" s="14" t="n">
        <v>0.11</v>
      </c>
      <c r="X56" s="14" t="n">
        <v>0</v>
      </c>
      <c r="Y56" s="14" t="n">
        <v>0.42</v>
      </c>
      <c r="Z56" s="14" t="n">
        <v>0.21</v>
      </c>
      <c r="AA56" s="14" t="n">
        <v>0</v>
      </c>
    </row>
    <row r="57">
      <c r="A57" t="inlineStr">
        <is>
          <t>100701</t>
        </is>
      </c>
      <c r="B57" t="inlineStr">
        <is>
          <t>HUANUCO</t>
        </is>
      </c>
      <c r="C57" t="inlineStr">
        <is>
          <t>MARAÑON</t>
        </is>
      </c>
      <c r="D57" t="inlineStr">
        <is>
          <t>HUACRACHUCO</t>
        </is>
      </c>
      <c r="E57" t="n">
        <v>2785</v>
      </c>
      <c r="F57" s="14" t="n">
        <v>0</v>
      </c>
      <c r="G57" s="14" t="n">
        <v>55.58</v>
      </c>
      <c r="H57" s="14" t="n">
        <v>0.22</v>
      </c>
      <c r="I57" s="14" t="n">
        <v>2.23</v>
      </c>
      <c r="J57" s="14" t="n">
        <v>0</v>
      </c>
      <c r="K57" s="14" t="n">
        <v>0.14</v>
      </c>
      <c r="L57" s="14" t="n">
        <v>3.7</v>
      </c>
      <c r="M57" s="14" t="n">
        <v>9.08</v>
      </c>
      <c r="N57" s="14" t="n">
        <v>1.62</v>
      </c>
      <c r="O57" s="14" t="n">
        <v>2.12</v>
      </c>
      <c r="P57" s="14" t="n">
        <v>0.18</v>
      </c>
      <c r="Q57" s="14" t="n">
        <v>0.14</v>
      </c>
      <c r="R57" s="14" t="n">
        <v>0</v>
      </c>
      <c r="S57" s="14" t="n">
        <v>2.48</v>
      </c>
      <c r="T57" s="14" t="n">
        <v>0.86</v>
      </c>
      <c r="U57" s="14" t="n">
        <v>3.05</v>
      </c>
      <c r="V57" s="14" t="n">
        <v>14.04</v>
      </c>
      <c r="W57" s="14" t="n">
        <v>2.19</v>
      </c>
      <c r="X57" s="14" t="n">
        <v>0.11</v>
      </c>
      <c r="Y57" s="14" t="n">
        <v>1.58</v>
      </c>
      <c r="Z57" s="14" t="n">
        <v>0.68</v>
      </c>
      <c r="AA57" s="14" t="n">
        <v>0</v>
      </c>
    </row>
    <row r="58">
      <c r="A58" t="inlineStr">
        <is>
          <t>100702</t>
        </is>
      </c>
      <c r="B58" t="inlineStr">
        <is>
          <t>HUANUCO</t>
        </is>
      </c>
      <c r="C58" t="inlineStr">
        <is>
          <t>MARAÑON</t>
        </is>
      </c>
      <c r="D58" t="inlineStr">
        <is>
          <t>CHOLON</t>
        </is>
      </c>
      <c r="E58" t="n">
        <v>1825</v>
      </c>
      <c r="F58" s="14" t="n">
        <v>0</v>
      </c>
      <c r="G58" s="14" t="n">
        <v>79.29000000000001</v>
      </c>
      <c r="H58" s="14" t="n">
        <v>0</v>
      </c>
      <c r="I58" s="14" t="n">
        <v>0.71</v>
      </c>
      <c r="J58" s="14" t="n">
        <v>0.05</v>
      </c>
      <c r="K58" s="14" t="n">
        <v>0</v>
      </c>
      <c r="L58" s="14" t="n">
        <v>1.15</v>
      </c>
      <c r="M58" s="14" t="n">
        <v>6.74</v>
      </c>
      <c r="N58" s="14" t="n">
        <v>0.82</v>
      </c>
      <c r="O58" s="14" t="n">
        <v>1.92</v>
      </c>
      <c r="P58" s="14" t="n">
        <v>0.11</v>
      </c>
      <c r="Q58" s="14" t="n">
        <v>0.05</v>
      </c>
      <c r="R58" s="14" t="n">
        <v>0</v>
      </c>
      <c r="S58" s="14" t="n">
        <v>0.88</v>
      </c>
      <c r="T58" s="14" t="n">
        <v>0.38</v>
      </c>
      <c r="U58" s="14" t="n">
        <v>2.63</v>
      </c>
      <c r="V58" s="14" t="n">
        <v>2.85</v>
      </c>
      <c r="W58" s="14" t="n">
        <v>1.37</v>
      </c>
      <c r="X58" s="14" t="n">
        <v>0.11</v>
      </c>
      <c r="Y58" s="14" t="n">
        <v>0.55</v>
      </c>
      <c r="Z58" s="14" t="n">
        <v>0.38</v>
      </c>
      <c r="AA58" s="14" t="n">
        <v>0</v>
      </c>
    </row>
    <row r="59">
      <c r="A59" t="inlineStr">
        <is>
          <t>100703</t>
        </is>
      </c>
      <c r="B59" t="inlineStr">
        <is>
          <t>HUANUCO</t>
        </is>
      </c>
      <c r="C59" t="inlineStr">
        <is>
          <t>MARAÑON</t>
        </is>
      </c>
      <c r="D59" t="inlineStr">
        <is>
          <t>SAN BUENAVENTURA</t>
        </is>
      </c>
      <c r="E59" t="n">
        <v>346</v>
      </c>
      <c r="F59" s="14" t="n">
        <v>0</v>
      </c>
      <c r="G59" s="14" t="n">
        <v>69.08</v>
      </c>
      <c r="H59" s="14" t="n">
        <v>0</v>
      </c>
      <c r="I59" s="14" t="n">
        <v>0.29</v>
      </c>
      <c r="J59" s="14" t="n">
        <v>0</v>
      </c>
      <c r="K59" s="14" t="n">
        <v>0</v>
      </c>
      <c r="L59" s="14" t="n">
        <v>10.98</v>
      </c>
      <c r="M59" s="14" t="n">
        <v>2.89</v>
      </c>
      <c r="N59" s="14" t="n">
        <v>0.29</v>
      </c>
      <c r="O59" s="14" t="n">
        <v>0.29</v>
      </c>
      <c r="P59" s="14" t="n">
        <v>0</v>
      </c>
      <c r="Q59" s="14" t="n">
        <v>0</v>
      </c>
      <c r="R59" s="14" t="n">
        <v>0</v>
      </c>
      <c r="S59" s="14" t="n">
        <v>1.73</v>
      </c>
      <c r="T59" s="14" t="n">
        <v>0</v>
      </c>
      <c r="U59" s="14" t="n">
        <v>4.05</v>
      </c>
      <c r="V59" s="14" t="n">
        <v>6.07</v>
      </c>
      <c r="W59" s="14" t="n">
        <v>2.02</v>
      </c>
      <c r="X59" s="14" t="n">
        <v>0</v>
      </c>
      <c r="Y59" s="14" t="n">
        <v>1.73</v>
      </c>
      <c r="Z59" s="14" t="n">
        <v>0.58</v>
      </c>
      <c r="AA59" s="14" t="n">
        <v>0</v>
      </c>
    </row>
    <row r="60">
      <c r="A60" t="inlineStr">
        <is>
          <t>100704</t>
        </is>
      </c>
      <c r="B60" t="inlineStr">
        <is>
          <t>HUANUCO</t>
        </is>
      </c>
      <c r="C60" t="inlineStr">
        <is>
          <t>MARAÑON</t>
        </is>
      </c>
      <c r="D60" t="inlineStr">
        <is>
          <t>LA MORADA</t>
        </is>
      </c>
      <c r="E60" t="n">
        <v>1074</v>
      </c>
      <c r="F60" s="14" t="n">
        <v>0</v>
      </c>
      <c r="G60" s="14" t="n">
        <v>85.56999999999999</v>
      </c>
      <c r="H60" s="14" t="n">
        <v>0.09</v>
      </c>
      <c r="I60" s="14" t="n">
        <v>1.12</v>
      </c>
      <c r="J60" s="14" t="n">
        <v>0</v>
      </c>
      <c r="K60" s="14" t="n">
        <v>0</v>
      </c>
      <c r="L60" s="14" t="n">
        <v>1.02</v>
      </c>
      <c r="M60" s="14" t="n">
        <v>3.07</v>
      </c>
      <c r="N60" s="14" t="n">
        <v>0.93</v>
      </c>
      <c r="O60" s="14" t="n">
        <v>1.3</v>
      </c>
      <c r="P60" s="14" t="n">
        <v>0.09</v>
      </c>
      <c r="Q60" s="14" t="n">
        <v>0</v>
      </c>
      <c r="R60" s="14" t="n">
        <v>0</v>
      </c>
      <c r="S60" s="14" t="n">
        <v>0.47</v>
      </c>
      <c r="T60" s="14" t="n">
        <v>0</v>
      </c>
      <c r="U60" s="14" t="n">
        <v>1.58</v>
      </c>
      <c r="V60" s="14" t="n">
        <v>3.17</v>
      </c>
      <c r="W60" s="14" t="n">
        <v>0.84</v>
      </c>
      <c r="X60" s="14" t="n">
        <v>0.09</v>
      </c>
      <c r="Y60" s="14" t="n">
        <v>0.37</v>
      </c>
      <c r="Z60" s="14" t="n">
        <v>0.28</v>
      </c>
      <c r="AA60" s="14" t="n">
        <v>0</v>
      </c>
    </row>
    <row r="61">
      <c r="A61" t="inlineStr">
        <is>
          <t>100705</t>
        </is>
      </c>
      <c r="B61" t="inlineStr">
        <is>
          <t>HUANUCO</t>
        </is>
      </c>
      <c r="C61" t="inlineStr">
        <is>
          <t>MARAÑON</t>
        </is>
      </c>
      <c r="D61" t="inlineStr">
        <is>
          <t>SANTA ROSA DE ALTO YANAJANCA</t>
        </is>
      </c>
      <c r="E61" t="n">
        <v>861</v>
      </c>
      <c r="F61" s="14" t="n">
        <v>0</v>
      </c>
      <c r="G61" s="14" t="n">
        <v>81.65000000000001</v>
      </c>
      <c r="H61" s="14" t="n">
        <v>0.12</v>
      </c>
      <c r="I61" s="14" t="n">
        <v>0.93</v>
      </c>
      <c r="J61" s="14" t="n">
        <v>0</v>
      </c>
      <c r="K61" s="14" t="n">
        <v>0</v>
      </c>
      <c r="L61" s="14" t="n">
        <v>0.7</v>
      </c>
      <c r="M61" s="14" t="n">
        <v>3.48</v>
      </c>
      <c r="N61" s="14" t="n">
        <v>0.8100000000000001</v>
      </c>
      <c r="O61" s="14" t="n">
        <v>2.56</v>
      </c>
      <c r="P61" s="14" t="n">
        <v>0</v>
      </c>
      <c r="Q61" s="14" t="n">
        <v>0</v>
      </c>
      <c r="R61" s="14" t="n">
        <v>0</v>
      </c>
      <c r="S61" s="14" t="n">
        <v>0.23</v>
      </c>
      <c r="T61" s="14" t="n">
        <v>0.46</v>
      </c>
      <c r="U61" s="14" t="n">
        <v>2.9</v>
      </c>
      <c r="V61" s="14" t="n">
        <v>3.95</v>
      </c>
      <c r="W61" s="14" t="n">
        <v>0.8100000000000001</v>
      </c>
      <c r="X61" s="14" t="n">
        <v>0</v>
      </c>
      <c r="Y61" s="14" t="n">
        <v>0.7</v>
      </c>
      <c r="Z61" s="14" t="n">
        <v>0.7</v>
      </c>
      <c r="AA61" s="14" t="n">
        <v>0</v>
      </c>
    </row>
    <row r="62">
      <c r="A62" t="inlineStr">
        <is>
          <t>100801</t>
        </is>
      </c>
      <c r="B62" t="inlineStr">
        <is>
          <t>HUANUCO</t>
        </is>
      </c>
      <c r="C62" t="inlineStr">
        <is>
          <t>PACHITEA</t>
        </is>
      </c>
      <c r="D62" t="inlineStr">
        <is>
          <t>PANAO</t>
        </is>
      </c>
      <c r="E62" t="n">
        <v>5267</v>
      </c>
      <c r="F62" s="14" t="n">
        <v>0</v>
      </c>
      <c r="G62" s="14" t="n">
        <v>74.62</v>
      </c>
      <c r="H62" s="14" t="n">
        <v>0.02</v>
      </c>
      <c r="I62" s="14" t="n">
        <v>2.22</v>
      </c>
      <c r="J62" s="14" t="n">
        <v>0.04</v>
      </c>
      <c r="K62" s="14" t="n">
        <v>0.04</v>
      </c>
      <c r="L62" s="14" t="n">
        <v>1.44</v>
      </c>
      <c r="M62" s="14" t="n">
        <v>8.35</v>
      </c>
      <c r="N62" s="14" t="n">
        <v>2.01</v>
      </c>
      <c r="O62" s="14" t="n">
        <v>2.35</v>
      </c>
      <c r="P62" s="14" t="n">
        <v>0.06</v>
      </c>
      <c r="Q62" s="14" t="n">
        <v>0.19</v>
      </c>
      <c r="R62" s="14" t="n">
        <v>0</v>
      </c>
      <c r="S62" s="14" t="n">
        <v>0.57</v>
      </c>
      <c r="T62" s="14" t="n">
        <v>0.42</v>
      </c>
      <c r="U62" s="14" t="n">
        <v>1.78</v>
      </c>
      <c r="V62" s="14" t="n">
        <v>3.32</v>
      </c>
      <c r="W62" s="14" t="n">
        <v>1.31</v>
      </c>
      <c r="X62" s="14" t="n">
        <v>0.08</v>
      </c>
      <c r="Y62" s="14" t="n">
        <v>0.87</v>
      </c>
      <c r="Z62" s="14" t="n">
        <v>0.3</v>
      </c>
      <c r="AA62" s="14" t="n">
        <v>0</v>
      </c>
    </row>
    <row r="63">
      <c r="A63" t="inlineStr">
        <is>
          <t>100802</t>
        </is>
      </c>
      <c r="B63" t="inlineStr">
        <is>
          <t>HUANUCO</t>
        </is>
      </c>
      <c r="C63" t="inlineStr">
        <is>
          <t>PACHITEA</t>
        </is>
      </c>
      <c r="D63" t="inlineStr">
        <is>
          <t>CHAGLLA</t>
        </is>
      </c>
      <c r="E63" t="n">
        <v>3532</v>
      </c>
      <c r="F63" s="14" t="n">
        <v>0</v>
      </c>
      <c r="G63" s="14" t="n">
        <v>77.15000000000001</v>
      </c>
      <c r="H63" s="14" t="n">
        <v>0.34</v>
      </c>
      <c r="I63" s="14" t="n">
        <v>1.76</v>
      </c>
      <c r="J63" s="14" t="n">
        <v>0</v>
      </c>
      <c r="K63" s="14" t="n">
        <v>0.06</v>
      </c>
      <c r="L63" s="14" t="n">
        <v>2.18</v>
      </c>
      <c r="M63" s="14" t="n">
        <v>5.78</v>
      </c>
      <c r="N63" s="14" t="n">
        <v>3.09</v>
      </c>
      <c r="O63" s="14" t="n">
        <v>2.75</v>
      </c>
      <c r="P63" s="14" t="n">
        <v>0.08</v>
      </c>
      <c r="Q63" s="14" t="n">
        <v>0.06</v>
      </c>
      <c r="R63" s="14" t="n">
        <v>0</v>
      </c>
      <c r="S63" s="14" t="n">
        <v>0.68</v>
      </c>
      <c r="T63" s="14" t="n">
        <v>1.19</v>
      </c>
      <c r="U63" s="14" t="n">
        <v>0.85</v>
      </c>
      <c r="V63" s="14" t="n">
        <v>1.84</v>
      </c>
      <c r="W63" s="14" t="n">
        <v>0.62</v>
      </c>
      <c r="X63" s="14" t="n">
        <v>0.06</v>
      </c>
      <c r="Y63" s="14" t="n">
        <v>1.1</v>
      </c>
      <c r="Z63" s="14" t="n">
        <v>0.42</v>
      </c>
      <c r="AA63" s="14" t="n">
        <v>0</v>
      </c>
    </row>
    <row r="64">
      <c r="A64" t="inlineStr">
        <is>
          <t>100803</t>
        </is>
      </c>
      <c r="B64" t="inlineStr">
        <is>
          <t>HUANUCO</t>
        </is>
      </c>
      <c r="C64" t="inlineStr">
        <is>
          <t>PACHITEA</t>
        </is>
      </c>
      <c r="D64" t="inlineStr">
        <is>
          <t>MOLINO</t>
        </is>
      </c>
      <c r="E64" t="n">
        <v>2785</v>
      </c>
      <c r="F64" s="14" t="n">
        <v>0</v>
      </c>
      <c r="G64" s="14" t="n">
        <v>74.87</v>
      </c>
      <c r="H64" s="14" t="n">
        <v>0.04</v>
      </c>
      <c r="I64" s="14" t="n">
        <v>3.23</v>
      </c>
      <c r="J64" s="14" t="n">
        <v>0</v>
      </c>
      <c r="K64" s="14" t="n">
        <v>0</v>
      </c>
      <c r="L64" s="14" t="n">
        <v>2.44</v>
      </c>
      <c r="M64" s="14" t="n">
        <v>8.01</v>
      </c>
      <c r="N64" s="14" t="n">
        <v>2.66</v>
      </c>
      <c r="O64" s="14" t="n">
        <v>2.01</v>
      </c>
      <c r="P64" s="14" t="n">
        <v>0.07000000000000001</v>
      </c>
      <c r="Q64" s="14" t="n">
        <v>0.07000000000000001</v>
      </c>
      <c r="R64" s="14" t="n">
        <v>0</v>
      </c>
      <c r="S64" s="14" t="n">
        <v>1.08</v>
      </c>
      <c r="T64" s="14" t="n">
        <v>0.25</v>
      </c>
      <c r="U64" s="14" t="n">
        <v>1.15</v>
      </c>
      <c r="V64" s="14" t="n">
        <v>2.19</v>
      </c>
      <c r="W64" s="14" t="n">
        <v>0.72</v>
      </c>
      <c r="X64" s="14" t="n">
        <v>0.04</v>
      </c>
      <c r="Y64" s="14" t="n">
        <v>1.08</v>
      </c>
      <c r="Z64" s="14" t="n">
        <v>0.11</v>
      </c>
      <c r="AA64" s="14" t="n">
        <v>0</v>
      </c>
    </row>
    <row r="65">
      <c r="A65" t="inlineStr">
        <is>
          <t>100804</t>
        </is>
      </c>
      <c r="B65" t="inlineStr">
        <is>
          <t>HUANUCO</t>
        </is>
      </c>
      <c r="C65" t="inlineStr">
        <is>
          <t>PACHITEA</t>
        </is>
      </c>
      <c r="D65" t="inlineStr">
        <is>
          <t>UMARI</t>
        </is>
      </c>
      <c r="E65" t="n">
        <v>2989</v>
      </c>
      <c r="F65" s="14" t="n">
        <v>0</v>
      </c>
      <c r="G65" s="14" t="n">
        <v>88.86</v>
      </c>
      <c r="H65" s="14" t="n">
        <v>0.03</v>
      </c>
      <c r="I65" s="14" t="n">
        <v>0.74</v>
      </c>
      <c r="J65" s="14" t="n">
        <v>0</v>
      </c>
      <c r="K65" s="14" t="n">
        <v>0.03</v>
      </c>
      <c r="L65" s="14" t="n">
        <v>0.54</v>
      </c>
      <c r="M65" s="14" t="n">
        <v>2.78</v>
      </c>
      <c r="N65" s="14" t="n">
        <v>1.77</v>
      </c>
      <c r="O65" s="14" t="n">
        <v>1.2</v>
      </c>
      <c r="P65" s="14" t="n">
        <v>0.03</v>
      </c>
      <c r="Q65" s="14" t="n">
        <v>0</v>
      </c>
      <c r="R65" s="14" t="n">
        <v>0</v>
      </c>
      <c r="S65" s="14" t="n">
        <v>0.47</v>
      </c>
      <c r="T65" s="14" t="n">
        <v>0.2</v>
      </c>
      <c r="U65" s="14" t="n">
        <v>0.43</v>
      </c>
      <c r="V65" s="14" t="n">
        <v>0.23</v>
      </c>
      <c r="W65" s="14" t="n">
        <v>0.8</v>
      </c>
      <c r="X65" s="14" t="n">
        <v>0.03</v>
      </c>
      <c r="Y65" s="14" t="n">
        <v>1.71</v>
      </c>
      <c r="Z65" s="14" t="n">
        <v>0.13</v>
      </c>
      <c r="AA65" s="14" t="n">
        <v>0</v>
      </c>
    </row>
    <row r="66">
      <c r="A66" t="inlineStr">
        <is>
          <t>100901</t>
        </is>
      </c>
      <c r="B66" t="inlineStr">
        <is>
          <t>HUANUCO</t>
        </is>
      </c>
      <c r="C66" t="inlineStr">
        <is>
          <t>PUERTO INCA</t>
        </is>
      </c>
      <c r="D66" t="inlineStr">
        <is>
          <t>PUERTO INCA</t>
        </is>
      </c>
      <c r="E66" t="n">
        <v>3452</v>
      </c>
      <c r="F66" s="14" t="n">
        <v>0</v>
      </c>
      <c r="G66" s="14" t="n">
        <v>51.45</v>
      </c>
      <c r="H66" s="14" t="n">
        <v>0.35</v>
      </c>
      <c r="I66" s="14" t="n">
        <v>2.67</v>
      </c>
      <c r="J66" s="14" t="n">
        <v>0</v>
      </c>
      <c r="K66" s="14" t="n">
        <v>0.06</v>
      </c>
      <c r="L66" s="14" t="n">
        <v>5.21</v>
      </c>
      <c r="M66" s="14" t="n">
        <v>13.12</v>
      </c>
      <c r="N66" s="14" t="n">
        <v>4.26</v>
      </c>
      <c r="O66" s="14" t="n">
        <v>6.66</v>
      </c>
      <c r="P66" s="14" t="n">
        <v>0.09</v>
      </c>
      <c r="Q66" s="14" t="n">
        <v>0.12</v>
      </c>
      <c r="R66" s="14" t="n">
        <v>0.12</v>
      </c>
      <c r="S66" s="14" t="n">
        <v>1.83</v>
      </c>
      <c r="T66" s="14" t="n">
        <v>0.55</v>
      </c>
      <c r="U66" s="14" t="n">
        <v>4.11</v>
      </c>
      <c r="V66" s="14" t="n">
        <v>4.4</v>
      </c>
      <c r="W66" s="14" t="n">
        <v>1.85</v>
      </c>
      <c r="X66" s="14" t="n">
        <v>0.06</v>
      </c>
      <c r="Y66" s="14" t="n">
        <v>2.09</v>
      </c>
      <c r="Z66" s="14" t="n">
        <v>1.01</v>
      </c>
      <c r="AA66" s="14" t="n">
        <v>0</v>
      </c>
    </row>
    <row r="67">
      <c r="A67" t="inlineStr">
        <is>
          <t>100902</t>
        </is>
      </c>
      <c r="B67" t="inlineStr">
        <is>
          <t>HUANUCO</t>
        </is>
      </c>
      <c r="C67" t="inlineStr">
        <is>
          <t>PUERTO INCA</t>
        </is>
      </c>
      <c r="D67" t="inlineStr">
        <is>
          <t>CODO DEL POZUZO</t>
        </is>
      </c>
      <c r="E67" t="n">
        <v>2774</v>
      </c>
      <c r="F67" s="14" t="n">
        <v>0</v>
      </c>
      <c r="G67" s="14" t="n">
        <v>68.59999999999999</v>
      </c>
      <c r="H67" s="14" t="n">
        <v>0.11</v>
      </c>
      <c r="I67" s="14" t="n">
        <v>2.85</v>
      </c>
      <c r="J67" s="14" t="n">
        <v>0</v>
      </c>
      <c r="K67" s="14" t="n">
        <v>0</v>
      </c>
      <c r="L67" s="14" t="n">
        <v>7.75</v>
      </c>
      <c r="M67" s="14" t="n">
        <v>6.31</v>
      </c>
      <c r="N67" s="14" t="n">
        <v>1.87</v>
      </c>
      <c r="O67" s="14" t="n">
        <v>3.35</v>
      </c>
      <c r="P67" s="14" t="n">
        <v>0.22</v>
      </c>
      <c r="Q67" s="14" t="n">
        <v>0.04</v>
      </c>
      <c r="R67" s="14" t="n">
        <v>0</v>
      </c>
      <c r="S67" s="14" t="n">
        <v>0.5</v>
      </c>
      <c r="T67" s="14" t="n">
        <v>0.47</v>
      </c>
      <c r="U67" s="14" t="n">
        <v>1.69</v>
      </c>
      <c r="V67" s="14" t="n">
        <v>4.47</v>
      </c>
      <c r="W67" s="14" t="n">
        <v>0.76</v>
      </c>
      <c r="X67" s="14" t="n">
        <v>0</v>
      </c>
      <c r="Y67" s="14" t="n">
        <v>0.58</v>
      </c>
      <c r="Z67" s="14" t="n">
        <v>0.43</v>
      </c>
      <c r="AA67" s="14" t="n">
        <v>0</v>
      </c>
    </row>
    <row r="68">
      <c r="A68" t="inlineStr">
        <is>
          <t>100903</t>
        </is>
      </c>
      <c r="B68" t="inlineStr">
        <is>
          <t>HUANUCO</t>
        </is>
      </c>
      <c r="C68" t="inlineStr">
        <is>
          <t>PUERTO INCA</t>
        </is>
      </c>
      <c r="D68" t="inlineStr">
        <is>
          <t>HONORIA</t>
        </is>
      </c>
      <c r="E68" t="n">
        <v>1732</v>
      </c>
      <c r="F68" s="14" t="n">
        <v>0</v>
      </c>
      <c r="G68" s="14" t="n">
        <v>78.06</v>
      </c>
      <c r="H68" s="14" t="n">
        <v>0</v>
      </c>
      <c r="I68" s="14" t="n">
        <v>1.73</v>
      </c>
      <c r="J68" s="14" t="n">
        <v>0</v>
      </c>
      <c r="K68" s="14" t="n">
        <v>0.12</v>
      </c>
      <c r="L68" s="14" t="n">
        <v>2.71</v>
      </c>
      <c r="M68" s="14" t="n">
        <v>6.29</v>
      </c>
      <c r="N68" s="14" t="n">
        <v>1.15</v>
      </c>
      <c r="O68" s="14" t="n">
        <v>2.6</v>
      </c>
      <c r="P68" s="14" t="n">
        <v>0</v>
      </c>
      <c r="Q68" s="14" t="n">
        <v>0.06</v>
      </c>
      <c r="R68" s="14" t="n">
        <v>0</v>
      </c>
      <c r="S68" s="14" t="n">
        <v>0.52</v>
      </c>
      <c r="T68" s="14" t="n">
        <v>0.23</v>
      </c>
      <c r="U68" s="14" t="n">
        <v>1.62</v>
      </c>
      <c r="V68" s="14" t="n">
        <v>2.31</v>
      </c>
      <c r="W68" s="14" t="n">
        <v>0.87</v>
      </c>
      <c r="X68" s="14" t="n">
        <v>0.06</v>
      </c>
      <c r="Y68" s="14" t="n">
        <v>0.92</v>
      </c>
      <c r="Z68" s="14" t="n">
        <v>0.75</v>
      </c>
      <c r="AA68" s="14" t="n">
        <v>0</v>
      </c>
    </row>
    <row r="69">
      <c r="A69" t="inlineStr">
        <is>
          <t>100904</t>
        </is>
      </c>
      <c r="B69" t="inlineStr">
        <is>
          <t>HUANUCO</t>
        </is>
      </c>
      <c r="C69" t="inlineStr">
        <is>
          <t>PUERTO INCA</t>
        </is>
      </c>
      <c r="D69" t="inlineStr">
        <is>
          <t>TOURNAVISTA</t>
        </is>
      </c>
      <c r="E69" t="n">
        <v>2166</v>
      </c>
      <c r="F69" s="14" t="n">
        <v>0</v>
      </c>
      <c r="G69" s="14" t="n">
        <v>58.91</v>
      </c>
      <c r="H69" s="14" t="n">
        <v>8.029999999999999</v>
      </c>
      <c r="I69" s="14" t="n">
        <v>6</v>
      </c>
      <c r="J69" s="14" t="n">
        <v>0.05</v>
      </c>
      <c r="K69" s="14" t="n">
        <v>0</v>
      </c>
      <c r="L69" s="14" t="n">
        <v>2.49</v>
      </c>
      <c r="M69" s="14" t="n">
        <v>8.77</v>
      </c>
      <c r="N69" s="14" t="n">
        <v>4.02</v>
      </c>
      <c r="O69" s="14" t="n">
        <v>3.55</v>
      </c>
      <c r="P69" s="14" t="n">
        <v>0</v>
      </c>
      <c r="Q69" s="14" t="n">
        <v>0</v>
      </c>
      <c r="R69" s="14" t="n">
        <v>0</v>
      </c>
      <c r="S69" s="14" t="n">
        <v>0.46</v>
      </c>
      <c r="T69" s="14" t="n">
        <v>0.18</v>
      </c>
      <c r="U69" s="14" t="n">
        <v>2.63</v>
      </c>
      <c r="V69" s="14" t="n">
        <v>2.68</v>
      </c>
      <c r="W69" s="14" t="n">
        <v>0.88</v>
      </c>
      <c r="X69" s="14" t="n">
        <v>0.28</v>
      </c>
      <c r="Y69" s="14" t="n">
        <v>0.46</v>
      </c>
      <c r="Z69" s="14" t="n">
        <v>0.6</v>
      </c>
      <c r="AA69" s="14" t="n">
        <v>0</v>
      </c>
    </row>
    <row r="70">
      <c r="A70" t="inlineStr">
        <is>
          <t>100905</t>
        </is>
      </c>
      <c r="B70" t="inlineStr">
        <is>
          <t>HUANUCO</t>
        </is>
      </c>
      <c r="C70" t="inlineStr">
        <is>
          <t>PUERTO INCA</t>
        </is>
      </c>
      <c r="D70" t="inlineStr">
        <is>
          <t>YUYAPICHIS</t>
        </is>
      </c>
      <c r="E70" t="n">
        <v>2184</v>
      </c>
      <c r="F70" s="14" t="n">
        <v>0</v>
      </c>
      <c r="G70" s="14" t="n">
        <v>72.06999999999999</v>
      </c>
      <c r="H70" s="14" t="n">
        <v>0.05</v>
      </c>
      <c r="I70" s="14" t="n">
        <v>1.83</v>
      </c>
      <c r="J70" s="14" t="n">
        <v>0</v>
      </c>
      <c r="K70" s="14" t="n">
        <v>0</v>
      </c>
      <c r="L70" s="14" t="n">
        <v>5.49</v>
      </c>
      <c r="M70" s="14" t="n">
        <v>4.72</v>
      </c>
      <c r="N70" s="14" t="n">
        <v>2.11</v>
      </c>
      <c r="O70" s="14" t="n">
        <v>3.16</v>
      </c>
      <c r="P70" s="14" t="n">
        <v>0.05</v>
      </c>
      <c r="Q70" s="14" t="n">
        <v>0</v>
      </c>
      <c r="R70" s="14" t="n">
        <v>0</v>
      </c>
      <c r="S70" s="14" t="n">
        <v>1.33</v>
      </c>
      <c r="T70" s="14" t="n">
        <v>0.5</v>
      </c>
      <c r="U70" s="14" t="n">
        <v>2.06</v>
      </c>
      <c r="V70" s="14" t="n">
        <v>3.48</v>
      </c>
      <c r="W70" s="14" t="n">
        <v>1.65</v>
      </c>
      <c r="X70" s="14" t="n">
        <v>0.14</v>
      </c>
      <c r="Y70" s="14" t="n">
        <v>0.82</v>
      </c>
      <c r="Z70" s="14" t="n">
        <v>0.55</v>
      </c>
      <c r="AA70" s="14" t="n">
        <v>0</v>
      </c>
    </row>
    <row r="71">
      <c r="A71" t="inlineStr">
        <is>
          <t>101001</t>
        </is>
      </c>
      <c r="B71" t="inlineStr">
        <is>
          <t>HUANUCO</t>
        </is>
      </c>
      <c r="C71" t="inlineStr">
        <is>
          <t>LAURICOCHA</t>
        </is>
      </c>
      <c r="D71" t="inlineStr">
        <is>
          <t>JESUS</t>
        </is>
      </c>
      <c r="E71" t="n">
        <v>1334</v>
      </c>
      <c r="F71" s="14" t="n">
        <v>0</v>
      </c>
      <c r="G71" s="14" t="n">
        <v>62.67</v>
      </c>
      <c r="H71" s="14" t="n">
        <v>1.35</v>
      </c>
      <c r="I71" s="14" t="n">
        <v>1.12</v>
      </c>
      <c r="J71" s="14" t="n">
        <v>0.07000000000000001</v>
      </c>
      <c r="K71" s="14" t="n">
        <v>0.07000000000000001</v>
      </c>
      <c r="L71" s="14" t="n">
        <v>3</v>
      </c>
      <c r="M71" s="14" t="n">
        <v>9.82</v>
      </c>
      <c r="N71" s="14" t="n">
        <v>1.2</v>
      </c>
      <c r="O71" s="14" t="n">
        <v>2.25</v>
      </c>
      <c r="P71" s="14" t="n">
        <v>0.22</v>
      </c>
      <c r="Q71" s="14" t="n">
        <v>0.07000000000000001</v>
      </c>
      <c r="R71" s="14" t="n">
        <v>0</v>
      </c>
      <c r="S71" s="14" t="n">
        <v>1.12</v>
      </c>
      <c r="T71" s="14" t="n">
        <v>0.22</v>
      </c>
      <c r="U71" s="14" t="n">
        <v>5.47</v>
      </c>
      <c r="V71" s="14" t="n">
        <v>7.72</v>
      </c>
      <c r="W71" s="14" t="n">
        <v>2.02</v>
      </c>
      <c r="X71" s="14" t="n">
        <v>0</v>
      </c>
      <c r="Y71" s="14" t="n">
        <v>1.12</v>
      </c>
      <c r="Z71" s="14" t="n">
        <v>0.45</v>
      </c>
      <c r="AA71" s="14" t="n">
        <v>0</v>
      </c>
    </row>
    <row r="72">
      <c r="A72" t="inlineStr">
        <is>
          <t>101002</t>
        </is>
      </c>
      <c r="B72" t="inlineStr">
        <is>
          <t>HUANUCO</t>
        </is>
      </c>
      <c r="C72" t="inlineStr">
        <is>
          <t>LAURICOCHA</t>
        </is>
      </c>
      <c r="D72" t="inlineStr">
        <is>
          <t>BAÑOS</t>
        </is>
      </c>
      <c r="E72" t="n">
        <v>582</v>
      </c>
      <c r="F72" s="14" t="n">
        <v>0</v>
      </c>
      <c r="G72" s="14" t="n">
        <v>55.15</v>
      </c>
      <c r="H72" s="14" t="n">
        <v>0.86</v>
      </c>
      <c r="I72" s="14" t="n">
        <v>0.86</v>
      </c>
      <c r="J72" s="14" t="n">
        <v>0</v>
      </c>
      <c r="K72" s="14" t="n">
        <v>0</v>
      </c>
      <c r="L72" s="14" t="n">
        <v>5.33</v>
      </c>
      <c r="M72" s="14" t="n">
        <v>10.14</v>
      </c>
      <c r="N72" s="14" t="n">
        <v>1.72</v>
      </c>
      <c r="O72" s="14" t="n">
        <v>2.92</v>
      </c>
      <c r="P72" s="14" t="n">
        <v>0</v>
      </c>
      <c r="Q72" s="14" t="n">
        <v>0.17</v>
      </c>
      <c r="R72" s="14" t="n">
        <v>0</v>
      </c>
      <c r="S72" s="14" t="n">
        <v>2.41</v>
      </c>
      <c r="T72" s="14" t="n">
        <v>1.55</v>
      </c>
      <c r="U72" s="14" t="n">
        <v>2.41</v>
      </c>
      <c r="V72" s="14" t="n">
        <v>12.03</v>
      </c>
      <c r="W72" s="14" t="n">
        <v>2.06</v>
      </c>
      <c r="X72" s="14" t="n">
        <v>0</v>
      </c>
      <c r="Y72" s="14" t="n">
        <v>2.06</v>
      </c>
      <c r="Z72" s="14" t="n">
        <v>0.34</v>
      </c>
      <c r="AA72" s="14" t="n">
        <v>0</v>
      </c>
    </row>
    <row r="73">
      <c r="A73" t="inlineStr">
        <is>
          <t>101003</t>
        </is>
      </c>
      <c r="B73" t="inlineStr">
        <is>
          <t>HUANUCO</t>
        </is>
      </c>
      <c r="C73" t="inlineStr">
        <is>
          <t>LAURICOCHA</t>
        </is>
      </c>
      <c r="D73" t="inlineStr">
        <is>
          <t>JIVIA</t>
        </is>
      </c>
      <c r="E73" t="n">
        <v>339</v>
      </c>
      <c r="F73" s="14" t="n">
        <v>0</v>
      </c>
      <c r="G73" s="14" t="n">
        <v>82.89</v>
      </c>
      <c r="H73" s="14" t="n">
        <v>0</v>
      </c>
      <c r="I73" s="14" t="n">
        <v>0.59</v>
      </c>
      <c r="J73" s="14" t="n">
        <v>0</v>
      </c>
      <c r="K73" s="14" t="n">
        <v>0</v>
      </c>
      <c r="L73" s="14" t="n">
        <v>2.36</v>
      </c>
      <c r="M73" s="14" t="n">
        <v>0.59</v>
      </c>
      <c r="N73" s="14" t="n">
        <v>0.88</v>
      </c>
      <c r="O73" s="14" t="n">
        <v>1.18</v>
      </c>
      <c r="P73" s="14" t="n">
        <v>0</v>
      </c>
      <c r="Q73" s="14" t="n">
        <v>0</v>
      </c>
      <c r="R73" s="14" t="n">
        <v>0</v>
      </c>
      <c r="S73" s="14" t="n">
        <v>1.77</v>
      </c>
      <c r="T73" s="14" t="n">
        <v>0</v>
      </c>
      <c r="U73" s="14" t="n">
        <v>2.06</v>
      </c>
      <c r="V73" s="14" t="n">
        <v>6.19</v>
      </c>
      <c r="W73" s="14" t="n">
        <v>0.59</v>
      </c>
      <c r="X73" s="14" t="n">
        <v>0</v>
      </c>
      <c r="Y73" s="14" t="n">
        <v>0.88</v>
      </c>
      <c r="Z73" s="14" t="n">
        <v>0</v>
      </c>
      <c r="AA73" s="14" t="n">
        <v>0</v>
      </c>
    </row>
    <row r="74">
      <c r="A74" t="inlineStr">
        <is>
          <t>101004</t>
        </is>
      </c>
      <c r="B74" t="inlineStr">
        <is>
          <t>HUANUCO</t>
        </is>
      </c>
      <c r="C74" t="inlineStr">
        <is>
          <t>LAURICOCHA</t>
        </is>
      </c>
      <c r="D74" t="inlineStr">
        <is>
          <t>QUEROPALCA</t>
        </is>
      </c>
      <c r="E74" t="n">
        <v>340</v>
      </c>
      <c r="F74" s="14" t="n">
        <v>0</v>
      </c>
      <c r="G74" s="14" t="n">
        <v>63.24</v>
      </c>
      <c r="H74" s="14" t="n">
        <v>0.88</v>
      </c>
      <c r="I74" s="14" t="n">
        <v>1.18</v>
      </c>
      <c r="J74" s="14" t="n">
        <v>0</v>
      </c>
      <c r="K74" s="14" t="n">
        <v>0</v>
      </c>
      <c r="L74" s="14" t="n">
        <v>4.41</v>
      </c>
      <c r="M74" s="14" t="n">
        <v>5.88</v>
      </c>
      <c r="N74" s="14" t="n">
        <v>2.35</v>
      </c>
      <c r="O74" s="14" t="n">
        <v>0.59</v>
      </c>
      <c r="P74" s="14" t="n">
        <v>0</v>
      </c>
      <c r="Q74" s="14" t="n">
        <v>0</v>
      </c>
      <c r="R74" s="14" t="n">
        <v>0.29</v>
      </c>
      <c r="S74" s="14" t="n">
        <v>2.65</v>
      </c>
      <c r="T74" s="14" t="n">
        <v>0.29</v>
      </c>
      <c r="U74" s="14" t="n">
        <v>2.06</v>
      </c>
      <c r="V74" s="14" t="n">
        <v>10</v>
      </c>
      <c r="W74" s="14" t="n">
        <v>4.41</v>
      </c>
      <c r="X74" s="14" t="n">
        <v>0</v>
      </c>
      <c r="Y74" s="14" t="n">
        <v>1.47</v>
      </c>
      <c r="Z74" s="14" t="n">
        <v>0.29</v>
      </c>
      <c r="AA74" s="14" t="n">
        <v>0</v>
      </c>
    </row>
    <row r="75">
      <c r="A75" t="inlineStr">
        <is>
          <t>101005</t>
        </is>
      </c>
      <c r="B75" t="inlineStr">
        <is>
          <t>HUANUCO</t>
        </is>
      </c>
      <c r="C75" t="inlineStr">
        <is>
          <t>LAURICOCHA</t>
        </is>
      </c>
      <c r="D75" t="inlineStr">
        <is>
          <t>RONDOS</t>
        </is>
      </c>
      <c r="E75" t="n">
        <v>838</v>
      </c>
      <c r="F75" s="14" t="n">
        <v>0</v>
      </c>
      <c r="G75" s="14" t="n">
        <v>65.27</v>
      </c>
      <c r="H75" s="14" t="n">
        <v>0.24</v>
      </c>
      <c r="I75" s="14" t="n">
        <v>0.72</v>
      </c>
      <c r="J75" s="14" t="n">
        <v>0</v>
      </c>
      <c r="K75" s="14" t="n">
        <v>0</v>
      </c>
      <c r="L75" s="14" t="n">
        <v>0.95</v>
      </c>
      <c r="M75" s="14" t="n">
        <v>8.59</v>
      </c>
      <c r="N75" s="14" t="n">
        <v>0.95</v>
      </c>
      <c r="O75" s="14" t="n">
        <v>1.55</v>
      </c>
      <c r="P75" s="14" t="n">
        <v>0.12</v>
      </c>
      <c r="Q75" s="14" t="n">
        <v>0</v>
      </c>
      <c r="R75" s="14" t="n">
        <v>0</v>
      </c>
      <c r="S75" s="14" t="n">
        <v>1.43</v>
      </c>
      <c r="T75" s="14" t="n">
        <v>0.6</v>
      </c>
      <c r="U75" s="14" t="n">
        <v>3.7</v>
      </c>
      <c r="V75" s="14" t="n">
        <v>11.58</v>
      </c>
      <c r="W75" s="14" t="n">
        <v>1.31</v>
      </c>
      <c r="X75" s="14" t="n">
        <v>0</v>
      </c>
      <c r="Y75" s="14" t="n">
        <v>2.39</v>
      </c>
      <c r="Z75" s="14" t="n">
        <v>0.6</v>
      </c>
      <c r="AA75" s="14" t="n">
        <v>0</v>
      </c>
    </row>
    <row r="76">
      <c r="A76" t="inlineStr">
        <is>
          <t>101006</t>
        </is>
      </c>
      <c r="B76" t="inlineStr">
        <is>
          <t>HUANUCO</t>
        </is>
      </c>
      <c r="C76" t="inlineStr">
        <is>
          <t>LAURICOCHA</t>
        </is>
      </c>
      <c r="D76" t="inlineStr">
        <is>
          <t>SAN FRANCISCO DE ASIS</t>
        </is>
      </c>
      <c r="E76" t="n">
        <v>457</v>
      </c>
      <c r="F76" s="14" t="n">
        <v>0</v>
      </c>
      <c r="G76" s="14" t="n">
        <v>81.84</v>
      </c>
      <c r="H76" s="14" t="n">
        <v>0</v>
      </c>
      <c r="I76" s="14" t="n">
        <v>0.88</v>
      </c>
      <c r="J76" s="14" t="n">
        <v>0</v>
      </c>
      <c r="K76" s="14" t="n">
        <v>0</v>
      </c>
      <c r="L76" s="14" t="n">
        <v>1.09</v>
      </c>
      <c r="M76" s="14" t="n">
        <v>2.63</v>
      </c>
      <c r="N76" s="14" t="n">
        <v>0.66</v>
      </c>
      <c r="O76" s="14" t="n">
        <v>0</v>
      </c>
      <c r="P76" s="14" t="n">
        <v>0</v>
      </c>
      <c r="Q76" s="14" t="n">
        <v>0</v>
      </c>
      <c r="R76" s="14" t="n">
        <v>0</v>
      </c>
      <c r="S76" s="14" t="n">
        <v>1.53</v>
      </c>
      <c r="T76" s="14" t="n">
        <v>0.66</v>
      </c>
      <c r="U76" s="14" t="n">
        <v>2.63</v>
      </c>
      <c r="V76" s="14" t="n">
        <v>5.25</v>
      </c>
      <c r="W76" s="14" t="n">
        <v>1.97</v>
      </c>
      <c r="X76" s="14" t="n">
        <v>0</v>
      </c>
      <c r="Y76" s="14" t="n">
        <v>0.66</v>
      </c>
      <c r="Z76" s="14" t="n">
        <v>0.22</v>
      </c>
      <c r="AA76" s="14" t="n">
        <v>0</v>
      </c>
    </row>
    <row r="77">
      <c r="A77" t="inlineStr">
        <is>
          <t>101007</t>
        </is>
      </c>
      <c r="B77" t="inlineStr">
        <is>
          <t>HUANUCO</t>
        </is>
      </c>
      <c r="C77" t="inlineStr">
        <is>
          <t>LAURICOCHA</t>
        </is>
      </c>
      <c r="D77" t="inlineStr">
        <is>
          <t>SAN MIGUEL DE CAURI</t>
        </is>
      </c>
      <c r="E77" t="n">
        <v>2408</v>
      </c>
      <c r="F77" s="14" t="n">
        <v>0</v>
      </c>
      <c r="G77" s="14" t="n">
        <v>28.74</v>
      </c>
      <c r="H77" s="14" t="n">
        <v>23.84</v>
      </c>
      <c r="I77" s="14" t="n">
        <v>2.99</v>
      </c>
      <c r="J77" s="14" t="n">
        <v>0.04</v>
      </c>
      <c r="K77" s="14" t="n">
        <v>0.42</v>
      </c>
      <c r="L77" s="14" t="n">
        <v>16.57</v>
      </c>
      <c r="M77" s="14" t="n">
        <v>7.1</v>
      </c>
      <c r="N77" s="14" t="n">
        <v>4.19</v>
      </c>
      <c r="O77" s="14" t="n">
        <v>4.24</v>
      </c>
      <c r="P77" s="14" t="n">
        <v>0.04</v>
      </c>
      <c r="Q77" s="14" t="n">
        <v>0</v>
      </c>
      <c r="R77" s="14" t="n">
        <v>0</v>
      </c>
      <c r="S77" s="14" t="n">
        <v>2.95</v>
      </c>
      <c r="T77" s="14" t="n">
        <v>1.45</v>
      </c>
      <c r="U77" s="14" t="n">
        <v>2.03</v>
      </c>
      <c r="V77" s="14" t="n">
        <v>3.45</v>
      </c>
      <c r="W77" s="14" t="n">
        <v>0.96</v>
      </c>
      <c r="X77" s="14" t="n">
        <v>0.12</v>
      </c>
      <c r="Y77" s="14" t="n">
        <v>0.83</v>
      </c>
      <c r="Z77" s="14" t="n">
        <v>0.04</v>
      </c>
      <c r="AA77" s="14" t="n">
        <v>0</v>
      </c>
    </row>
    <row r="78">
      <c r="A78" t="inlineStr">
        <is>
          <t>101101</t>
        </is>
      </c>
      <c r="B78" t="inlineStr">
        <is>
          <t>HUANUCO</t>
        </is>
      </c>
      <c r="C78" t="inlineStr">
        <is>
          <t>YAROWILCA</t>
        </is>
      </c>
      <c r="D78" t="inlineStr">
        <is>
          <t>CHAVINILLO</t>
        </is>
      </c>
      <c r="E78" t="n">
        <v>1074</v>
      </c>
      <c r="F78" s="14" t="n">
        <v>0</v>
      </c>
      <c r="G78" s="14" t="n">
        <v>73.56</v>
      </c>
      <c r="H78" s="14" t="n">
        <v>0.19</v>
      </c>
      <c r="I78" s="14" t="n">
        <v>2.05</v>
      </c>
      <c r="J78" s="14" t="n">
        <v>0</v>
      </c>
      <c r="K78" s="14" t="n">
        <v>0</v>
      </c>
      <c r="L78" s="14" t="n">
        <v>2.23</v>
      </c>
      <c r="M78" s="14" t="n">
        <v>5.96</v>
      </c>
      <c r="N78" s="14" t="n">
        <v>0.74</v>
      </c>
      <c r="O78" s="14" t="n">
        <v>3.72</v>
      </c>
      <c r="P78" s="14" t="n">
        <v>0.09</v>
      </c>
      <c r="Q78" s="14" t="n">
        <v>0</v>
      </c>
      <c r="R78" s="14" t="n">
        <v>0</v>
      </c>
      <c r="S78" s="14" t="n">
        <v>2.14</v>
      </c>
      <c r="T78" s="14" t="n">
        <v>0.19</v>
      </c>
      <c r="U78" s="14" t="n">
        <v>2.89</v>
      </c>
      <c r="V78" s="14" t="n">
        <v>3.91</v>
      </c>
      <c r="W78" s="14" t="n">
        <v>1.49</v>
      </c>
      <c r="X78" s="14" t="n">
        <v>0</v>
      </c>
      <c r="Y78" s="14" t="n">
        <v>0.74</v>
      </c>
      <c r="Z78" s="14" t="n">
        <v>0.09</v>
      </c>
      <c r="AA78" s="14" t="n">
        <v>0</v>
      </c>
    </row>
    <row r="79">
      <c r="A79" t="inlineStr">
        <is>
          <t>101102</t>
        </is>
      </c>
      <c r="B79" t="inlineStr">
        <is>
          <t>HUANUCO</t>
        </is>
      </c>
      <c r="C79" t="inlineStr">
        <is>
          <t>YAROWILCA</t>
        </is>
      </c>
      <c r="D79" t="inlineStr">
        <is>
          <t>CAHUAC</t>
        </is>
      </c>
      <c r="E79" t="n">
        <v>239</v>
      </c>
      <c r="F79" s="14" t="n">
        <v>0</v>
      </c>
      <c r="G79" s="14" t="n">
        <v>70.70999999999999</v>
      </c>
      <c r="H79" s="14" t="n">
        <v>0</v>
      </c>
      <c r="I79" s="14" t="n">
        <v>0.42</v>
      </c>
      <c r="J79" s="14" t="n">
        <v>0</v>
      </c>
      <c r="K79" s="14" t="n">
        <v>0</v>
      </c>
      <c r="L79" s="14" t="n">
        <v>1.26</v>
      </c>
      <c r="M79" s="14" t="n">
        <v>8.369999999999999</v>
      </c>
      <c r="N79" s="14" t="n">
        <v>0.84</v>
      </c>
      <c r="O79" s="14" t="n">
        <v>2.51</v>
      </c>
      <c r="P79" s="14" t="n">
        <v>0</v>
      </c>
      <c r="Q79" s="14" t="n">
        <v>0</v>
      </c>
      <c r="R79" s="14" t="n">
        <v>0</v>
      </c>
      <c r="S79" s="14" t="n">
        <v>1.67</v>
      </c>
      <c r="T79" s="14" t="n">
        <v>0.42</v>
      </c>
      <c r="U79" s="14" t="n">
        <v>0.42</v>
      </c>
      <c r="V79" s="14" t="n">
        <v>10.88</v>
      </c>
      <c r="W79" s="14" t="n">
        <v>0.42</v>
      </c>
      <c r="X79" s="14" t="n">
        <v>0.42</v>
      </c>
      <c r="Y79" s="14" t="n">
        <v>0.84</v>
      </c>
      <c r="Z79" s="14" t="n">
        <v>0.84</v>
      </c>
      <c r="AA79" s="14" t="n">
        <v>0</v>
      </c>
    </row>
    <row r="80">
      <c r="A80" t="inlineStr">
        <is>
          <t>101103</t>
        </is>
      </c>
      <c r="B80" t="inlineStr">
        <is>
          <t>HUANUCO</t>
        </is>
      </c>
      <c r="C80" t="inlineStr">
        <is>
          <t>YAROWILCA</t>
        </is>
      </c>
      <c r="D80" t="inlineStr">
        <is>
          <t>CHACABAMBA</t>
        </is>
      </c>
      <c r="E80" t="n">
        <v>117</v>
      </c>
      <c r="F80" s="14" t="n">
        <v>0</v>
      </c>
      <c r="G80" s="14" t="n">
        <v>45.3</v>
      </c>
      <c r="H80" s="14" t="n">
        <v>0</v>
      </c>
      <c r="I80" s="14" t="n">
        <v>2.56</v>
      </c>
      <c r="J80" s="14" t="n">
        <v>0</v>
      </c>
      <c r="K80" s="14" t="n">
        <v>0</v>
      </c>
      <c r="L80" s="14" t="n">
        <v>5.13</v>
      </c>
      <c r="M80" s="14" t="n">
        <v>2.56</v>
      </c>
      <c r="N80" s="14" t="n">
        <v>2.56</v>
      </c>
      <c r="O80" s="14" t="n">
        <v>0</v>
      </c>
      <c r="P80" s="14" t="n">
        <v>0</v>
      </c>
      <c r="Q80" s="14" t="n">
        <v>0.85</v>
      </c>
      <c r="R80" s="14" t="n">
        <v>0</v>
      </c>
      <c r="S80" s="14" t="n">
        <v>2.56</v>
      </c>
      <c r="T80" s="14" t="n">
        <v>0.85</v>
      </c>
      <c r="U80" s="14" t="n">
        <v>4.27</v>
      </c>
      <c r="V80" s="14" t="n">
        <v>24.79</v>
      </c>
      <c r="W80" s="14" t="n">
        <v>4.27</v>
      </c>
      <c r="X80" s="14" t="n">
        <v>0</v>
      </c>
      <c r="Y80" s="14" t="n">
        <v>2.56</v>
      </c>
      <c r="Z80" s="14" t="n">
        <v>1.71</v>
      </c>
      <c r="AA80" s="14" t="n">
        <v>0</v>
      </c>
    </row>
    <row r="81">
      <c r="A81" t="inlineStr">
        <is>
          <t>101104</t>
        </is>
      </c>
      <c r="B81" t="inlineStr">
        <is>
          <t>HUANUCO</t>
        </is>
      </c>
      <c r="C81" t="inlineStr">
        <is>
          <t>YAROWILCA</t>
        </is>
      </c>
      <c r="D81" t="inlineStr">
        <is>
          <t>APARICIO POMARES</t>
        </is>
      </c>
      <c r="E81" t="n">
        <v>1276</v>
      </c>
      <c r="F81" s="14" t="n">
        <v>0</v>
      </c>
      <c r="G81" s="14" t="n">
        <v>82.92</v>
      </c>
      <c r="H81" s="14" t="n">
        <v>0.24</v>
      </c>
      <c r="I81" s="14" t="n">
        <v>0.86</v>
      </c>
      <c r="J81" s="14" t="n">
        <v>0</v>
      </c>
      <c r="K81" s="14" t="n">
        <v>0.39</v>
      </c>
      <c r="L81" s="14" t="n">
        <v>0.71</v>
      </c>
      <c r="M81" s="14" t="n">
        <v>6.19</v>
      </c>
      <c r="N81" s="14" t="n">
        <v>1.1</v>
      </c>
      <c r="O81" s="14" t="n">
        <v>0.31</v>
      </c>
      <c r="P81" s="14" t="n">
        <v>0</v>
      </c>
      <c r="Q81" s="14" t="n">
        <v>0</v>
      </c>
      <c r="R81" s="14" t="n">
        <v>0</v>
      </c>
      <c r="S81" s="14" t="n">
        <v>0.47</v>
      </c>
      <c r="T81" s="14" t="n">
        <v>0.08</v>
      </c>
      <c r="U81" s="14" t="n">
        <v>0.71</v>
      </c>
      <c r="V81" s="14" t="n">
        <v>4</v>
      </c>
      <c r="W81" s="14" t="n">
        <v>0.47</v>
      </c>
      <c r="X81" s="14" t="n">
        <v>0</v>
      </c>
      <c r="Y81" s="14" t="n">
        <v>1.1</v>
      </c>
      <c r="Z81" s="14" t="n">
        <v>0.47</v>
      </c>
      <c r="AA81" s="14" t="n">
        <v>0</v>
      </c>
    </row>
    <row r="82">
      <c r="A82" t="inlineStr">
        <is>
          <t>101105</t>
        </is>
      </c>
      <c r="B82" t="inlineStr">
        <is>
          <t>HUANUCO</t>
        </is>
      </c>
      <c r="C82" t="inlineStr">
        <is>
          <t>YAROWILCA</t>
        </is>
      </c>
      <c r="D82" t="inlineStr">
        <is>
          <t>JACAS CHICO</t>
        </is>
      </c>
      <c r="E82" t="n">
        <v>290</v>
      </c>
      <c r="F82" s="14" t="n">
        <v>0</v>
      </c>
      <c r="G82" s="14" t="n">
        <v>72.06999999999999</v>
      </c>
      <c r="H82" s="14" t="n">
        <v>0</v>
      </c>
      <c r="I82" s="14" t="n">
        <v>1.03</v>
      </c>
      <c r="J82" s="14" t="n">
        <v>0</v>
      </c>
      <c r="K82" s="14" t="n">
        <v>0.34</v>
      </c>
      <c r="L82" s="14" t="n">
        <v>2.41</v>
      </c>
      <c r="M82" s="14" t="n">
        <v>8.279999999999999</v>
      </c>
      <c r="N82" s="14" t="n">
        <v>3.79</v>
      </c>
      <c r="O82" s="14" t="n">
        <v>1.38</v>
      </c>
      <c r="P82" s="14" t="n">
        <v>0</v>
      </c>
      <c r="Q82" s="14" t="n">
        <v>0</v>
      </c>
      <c r="R82" s="14" t="n">
        <v>0</v>
      </c>
      <c r="S82" s="14" t="n">
        <v>1.72</v>
      </c>
      <c r="T82" s="14" t="n">
        <v>0</v>
      </c>
      <c r="U82" s="14" t="n">
        <v>4.48</v>
      </c>
      <c r="V82" s="14" t="n">
        <v>1.03</v>
      </c>
      <c r="W82" s="14" t="n">
        <v>3.1</v>
      </c>
      <c r="X82" s="14" t="n">
        <v>0</v>
      </c>
      <c r="Y82" s="14" t="n">
        <v>0.34</v>
      </c>
      <c r="Z82" s="14" t="n">
        <v>0</v>
      </c>
      <c r="AA82" s="14" t="n">
        <v>0</v>
      </c>
    </row>
    <row r="83">
      <c r="A83" t="inlineStr">
        <is>
          <t>101106</t>
        </is>
      </c>
      <c r="B83" t="inlineStr">
        <is>
          <t>HUANUCO</t>
        </is>
      </c>
      <c r="C83" t="inlineStr">
        <is>
          <t>YAROWILCA</t>
        </is>
      </c>
      <c r="D83" t="inlineStr">
        <is>
          <t>OBAS</t>
        </is>
      </c>
      <c r="E83" t="n">
        <v>819</v>
      </c>
      <c r="F83" s="14" t="n">
        <v>0</v>
      </c>
      <c r="G83" s="14" t="n">
        <v>67.40000000000001</v>
      </c>
      <c r="H83" s="14" t="n">
        <v>0</v>
      </c>
      <c r="I83" s="14" t="n">
        <v>0.98</v>
      </c>
      <c r="J83" s="14" t="n">
        <v>0</v>
      </c>
      <c r="K83" s="14" t="n">
        <v>0</v>
      </c>
      <c r="L83" s="14" t="n">
        <v>1.59</v>
      </c>
      <c r="M83" s="14" t="n">
        <v>5.13</v>
      </c>
      <c r="N83" s="14" t="n">
        <v>1.47</v>
      </c>
      <c r="O83" s="14" t="n">
        <v>1.95</v>
      </c>
      <c r="P83" s="14" t="n">
        <v>0</v>
      </c>
      <c r="Q83" s="14" t="n">
        <v>0.12</v>
      </c>
      <c r="R83" s="14" t="n">
        <v>0</v>
      </c>
      <c r="S83" s="14" t="n">
        <v>1.71</v>
      </c>
      <c r="T83" s="14" t="n">
        <v>0</v>
      </c>
      <c r="U83" s="14" t="n">
        <v>2.08</v>
      </c>
      <c r="V83" s="14" t="n">
        <v>14.53</v>
      </c>
      <c r="W83" s="14" t="n">
        <v>2.08</v>
      </c>
      <c r="X83" s="14" t="n">
        <v>0</v>
      </c>
      <c r="Y83" s="14" t="n">
        <v>0.61</v>
      </c>
      <c r="Z83" s="14" t="n">
        <v>0.37</v>
      </c>
      <c r="AA83" s="14" t="n">
        <v>0</v>
      </c>
    </row>
    <row r="84">
      <c r="A84" t="inlineStr">
        <is>
          <t>101107</t>
        </is>
      </c>
      <c r="B84" t="inlineStr">
        <is>
          <t>HUANUCO</t>
        </is>
      </c>
      <c r="C84" t="inlineStr">
        <is>
          <t>YAROWILCA</t>
        </is>
      </c>
      <c r="D84" t="inlineStr">
        <is>
          <t>PAMPAMARCA</t>
        </is>
      </c>
      <c r="E84" t="n">
        <v>198</v>
      </c>
      <c r="F84" s="14" t="n">
        <v>0</v>
      </c>
      <c r="G84" s="14" t="n">
        <v>74.23999999999999</v>
      </c>
      <c r="H84" s="14" t="n">
        <v>0.51</v>
      </c>
      <c r="I84" s="14" t="n">
        <v>0.51</v>
      </c>
      <c r="J84" s="14" t="n">
        <v>0</v>
      </c>
      <c r="K84" s="14" t="n">
        <v>0</v>
      </c>
      <c r="L84" s="14" t="n">
        <v>2.02</v>
      </c>
      <c r="M84" s="14" t="n">
        <v>2.02</v>
      </c>
      <c r="N84" s="14" t="n">
        <v>0</v>
      </c>
      <c r="O84" s="14" t="n">
        <v>3.03</v>
      </c>
      <c r="P84" s="14" t="n">
        <v>0</v>
      </c>
      <c r="Q84" s="14" t="n">
        <v>0</v>
      </c>
      <c r="R84" s="14" t="n">
        <v>0</v>
      </c>
      <c r="S84" s="14" t="n">
        <v>1.52</v>
      </c>
      <c r="T84" s="14" t="n">
        <v>0</v>
      </c>
      <c r="U84" s="14" t="n">
        <v>4.55</v>
      </c>
      <c r="V84" s="14" t="n">
        <v>8.59</v>
      </c>
      <c r="W84" s="14" t="n">
        <v>0.51</v>
      </c>
      <c r="X84" s="14" t="n">
        <v>0.51</v>
      </c>
      <c r="Y84" s="14" t="n">
        <v>1.52</v>
      </c>
      <c r="Z84" s="14" t="n">
        <v>0.51</v>
      </c>
      <c r="AA84" s="14" t="n">
        <v>0</v>
      </c>
    </row>
    <row r="85">
      <c r="A85" t="inlineStr">
        <is>
          <t>101108</t>
        </is>
      </c>
      <c r="B85" t="inlineStr">
        <is>
          <t>HUANUCO</t>
        </is>
      </c>
      <c r="C85" t="inlineStr">
        <is>
          <t>YAROWILCA</t>
        </is>
      </c>
      <c r="D85" t="inlineStr">
        <is>
          <t>CHORAS</t>
        </is>
      </c>
      <c r="E85" t="n">
        <v>559</v>
      </c>
      <c r="F85" s="14" t="n">
        <v>0</v>
      </c>
      <c r="G85" s="14" t="n">
        <v>76.73999999999999</v>
      </c>
      <c r="H85" s="14" t="n">
        <v>0.54</v>
      </c>
      <c r="I85" s="14" t="n">
        <v>1.07</v>
      </c>
      <c r="J85" s="14" t="n">
        <v>0</v>
      </c>
      <c r="K85" s="14" t="n">
        <v>0</v>
      </c>
      <c r="L85" s="14" t="n">
        <v>0.72</v>
      </c>
      <c r="M85" s="14" t="n">
        <v>10.73</v>
      </c>
      <c r="N85" s="14" t="n">
        <v>0.36</v>
      </c>
      <c r="O85" s="14" t="n">
        <v>0.89</v>
      </c>
      <c r="P85" s="14" t="n">
        <v>0</v>
      </c>
      <c r="Q85" s="14" t="n">
        <v>0</v>
      </c>
      <c r="R85" s="14" t="n">
        <v>0</v>
      </c>
      <c r="S85" s="14" t="n">
        <v>0.72</v>
      </c>
      <c r="T85" s="14" t="n">
        <v>0.36</v>
      </c>
      <c r="U85" s="14" t="n">
        <v>4.11</v>
      </c>
      <c r="V85" s="14" t="n">
        <v>2.15</v>
      </c>
      <c r="W85" s="14" t="n">
        <v>0.89</v>
      </c>
      <c r="X85" s="14" t="n">
        <v>0</v>
      </c>
      <c r="Y85" s="14" t="n">
        <v>0.72</v>
      </c>
      <c r="Z85" s="14" t="n">
        <v>0</v>
      </c>
      <c r="AA85" s="14" t="n">
        <v>0</v>
      </c>
    </row>
    <row r="86">
      <c r="A86" t="inlineStr">
        <is>
          <t>110101</t>
        </is>
      </c>
      <c r="B86" t="inlineStr">
        <is>
          <t>ICA</t>
        </is>
      </c>
      <c r="C86" t="inlineStr">
        <is>
          <t>ICA</t>
        </is>
      </c>
      <c r="D86" t="inlineStr">
        <is>
          <t>ICA</t>
        </is>
      </c>
      <c r="E86" t="n">
        <v>70129</v>
      </c>
      <c r="F86" s="14" t="n">
        <v>0</v>
      </c>
      <c r="G86" s="14" t="n">
        <v>8.92</v>
      </c>
      <c r="H86" s="14" t="n">
        <v>0.53</v>
      </c>
      <c r="I86" s="14" t="n">
        <v>6.42</v>
      </c>
      <c r="J86" s="14" t="n">
        <v>0.16</v>
      </c>
      <c r="K86" s="14" t="n">
        <v>0.22</v>
      </c>
      <c r="L86" s="14" t="n">
        <v>6</v>
      </c>
      <c r="M86" s="14" t="n">
        <v>21.36</v>
      </c>
      <c r="N86" s="14" t="n">
        <v>9.59</v>
      </c>
      <c r="O86" s="14" t="n">
        <v>7.27</v>
      </c>
      <c r="P86" s="14" t="n">
        <v>1.04</v>
      </c>
      <c r="Q86" s="14" t="n">
        <v>1.59</v>
      </c>
      <c r="R86" s="14" t="n">
        <v>0.27</v>
      </c>
      <c r="S86" s="14" t="n">
        <v>8.82</v>
      </c>
      <c r="T86" s="14" t="n">
        <v>3.73</v>
      </c>
      <c r="U86" s="14" t="n">
        <v>4.23</v>
      </c>
      <c r="V86" s="14" t="n">
        <v>8.779999999999999</v>
      </c>
      <c r="W86" s="14" t="n">
        <v>5.73</v>
      </c>
      <c r="X86" s="14" t="n">
        <v>1.09</v>
      </c>
      <c r="Y86" s="14" t="n">
        <v>3.29</v>
      </c>
      <c r="Z86" s="14" t="n">
        <v>0.96</v>
      </c>
      <c r="AA86" s="14" t="n">
        <v>0</v>
      </c>
    </row>
    <row r="87">
      <c r="A87" t="inlineStr">
        <is>
          <t>110102</t>
        </is>
      </c>
      <c r="B87" t="inlineStr">
        <is>
          <t>ICA</t>
        </is>
      </c>
      <c r="C87" t="inlineStr">
        <is>
          <t>ICA</t>
        </is>
      </c>
      <c r="D87" t="inlineStr">
        <is>
          <t>LA TINGUIÑA</t>
        </is>
      </c>
      <c r="E87" t="n">
        <v>17713</v>
      </c>
      <c r="F87" s="14" t="n">
        <v>0</v>
      </c>
      <c r="G87" s="14" t="n">
        <v>22.14</v>
      </c>
      <c r="H87" s="14" t="n">
        <v>0.9399999999999999</v>
      </c>
      <c r="I87" s="14" t="n">
        <v>4.86</v>
      </c>
      <c r="J87" s="14" t="n">
        <v>0.12</v>
      </c>
      <c r="K87" s="14" t="n">
        <v>0.31</v>
      </c>
      <c r="L87" s="14" t="n">
        <v>8.380000000000001</v>
      </c>
      <c r="M87" s="14" t="n">
        <v>18.69</v>
      </c>
      <c r="N87" s="14" t="n">
        <v>14.24</v>
      </c>
      <c r="O87" s="14" t="n">
        <v>5.89</v>
      </c>
      <c r="P87" s="14" t="n">
        <v>0.62</v>
      </c>
      <c r="Q87" s="14" t="n">
        <v>0.73</v>
      </c>
      <c r="R87" s="14" t="n">
        <v>0.08</v>
      </c>
      <c r="S87" s="14" t="n">
        <v>3.54</v>
      </c>
      <c r="T87" s="14" t="n">
        <v>3.23</v>
      </c>
      <c r="U87" s="14" t="n">
        <v>3.4</v>
      </c>
      <c r="V87" s="14" t="n">
        <v>5.84</v>
      </c>
      <c r="W87" s="14" t="n">
        <v>2.6</v>
      </c>
      <c r="X87" s="14" t="n">
        <v>0.85</v>
      </c>
      <c r="Y87" s="14" t="n">
        <v>2.35</v>
      </c>
      <c r="Z87" s="14" t="n">
        <v>1.19</v>
      </c>
      <c r="AA87" s="14" t="n">
        <v>0</v>
      </c>
    </row>
    <row r="88">
      <c r="A88" t="inlineStr">
        <is>
          <t>110103</t>
        </is>
      </c>
      <c r="B88" t="inlineStr">
        <is>
          <t>ICA</t>
        </is>
      </c>
      <c r="C88" t="inlineStr">
        <is>
          <t>ICA</t>
        </is>
      </c>
      <c r="D88" t="inlineStr">
        <is>
          <t>LOS AQUIJES</t>
        </is>
      </c>
      <c r="E88" t="n">
        <v>9612</v>
      </c>
      <c r="F88" s="14" t="n">
        <v>0</v>
      </c>
      <c r="G88" s="14" t="n">
        <v>36.49</v>
      </c>
      <c r="H88" s="14" t="n">
        <v>0.54</v>
      </c>
      <c r="I88" s="14" t="n">
        <v>6.08</v>
      </c>
      <c r="J88" s="14" t="n">
        <v>0.04</v>
      </c>
      <c r="K88" s="14" t="n">
        <v>0.28</v>
      </c>
      <c r="L88" s="14" t="n">
        <v>7.45</v>
      </c>
      <c r="M88" s="14" t="n">
        <v>13.78</v>
      </c>
      <c r="N88" s="14" t="n">
        <v>10.83</v>
      </c>
      <c r="O88" s="14" t="n">
        <v>4.04</v>
      </c>
      <c r="P88" s="14" t="n">
        <v>0.37</v>
      </c>
      <c r="Q88" s="14" t="n">
        <v>0.41</v>
      </c>
      <c r="R88" s="14" t="n">
        <v>0.07000000000000001</v>
      </c>
      <c r="S88" s="14" t="n">
        <v>3.11</v>
      </c>
      <c r="T88" s="14" t="n">
        <v>3.08</v>
      </c>
      <c r="U88" s="14" t="n">
        <v>3.01</v>
      </c>
      <c r="V88" s="14" t="n">
        <v>4.99</v>
      </c>
      <c r="W88" s="14" t="n">
        <v>2.37</v>
      </c>
      <c r="X88" s="14" t="n">
        <v>0.52</v>
      </c>
      <c r="Y88" s="14" t="n">
        <v>1.66</v>
      </c>
      <c r="Z88" s="14" t="n">
        <v>0.87</v>
      </c>
      <c r="AA88" s="14" t="n">
        <v>0</v>
      </c>
    </row>
    <row r="89">
      <c r="A89" t="inlineStr">
        <is>
          <t>110104</t>
        </is>
      </c>
      <c r="B89" t="inlineStr">
        <is>
          <t>ICA</t>
        </is>
      </c>
      <c r="C89" t="inlineStr">
        <is>
          <t>ICA</t>
        </is>
      </c>
      <c r="D89" t="inlineStr">
        <is>
          <t>OCUCAJE</t>
        </is>
      </c>
      <c r="E89" t="n">
        <v>1827</v>
      </c>
      <c r="F89" s="14" t="n">
        <v>0</v>
      </c>
      <c r="G89" s="14" t="n">
        <v>63.05</v>
      </c>
      <c r="H89" s="14" t="n">
        <v>0.44</v>
      </c>
      <c r="I89" s="14" t="n">
        <v>3.34</v>
      </c>
      <c r="J89" s="14" t="n">
        <v>0.22</v>
      </c>
      <c r="K89" s="14" t="n">
        <v>0.05</v>
      </c>
      <c r="L89" s="14" t="n">
        <v>3.61</v>
      </c>
      <c r="M89" s="14" t="n">
        <v>7.61</v>
      </c>
      <c r="N89" s="14" t="n">
        <v>6.68</v>
      </c>
      <c r="O89" s="14" t="n">
        <v>3.56</v>
      </c>
      <c r="P89" s="14" t="n">
        <v>0.05</v>
      </c>
      <c r="Q89" s="14" t="n">
        <v>0.05</v>
      </c>
      <c r="R89" s="14" t="n">
        <v>0.05</v>
      </c>
      <c r="S89" s="14" t="n">
        <v>1.48</v>
      </c>
      <c r="T89" s="14" t="n">
        <v>2.57</v>
      </c>
      <c r="U89" s="14" t="n">
        <v>2.41</v>
      </c>
      <c r="V89" s="14" t="n">
        <v>2.13</v>
      </c>
      <c r="W89" s="14" t="n">
        <v>1.2</v>
      </c>
      <c r="X89" s="14" t="n">
        <v>0.16</v>
      </c>
      <c r="Y89" s="14" t="n">
        <v>0.6</v>
      </c>
      <c r="Z89" s="14" t="n">
        <v>0.71</v>
      </c>
      <c r="AA89" s="14" t="n">
        <v>0</v>
      </c>
    </row>
    <row r="90">
      <c r="A90" t="inlineStr">
        <is>
          <t>110105</t>
        </is>
      </c>
      <c r="B90" t="inlineStr">
        <is>
          <t>ICA</t>
        </is>
      </c>
      <c r="C90" t="inlineStr">
        <is>
          <t>ICA</t>
        </is>
      </c>
      <c r="D90" t="inlineStr">
        <is>
          <t>PACHACUTEC</t>
        </is>
      </c>
      <c r="E90" t="n">
        <v>3425</v>
      </c>
      <c r="F90" s="14" t="n">
        <v>0</v>
      </c>
      <c r="G90" s="14" t="n">
        <v>52.91</v>
      </c>
      <c r="H90" s="14" t="n">
        <v>0.18</v>
      </c>
      <c r="I90" s="14" t="n">
        <v>4.93</v>
      </c>
      <c r="J90" s="14" t="n">
        <v>0.06</v>
      </c>
      <c r="K90" s="14" t="n">
        <v>0.15</v>
      </c>
      <c r="L90" s="14" t="n">
        <v>6.83</v>
      </c>
      <c r="M90" s="14" t="n">
        <v>10.16</v>
      </c>
      <c r="N90" s="14" t="n">
        <v>6.89</v>
      </c>
      <c r="O90" s="14" t="n">
        <v>2.51</v>
      </c>
      <c r="P90" s="14" t="n">
        <v>0.67</v>
      </c>
      <c r="Q90" s="14" t="n">
        <v>0.32</v>
      </c>
      <c r="R90" s="14" t="n">
        <v>0</v>
      </c>
      <c r="S90" s="14" t="n">
        <v>2.34</v>
      </c>
      <c r="T90" s="14" t="n">
        <v>2.51</v>
      </c>
      <c r="U90" s="14" t="n">
        <v>2.39</v>
      </c>
      <c r="V90" s="14" t="n">
        <v>3.45</v>
      </c>
      <c r="W90" s="14" t="n">
        <v>1.78</v>
      </c>
      <c r="X90" s="14" t="n">
        <v>0.47</v>
      </c>
      <c r="Y90" s="14" t="n">
        <v>1.05</v>
      </c>
      <c r="Z90" s="14" t="n">
        <v>0.41</v>
      </c>
      <c r="AA90" s="14" t="n">
        <v>0</v>
      </c>
    </row>
    <row r="91">
      <c r="A91" t="inlineStr">
        <is>
          <t>110106</t>
        </is>
      </c>
      <c r="B91" t="inlineStr">
        <is>
          <t>ICA</t>
        </is>
      </c>
      <c r="C91" t="inlineStr">
        <is>
          <t>ICA</t>
        </is>
      </c>
      <c r="D91" t="inlineStr">
        <is>
          <t>PARCONA</t>
        </is>
      </c>
      <c r="E91" t="n">
        <v>24331</v>
      </c>
      <c r="F91" s="14" t="n">
        <v>0</v>
      </c>
      <c r="G91" s="14" t="n">
        <v>16.24</v>
      </c>
      <c r="H91" s="14" t="n">
        <v>0.78</v>
      </c>
      <c r="I91" s="14" t="n">
        <v>5.66</v>
      </c>
      <c r="J91" s="14" t="n">
        <v>0.12</v>
      </c>
      <c r="K91" s="14" t="n">
        <v>0.71</v>
      </c>
      <c r="L91" s="14" t="n">
        <v>8.359999999999999</v>
      </c>
      <c r="M91" s="14" t="n">
        <v>22.55</v>
      </c>
      <c r="N91" s="14" t="n">
        <v>14.57</v>
      </c>
      <c r="O91" s="14" t="n">
        <v>6.4</v>
      </c>
      <c r="P91" s="14" t="n">
        <v>0.58</v>
      </c>
      <c r="Q91" s="14" t="n">
        <v>0.74</v>
      </c>
      <c r="R91" s="14" t="n">
        <v>0.1</v>
      </c>
      <c r="S91" s="14" t="n">
        <v>3.54</v>
      </c>
      <c r="T91" s="14" t="n">
        <v>3.3</v>
      </c>
      <c r="U91" s="14" t="n">
        <v>3.3</v>
      </c>
      <c r="V91" s="14" t="n">
        <v>5.98</v>
      </c>
      <c r="W91" s="14" t="n">
        <v>2.62</v>
      </c>
      <c r="X91" s="14" t="n">
        <v>0.8100000000000001</v>
      </c>
      <c r="Y91" s="14" t="n">
        <v>2.44</v>
      </c>
      <c r="Z91" s="14" t="n">
        <v>1.2</v>
      </c>
      <c r="AA91" s="14" t="n">
        <v>0</v>
      </c>
    </row>
    <row r="92">
      <c r="A92" t="inlineStr">
        <is>
          <t>110107</t>
        </is>
      </c>
      <c r="B92" t="inlineStr">
        <is>
          <t>ICA</t>
        </is>
      </c>
      <c r="C92" t="inlineStr">
        <is>
          <t>ICA</t>
        </is>
      </c>
      <c r="D92" t="inlineStr">
        <is>
          <t>PUEBLO NUEVO</t>
        </is>
      </c>
      <c r="E92" t="n">
        <v>2723</v>
      </c>
      <c r="F92" s="14" t="n">
        <v>0</v>
      </c>
      <c r="G92" s="14" t="n">
        <v>36.94</v>
      </c>
      <c r="H92" s="14" t="n">
        <v>0.51</v>
      </c>
      <c r="I92" s="14" t="n">
        <v>5.91</v>
      </c>
      <c r="J92" s="14" t="n">
        <v>0.18</v>
      </c>
      <c r="K92" s="14" t="n">
        <v>0.15</v>
      </c>
      <c r="L92" s="14" t="n">
        <v>7.05</v>
      </c>
      <c r="M92" s="14" t="n">
        <v>10.54</v>
      </c>
      <c r="N92" s="14" t="n">
        <v>9.07</v>
      </c>
      <c r="O92" s="14" t="n">
        <v>2.57</v>
      </c>
      <c r="P92" s="14" t="n">
        <v>0.4</v>
      </c>
      <c r="Q92" s="14" t="n">
        <v>0.44</v>
      </c>
      <c r="R92" s="14" t="n">
        <v>0.04</v>
      </c>
      <c r="S92" s="14" t="n">
        <v>3.93</v>
      </c>
      <c r="T92" s="14" t="n">
        <v>4.37</v>
      </c>
      <c r="U92" s="14" t="n">
        <v>4.19</v>
      </c>
      <c r="V92" s="14" t="n">
        <v>6.65</v>
      </c>
      <c r="W92" s="14" t="n">
        <v>3.27</v>
      </c>
      <c r="X92" s="14" t="n">
        <v>0.44</v>
      </c>
      <c r="Y92" s="14" t="n">
        <v>1.8</v>
      </c>
      <c r="Z92" s="14" t="n">
        <v>1.54</v>
      </c>
      <c r="AA92" s="14" t="n">
        <v>0</v>
      </c>
    </row>
    <row r="93">
      <c r="A93" t="inlineStr">
        <is>
          <t>110108</t>
        </is>
      </c>
      <c r="B93" t="inlineStr">
        <is>
          <t>ICA</t>
        </is>
      </c>
      <c r="C93" t="inlineStr">
        <is>
          <t>ICA</t>
        </is>
      </c>
      <c r="D93" t="inlineStr">
        <is>
          <t>SALAS</t>
        </is>
      </c>
      <c r="E93" t="n">
        <v>11534</v>
      </c>
      <c r="F93" s="14" t="n">
        <v>0</v>
      </c>
      <c r="G93" s="14" t="n">
        <v>54.04</v>
      </c>
      <c r="H93" s="14" t="n">
        <v>0.38</v>
      </c>
      <c r="I93" s="14" t="n">
        <v>3.94</v>
      </c>
      <c r="J93" s="14" t="n">
        <v>0.04</v>
      </c>
      <c r="K93" s="14" t="n">
        <v>0.17</v>
      </c>
      <c r="L93" s="14" t="n">
        <v>5.12</v>
      </c>
      <c r="M93" s="14" t="n">
        <v>8.9</v>
      </c>
      <c r="N93" s="14" t="n">
        <v>8.27</v>
      </c>
      <c r="O93" s="14" t="n">
        <v>3.49</v>
      </c>
      <c r="P93" s="14" t="n">
        <v>0.3</v>
      </c>
      <c r="Q93" s="14" t="n">
        <v>0.36</v>
      </c>
      <c r="R93" s="14" t="n">
        <v>0.04</v>
      </c>
      <c r="S93" s="14" t="n">
        <v>2.41</v>
      </c>
      <c r="T93" s="14" t="n">
        <v>3.65</v>
      </c>
      <c r="U93" s="14" t="n">
        <v>2.63</v>
      </c>
      <c r="V93" s="14" t="n">
        <v>2.36</v>
      </c>
      <c r="W93" s="14" t="n">
        <v>1.31</v>
      </c>
      <c r="X93" s="14" t="n">
        <v>0.34</v>
      </c>
      <c r="Y93" s="14" t="n">
        <v>1.56</v>
      </c>
      <c r="Z93" s="14" t="n">
        <v>0.6899999999999999</v>
      </c>
      <c r="AA93" s="14" t="n">
        <v>0</v>
      </c>
    </row>
    <row r="94">
      <c r="A94" t="inlineStr">
        <is>
          <t>110109</t>
        </is>
      </c>
      <c r="B94" t="inlineStr">
        <is>
          <t>ICA</t>
        </is>
      </c>
      <c r="C94" t="inlineStr">
        <is>
          <t>ICA</t>
        </is>
      </c>
      <c r="D94" t="inlineStr">
        <is>
          <t>SAN JOSE DE LOS MOLINOS</t>
        </is>
      </c>
      <c r="E94" t="n">
        <v>2945</v>
      </c>
      <c r="F94" s="14" t="n">
        <v>0</v>
      </c>
      <c r="G94" s="14" t="n">
        <v>58.91</v>
      </c>
      <c r="H94" s="14" t="n">
        <v>0.07000000000000001</v>
      </c>
      <c r="I94" s="14" t="n">
        <v>3.53</v>
      </c>
      <c r="J94" s="14" t="n">
        <v>0.07000000000000001</v>
      </c>
      <c r="K94" s="14" t="n">
        <v>0.17</v>
      </c>
      <c r="L94" s="14" t="n">
        <v>4.14</v>
      </c>
      <c r="M94" s="14" t="n">
        <v>6.45</v>
      </c>
      <c r="N94" s="14" t="n">
        <v>7.64</v>
      </c>
      <c r="O94" s="14" t="n">
        <v>2.17</v>
      </c>
      <c r="P94" s="14" t="n">
        <v>0.03</v>
      </c>
      <c r="Q94" s="14" t="n">
        <v>0.24</v>
      </c>
      <c r="R94" s="14" t="n">
        <v>0</v>
      </c>
      <c r="S94" s="14" t="n">
        <v>2.48</v>
      </c>
      <c r="T94" s="14" t="n">
        <v>3.6</v>
      </c>
      <c r="U94" s="14" t="n">
        <v>4.07</v>
      </c>
      <c r="V94" s="14" t="n">
        <v>2.24</v>
      </c>
      <c r="W94" s="14" t="n">
        <v>1.9</v>
      </c>
      <c r="X94" s="14" t="n">
        <v>0.14</v>
      </c>
      <c r="Y94" s="14" t="n">
        <v>1.56</v>
      </c>
      <c r="Z94" s="14" t="n">
        <v>0.58</v>
      </c>
      <c r="AA94" s="14" t="n">
        <v>0</v>
      </c>
    </row>
    <row r="95">
      <c r="A95" t="inlineStr">
        <is>
          <t>110110</t>
        </is>
      </c>
      <c r="B95" t="inlineStr">
        <is>
          <t>ICA</t>
        </is>
      </c>
      <c r="C95" t="inlineStr">
        <is>
          <t>ICA</t>
        </is>
      </c>
      <c r="D95" t="inlineStr">
        <is>
          <t>SAN JUAN BAUTISTA</t>
        </is>
      </c>
      <c r="E95" t="n">
        <v>5920</v>
      </c>
      <c r="F95" s="14" t="n">
        <v>0</v>
      </c>
      <c r="G95" s="14" t="n">
        <v>24.8</v>
      </c>
      <c r="H95" s="14" t="n">
        <v>0.35</v>
      </c>
      <c r="I95" s="14" t="n">
        <v>4.66</v>
      </c>
      <c r="J95" s="14" t="n">
        <v>0.24</v>
      </c>
      <c r="K95" s="14" t="n">
        <v>0.15</v>
      </c>
      <c r="L95" s="14" t="n">
        <v>6.77</v>
      </c>
      <c r="M95" s="14" t="n">
        <v>15.29</v>
      </c>
      <c r="N95" s="14" t="n">
        <v>12.42</v>
      </c>
      <c r="O95" s="14" t="n">
        <v>5.2</v>
      </c>
      <c r="P95" s="14" t="n">
        <v>0.68</v>
      </c>
      <c r="Q95" s="14" t="n">
        <v>0.79</v>
      </c>
      <c r="R95" s="14" t="n">
        <v>0.03</v>
      </c>
      <c r="S95" s="14" t="n">
        <v>4.88</v>
      </c>
      <c r="T95" s="14" t="n">
        <v>4.39</v>
      </c>
      <c r="U95" s="14" t="n">
        <v>4.48</v>
      </c>
      <c r="V95" s="14" t="n">
        <v>7.25</v>
      </c>
      <c r="W95" s="14" t="n">
        <v>3.11</v>
      </c>
      <c r="X95" s="14" t="n">
        <v>0.71</v>
      </c>
      <c r="Y95" s="14" t="n">
        <v>2.42</v>
      </c>
      <c r="Z95" s="14" t="n">
        <v>1.39</v>
      </c>
      <c r="AA95" s="14" t="n">
        <v>0</v>
      </c>
    </row>
    <row r="96">
      <c r="A96" t="inlineStr">
        <is>
          <t>110111</t>
        </is>
      </c>
      <c r="B96" t="inlineStr">
        <is>
          <t>ICA</t>
        </is>
      </c>
      <c r="C96" t="inlineStr">
        <is>
          <t>ICA</t>
        </is>
      </c>
      <c r="D96" t="inlineStr">
        <is>
          <t>SANTIAGO</t>
        </is>
      </c>
      <c r="E96" t="n">
        <v>12416</v>
      </c>
      <c r="F96" s="14" t="n">
        <v>0</v>
      </c>
      <c r="G96" s="14" t="n">
        <v>58.51</v>
      </c>
      <c r="H96" s="14" t="n">
        <v>0.37</v>
      </c>
      <c r="I96" s="14" t="n">
        <v>4.2</v>
      </c>
      <c r="J96" s="14" t="n">
        <v>0.08</v>
      </c>
      <c r="K96" s="14" t="n">
        <v>0.12</v>
      </c>
      <c r="L96" s="14" t="n">
        <v>4.4</v>
      </c>
      <c r="M96" s="14" t="n">
        <v>9.050000000000001</v>
      </c>
      <c r="N96" s="14" t="n">
        <v>6.31</v>
      </c>
      <c r="O96" s="14" t="n">
        <v>2.92</v>
      </c>
      <c r="P96" s="14" t="n">
        <v>0.23</v>
      </c>
      <c r="Q96" s="14" t="n">
        <v>0.39</v>
      </c>
      <c r="R96" s="14" t="n">
        <v>0.07000000000000001</v>
      </c>
      <c r="S96" s="14" t="n">
        <v>2.15</v>
      </c>
      <c r="T96" s="14" t="n">
        <v>3.39</v>
      </c>
      <c r="U96" s="14" t="n">
        <v>1.84</v>
      </c>
      <c r="V96" s="14" t="n">
        <v>2.68</v>
      </c>
      <c r="W96" s="14" t="n">
        <v>1.26</v>
      </c>
      <c r="X96" s="14" t="n">
        <v>0.35</v>
      </c>
      <c r="Y96" s="14" t="n">
        <v>1.24</v>
      </c>
      <c r="Z96" s="14" t="n">
        <v>0.43</v>
      </c>
      <c r="AA96" s="14" t="n">
        <v>0</v>
      </c>
    </row>
    <row r="97">
      <c r="A97" t="inlineStr">
        <is>
          <t>110112</t>
        </is>
      </c>
      <c r="B97" t="inlineStr">
        <is>
          <t>ICA</t>
        </is>
      </c>
      <c r="C97" t="inlineStr">
        <is>
          <t>ICA</t>
        </is>
      </c>
      <c r="D97" t="inlineStr">
        <is>
          <t>SUBTANJALLA</t>
        </is>
      </c>
      <c r="E97" t="n">
        <v>11896</v>
      </c>
      <c r="F97" s="14" t="n">
        <v>0</v>
      </c>
      <c r="G97" s="14" t="n">
        <v>18.87</v>
      </c>
      <c r="H97" s="14" t="n">
        <v>0.68</v>
      </c>
      <c r="I97" s="14" t="n">
        <v>5.03</v>
      </c>
      <c r="J97" s="14" t="n">
        <v>0.22</v>
      </c>
      <c r="K97" s="14" t="n">
        <v>0.21</v>
      </c>
      <c r="L97" s="14" t="n">
        <v>8.75</v>
      </c>
      <c r="M97" s="14" t="n">
        <v>17.75</v>
      </c>
      <c r="N97" s="14" t="n">
        <v>13.23</v>
      </c>
      <c r="O97" s="14" t="n">
        <v>7.04</v>
      </c>
      <c r="P97" s="14" t="n">
        <v>0.5600000000000001</v>
      </c>
      <c r="Q97" s="14" t="n">
        <v>1.18</v>
      </c>
      <c r="R97" s="14" t="n">
        <v>0.12</v>
      </c>
      <c r="S97" s="14" t="n">
        <v>4.06</v>
      </c>
      <c r="T97" s="14" t="n">
        <v>4.28</v>
      </c>
      <c r="U97" s="14" t="n">
        <v>3.74</v>
      </c>
      <c r="V97" s="14" t="n">
        <v>6.94</v>
      </c>
      <c r="W97" s="14" t="n">
        <v>2.82</v>
      </c>
      <c r="X97" s="14" t="n">
        <v>0.79</v>
      </c>
      <c r="Y97" s="14" t="n">
        <v>2.46</v>
      </c>
      <c r="Z97" s="14" t="n">
        <v>1.28</v>
      </c>
      <c r="AA97" s="14" t="n">
        <v>0</v>
      </c>
    </row>
    <row r="98">
      <c r="A98" t="inlineStr">
        <is>
          <t>110113</t>
        </is>
      </c>
      <c r="B98" t="inlineStr">
        <is>
          <t>ICA</t>
        </is>
      </c>
      <c r="C98" t="inlineStr">
        <is>
          <t>ICA</t>
        </is>
      </c>
      <c r="D98" t="inlineStr">
        <is>
          <t>TATE</t>
        </is>
      </c>
      <c r="E98" t="n">
        <v>1978</v>
      </c>
      <c r="F98" s="14" t="n">
        <v>0</v>
      </c>
      <c r="G98" s="14" t="n">
        <v>49.9</v>
      </c>
      <c r="H98" s="14" t="n">
        <v>0.15</v>
      </c>
      <c r="I98" s="14" t="n">
        <v>4.9</v>
      </c>
      <c r="J98" s="14" t="n">
        <v>0.15</v>
      </c>
      <c r="K98" s="14" t="n">
        <v>0.2</v>
      </c>
      <c r="L98" s="14" t="n">
        <v>5.51</v>
      </c>
      <c r="M98" s="14" t="n">
        <v>10.82</v>
      </c>
      <c r="N98" s="14" t="n">
        <v>8.19</v>
      </c>
      <c r="O98" s="14" t="n">
        <v>2.48</v>
      </c>
      <c r="P98" s="14" t="n">
        <v>0.1</v>
      </c>
      <c r="Q98" s="14" t="n">
        <v>0.35</v>
      </c>
      <c r="R98" s="14" t="n">
        <v>0</v>
      </c>
      <c r="S98" s="14" t="n">
        <v>2.78</v>
      </c>
      <c r="T98" s="14" t="n">
        <v>4.2</v>
      </c>
      <c r="U98" s="14" t="n">
        <v>2.53</v>
      </c>
      <c r="V98" s="14" t="n">
        <v>2.83</v>
      </c>
      <c r="W98" s="14" t="n">
        <v>1.87</v>
      </c>
      <c r="X98" s="14" t="n">
        <v>0.3</v>
      </c>
      <c r="Y98" s="14" t="n">
        <v>1.82</v>
      </c>
      <c r="Z98" s="14" t="n">
        <v>0.91</v>
      </c>
      <c r="AA98" s="14" t="n">
        <v>0</v>
      </c>
    </row>
    <row r="99">
      <c r="A99" t="inlineStr">
        <is>
          <t>110114</t>
        </is>
      </c>
      <c r="B99" t="inlineStr">
        <is>
          <t>ICA</t>
        </is>
      </c>
      <c r="C99" t="inlineStr">
        <is>
          <t>ICA</t>
        </is>
      </c>
      <c r="D99" t="inlineStr">
        <is>
          <t>YAUCA DEL ROSARIO</t>
        </is>
      </c>
      <c r="E99" t="n">
        <v>507</v>
      </c>
      <c r="F99" s="14" t="n">
        <v>0</v>
      </c>
      <c r="G99" s="14" t="n">
        <v>74.95</v>
      </c>
      <c r="H99" s="14" t="n">
        <v>0.59</v>
      </c>
      <c r="I99" s="14" t="n">
        <v>0.39</v>
      </c>
      <c r="J99" s="14" t="n">
        <v>0.39</v>
      </c>
      <c r="K99" s="14" t="n">
        <v>0.59</v>
      </c>
      <c r="L99" s="14" t="n">
        <v>6.11</v>
      </c>
      <c r="M99" s="14" t="n">
        <v>5.33</v>
      </c>
      <c r="N99" s="14" t="n">
        <v>2.96</v>
      </c>
      <c r="O99" s="14" t="n">
        <v>1.18</v>
      </c>
      <c r="P99" s="14" t="n">
        <v>0.2</v>
      </c>
      <c r="Q99" s="14" t="n">
        <v>0</v>
      </c>
      <c r="R99" s="14" t="n">
        <v>0</v>
      </c>
      <c r="S99" s="14" t="n">
        <v>1.58</v>
      </c>
      <c r="T99" s="14" t="n">
        <v>1.38</v>
      </c>
      <c r="U99" s="14" t="n">
        <v>2.17</v>
      </c>
      <c r="V99" s="14" t="n">
        <v>0.79</v>
      </c>
      <c r="W99" s="14" t="n">
        <v>0.39</v>
      </c>
      <c r="X99" s="14" t="n">
        <v>0</v>
      </c>
      <c r="Y99" s="14" t="n">
        <v>0.39</v>
      </c>
      <c r="Z99" s="14" t="n">
        <v>0.59</v>
      </c>
      <c r="AA99" s="14" t="n">
        <v>0</v>
      </c>
    </row>
    <row r="100">
      <c r="A100" t="inlineStr">
        <is>
          <t>110201</t>
        </is>
      </c>
      <c r="B100" t="inlineStr">
        <is>
          <t>ICA</t>
        </is>
      </c>
      <c r="C100" t="inlineStr">
        <is>
          <t>CHINCHA</t>
        </is>
      </c>
      <c r="D100" t="inlineStr">
        <is>
          <t>CHINCHA ALTA</t>
        </is>
      </c>
      <c r="E100" t="n">
        <v>28003</v>
      </c>
      <c r="F100" s="14" t="n">
        <v>0.311</v>
      </c>
      <c r="G100" s="14" t="n">
        <v>10.18</v>
      </c>
      <c r="H100" s="14" t="n">
        <v>0.36</v>
      </c>
      <c r="I100" s="14" t="n">
        <v>14.18</v>
      </c>
      <c r="J100" s="14" t="n">
        <v>0.12</v>
      </c>
      <c r="K100" s="14" t="n">
        <v>0.31</v>
      </c>
      <c r="L100" s="14" t="n">
        <v>7.18</v>
      </c>
      <c r="M100" s="14" t="n">
        <v>22.25</v>
      </c>
      <c r="N100" s="14" t="n">
        <v>10.69</v>
      </c>
      <c r="O100" s="14" t="n">
        <v>5.48</v>
      </c>
      <c r="P100" s="14" t="n">
        <v>0.75</v>
      </c>
      <c r="Q100" s="14" t="n">
        <v>1.21</v>
      </c>
      <c r="R100" s="14" t="n">
        <v>0.13</v>
      </c>
      <c r="S100" s="14" t="n">
        <v>5.4</v>
      </c>
      <c r="T100" s="14" t="n">
        <v>3.68</v>
      </c>
      <c r="U100" s="14" t="n">
        <v>2.5</v>
      </c>
      <c r="V100" s="14" t="n">
        <v>8</v>
      </c>
      <c r="W100" s="14" t="n">
        <v>3.38</v>
      </c>
      <c r="X100" s="14" t="n">
        <v>0.83</v>
      </c>
      <c r="Y100" s="14" t="n">
        <v>2.31</v>
      </c>
      <c r="Z100" s="14" t="n">
        <v>1.06</v>
      </c>
      <c r="AA100" s="14" t="n">
        <v>0</v>
      </c>
    </row>
    <row r="101">
      <c r="A101" t="inlineStr">
        <is>
          <t>110202</t>
        </is>
      </c>
      <c r="B101" t="inlineStr">
        <is>
          <t>ICA</t>
        </is>
      </c>
      <c r="C101" t="inlineStr">
        <is>
          <t>CHINCHA</t>
        </is>
      </c>
      <c r="D101" t="inlineStr">
        <is>
          <t>ALTO LARAN</t>
        </is>
      </c>
      <c r="E101" t="n">
        <v>3099</v>
      </c>
      <c r="F101" s="14" t="n">
        <v>0</v>
      </c>
      <c r="G101" s="14" t="n">
        <v>44.79</v>
      </c>
      <c r="H101" s="14" t="n">
        <v>0.26</v>
      </c>
      <c r="I101" s="14" t="n">
        <v>11.78</v>
      </c>
      <c r="J101" s="14" t="n">
        <v>0.03</v>
      </c>
      <c r="K101" s="14" t="n">
        <v>0.16</v>
      </c>
      <c r="L101" s="14" t="n">
        <v>5.29</v>
      </c>
      <c r="M101" s="14" t="n">
        <v>11.78</v>
      </c>
      <c r="N101" s="14" t="n">
        <v>8.33</v>
      </c>
      <c r="O101" s="14" t="n">
        <v>3.97</v>
      </c>
      <c r="P101" s="14" t="n">
        <v>0.29</v>
      </c>
      <c r="Q101" s="14" t="n">
        <v>0.13</v>
      </c>
      <c r="R101" s="14" t="n">
        <v>0.06</v>
      </c>
      <c r="S101" s="14" t="n">
        <v>1.81</v>
      </c>
      <c r="T101" s="14" t="n">
        <v>3.61</v>
      </c>
      <c r="U101" s="14" t="n">
        <v>2.48</v>
      </c>
      <c r="V101" s="14" t="n">
        <v>1.94</v>
      </c>
      <c r="W101" s="14" t="n">
        <v>0.84</v>
      </c>
      <c r="X101" s="14" t="n">
        <v>0.26</v>
      </c>
      <c r="Y101" s="14" t="n">
        <v>1.26</v>
      </c>
      <c r="Z101" s="14" t="n">
        <v>0.9399999999999999</v>
      </c>
      <c r="AA101" s="14" t="n">
        <v>0</v>
      </c>
    </row>
    <row r="102">
      <c r="A102" t="inlineStr">
        <is>
          <t>110203</t>
        </is>
      </c>
      <c r="B102" t="inlineStr">
        <is>
          <t>ICA</t>
        </is>
      </c>
      <c r="C102" t="inlineStr">
        <is>
          <t>CHINCHA</t>
        </is>
      </c>
      <c r="D102" t="inlineStr">
        <is>
          <t>CHAVIN</t>
        </is>
      </c>
      <c r="E102" t="n">
        <v>1841</v>
      </c>
      <c r="F102" s="14" t="n">
        <v>0</v>
      </c>
      <c r="G102" s="14" t="n">
        <v>11.24</v>
      </c>
      <c r="H102" s="14" t="n">
        <v>76.91</v>
      </c>
      <c r="I102" s="14" t="n">
        <v>1.96</v>
      </c>
      <c r="J102" s="14" t="n">
        <v>0.05</v>
      </c>
      <c r="K102" s="14" t="n">
        <v>0</v>
      </c>
      <c r="L102" s="14" t="n">
        <v>1.2</v>
      </c>
      <c r="M102" s="14" t="n">
        <v>0.98</v>
      </c>
      <c r="N102" s="14" t="n">
        <v>0.6</v>
      </c>
      <c r="O102" s="14" t="n">
        <v>5.27</v>
      </c>
      <c r="P102" s="14" t="n">
        <v>0</v>
      </c>
      <c r="Q102" s="14" t="n">
        <v>0</v>
      </c>
      <c r="R102" s="14" t="n">
        <v>0</v>
      </c>
      <c r="S102" s="14" t="n">
        <v>0.49</v>
      </c>
      <c r="T102" s="14" t="n">
        <v>0.38</v>
      </c>
      <c r="U102" s="14" t="n">
        <v>0.49</v>
      </c>
      <c r="V102" s="14" t="n">
        <v>0.16</v>
      </c>
      <c r="W102" s="14" t="n">
        <v>0.11</v>
      </c>
      <c r="X102" s="14" t="n">
        <v>0.05</v>
      </c>
      <c r="Y102" s="14" t="n">
        <v>0.11</v>
      </c>
      <c r="Z102" s="14" t="n">
        <v>0</v>
      </c>
      <c r="AA102" s="14" t="n">
        <v>0</v>
      </c>
    </row>
    <row r="103">
      <c r="A103" t="inlineStr">
        <is>
          <t>110204</t>
        </is>
      </c>
      <c r="B103" t="inlineStr">
        <is>
          <t>ICA</t>
        </is>
      </c>
      <c r="C103" t="inlineStr">
        <is>
          <t>CHINCHA</t>
        </is>
      </c>
      <c r="D103" t="inlineStr">
        <is>
          <t>CHINCHA BAJA</t>
        </is>
      </c>
      <c r="E103" t="n">
        <v>5175</v>
      </c>
      <c r="F103" s="14" t="n">
        <v>0</v>
      </c>
      <c r="G103" s="14" t="n">
        <v>40.68</v>
      </c>
      <c r="H103" s="14" t="n">
        <v>0.41</v>
      </c>
      <c r="I103" s="14" t="n">
        <v>13.64</v>
      </c>
      <c r="J103" s="14" t="n">
        <v>0.08</v>
      </c>
      <c r="K103" s="14" t="n">
        <v>0.14</v>
      </c>
      <c r="L103" s="14" t="n">
        <v>5.68</v>
      </c>
      <c r="M103" s="14" t="n">
        <v>9.800000000000001</v>
      </c>
      <c r="N103" s="14" t="n">
        <v>7.17</v>
      </c>
      <c r="O103" s="14" t="n">
        <v>2.24</v>
      </c>
      <c r="P103" s="14" t="n">
        <v>0.17</v>
      </c>
      <c r="Q103" s="14" t="n">
        <v>0.79</v>
      </c>
      <c r="R103" s="14" t="n">
        <v>0</v>
      </c>
      <c r="S103" s="14" t="n">
        <v>2.96</v>
      </c>
      <c r="T103" s="14" t="n">
        <v>4.7</v>
      </c>
      <c r="U103" s="14" t="n">
        <v>3.11</v>
      </c>
      <c r="V103" s="14" t="n">
        <v>4.15</v>
      </c>
      <c r="W103" s="14" t="n">
        <v>1.1</v>
      </c>
      <c r="X103" s="14" t="n">
        <v>0.43</v>
      </c>
      <c r="Y103" s="14" t="n">
        <v>1.87</v>
      </c>
      <c r="Z103" s="14" t="n">
        <v>0.89</v>
      </c>
      <c r="AA103" s="14" t="n">
        <v>0</v>
      </c>
    </row>
    <row r="104">
      <c r="A104" t="inlineStr">
        <is>
          <t>110205</t>
        </is>
      </c>
      <c r="B104" t="inlineStr">
        <is>
          <t>ICA</t>
        </is>
      </c>
      <c r="C104" t="inlineStr">
        <is>
          <t>CHINCHA</t>
        </is>
      </c>
      <c r="D104" t="inlineStr">
        <is>
          <t>EL CARMEN</t>
        </is>
      </c>
      <c r="E104" t="n">
        <v>4832</v>
      </c>
      <c r="F104" s="14" t="n">
        <v>0</v>
      </c>
      <c r="G104" s="14" t="n">
        <v>52.59</v>
      </c>
      <c r="H104" s="14" t="n">
        <v>0.1</v>
      </c>
      <c r="I104" s="14" t="n">
        <v>7.16</v>
      </c>
      <c r="J104" s="14" t="n">
        <v>0.06</v>
      </c>
      <c r="K104" s="14" t="n">
        <v>0.14</v>
      </c>
      <c r="L104" s="14" t="n">
        <v>6.27</v>
      </c>
      <c r="M104" s="14" t="n">
        <v>6.91</v>
      </c>
      <c r="N104" s="14" t="n">
        <v>6.19</v>
      </c>
      <c r="O104" s="14" t="n">
        <v>2.32</v>
      </c>
      <c r="P104" s="14" t="n">
        <v>0.29</v>
      </c>
      <c r="Q104" s="14" t="n">
        <v>0.12</v>
      </c>
      <c r="R104" s="14" t="n">
        <v>0.08</v>
      </c>
      <c r="S104" s="14" t="n">
        <v>2.96</v>
      </c>
      <c r="T104" s="14" t="n">
        <v>6.29</v>
      </c>
      <c r="U104" s="14" t="n">
        <v>2.24</v>
      </c>
      <c r="V104" s="14" t="n">
        <v>1.86</v>
      </c>
      <c r="W104" s="14" t="n">
        <v>1.08</v>
      </c>
      <c r="X104" s="14" t="n">
        <v>0.41</v>
      </c>
      <c r="Y104" s="14" t="n">
        <v>1.68</v>
      </c>
      <c r="Z104" s="14" t="n">
        <v>1.24</v>
      </c>
      <c r="AA104" s="14" t="n">
        <v>0</v>
      </c>
    </row>
    <row r="105">
      <c r="A105" t="inlineStr">
        <is>
          <t>110206</t>
        </is>
      </c>
      <c r="B105" t="inlineStr">
        <is>
          <t>ICA</t>
        </is>
      </c>
      <c r="C105" t="inlineStr">
        <is>
          <t>CHINCHA</t>
        </is>
      </c>
      <c r="D105" t="inlineStr">
        <is>
          <t>GROCIO PRADO</t>
        </is>
      </c>
      <c r="E105" t="n">
        <v>10375</v>
      </c>
      <c r="F105" s="14" t="n">
        <v>1.908</v>
      </c>
      <c r="G105" s="14" t="n">
        <v>15.73</v>
      </c>
      <c r="H105" s="14" t="n">
        <v>0.33</v>
      </c>
      <c r="I105" s="14" t="n">
        <v>18.83</v>
      </c>
      <c r="J105" s="14" t="n">
        <v>0.12</v>
      </c>
      <c r="K105" s="14" t="n">
        <v>0.21</v>
      </c>
      <c r="L105" s="14" t="n">
        <v>8.800000000000001</v>
      </c>
      <c r="M105" s="14" t="n">
        <v>17.61</v>
      </c>
      <c r="N105" s="14" t="n">
        <v>10.31</v>
      </c>
      <c r="O105" s="14" t="n">
        <v>5.73</v>
      </c>
      <c r="P105" s="14" t="n">
        <v>0.77</v>
      </c>
      <c r="Q105" s="14" t="n">
        <v>0.78</v>
      </c>
      <c r="R105" s="14" t="n">
        <v>0.12</v>
      </c>
      <c r="S105" s="14" t="n">
        <v>3.6</v>
      </c>
      <c r="T105" s="14" t="n">
        <v>3.43</v>
      </c>
      <c r="U105" s="14" t="n">
        <v>2.55</v>
      </c>
      <c r="V105" s="14" t="n">
        <v>5.46</v>
      </c>
      <c r="W105" s="14" t="n">
        <v>2.19</v>
      </c>
      <c r="X105" s="14" t="n">
        <v>0.35</v>
      </c>
      <c r="Y105" s="14" t="n">
        <v>2.02</v>
      </c>
      <c r="Z105" s="14" t="n">
        <v>1.06</v>
      </c>
      <c r="AA105" s="14" t="n">
        <v>0</v>
      </c>
    </row>
    <row r="106">
      <c r="A106" t="inlineStr">
        <is>
          <t>110207</t>
        </is>
      </c>
      <c r="B106" t="inlineStr">
        <is>
          <t>ICA</t>
        </is>
      </c>
      <c r="C106" t="inlineStr">
        <is>
          <t>CHINCHA</t>
        </is>
      </c>
      <c r="D106" t="inlineStr">
        <is>
          <t>PUEBLO NUEVO</t>
        </is>
      </c>
      <c r="E106" t="n">
        <v>26497</v>
      </c>
      <c r="F106" s="14" t="n">
        <v>0</v>
      </c>
      <c r="G106" s="14" t="n">
        <v>10.49</v>
      </c>
      <c r="H106" s="14" t="n">
        <v>0.4</v>
      </c>
      <c r="I106" s="14" t="n">
        <v>17.17</v>
      </c>
      <c r="J106" s="14" t="n">
        <v>0.12</v>
      </c>
      <c r="K106" s="14" t="n">
        <v>0.42</v>
      </c>
      <c r="L106" s="14" t="n">
        <v>8.32</v>
      </c>
      <c r="M106" s="14" t="n">
        <v>21.59</v>
      </c>
      <c r="N106" s="14" t="n">
        <v>12</v>
      </c>
      <c r="O106" s="14" t="n">
        <v>5.37</v>
      </c>
      <c r="P106" s="14" t="n">
        <v>0.59</v>
      </c>
      <c r="Q106" s="14" t="n">
        <v>0.75</v>
      </c>
      <c r="R106" s="14" t="n">
        <v>0.05</v>
      </c>
      <c r="S106" s="14" t="n">
        <v>3.5</v>
      </c>
      <c r="T106" s="14" t="n">
        <v>2.98</v>
      </c>
      <c r="U106" s="14" t="n">
        <v>2.5</v>
      </c>
      <c r="V106" s="14" t="n">
        <v>7.62</v>
      </c>
      <c r="W106" s="14" t="n">
        <v>2</v>
      </c>
      <c r="X106" s="14" t="n">
        <v>0.6899999999999999</v>
      </c>
      <c r="Y106" s="14" t="n">
        <v>2.46</v>
      </c>
      <c r="Z106" s="14" t="n">
        <v>0.97</v>
      </c>
      <c r="AA106" s="14" t="n">
        <v>0</v>
      </c>
    </row>
    <row r="107">
      <c r="A107" t="inlineStr">
        <is>
          <t>110208</t>
        </is>
      </c>
      <c r="B107" t="inlineStr">
        <is>
          <t>ICA</t>
        </is>
      </c>
      <c r="C107" t="inlineStr">
        <is>
          <t>CHINCHA</t>
        </is>
      </c>
      <c r="D107" t="inlineStr">
        <is>
          <t>SAN JUAN DE YANAC</t>
        </is>
      </c>
      <c r="E107" t="n">
        <v>586</v>
      </c>
      <c r="F107" s="14" t="n">
        <v>0</v>
      </c>
      <c r="G107" s="14" t="n">
        <v>80.55</v>
      </c>
      <c r="H107" s="14" t="n">
        <v>0</v>
      </c>
      <c r="I107" s="14" t="n">
        <v>0.51</v>
      </c>
      <c r="J107" s="14" t="n">
        <v>0</v>
      </c>
      <c r="K107" s="14" t="n">
        <v>0</v>
      </c>
      <c r="L107" s="14" t="n">
        <v>2.39</v>
      </c>
      <c r="M107" s="14" t="n">
        <v>5.46</v>
      </c>
      <c r="N107" s="14" t="n">
        <v>3.07</v>
      </c>
      <c r="O107" s="14" t="n">
        <v>2.73</v>
      </c>
      <c r="P107" s="14" t="n">
        <v>0</v>
      </c>
      <c r="Q107" s="14" t="n">
        <v>0</v>
      </c>
      <c r="R107" s="14" t="n">
        <v>0</v>
      </c>
      <c r="S107" s="14" t="n">
        <v>0.51</v>
      </c>
      <c r="T107" s="14" t="n">
        <v>0</v>
      </c>
      <c r="U107" s="14" t="n">
        <v>0.68</v>
      </c>
      <c r="V107" s="14" t="n">
        <v>2.73</v>
      </c>
      <c r="W107" s="14" t="n">
        <v>0.34</v>
      </c>
      <c r="X107" s="14" t="n">
        <v>0</v>
      </c>
      <c r="Y107" s="14" t="n">
        <v>1.02</v>
      </c>
      <c r="Z107" s="14" t="n">
        <v>0</v>
      </c>
      <c r="AA107" s="14" t="n">
        <v>0</v>
      </c>
    </row>
    <row r="108">
      <c r="A108" t="inlineStr">
        <is>
          <t>110209</t>
        </is>
      </c>
      <c r="B108" t="inlineStr">
        <is>
          <t>ICA</t>
        </is>
      </c>
      <c r="C108" t="inlineStr">
        <is>
          <t>CHINCHA</t>
        </is>
      </c>
      <c r="D108" t="inlineStr">
        <is>
          <t>SAN PEDRO DE HUACARPANA</t>
        </is>
      </c>
      <c r="E108" t="n">
        <v>588</v>
      </c>
      <c r="F108" s="14" t="n">
        <v>0</v>
      </c>
      <c r="G108" s="14" t="n">
        <v>75.84999999999999</v>
      </c>
      <c r="H108" s="14" t="n">
        <v>0.34</v>
      </c>
      <c r="I108" s="14" t="n">
        <v>1.02</v>
      </c>
      <c r="J108" s="14" t="n">
        <v>0</v>
      </c>
      <c r="K108" s="14" t="n">
        <v>0</v>
      </c>
      <c r="L108" s="14" t="n">
        <v>3.06</v>
      </c>
      <c r="M108" s="14" t="n">
        <v>13.44</v>
      </c>
      <c r="N108" s="14" t="n">
        <v>0.51</v>
      </c>
      <c r="O108" s="14" t="n">
        <v>0.51</v>
      </c>
      <c r="P108" s="14" t="n">
        <v>0</v>
      </c>
      <c r="Q108" s="14" t="n">
        <v>0</v>
      </c>
      <c r="R108" s="14" t="n">
        <v>0</v>
      </c>
      <c r="S108" s="14" t="n">
        <v>0.17</v>
      </c>
      <c r="T108" s="14" t="n">
        <v>0.17</v>
      </c>
      <c r="U108" s="14" t="n">
        <v>0.68</v>
      </c>
      <c r="V108" s="14" t="n">
        <v>2.55</v>
      </c>
      <c r="W108" s="14" t="n">
        <v>1.02</v>
      </c>
      <c r="X108" s="14" t="n">
        <v>0.17</v>
      </c>
      <c r="Y108" s="14" t="n">
        <v>0.51</v>
      </c>
      <c r="Z108" s="14" t="n">
        <v>0</v>
      </c>
      <c r="AA108" s="14" t="n">
        <v>0</v>
      </c>
    </row>
    <row r="109">
      <c r="A109" t="inlineStr">
        <is>
          <t>110210</t>
        </is>
      </c>
      <c r="B109" t="inlineStr">
        <is>
          <t>ICA</t>
        </is>
      </c>
      <c r="C109" t="inlineStr">
        <is>
          <t>CHINCHA</t>
        </is>
      </c>
      <c r="D109" t="inlineStr">
        <is>
          <t>SUNAMPE</t>
        </is>
      </c>
      <c r="E109" t="n">
        <v>11974</v>
      </c>
      <c r="F109" s="14" t="n">
        <v>0</v>
      </c>
      <c r="G109" s="14" t="n">
        <v>12.59</v>
      </c>
      <c r="H109" s="14" t="n">
        <v>0.38</v>
      </c>
      <c r="I109" s="14" t="n">
        <v>17.81</v>
      </c>
      <c r="J109" s="14" t="n">
        <v>0.16</v>
      </c>
      <c r="K109" s="14" t="n">
        <v>0.23</v>
      </c>
      <c r="L109" s="14" t="n">
        <v>8.529999999999999</v>
      </c>
      <c r="M109" s="14" t="n">
        <v>17.8</v>
      </c>
      <c r="N109" s="14" t="n">
        <v>11.56</v>
      </c>
      <c r="O109" s="14" t="n">
        <v>4.9</v>
      </c>
      <c r="P109" s="14" t="n">
        <v>0.67</v>
      </c>
      <c r="Q109" s="14" t="n">
        <v>0.97</v>
      </c>
      <c r="R109" s="14" t="n">
        <v>0.14</v>
      </c>
      <c r="S109" s="14" t="n">
        <v>4.84</v>
      </c>
      <c r="T109" s="14" t="n">
        <v>3.98</v>
      </c>
      <c r="U109" s="14" t="n">
        <v>2.95</v>
      </c>
      <c r="V109" s="14" t="n">
        <v>5.95</v>
      </c>
      <c r="W109" s="14" t="n">
        <v>2.44</v>
      </c>
      <c r="X109" s="14" t="n">
        <v>0.5600000000000001</v>
      </c>
      <c r="Y109" s="14" t="n">
        <v>2.08</v>
      </c>
      <c r="Z109" s="14" t="n">
        <v>1.46</v>
      </c>
      <c r="AA109" s="14" t="n">
        <v>0</v>
      </c>
    </row>
    <row r="110">
      <c r="A110" t="inlineStr">
        <is>
          <t>110211</t>
        </is>
      </c>
      <c r="B110" t="inlineStr">
        <is>
          <t>ICA</t>
        </is>
      </c>
      <c r="C110" t="inlineStr">
        <is>
          <t>CHINCHA</t>
        </is>
      </c>
      <c r="D110" t="inlineStr">
        <is>
          <t>TAMBO DE MORA</t>
        </is>
      </c>
      <c r="E110" t="n">
        <v>2132</v>
      </c>
      <c r="F110" s="14" t="n">
        <v>2.017</v>
      </c>
      <c r="G110" s="14" t="n">
        <v>20.97</v>
      </c>
      <c r="H110" s="14" t="n">
        <v>0.09</v>
      </c>
      <c r="I110" s="14" t="n">
        <v>21.01</v>
      </c>
      <c r="J110" s="14" t="n">
        <v>0.19</v>
      </c>
      <c r="K110" s="14" t="n">
        <v>0.33</v>
      </c>
      <c r="L110" s="14" t="n">
        <v>8.16</v>
      </c>
      <c r="M110" s="14" t="n">
        <v>13.74</v>
      </c>
      <c r="N110" s="14" t="n">
        <v>10.51</v>
      </c>
      <c r="O110" s="14" t="n">
        <v>3.89</v>
      </c>
      <c r="P110" s="14" t="n">
        <v>0.5600000000000001</v>
      </c>
      <c r="Q110" s="14" t="n">
        <v>0.33</v>
      </c>
      <c r="R110" s="14" t="n">
        <v>0.05</v>
      </c>
      <c r="S110" s="14" t="n">
        <v>2.16</v>
      </c>
      <c r="T110" s="14" t="n">
        <v>4.08</v>
      </c>
      <c r="U110" s="14" t="n">
        <v>3.56</v>
      </c>
      <c r="V110" s="14" t="n">
        <v>4.88</v>
      </c>
      <c r="W110" s="14" t="n">
        <v>1.88</v>
      </c>
      <c r="X110" s="14" t="n">
        <v>0.8</v>
      </c>
      <c r="Y110" s="14" t="n">
        <v>1.83</v>
      </c>
      <c r="Z110" s="14" t="n">
        <v>0.98</v>
      </c>
      <c r="AA110" s="14" t="n">
        <v>0</v>
      </c>
    </row>
    <row r="111">
      <c r="A111" t="inlineStr">
        <is>
          <t>110301</t>
        </is>
      </c>
      <c r="B111" t="inlineStr">
        <is>
          <t>ICA</t>
        </is>
      </c>
      <c r="C111" t="inlineStr">
        <is>
          <t>NASCA</t>
        </is>
      </c>
      <c r="D111" t="inlineStr">
        <is>
          <t>NAZCA</t>
        </is>
      </c>
      <c r="E111" t="n">
        <v>12749</v>
      </c>
      <c r="F111" s="14" t="n">
        <v>0</v>
      </c>
      <c r="G111" s="14" t="n">
        <v>15.99</v>
      </c>
      <c r="H111" s="14" t="n">
        <v>3.61</v>
      </c>
      <c r="I111" s="14" t="n">
        <v>4.65</v>
      </c>
      <c r="J111" s="14" t="n">
        <v>0.13</v>
      </c>
      <c r="K111" s="14" t="n">
        <v>0.29</v>
      </c>
      <c r="L111" s="14" t="n">
        <v>8.279999999999999</v>
      </c>
      <c r="M111" s="14" t="n">
        <v>21.87</v>
      </c>
      <c r="N111" s="14" t="n">
        <v>10.14</v>
      </c>
      <c r="O111" s="14" t="n">
        <v>8.51</v>
      </c>
      <c r="P111" s="14" t="n">
        <v>0.53</v>
      </c>
      <c r="Q111" s="14" t="n">
        <v>0.84</v>
      </c>
      <c r="R111" s="14" t="n">
        <v>0.08</v>
      </c>
      <c r="S111" s="14" t="n">
        <v>5.2</v>
      </c>
      <c r="T111" s="14" t="n">
        <v>4.06</v>
      </c>
      <c r="U111" s="14" t="n">
        <v>2.89</v>
      </c>
      <c r="V111" s="14" t="n">
        <v>5.87</v>
      </c>
      <c r="W111" s="14" t="n">
        <v>2.36</v>
      </c>
      <c r="X111" s="14" t="n">
        <v>0.96</v>
      </c>
      <c r="Y111" s="14" t="n">
        <v>2.75</v>
      </c>
      <c r="Z111" s="14" t="n">
        <v>0.99</v>
      </c>
      <c r="AA111" s="14" t="n">
        <v>0</v>
      </c>
    </row>
    <row r="112">
      <c r="A112" t="inlineStr">
        <is>
          <t>110302</t>
        </is>
      </c>
      <c r="B112" t="inlineStr">
        <is>
          <t>ICA</t>
        </is>
      </c>
      <c r="C112" t="inlineStr">
        <is>
          <t>NASCA</t>
        </is>
      </c>
      <c r="D112" t="inlineStr">
        <is>
          <t>CHANGUILLO</t>
        </is>
      </c>
      <c r="E112" t="n">
        <v>787</v>
      </c>
      <c r="F112" s="14" t="n">
        <v>0</v>
      </c>
      <c r="G112" s="14" t="n">
        <v>59.09</v>
      </c>
      <c r="H112" s="14" t="n">
        <v>1.02</v>
      </c>
      <c r="I112" s="14" t="n">
        <v>0.64</v>
      </c>
      <c r="J112" s="14" t="n">
        <v>0</v>
      </c>
      <c r="K112" s="14" t="n">
        <v>0</v>
      </c>
      <c r="L112" s="14" t="n">
        <v>2.16</v>
      </c>
      <c r="M112" s="14" t="n">
        <v>6.99</v>
      </c>
      <c r="N112" s="14" t="n">
        <v>1.52</v>
      </c>
      <c r="O112" s="14" t="n">
        <v>2.16</v>
      </c>
      <c r="P112" s="14" t="n">
        <v>0</v>
      </c>
      <c r="Q112" s="14" t="n">
        <v>0.25</v>
      </c>
      <c r="R112" s="14" t="n">
        <v>0</v>
      </c>
      <c r="S112" s="14" t="n">
        <v>0.51</v>
      </c>
      <c r="T112" s="14" t="n">
        <v>1.02</v>
      </c>
      <c r="U112" s="14" t="n">
        <v>21.35</v>
      </c>
      <c r="V112" s="14" t="n">
        <v>1.65</v>
      </c>
      <c r="W112" s="14" t="n">
        <v>0.76</v>
      </c>
      <c r="X112" s="14" t="n">
        <v>0</v>
      </c>
      <c r="Y112" s="14" t="n">
        <v>0.76</v>
      </c>
      <c r="Z112" s="14" t="n">
        <v>0.13</v>
      </c>
      <c r="AA112" s="14" t="n">
        <v>0</v>
      </c>
    </row>
    <row r="113">
      <c r="A113" t="inlineStr">
        <is>
          <t>110303</t>
        </is>
      </c>
      <c r="B113" t="inlineStr">
        <is>
          <t>ICA</t>
        </is>
      </c>
      <c r="C113" t="inlineStr">
        <is>
          <t>NASCA</t>
        </is>
      </c>
      <c r="D113" t="inlineStr">
        <is>
          <t>EL INGENIO</t>
        </is>
      </c>
      <c r="E113" t="n">
        <v>1218</v>
      </c>
      <c r="F113" s="14" t="n">
        <v>0</v>
      </c>
      <c r="G113" s="14" t="n">
        <v>55.42</v>
      </c>
      <c r="H113" s="14" t="n">
        <v>7.14</v>
      </c>
      <c r="I113" s="14" t="n">
        <v>1.48</v>
      </c>
      <c r="J113" s="14" t="n">
        <v>0.08</v>
      </c>
      <c r="K113" s="14" t="n">
        <v>0.08</v>
      </c>
      <c r="L113" s="14" t="n">
        <v>3.61</v>
      </c>
      <c r="M113" s="14" t="n">
        <v>8.699999999999999</v>
      </c>
      <c r="N113" s="14" t="n">
        <v>5.91</v>
      </c>
      <c r="O113" s="14" t="n">
        <v>5.34</v>
      </c>
      <c r="P113" s="14" t="n">
        <v>0</v>
      </c>
      <c r="Q113" s="14" t="n">
        <v>0.25</v>
      </c>
      <c r="R113" s="14" t="n">
        <v>0.08</v>
      </c>
      <c r="S113" s="14" t="n">
        <v>1.48</v>
      </c>
      <c r="T113" s="14" t="n">
        <v>1.89</v>
      </c>
      <c r="U113" s="14" t="n">
        <v>3.2</v>
      </c>
      <c r="V113" s="14" t="n">
        <v>2.3</v>
      </c>
      <c r="W113" s="14" t="n">
        <v>1.15</v>
      </c>
      <c r="X113" s="14" t="n">
        <v>0.16</v>
      </c>
      <c r="Y113" s="14" t="n">
        <v>1.56</v>
      </c>
      <c r="Z113" s="14" t="n">
        <v>0.16</v>
      </c>
      <c r="AA113" s="14" t="n">
        <v>0</v>
      </c>
    </row>
    <row r="114">
      <c r="A114" t="inlineStr">
        <is>
          <t>110304</t>
        </is>
      </c>
      <c r="B114" t="inlineStr">
        <is>
          <t>ICA</t>
        </is>
      </c>
      <c r="C114" t="inlineStr">
        <is>
          <t>NASCA</t>
        </is>
      </c>
      <c r="D114" t="inlineStr">
        <is>
          <t>MARCONA</t>
        </is>
      </c>
      <c r="E114" t="n">
        <v>7722</v>
      </c>
      <c r="F114" s="14" t="n">
        <v>0</v>
      </c>
      <c r="G114" s="14" t="n">
        <v>7.06</v>
      </c>
      <c r="H114" s="14" t="n">
        <v>17.72</v>
      </c>
      <c r="I114" s="14" t="n">
        <v>7.37</v>
      </c>
      <c r="J114" s="14" t="n">
        <v>0.45</v>
      </c>
      <c r="K114" s="14" t="n">
        <v>0.25</v>
      </c>
      <c r="L114" s="14" t="n">
        <v>14.21</v>
      </c>
      <c r="M114" s="14" t="n">
        <v>15.2</v>
      </c>
      <c r="N114" s="14" t="n">
        <v>6.9</v>
      </c>
      <c r="O114" s="14" t="n">
        <v>6.97</v>
      </c>
      <c r="P114" s="14" t="n">
        <v>0.41</v>
      </c>
      <c r="Q114" s="14" t="n">
        <v>0.48</v>
      </c>
      <c r="R114" s="14" t="n">
        <v>0.09</v>
      </c>
      <c r="S114" s="14" t="n">
        <v>5.87</v>
      </c>
      <c r="T114" s="14" t="n">
        <v>4.8</v>
      </c>
      <c r="U114" s="14" t="n">
        <v>3.37</v>
      </c>
      <c r="V114" s="14" t="n">
        <v>3.03</v>
      </c>
      <c r="W114" s="14" t="n">
        <v>1.8</v>
      </c>
      <c r="X114" s="14" t="n">
        <v>0.48</v>
      </c>
      <c r="Y114" s="14" t="n">
        <v>2.93</v>
      </c>
      <c r="Z114" s="14" t="n">
        <v>0.62</v>
      </c>
      <c r="AA114" s="14" t="n">
        <v>0</v>
      </c>
    </row>
    <row r="115">
      <c r="A115" t="inlineStr">
        <is>
          <t>110305</t>
        </is>
      </c>
      <c r="B115" t="inlineStr">
        <is>
          <t>ICA</t>
        </is>
      </c>
      <c r="C115" t="inlineStr">
        <is>
          <t>NASCA</t>
        </is>
      </c>
      <c r="D115" t="inlineStr">
        <is>
          <t>VISTA ALEGRE</t>
        </is>
      </c>
      <c r="E115" t="n">
        <v>8712</v>
      </c>
      <c r="F115" s="14" t="n">
        <v>0.597</v>
      </c>
      <c r="G115" s="14" t="n">
        <v>20.74</v>
      </c>
      <c r="H115" s="14" t="n">
        <v>4.94</v>
      </c>
      <c r="I115" s="14" t="n">
        <v>4.42</v>
      </c>
      <c r="J115" s="14" t="n">
        <v>0.1</v>
      </c>
      <c r="K115" s="14" t="n">
        <v>0.31</v>
      </c>
      <c r="L115" s="14" t="n">
        <v>8.529999999999999</v>
      </c>
      <c r="M115" s="14" t="n">
        <v>20.7</v>
      </c>
      <c r="N115" s="14" t="n">
        <v>13.15</v>
      </c>
      <c r="O115" s="14" t="n">
        <v>7.48</v>
      </c>
      <c r="P115" s="14" t="n">
        <v>0.46</v>
      </c>
      <c r="Q115" s="14" t="n">
        <v>0.75</v>
      </c>
      <c r="R115" s="14" t="n">
        <v>0</v>
      </c>
      <c r="S115" s="14" t="n">
        <v>3.03</v>
      </c>
      <c r="T115" s="14" t="n">
        <v>3.41</v>
      </c>
      <c r="U115" s="14" t="n">
        <v>3.27</v>
      </c>
      <c r="V115" s="14" t="n">
        <v>3.8</v>
      </c>
      <c r="W115" s="14" t="n">
        <v>1.17</v>
      </c>
      <c r="X115" s="14" t="n">
        <v>0.72</v>
      </c>
      <c r="Y115" s="14" t="n">
        <v>2.03</v>
      </c>
      <c r="Z115" s="14" t="n">
        <v>0.99</v>
      </c>
      <c r="AA115" s="14" t="n">
        <v>0</v>
      </c>
    </row>
    <row r="116">
      <c r="A116" t="inlineStr">
        <is>
          <t>110401</t>
        </is>
      </c>
      <c r="B116" t="inlineStr">
        <is>
          <t>ICA</t>
        </is>
      </c>
      <c r="C116" t="inlineStr">
        <is>
          <t>PALPA</t>
        </is>
      </c>
      <c r="D116" t="inlineStr">
        <is>
          <t>PALPA</t>
        </is>
      </c>
      <c r="E116" t="n">
        <v>3247</v>
      </c>
      <c r="F116" s="14" t="n">
        <v>0</v>
      </c>
      <c r="G116" s="14" t="n">
        <v>31.14</v>
      </c>
      <c r="H116" s="14" t="n">
        <v>3.54</v>
      </c>
      <c r="I116" s="14" t="n">
        <v>2.46</v>
      </c>
      <c r="J116" s="14" t="n">
        <v>0.12</v>
      </c>
      <c r="K116" s="14" t="n">
        <v>0.25</v>
      </c>
      <c r="L116" s="14" t="n">
        <v>4.59</v>
      </c>
      <c r="M116" s="14" t="n">
        <v>17.86</v>
      </c>
      <c r="N116" s="14" t="n">
        <v>8.039999999999999</v>
      </c>
      <c r="O116" s="14" t="n">
        <v>7.64</v>
      </c>
      <c r="P116" s="14" t="n">
        <v>0.68</v>
      </c>
      <c r="Q116" s="14" t="n">
        <v>0.55</v>
      </c>
      <c r="R116" s="14" t="n">
        <v>0.03</v>
      </c>
      <c r="S116" s="14" t="n">
        <v>2.93</v>
      </c>
      <c r="T116" s="14" t="n">
        <v>2.53</v>
      </c>
      <c r="U116" s="14" t="n">
        <v>3.73</v>
      </c>
      <c r="V116" s="14" t="n">
        <v>6.47</v>
      </c>
      <c r="W116" s="14" t="n">
        <v>3.08</v>
      </c>
      <c r="X116" s="14" t="n">
        <v>0.4</v>
      </c>
      <c r="Y116" s="14" t="n">
        <v>2.68</v>
      </c>
      <c r="Z116" s="14" t="n">
        <v>1.29</v>
      </c>
      <c r="AA116" s="14" t="n">
        <v>0</v>
      </c>
    </row>
    <row r="117">
      <c r="A117" t="inlineStr">
        <is>
          <t>110402</t>
        </is>
      </c>
      <c r="B117" t="inlineStr">
        <is>
          <t>ICA</t>
        </is>
      </c>
      <c r="C117" t="inlineStr">
        <is>
          <t>PALPA</t>
        </is>
      </c>
      <c r="D117" t="inlineStr">
        <is>
          <t>LLIPATA</t>
        </is>
      </c>
      <c r="E117" t="n">
        <v>591</v>
      </c>
      <c r="F117" s="14" t="n">
        <v>0</v>
      </c>
      <c r="G117" s="14" t="n">
        <v>57.19</v>
      </c>
      <c r="H117" s="14" t="n">
        <v>2.71</v>
      </c>
      <c r="I117" s="14" t="n">
        <v>1.52</v>
      </c>
      <c r="J117" s="14" t="n">
        <v>0.17</v>
      </c>
      <c r="K117" s="14" t="n">
        <v>0</v>
      </c>
      <c r="L117" s="14" t="n">
        <v>3.89</v>
      </c>
      <c r="M117" s="14" t="n">
        <v>10.15</v>
      </c>
      <c r="N117" s="14" t="n">
        <v>4.57</v>
      </c>
      <c r="O117" s="14" t="n">
        <v>3.89</v>
      </c>
      <c r="P117" s="14" t="n">
        <v>0</v>
      </c>
      <c r="Q117" s="14" t="n">
        <v>0</v>
      </c>
      <c r="R117" s="14" t="n">
        <v>0</v>
      </c>
      <c r="S117" s="14" t="n">
        <v>2.88</v>
      </c>
      <c r="T117" s="14" t="n">
        <v>2.37</v>
      </c>
      <c r="U117" s="14" t="n">
        <v>2.2</v>
      </c>
      <c r="V117" s="14" t="n">
        <v>4.74</v>
      </c>
      <c r="W117" s="14" t="n">
        <v>2.37</v>
      </c>
      <c r="X117" s="14" t="n">
        <v>0</v>
      </c>
      <c r="Y117" s="14" t="n">
        <v>0.85</v>
      </c>
      <c r="Z117" s="14" t="n">
        <v>0.51</v>
      </c>
      <c r="AA117" s="14" t="n">
        <v>0</v>
      </c>
    </row>
    <row r="118">
      <c r="A118" t="inlineStr">
        <is>
          <t>110403</t>
        </is>
      </c>
      <c r="B118" t="inlineStr">
        <is>
          <t>ICA</t>
        </is>
      </c>
      <c r="C118" t="inlineStr">
        <is>
          <t>PALPA</t>
        </is>
      </c>
      <c r="D118" t="inlineStr">
        <is>
          <t>RIO GRANDE</t>
        </is>
      </c>
      <c r="E118" t="n">
        <v>1043</v>
      </c>
      <c r="F118" s="14" t="n">
        <v>0</v>
      </c>
      <c r="G118" s="14" t="n">
        <v>57.53</v>
      </c>
      <c r="H118" s="14" t="n">
        <v>3.16</v>
      </c>
      <c r="I118" s="14" t="n">
        <v>1.34</v>
      </c>
      <c r="J118" s="14" t="n">
        <v>0</v>
      </c>
      <c r="K118" s="14" t="n">
        <v>0.19</v>
      </c>
      <c r="L118" s="14" t="n">
        <v>4.22</v>
      </c>
      <c r="M118" s="14" t="n">
        <v>7.96</v>
      </c>
      <c r="N118" s="14" t="n">
        <v>5.47</v>
      </c>
      <c r="O118" s="14" t="n">
        <v>3.74</v>
      </c>
      <c r="P118" s="14" t="n">
        <v>0.48</v>
      </c>
      <c r="Q118" s="14" t="n">
        <v>0.1</v>
      </c>
      <c r="R118" s="14" t="n">
        <v>0.1</v>
      </c>
      <c r="S118" s="14" t="n">
        <v>1.82</v>
      </c>
      <c r="T118" s="14" t="n">
        <v>1.92</v>
      </c>
      <c r="U118" s="14" t="n">
        <v>2.68</v>
      </c>
      <c r="V118" s="14" t="n">
        <v>6.42</v>
      </c>
      <c r="W118" s="14" t="n">
        <v>1.25</v>
      </c>
      <c r="X118" s="14" t="n">
        <v>0.1</v>
      </c>
      <c r="Y118" s="14" t="n">
        <v>1.15</v>
      </c>
      <c r="Z118" s="14" t="n">
        <v>0.38</v>
      </c>
      <c r="AA118" s="14" t="n">
        <v>0</v>
      </c>
    </row>
    <row r="119">
      <c r="A119" t="inlineStr">
        <is>
          <t>110404</t>
        </is>
      </c>
      <c r="B119" t="inlineStr">
        <is>
          <t>ICA</t>
        </is>
      </c>
      <c r="C119" t="inlineStr">
        <is>
          <t>PALPA</t>
        </is>
      </c>
      <c r="D119" t="inlineStr">
        <is>
          <t>SANTA CRUZ</t>
        </is>
      </c>
      <c r="E119" t="n">
        <v>351</v>
      </c>
      <c r="F119" s="14" t="n">
        <v>0</v>
      </c>
      <c r="G119" s="14" t="n">
        <v>67.23999999999999</v>
      </c>
      <c r="H119" s="14" t="n">
        <v>0.57</v>
      </c>
      <c r="I119" s="14" t="n">
        <v>0.28</v>
      </c>
      <c r="J119" s="14" t="n">
        <v>0.28</v>
      </c>
      <c r="K119" s="14" t="n">
        <v>0.28</v>
      </c>
      <c r="L119" s="14" t="n">
        <v>2.85</v>
      </c>
      <c r="M119" s="14" t="n">
        <v>2.85</v>
      </c>
      <c r="N119" s="14" t="n">
        <v>6.27</v>
      </c>
      <c r="O119" s="14" t="n">
        <v>1.14</v>
      </c>
      <c r="P119" s="14" t="n">
        <v>0.28</v>
      </c>
      <c r="Q119" s="14" t="n">
        <v>0.28</v>
      </c>
      <c r="R119" s="14" t="n">
        <v>0</v>
      </c>
      <c r="S119" s="14" t="n">
        <v>3.13</v>
      </c>
      <c r="T119" s="14" t="n">
        <v>1.42</v>
      </c>
      <c r="U119" s="14" t="n">
        <v>4.84</v>
      </c>
      <c r="V119" s="14" t="n">
        <v>4.27</v>
      </c>
      <c r="W119" s="14" t="n">
        <v>2.85</v>
      </c>
      <c r="X119" s="14" t="n">
        <v>0</v>
      </c>
      <c r="Y119" s="14" t="n">
        <v>0.85</v>
      </c>
      <c r="Z119" s="14" t="n">
        <v>0.28</v>
      </c>
      <c r="AA119" s="14" t="n">
        <v>0</v>
      </c>
    </row>
    <row r="120">
      <c r="A120" t="inlineStr">
        <is>
          <t>110405</t>
        </is>
      </c>
      <c r="B120" t="inlineStr">
        <is>
          <t>ICA</t>
        </is>
      </c>
      <c r="C120" t="inlineStr">
        <is>
          <t>PALPA</t>
        </is>
      </c>
      <c r="D120" t="inlineStr">
        <is>
          <t>TIBILLO</t>
        </is>
      </c>
      <c r="E120" t="n">
        <v>172</v>
      </c>
      <c r="F120" s="14" t="n">
        <v>0</v>
      </c>
      <c r="G120" s="14" t="n">
        <v>48.26</v>
      </c>
      <c r="H120" s="14" t="n">
        <v>0.58</v>
      </c>
      <c r="I120" s="14" t="n">
        <v>0.58</v>
      </c>
      <c r="J120" s="14" t="n">
        <v>0</v>
      </c>
      <c r="K120" s="14" t="n">
        <v>0</v>
      </c>
      <c r="L120" s="14" t="n">
        <v>19.19</v>
      </c>
      <c r="M120" s="14" t="n">
        <v>1.74</v>
      </c>
      <c r="N120" s="14" t="n">
        <v>1.74</v>
      </c>
      <c r="O120" s="14" t="n">
        <v>0.58</v>
      </c>
      <c r="P120" s="14" t="n">
        <v>0</v>
      </c>
      <c r="Q120" s="14" t="n">
        <v>0.58</v>
      </c>
      <c r="R120" s="14" t="n">
        <v>0</v>
      </c>
      <c r="S120" s="14" t="n">
        <v>2.33</v>
      </c>
      <c r="T120" s="14" t="n">
        <v>0</v>
      </c>
      <c r="U120" s="14" t="n">
        <v>18.6</v>
      </c>
      <c r="V120" s="14" t="n">
        <v>5.23</v>
      </c>
      <c r="W120" s="14" t="n">
        <v>0</v>
      </c>
      <c r="X120" s="14" t="n">
        <v>0</v>
      </c>
      <c r="Y120" s="14" t="n">
        <v>0</v>
      </c>
      <c r="Z120" s="14" t="n">
        <v>0.58</v>
      </c>
      <c r="AA120" s="14" t="n">
        <v>0</v>
      </c>
    </row>
    <row r="121">
      <c r="A121" t="inlineStr">
        <is>
          <t>110501</t>
        </is>
      </c>
      <c r="B121" t="inlineStr">
        <is>
          <t>ICA</t>
        </is>
      </c>
      <c r="C121" t="inlineStr">
        <is>
          <t>PISCO</t>
        </is>
      </c>
      <c r="D121" t="inlineStr">
        <is>
          <t>PISCO</t>
        </is>
      </c>
      <c r="E121" t="n">
        <v>27626</v>
      </c>
      <c r="F121" s="14" t="n">
        <v>0.485</v>
      </c>
      <c r="G121" s="14" t="n">
        <v>8.34</v>
      </c>
      <c r="H121" s="14" t="n">
        <v>0.5600000000000001</v>
      </c>
      <c r="I121" s="14" t="n">
        <v>10.98</v>
      </c>
      <c r="J121" s="14" t="n">
        <v>0.17</v>
      </c>
      <c r="K121" s="14" t="n">
        <v>0.34</v>
      </c>
      <c r="L121" s="14" t="n">
        <v>9.470000000000001</v>
      </c>
      <c r="M121" s="14" t="n">
        <v>21.17</v>
      </c>
      <c r="N121" s="14" t="n">
        <v>11.83</v>
      </c>
      <c r="O121" s="14" t="n">
        <v>7.38</v>
      </c>
      <c r="P121" s="14" t="n">
        <v>0.6</v>
      </c>
      <c r="Q121" s="14" t="n">
        <v>0.98</v>
      </c>
      <c r="R121" s="14" t="n">
        <v>0.14</v>
      </c>
      <c r="S121" s="14" t="n">
        <v>6.23</v>
      </c>
      <c r="T121" s="14" t="n">
        <v>4.83</v>
      </c>
      <c r="U121" s="14" t="n">
        <v>2.94</v>
      </c>
      <c r="V121" s="14" t="n">
        <v>5.68</v>
      </c>
      <c r="W121" s="14" t="n">
        <v>2.42</v>
      </c>
      <c r="X121" s="14" t="n">
        <v>1.02</v>
      </c>
      <c r="Y121" s="14" t="n">
        <v>4.01</v>
      </c>
      <c r="Z121" s="14" t="n">
        <v>0.91</v>
      </c>
      <c r="AA121" s="14" t="n">
        <v>0</v>
      </c>
    </row>
    <row r="122">
      <c r="A122" t="inlineStr">
        <is>
          <t>110502</t>
        </is>
      </c>
      <c r="B122" t="inlineStr">
        <is>
          <t>ICA</t>
        </is>
      </c>
      <c r="C122" t="inlineStr">
        <is>
          <t>PISCO</t>
        </is>
      </c>
      <c r="D122" t="inlineStr">
        <is>
          <t>HUANCANO</t>
        </is>
      </c>
      <c r="E122" t="n">
        <v>540</v>
      </c>
      <c r="F122" s="14" t="n">
        <v>0</v>
      </c>
      <c r="G122" s="14" t="n">
        <v>50.74</v>
      </c>
      <c r="H122" s="14" t="n">
        <v>0.5600000000000001</v>
      </c>
      <c r="I122" s="14" t="n">
        <v>3.33</v>
      </c>
      <c r="J122" s="14" t="n">
        <v>0.19</v>
      </c>
      <c r="K122" s="14" t="n">
        <v>0</v>
      </c>
      <c r="L122" s="14" t="n">
        <v>6.67</v>
      </c>
      <c r="M122" s="14" t="n">
        <v>16.67</v>
      </c>
      <c r="N122" s="14" t="n">
        <v>4.81</v>
      </c>
      <c r="O122" s="14" t="n">
        <v>5.56</v>
      </c>
      <c r="P122" s="14" t="n">
        <v>0.19</v>
      </c>
      <c r="Q122" s="14" t="n">
        <v>0.19</v>
      </c>
      <c r="R122" s="14" t="n">
        <v>0</v>
      </c>
      <c r="S122" s="14" t="n">
        <v>1.85</v>
      </c>
      <c r="T122" s="14" t="n">
        <v>2.04</v>
      </c>
      <c r="U122" s="14" t="n">
        <v>4.81</v>
      </c>
      <c r="V122" s="14" t="n">
        <v>1.48</v>
      </c>
      <c r="W122" s="14" t="n">
        <v>0</v>
      </c>
      <c r="X122" s="14" t="n">
        <v>0</v>
      </c>
      <c r="Y122" s="14" t="n">
        <v>0.37</v>
      </c>
      <c r="Z122" s="14" t="n">
        <v>0.5600000000000001</v>
      </c>
      <c r="AA122" s="14" t="n">
        <v>0</v>
      </c>
    </row>
    <row r="123">
      <c r="A123" t="inlineStr">
        <is>
          <t>110503</t>
        </is>
      </c>
      <c r="B123" t="inlineStr">
        <is>
          <t>ICA</t>
        </is>
      </c>
      <c r="C123" t="inlineStr">
        <is>
          <t>PISCO</t>
        </is>
      </c>
      <c r="D123" t="inlineStr">
        <is>
          <t>HUMAY</t>
        </is>
      </c>
      <c r="E123" t="n">
        <v>2235</v>
      </c>
      <c r="F123" s="14" t="n">
        <v>0</v>
      </c>
      <c r="G123" s="14" t="n">
        <v>62.24</v>
      </c>
      <c r="H123" s="14" t="n">
        <v>0.45</v>
      </c>
      <c r="I123" s="14" t="n">
        <v>2.77</v>
      </c>
      <c r="J123" s="14" t="n">
        <v>0.18</v>
      </c>
      <c r="K123" s="14" t="n">
        <v>0.13</v>
      </c>
      <c r="L123" s="14" t="n">
        <v>5.41</v>
      </c>
      <c r="M123" s="14" t="n">
        <v>7.61</v>
      </c>
      <c r="N123" s="14" t="n">
        <v>5.68</v>
      </c>
      <c r="O123" s="14" t="n">
        <v>2.68</v>
      </c>
      <c r="P123" s="14" t="n">
        <v>0.04</v>
      </c>
      <c r="Q123" s="14" t="n">
        <v>0.09</v>
      </c>
      <c r="R123" s="14" t="n">
        <v>0.09</v>
      </c>
      <c r="S123" s="14" t="n">
        <v>1.43</v>
      </c>
      <c r="T123" s="14" t="n">
        <v>2.68</v>
      </c>
      <c r="U123" s="14" t="n">
        <v>4.12</v>
      </c>
      <c r="V123" s="14" t="n">
        <v>2.24</v>
      </c>
      <c r="W123" s="14" t="n">
        <v>0.8100000000000001</v>
      </c>
      <c r="X123" s="14" t="n">
        <v>0.09</v>
      </c>
      <c r="Y123" s="14" t="n">
        <v>0.67</v>
      </c>
      <c r="Z123" s="14" t="n">
        <v>0.58</v>
      </c>
      <c r="AA123" s="14" t="n">
        <v>0</v>
      </c>
    </row>
    <row r="124">
      <c r="A124" t="inlineStr">
        <is>
          <t>110504</t>
        </is>
      </c>
      <c r="B124" t="inlineStr">
        <is>
          <t>ICA</t>
        </is>
      </c>
      <c r="C124" t="inlineStr">
        <is>
          <t>PISCO</t>
        </is>
      </c>
      <c r="D124" t="inlineStr">
        <is>
          <t>INDEPENDENCIA</t>
        </is>
      </c>
      <c r="E124" t="n">
        <v>5063</v>
      </c>
      <c r="F124" s="14" t="n">
        <v>0</v>
      </c>
      <c r="G124" s="14" t="n">
        <v>57.22</v>
      </c>
      <c r="H124" s="14" t="n">
        <v>0.26</v>
      </c>
      <c r="I124" s="14" t="n">
        <v>3.83</v>
      </c>
      <c r="J124" s="14" t="n">
        <v>0.22</v>
      </c>
      <c r="K124" s="14" t="n">
        <v>0.06</v>
      </c>
      <c r="L124" s="14" t="n">
        <v>4.78</v>
      </c>
      <c r="M124" s="14" t="n">
        <v>9.300000000000001</v>
      </c>
      <c r="N124" s="14" t="n">
        <v>7.17</v>
      </c>
      <c r="O124" s="14" t="n">
        <v>2.77</v>
      </c>
      <c r="P124" s="14" t="n">
        <v>0.14</v>
      </c>
      <c r="Q124" s="14" t="n">
        <v>0.18</v>
      </c>
      <c r="R124" s="14" t="n">
        <v>0</v>
      </c>
      <c r="S124" s="14" t="n">
        <v>1.38</v>
      </c>
      <c r="T124" s="14" t="n">
        <v>2.09</v>
      </c>
      <c r="U124" s="14" t="n">
        <v>4.21</v>
      </c>
      <c r="V124" s="14" t="n">
        <v>3.54</v>
      </c>
      <c r="W124" s="14" t="n">
        <v>0.95</v>
      </c>
      <c r="X124" s="14" t="n">
        <v>0.2</v>
      </c>
      <c r="Y124" s="14" t="n">
        <v>1.26</v>
      </c>
      <c r="Z124" s="14" t="n">
        <v>0.45</v>
      </c>
      <c r="AA124" s="14" t="n">
        <v>0</v>
      </c>
    </row>
    <row r="125">
      <c r="A125" t="inlineStr">
        <is>
          <t>110505</t>
        </is>
      </c>
      <c r="B125" t="inlineStr">
        <is>
          <t>ICA</t>
        </is>
      </c>
      <c r="C125" t="inlineStr">
        <is>
          <t>PISCO</t>
        </is>
      </c>
      <c r="D125" t="inlineStr">
        <is>
          <t>PARACAS</t>
        </is>
      </c>
      <c r="E125" t="n">
        <v>3474</v>
      </c>
      <c r="F125" s="14" t="n">
        <v>0</v>
      </c>
      <c r="G125" s="14" t="n">
        <v>29.45</v>
      </c>
      <c r="H125" s="14" t="n">
        <v>0.89</v>
      </c>
      <c r="I125" s="14" t="n">
        <v>5.56</v>
      </c>
      <c r="J125" s="14" t="n">
        <v>0.06</v>
      </c>
      <c r="K125" s="14" t="n">
        <v>0.23</v>
      </c>
      <c r="L125" s="14" t="n">
        <v>7.17</v>
      </c>
      <c r="M125" s="14" t="n">
        <v>11.11</v>
      </c>
      <c r="N125" s="14" t="n">
        <v>6.71</v>
      </c>
      <c r="O125" s="14" t="n">
        <v>12.75</v>
      </c>
      <c r="P125" s="14" t="n">
        <v>0.49</v>
      </c>
      <c r="Q125" s="14" t="n">
        <v>0.78</v>
      </c>
      <c r="R125" s="14" t="n">
        <v>0.49</v>
      </c>
      <c r="S125" s="14" t="n">
        <v>5.01</v>
      </c>
      <c r="T125" s="14" t="n">
        <v>8.98</v>
      </c>
      <c r="U125" s="14" t="n">
        <v>3.68</v>
      </c>
      <c r="V125" s="14" t="n">
        <v>1.81</v>
      </c>
      <c r="W125" s="14" t="n">
        <v>1.3</v>
      </c>
      <c r="X125" s="14" t="n">
        <v>0.63</v>
      </c>
      <c r="Y125" s="14" t="n">
        <v>1.9</v>
      </c>
      <c r="Z125" s="14" t="n">
        <v>1.01</v>
      </c>
      <c r="AA125" s="14" t="n">
        <v>0</v>
      </c>
    </row>
    <row r="126">
      <c r="A126" t="inlineStr">
        <is>
          <t>110506</t>
        </is>
      </c>
      <c r="B126" t="inlineStr">
        <is>
          <t>ICA</t>
        </is>
      </c>
      <c r="C126" t="inlineStr">
        <is>
          <t>PISCO</t>
        </is>
      </c>
      <c r="D126" t="inlineStr">
        <is>
          <t>SAN ANDRES</t>
        </is>
      </c>
      <c r="E126" t="n">
        <v>5365</v>
      </c>
      <c r="F126" s="14" t="n">
        <v>0.373</v>
      </c>
      <c r="G126" s="14" t="n">
        <v>29.75</v>
      </c>
      <c r="H126" s="14" t="n">
        <v>0.3</v>
      </c>
      <c r="I126" s="14" t="n">
        <v>9.380000000000001</v>
      </c>
      <c r="J126" s="14" t="n">
        <v>0.19</v>
      </c>
      <c r="K126" s="14" t="n">
        <v>0.24</v>
      </c>
      <c r="L126" s="14" t="n">
        <v>5.14</v>
      </c>
      <c r="M126" s="14" t="n">
        <v>17.61</v>
      </c>
      <c r="N126" s="14" t="n">
        <v>9.300000000000001</v>
      </c>
      <c r="O126" s="14" t="n">
        <v>6.41</v>
      </c>
      <c r="P126" s="14" t="n">
        <v>0.32</v>
      </c>
      <c r="Q126" s="14" t="n">
        <v>0.45</v>
      </c>
      <c r="R126" s="14" t="n">
        <v>0.07000000000000001</v>
      </c>
      <c r="S126" s="14" t="n">
        <v>2.91</v>
      </c>
      <c r="T126" s="14" t="n">
        <v>3.36</v>
      </c>
      <c r="U126" s="14" t="n">
        <v>5.67</v>
      </c>
      <c r="V126" s="14" t="n">
        <v>4.14</v>
      </c>
      <c r="W126" s="14" t="n">
        <v>1.44</v>
      </c>
      <c r="X126" s="14" t="n">
        <v>0.54</v>
      </c>
      <c r="Y126" s="14" t="n">
        <v>2.2</v>
      </c>
      <c r="Z126" s="14" t="n">
        <v>0.6</v>
      </c>
      <c r="AA126" s="14" t="n">
        <v>0</v>
      </c>
    </row>
    <row r="127">
      <c r="A127" t="inlineStr">
        <is>
          <t>110507</t>
        </is>
      </c>
      <c r="B127" t="inlineStr">
        <is>
          <t>ICA</t>
        </is>
      </c>
      <c r="C127" t="inlineStr">
        <is>
          <t>PISCO</t>
        </is>
      </c>
      <c r="D127" t="inlineStr">
        <is>
          <t>SAN CLEMENTE</t>
        </is>
      </c>
      <c r="E127" t="n">
        <v>9978</v>
      </c>
      <c r="F127" s="14" t="n">
        <v>0</v>
      </c>
      <c r="G127" s="14" t="n">
        <v>27.96</v>
      </c>
      <c r="H127" s="14" t="n">
        <v>0.37</v>
      </c>
      <c r="I127" s="14" t="n">
        <v>10.3</v>
      </c>
      <c r="J127" s="14" t="n">
        <v>0.07000000000000001</v>
      </c>
      <c r="K127" s="14" t="n">
        <v>0.35</v>
      </c>
      <c r="L127" s="14" t="n">
        <v>7.47</v>
      </c>
      <c r="M127" s="14" t="n">
        <v>16.03</v>
      </c>
      <c r="N127" s="14" t="n">
        <v>13.41</v>
      </c>
      <c r="O127" s="14" t="n">
        <v>4.94</v>
      </c>
      <c r="P127" s="14" t="n">
        <v>0.38</v>
      </c>
      <c r="Q127" s="14" t="n">
        <v>0.3</v>
      </c>
      <c r="R127" s="14" t="n">
        <v>0.03</v>
      </c>
      <c r="S127" s="14" t="n">
        <v>2.19</v>
      </c>
      <c r="T127" s="14" t="n">
        <v>4.07</v>
      </c>
      <c r="U127" s="14" t="n">
        <v>2.44</v>
      </c>
      <c r="V127" s="14" t="n">
        <v>5.6</v>
      </c>
      <c r="W127" s="14" t="n">
        <v>1.29</v>
      </c>
      <c r="X127" s="14" t="n">
        <v>0.28</v>
      </c>
      <c r="Y127" s="14" t="n">
        <v>1.87</v>
      </c>
      <c r="Z127" s="14" t="n">
        <v>0.64</v>
      </c>
      <c r="AA127" s="14" t="n">
        <v>0</v>
      </c>
    </row>
    <row r="128">
      <c r="A128" t="inlineStr">
        <is>
          <t>110508</t>
        </is>
      </c>
      <c r="B128" t="inlineStr">
        <is>
          <t>ICA</t>
        </is>
      </c>
      <c r="C128" t="inlineStr">
        <is>
          <t>PISCO</t>
        </is>
      </c>
      <c r="D128" t="inlineStr">
        <is>
          <t>TUPAC AMARU INCA</t>
        </is>
      </c>
      <c r="E128" t="n">
        <v>6822</v>
      </c>
      <c r="F128" s="14" t="n">
        <v>0</v>
      </c>
      <c r="G128" s="14" t="n">
        <v>16.99</v>
      </c>
      <c r="H128" s="14" t="n">
        <v>0.64</v>
      </c>
      <c r="I128" s="14" t="n">
        <v>12.55</v>
      </c>
      <c r="J128" s="14" t="n">
        <v>0.28</v>
      </c>
      <c r="K128" s="14" t="n">
        <v>0.31</v>
      </c>
      <c r="L128" s="14" t="n">
        <v>10.41</v>
      </c>
      <c r="M128" s="14" t="n">
        <v>17.56</v>
      </c>
      <c r="N128" s="14" t="n">
        <v>12.55</v>
      </c>
      <c r="O128" s="14" t="n">
        <v>6.74</v>
      </c>
      <c r="P128" s="14" t="n">
        <v>0.41</v>
      </c>
      <c r="Q128" s="14" t="n">
        <v>0.67</v>
      </c>
      <c r="R128" s="14" t="n">
        <v>0.09</v>
      </c>
      <c r="S128" s="14" t="n">
        <v>3.52</v>
      </c>
      <c r="T128" s="14" t="n">
        <v>4.24</v>
      </c>
      <c r="U128" s="14" t="n">
        <v>3.17</v>
      </c>
      <c r="V128" s="14" t="n">
        <v>4.35</v>
      </c>
      <c r="W128" s="14" t="n">
        <v>1.61</v>
      </c>
      <c r="X128" s="14" t="n">
        <v>0.59</v>
      </c>
      <c r="Y128" s="14" t="n">
        <v>2.52</v>
      </c>
      <c r="Z128" s="14" t="n">
        <v>0.8100000000000001</v>
      </c>
      <c r="AA128" s="14" t="n">
        <v>0</v>
      </c>
    </row>
    <row r="129">
      <c r="A129" t="inlineStr">
        <is>
          <t>120101</t>
        </is>
      </c>
      <c r="B129" t="inlineStr">
        <is>
          <t>JUNIN</t>
        </is>
      </c>
      <c r="C129" t="inlineStr">
        <is>
          <t>HUANCAYO</t>
        </is>
      </c>
      <c r="D129" t="inlineStr">
        <is>
          <t>HUANCAYO</t>
        </is>
      </c>
      <c r="E129" t="n">
        <v>55476</v>
      </c>
      <c r="F129" s="14" t="n">
        <v>0</v>
      </c>
      <c r="G129" s="14" t="n">
        <v>3.45</v>
      </c>
      <c r="H129" s="14" t="n">
        <v>1.02</v>
      </c>
      <c r="I129" s="14" t="n">
        <v>6.58</v>
      </c>
      <c r="J129" s="14" t="n">
        <v>0.15</v>
      </c>
      <c r="K129" s="14" t="n">
        <v>0.23</v>
      </c>
      <c r="L129" s="14" t="n">
        <v>7.57</v>
      </c>
      <c r="M129" s="14" t="n">
        <v>27.2</v>
      </c>
      <c r="N129" s="14" t="n">
        <v>7.17</v>
      </c>
      <c r="O129" s="14" t="n">
        <v>8.25</v>
      </c>
      <c r="P129" s="14" t="n">
        <v>1.32</v>
      </c>
      <c r="Q129" s="14" t="n">
        <v>1.94</v>
      </c>
      <c r="R129" s="14" t="n">
        <v>0.23</v>
      </c>
      <c r="S129" s="14" t="n">
        <v>8.01</v>
      </c>
      <c r="T129" s="14" t="n">
        <v>2.53</v>
      </c>
      <c r="U129" s="14" t="n">
        <v>4.86</v>
      </c>
      <c r="V129" s="14" t="n">
        <v>9.49</v>
      </c>
      <c r="W129" s="14" t="n">
        <v>4.25</v>
      </c>
      <c r="X129" s="14" t="n">
        <v>1.53</v>
      </c>
      <c r="Y129" s="14" t="n">
        <v>3.18</v>
      </c>
      <c r="Z129" s="14" t="n">
        <v>1.05</v>
      </c>
      <c r="AA129" s="14" t="n">
        <v>0</v>
      </c>
    </row>
    <row r="130">
      <c r="A130" t="inlineStr">
        <is>
          <t>120104</t>
        </is>
      </c>
      <c r="B130" t="inlineStr">
        <is>
          <t>JUNIN</t>
        </is>
      </c>
      <c r="C130" t="inlineStr">
        <is>
          <t>HUANCAYO</t>
        </is>
      </c>
      <c r="D130" t="inlineStr">
        <is>
          <t>CARHUACALLANGA</t>
        </is>
      </c>
      <c r="E130" t="n">
        <v>299</v>
      </c>
      <c r="F130" s="14" t="n">
        <v>0</v>
      </c>
      <c r="G130" s="14" t="n">
        <v>82.27</v>
      </c>
      <c r="H130" s="14" t="n">
        <v>0.67</v>
      </c>
      <c r="I130" s="14" t="n">
        <v>1</v>
      </c>
      <c r="J130" s="14" t="n">
        <v>0</v>
      </c>
      <c r="K130" s="14" t="n">
        <v>0</v>
      </c>
      <c r="L130" s="14" t="n">
        <v>2.34</v>
      </c>
      <c r="M130" s="14" t="n">
        <v>6.35</v>
      </c>
      <c r="N130" s="14" t="n">
        <v>1.67</v>
      </c>
      <c r="O130" s="14" t="n">
        <v>0.67</v>
      </c>
      <c r="P130" s="14" t="n">
        <v>0</v>
      </c>
      <c r="Q130" s="14" t="n">
        <v>0</v>
      </c>
      <c r="R130" s="14" t="n">
        <v>0</v>
      </c>
      <c r="S130" s="14" t="n">
        <v>0.33</v>
      </c>
      <c r="T130" s="14" t="n">
        <v>0</v>
      </c>
      <c r="U130" s="14" t="n">
        <v>1</v>
      </c>
      <c r="V130" s="14" t="n">
        <v>2.34</v>
      </c>
      <c r="W130" s="14" t="n">
        <v>1</v>
      </c>
      <c r="X130" s="14" t="n">
        <v>0</v>
      </c>
      <c r="Y130" s="14" t="n">
        <v>0.33</v>
      </c>
      <c r="Z130" s="14" t="n">
        <v>0</v>
      </c>
      <c r="AA130" s="14" t="n">
        <v>0</v>
      </c>
    </row>
    <row r="131">
      <c r="A131" t="inlineStr">
        <is>
          <t>120105</t>
        </is>
      </c>
      <c r="B131" t="inlineStr">
        <is>
          <t>JUNIN</t>
        </is>
      </c>
      <c r="C131" t="inlineStr">
        <is>
          <t>HUANCAYO</t>
        </is>
      </c>
      <c r="D131" t="inlineStr">
        <is>
          <t>CHACAPAMPA</t>
        </is>
      </c>
      <c r="E131" t="n">
        <v>354</v>
      </c>
      <c r="F131" s="14" t="n">
        <v>0</v>
      </c>
      <c r="G131" s="14" t="n">
        <v>85.88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4.8</v>
      </c>
      <c r="M131" s="14" t="n">
        <v>2.54</v>
      </c>
      <c r="N131" s="14" t="n">
        <v>0.85</v>
      </c>
      <c r="O131" s="14" t="n">
        <v>0.5600000000000001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0.85</v>
      </c>
      <c r="U131" s="14" t="n">
        <v>0.85</v>
      </c>
      <c r="V131" s="14" t="n">
        <v>2.54</v>
      </c>
      <c r="W131" s="14" t="n">
        <v>0.5600000000000001</v>
      </c>
      <c r="X131" s="14" t="n">
        <v>0</v>
      </c>
      <c r="Y131" s="14" t="n">
        <v>0.5600000000000001</v>
      </c>
      <c r="Z131" s="14" t="n">
        <v>0</v>
      </c>
      <c r="AA131" s="14" t="n">
        <v>0</v>
      </c>
    </row>
    <row r="132">
      <c r="A132" t="inlineStr">
        <is>
          <t>120106</t>
        </is>
      </c>
      <c r="B132" t="inlineStr">
        <is>
          <t>JUNIN</t>
        </is>
      </c>
      <c r="C132" t="inlineStr">
        <is>
          <t>HUANCAYO</t>
        </is>
      </c>
      <c r="D132" t="inlineStr">
        <is>
          <t>CHICCHE</t>
        </is>
      </c>
      <c r="E132" t="n">
        <v>259</v>
      </c>
      <c r="F132" s="14" t="n">
        <v>0</v>
      </c>
      <c r="G132" s="14" t="n">
        <v>76.06</v>
      </c>
      <c r="H132" s="14" t="n">
        <v>1.54</v>
      </c>
      <c r="I132" s="14" t="n">
        <v>1.54</v>
      </c>
      <c r="J132" s="14" t="n">
        <v>0</v>
      </c>
      <c r="K132" s="14" t="n">
        <v>0</v>
      </c>
      <c r="L132" s="14" t="n">
        <v>5.02</v>
      </c>
      <c r="M132" s="14" t="n">
        <v>4.25</v>
      </c>
      <c r="N132" s="14" t="n">
        <v>3.47</v>
      </c>
      <c r="O132" s="14" t="n">
        <v>2.32</v>
      </c>
      <c r="P132" s="14" t="n">
        <v>0</v>
      </c>
      <c r="Q132" s="14" t="n">
        <v>0</v>
      </c>
      <c r="R132" s="14" t="n">
        <v>0</v>
      </c>
      <c r="S132" s="14" t="n">
        <v>0</v>
      </c>
      <c r="T132" s="14" t="n">
        <v>0</v>
      </c>
      <c r="U132" s="14" t="n">
        <v>4.63</v>
      </c>
      <c r="V132" s="14" t="n">
        <v>0.77</v>
      </c>
      <c r="W132" s="14" t="n">
        <v>0</v>
      </c>
      <c r="X132" s="14" t="n">
        <v>0.39</v>
      </c>
      <c r="Y132" s="14" t="n">
        <v>0</v>
      </c>
      <c r="Z132" s="14" t="n">
        <v>0</v>
      </c>
      <c r="AA132" s="14" t="n">
        <v>0</v>
      </c>
    </row>
    <row r="133">
      <c r="A133" t="inlineStr">
        <is>
          <t>120107</t>
        </is>
      </c>
      <c r="B133" t="inlineStr">
        <is>
          <t>JUNIN</t>
        </is>
      </c>
      <c r="C133" t="inlineStr">
        <is>
          <t>HUANCAYO</t>
        </is>
      </c>
      <c r="D133" t="inlineStr">
        <is>
          <t>CHILCA</t>
        </is>
      </c>
      <c r="E133" t="n">
        <v>38390</v>
      </c>
      <c r="F133" s="14" t="n">
        <v>0</v>
      </c>
      <c r="G133" s="14" t="n">
        <v>7.01</v>
      </c>
      <c r="H133" s="14" t="n">
        <v>1.26</v>
      </c>
      <c r="I133" s="14" t="n">
        <v>8</v>
      </c>
      <c r="J133" s="14" t="n">
        <v>0.11</v>
      </c>
      <c r="K133" s="14" t="n">
        <v>0.26</v>
      </c>
      <c r="L133" s="14" t="n">
        <v>8.859999999999999</v>
      </c>
      <c r="M133" s="14" t="n">
        <v>27.38</v>
      </c>
      <c r="N133" s="14" t="n">
        <v>11.05</v>
      </c>
      <c r="O133" s="14" t="n">
        <v>8.49</v>
      </c>
      <c r="P133" s="14" t="n">
        <v>0.73</v>
      </c>
      <c r="Q133" s="14" t="n">
        <v>1.15</v>
      </c>
      <c r="R133" s="14" t="n">
        <v>0.11</v>
      </c>
      <c r="S133" s="14" t="n">
        <v>4.2</v>
      </c>
      <c r="T133" s="14" t="n">
        <v>1.58</v>
      </c>
      <c r="U133" s="14" t="n">
        <v>4.32</v>
      </c>
      <c r="V133" s="14" t="n">
        <v>7.32</v>
      </c>
      <c r="W133" s="14" t="n">
        <v>2.48</v>
      </c>
      <c r="X133" s="14" t="n">
        <v>1.76</v>
      </c>
      <c r="Y133" s="14" t="n">
        <v>2.89</v>
      </c>
      <c r="Z133" s="14" t="n">
        <v>1.06</v>
      </c>
      <c r="AA133" s="14" t="n">
        <v>0</v>
      </c>
    </row>
    <row r="134">
      <c r="A134" t="inlineStr">
        <is>
          <t>120108</t>
        </is>
      </c>
      <c r="B134" t="inlineStr">
        <is>
          <t>JUNIN</t>
        </is>
      </c>
      <c r="C134" t="inlineStr">
        <is>
          <t>HUANCAYO</t>
        </is>
      </c>
      <c r="D134" t="inlineStr">
        <is>
          <t>CHONGOS ALTO</t>
        </is>
      </c>
      <c r="E134" t="n">
        <v>823</v>
      </c>
      <c r="F134" s="14" t="n">
        <v>0</v>
      </c>
      <c r="G134" s="14" t="n">
        <v>36.82</v>
      </c>
      <c r="H134" s="14" t="n">
        <v>16.77</v>
      </c>
      <c r="I134" s="14" t="n">
        <v>0.85</v>
      </c>
      <c r="J134" s="14" t="n">
        <v>0.12</v>
      </c>
      <c r="K134" s="14" t="n">
        <v>0</v>
      </c>
      <c r="L134" s="14" t="n">
        <v>6.44</v>
      </c>
      <c r="M134" s="14" t="n">
        <v>22.72</v>
      </c>
      <c r="N134" s="14" t="n">
        <v>1.94</v>
      </c>
      <c r="O134" s="14" t="n">
        <v>3.16</v>
      </c>
      <c r="P134" s="14" t="n">
        <v>0</v>
      </c>
      <c r="Q134" s="14" t="n">
        <v>0.24</v>
      </c>
      <c r="R134" s="14" t="n">
        <v>0</v>
      </c>
      <c r="S134" s="14" t="n">
        <v>0.49</v>
      </c>
      <c r="T134" s="14" t="n">
        <v>0.61</v>
      </c>
      <c r="U134" s="14" t="n">
        <v>5.35</v>
      </c>
      <c r="V134" s="14" t="n">
        <v>1.7</v>
      </c>
      <c r="W134" s="14" t="n">
        <v>1.09</v>
      </c>
      <c r="X134" s="14" t="n">
        <v>0</v>
      </c>
      <c r="Y134" s="14" t="n">
        <v>1.46</v>
      </c>
      <c r="Z134" s="14" t="n">
        <v>0.24</v>
      </c>
      <c r="AA134" s="14" t="n">
        <v>0</v>
      </c>
    </row>
    <row r="135">
      <c r="A135" t="inlineStr">
        <is>
          <t>120111</t>
        </is>
      </c>
      <c r="B135" t="inlineStr">
        <is>
          <t>JUNIN</t>
        </is>
      </c>
      <c r="C135" t="inlineStr">
        <is>
          <t>HUANCAYO</t>
        </is>
      </c>
      <c r="D135" t="inlineStr">
        <is>
          <t>CHUPURO</t>
        </is>
      </c>
      <c r="E135" t="n">
        <v>836</v>
      </c>
      <c r="F135" s="14" t="n">
        <v>0</v>
      </c>
      <c r="G135" s="14" t="n">
        <v>51.67</v>
      </c>
      <c r="H135" s="14" t="n">
        <v>0.84</v>
      </c>
      <c r="I135" s="14" t="n">
        <v>4.43</v>
      </c>
      <c r="J135" s="14" t="n">
        <v>0</v>
      </c>
      <c r="K135" s="14" t="n">
        <v>0</v>
      </c>
      <c r="L135" s="14" t="n">
        <v>9.210000000000001</v>
      </c>
      <c r="M135" s="14" t="n">
        <v>10.65</v>
      </c>
      <c r="N135" s="14" t="n">
        <v>7.89</v>
      </c>
      <c r="O135" s="14" t="n">
        <v>3.95</v>
      </c>
      <c r="P135" s="14" t="n">
        <v>0.24</v>
      </c>
      <c r="Q135" s="14" t="n">
        <v>0.36</v>
      </c>
      <c r="R135" s="14" t="n">
        <v>0</v>
      </c>
      <c r="S135" s="14" t="n">
        <v>1.44</v>
      </c>
      <c r="T135" s="14" t="n">
        <v>1.67</v>
      </c>
      <c r="U135" s="14" t="n">
        <v>2.39</v>
      </c>
      <c r="V135" s="14" t="n">
        <v>2.51</v>
      </c>
      <c r="W135" s="14" t="n">
        <v>1.32</v>
      </c>
      <c r="X135" s="14" t="n">
        <v>0.36</v>
      </c>
      <c r="Y135" s="14" t="n">
        <v>0.72</v>
      </c>
      <c r="Z135" s="14" t="n">
        <v>0.36</v>
      </c>
      <c r="AA135" s="14" t="n">
        <v>0</v>
      </c>
    </row>
    <row r="136">
      <c r="A136" t="inlineStr">
        <is>
          <t>120112</t>
        </is>
      </c>
      <c r="B136" t="inlineStr">
        <is>
          <t>JUNIN</t>
        </is>
      </c>
      <c r="C136" t="inlineStr">
        <is>
          <t>HUANCAYO</t>
        </is>
      </c>
      <c r="D136" t="inlineStr">
        <is>
          <t>COLCA</t>
        </is>
      </c>
      <c r="E136" t="n">
        <v>555</v>
      </c>
      <c r="F136" s="14" t="n">
        <v>0</v>
      </c>
      <c r="G136" s="14" t="n">
        <v>86.67</v>
      </c>
      <c r="H136" s="14" t="n">
        <v>1.44</v>
      </c>
      <c r="I136" s="14" t="n">
        <v>0.72</v>
      </c>
      <c r="J136" s="14" t="n">
        <v>0</v>
      </c>
      <c r="K136" s="14" t="n">
        <v>0</v>
      </c>
      <c r="L136" s="14" t="n">
        <v>0.9</v>
      </c>
      <c r="M136" s="14" t="n">
        <v>4.5</v>
      </c>
      <c r="N136" s="14" t="n">
        <v>0.54</v>
      </c>
      <c r="O136" s="14" t="n">
        <v>0</v>
      </c>
      <c r="P136" s="14" t="n">
        <v>0</v>
      </c>
      <c r="Q136" s="14" t="n">
        <v>0</v>
      </c>
      <c r="R136" s="14" t="n">
        <v>0</v>
      </c>
      <c r="S136" s="14" t="n">
        <v>1.08</v>
      </c>
      <c r="T136" s="14" t="n">
        <v>0.18</v>
      </c>
      <c r="U136" s="14" t="n">
        <v>1.44</v>
      </c>
      <c r="V136" s="14" t="n">
        <v>0.72</v>
      </c>
      <c r="W136" s="14" t="n">
        <v>0.72</v>
      </c>
      <c r="X136" s="14" t="n">
        <v>0.36</v>
      </c>
      <c r="Y136" s="14" t="n">
        <v>0.54</v>
      </c>
      <c r="Z136" s="14" t="n">
        <v>0.18</v>
      </c>
      <c r="AA136" s="14" t="n">
        <v>0</v>
      </c>
    </row>
    <row r="137">
      <c r="A137" t="inlineStr">
        <is>
          <t>120113</t>
        </is>
      </c>
      <c r="B137" t="inlineStr">
        <is>
          <t>JUNIN</t>
        </is>
      </c>
      <c r="C137" t="inlineStr">
        <is>
          <t>HUANCAYO</t>
        </is>
      </c>
      <c r="D137" t="inlineStr">
        <is>
          <t>CULLHUAS</t>
        </is>
      </c>
      <c r="E137" t="n">
        <v>702</v>
      </c>
      <c r="F137" s="14" t="n">
        <v>0</v>
      </c>
      <c r="G137" s="14" t="n">
        <v>93.02</v>
      </c>
      <c r="H137" s="14" t="n">
        <v>0</v>
      </c>
      <c r="I137" s="14" t="n">
        <v>0.14</v>
      </c>
      <c r="J137" s="14" t="n">
        <v>0</v>
      </c>
      <c r="K137" s="14" t="n">
        <v>0</v>
      </c>
      <c r="L137" s="14" t="n">
        <v>0.43</v>
      </c>
      <c r="M137" s="14" t="n">
        <v>2.71</v>
      </c>
      <c r="N137" s="14" t="n">
        <v>1.28</v>
      </c>
      <c r="O137" s="14" t="n">
        <v>0.85</v>
      </c>
      <c r="P137" s="14" t="n">
        <v>0</v>
      </c>
      <c r="Q137" s="14" t="n">
        <v>0.14</v>
      </c>
      <c r="R137" s="14" t="n">
        <v>0</v>
      </c>
      <c r="S137" s="14" t="n">
        <v>0</v>
      </c>
      <c r="T137" s="14" t="n">
        <v>0</v>
      </c>
      <c r="U137" s="14" t="n">
        <v>0.57</v>
      </c>
      <c r="V137" s="14" t="n">
        <v>0</v>
      </c>
      <c r="W137" s="14" t="n">
        <v>0.28</v>
      </c>
      <c r="X137" s="14" t="n">
        <v>0.28</v>
      </c>
      <c r="Y137" s="14" t="n">
        <v>0</v>
      </c>
      <c r="Z137" s="14" t="n">
        <v>0.28</v>
      </c>
      <c r="AA137" s="14" t="n">
        <v>0</v>
      </c>
    </row>
    <row r="138">
      <c r="A138" t="inlineStr">
        <is>
          <t>120114</t>
        </is>
      </c>
      <c r="B138" t="inlineStr">
        <is>
          <t>JUNIN</t>
        </is>
      </c>
      <c r="C138" t="inlineStr">
        <is>
          <t>HUANCAYO</t>
        </is>
      </c>
      <c r="D138" t="inlineStr">
        <is>
          <t>EL TAMBO</t>
        </is>
      </c>
      <c r="E138" t="n">
        <v>73929</v>
      </c>
      <c r="F138" s="14" t="n">
        <v>0.001</v>
      </c>
      <c r="G138" s="14" t="n">
        <v>3.77</v>
      </c>
      <c r="H138" s="14" t="n">
        <v>1.68</v>
      </c>
      <c r="I138" s="14" t="n">
        <v>6.89</v>
      </c>
      <c r="J138" s="14" t="n">
        <v>0.19</v>
      </c>
      <c r="K138" s="14" t="n">
        <v>0.2</v>
      </c>
      <c r="L138" s="14" t="n">
        <v>7.78</v>
      </c>
      <c r="M138" s="14" t="n">
        <v>23.53</v>
      </c>
      <c r="N138" s="14" t="n">
        <v>8.6</v>
      </c>
      <c r="O138" s="14" t="n">
        <v>6.95</v>
      </c>
      <c r="P138" s="14" t="n">
        <v>1.39</v>
      </c>
      <c r="Q138" s="14" t="n">
        <v>1.91</v>
      </c>
      <c r="R138" s="14" t="n">
        <v>0.19</v>
      </c>
      <c r="S138" s="14" t="n">
        <v>8.09</v>
      </c>
      <c r="T138" s="14" t="n">
        <v>2.83</v>
      </c>
      <c r="U138" s="14" t="n">
        <v>4.74</v>
      </c>
      <c r="V138" s="14" t="n">
        <v>10.98</v>
      </c>
      <c r="W138" s="14" t="n">
        <v>4.52</v>
      </c>
      <c r="X138" s="14" t="n">
        <v>1.32</v>
      </c>
      <c r="Y138" s="14" t="n">
        <v>3.25</v>
      </c>
      <c r="Z138" s="14" t="n">
        <v>1.17</v>
      </c>
      <c r="AA138" s="14" t="n">
        <v>0</v>
      </c>
    </row>
    <row r="139">
      <c r="A139" t="inlineStr">
        <is>
          <t>120116</t>
        </is>
      </c>
      <c r="B139" t="inlineStr">
        <is>
          <t>JUNIN</t>
        </is>
      </c>
      <c r="C139" t="inlineStr">
        <is>
          <t>HUANCAYO</t>
        </is>
      </c>
      <c r="D139" t="inlineStr">
        <is>
          <t>HUACRAPUQUIO</t>
        </is>
      </c>
      <c r="E139" t="n">
        <v>622</v>
      </c>
      <c r="F139" s="14" t="n">
        <v>0</v>
      </c>
      <c r="G139" s="14" t="n">
        <v>73.79000000000001</v>
      </c>
      <c r="H139" s="14" t="n">
        <v>0.32</v>
      </c>
      <c r="I139" s="14" t="n">
        <v>4.34</v>
      </c>
      <c r="J139" s="14" t="n">
        <v>0</v>
      </c>
      <c r="K139" s="14" t="n">
        <v>0</v>
      </c>
      <c r="L139" s="14" t="n">
        <v>3.38</v>
      </c>
      <c r="M139" s="14" t="n">
        <v>6.43</v>
      </c>
      <c r="N139" s="14" t="n">
        <v>3.7</v>
      </c>
      <c r="O139" s="14" t="n">
        <v>2.09</v>
      </c>
      <c r="P139" s="14" t="n">
        <v>0.16</v>
      </c>
      <c r="Q139" s="14" t="n">
        <v>0.32</v>
      </c>
      <c r="R139" s="14" t="n">
        <v>0</v>
      </c>
      <c r="S139" s="14" t="n">
        <v>1.93</v>
      </c>
      <c r="T139" s="14" t="n">
        <v>0</v>
      </c>
      <c r="U139" s="14" t="n">
        <v>0.64</v>
      </c>
      <c r="V139" s="14" t="n">
        <v>0.64</v>
      </c>
      <c r="W139" s="14" t="n">
        <v>0.64</v>
      </c>
      <c r="X139" s="14" t="n">
        <v>0.48</v>
      </c>
      <c r="Y139" s="14" t="n">
        <v>0.48</v>
      </c>
      <c r="Z139" s="14" t="n">
        <v>0.64</v>
      </c>
      <c r="AA139" s="14" t="n">
        <v>0</v>
      </c>
    </row>
    <row r="140">
      <c r="A140" t="inlineStr">
        <is>
          <t>120117</t>
        </is>
      </c>
      <c r="B140" t="inlineStr">
        <is>
          <t>JUNIN</t>
        </is>
      </c>
      <c r="C140" t="inlineStr">
        <is>
          <t>HUANCAYO</t>
        </is>
      </c>
      <c r="D140" t="inlineStr">
        <is>
          <t>HUALHUAS</t>
        </is>
      </c>
      <c r="E140" t="n">
        <v>1922</v>
      </c>
      <c r="F140" s="14" t="n">
        <v>0</v>
      </c>
      <c r="G140" s="14" t="n">
        <v>20.97</v>
      </c>
      <c r="H140" s="14" t="n">
        <v>1.66</v>
      </c>
      <c r="I140" s="14" t="n">
        <v>10.98</v>
      </c>
      <c r="J140" s="14" t="n">
        <v>0.26</v>
      </c>
      <c r="K140" s="14" t="n">
        <v>0.16</v>
      </c>
      <c r="L140" s="14" t="n">
        <v>10.04</v>
      </c>
      <c r="M140" s="14" t="n">
        <v>15.92</v>
      </c>
      <c r="N140" s="14" t="n">
        <v>12.54</v>
      </c>
      <c r="O140" s="14" t="n">
        <v>4.58</v>
      </c>
      <c r="P140" s="14" t="n">
        <v>0.73</v>
      </c>
      <c r="Q140" s="14" t="n">
        <v>0.62</v>
      </c>
      <c r="R140" s="14" t="n">
        <v>0.1</v>
      </c>
      <c r="S140" s="14" t="n">
        <v>3.85</v>
      </c>
      <c r="T140" s="14" t="n">
        <v>2.03</v>
      </c>
      <c r="U140" s="14" t="n">
        <v>2.97</v>
      </c>
      <c r="V140" s="14" t="n">
        <v>6.04</v>
      </c>
      <c r="W140" s="14" t="n">
        <v>2.34</v>
      </c>
      <c r="X140" s="14" t="n">
        <v>0.73</v>
      </c>
      <c r="Y140" s="14" t="n">
        <v>2.5</v>
      </c>
      <c r="Z140" s="14" t="n">
        <v>0.99</v>
      </c>
      <c r="AA140" s="14" t="n">
        <v>0</v>
      </c>
    </row>
    <row r="141">
      <c r="A141" t="inlineStr">
        <is>
          <t>120119</t>
        </is>
      </c>
      <c r="B141" t="inlineStr">
        <is>
          <t>JUNIN</t>
        </is>
      </c>
      <c r="C141" t="inlineStr">
        <is>
          <t>HUANCAYO</t>
        </is>
      </c>
      <c r="D141" t="inlineStr">
        <is>
          <t>HUANCAN</t>
        </is>
      </c>
      <c r="E141" t="n">
        <v>9301</v>
      </c>
      <c r="F141" s="14" t="n">
        <v>0</v>
      </c>
      <c r="G141" s="14" t="n">
        <v>16.64</v>
      </c>
      <c r="H141" s="14" t="n">
        <v>1.63</v>
      </c>
      <c r="I141" s="14" t="n">
        <v>8.26</v>
      </c>
      <c r="J141" s="14" t="n">
        <v>0.04</v>
      </c>
      <c r="K141" s="14" t="n">
        <v>0.24</v>
      </c>
      <c r="L141" s="14" t="n">
        <v>11.87</v>
      </c>
      <c r="M141" s="14" t="n">
        <v>22.12</v>
      </c>
      <c r="N141" s="14" t="n">
        <v>12.92</v>
      </c>
      <c r="O141" s="14" t="n">
        <v>7.06</v>
      </c>
      <c r="P141" s="14" t="n">
        <v>0.59</v>
      </c>
      <c r="Q141" s="14" t="n">
        <v>0.54</v>
      </c>
      <c r="R141" s="14" t="n">
        <v>0.11</v>
      </c>
      <c r="S141" s="14" t="n">
        <v>3.1</v>
      </c>
      <c r="T141" s="14" t="n">
        <v>1.59</v>
      </c>
      <c r="U141" s="14" t="n">
        <v>2.58</v>
      </c>
      <c r="V141" s="14" t="n">
        <v>4.14</v>
      </c>
      <c r="W141" s="14" t="n">
        <v>1.49</v>
      </c>
      <c r="X141" s="14" t="n">
        <v>1.26</v>
      </c>
      <c r="Y141" s="14" t="n">
        <v>2.72</v>
      </c>
      <c r="Z141" s="14" t="n">
        <v>1.1</v>
      </c>
      <c r="AA141" s="14" t="n">
        <v>0</v>
      </c>
    </row>
    <row r="142">
      <c r="A142" t="inlineStr">
        <is>
          <t>120120</t>
        </is>
      </c>
      <c r="B142" t="inlineStr">
        <is>
          <t>JUNIN</t>
        </is>
      </c>
      <c r="C142" t="inlineStr">
        <is>
          <t>HUANCAYO</t>
        </is>
      </c>
      <c r="D142" t="inlineStr">
        <is>
          <t>HUASICANCHA</t>
        </is>
      </c>
      <c r="E142" t="n">
        <v>284</v>
      </c>
      <c r="F142" s="14" t="n">
        <v>0</v>
      </c>
      <c r="G142" s="14" t="n">
        <v>61.62</v>
      </c>
      <c r="H142" s="14" t="n">
        <v>2.82</v>
      </c>
      <c r="I142" s="14" t="n">
        <v>1.76</v>
      </c>
      <c r="J142" s="14" t="n">
        <v>0</v>
      </c>
      <c r="K142" s="14" t="n">
        <v>0</v>
      </c>
      <c r="L142" s="14" t="n">
        <v>6.34</v>
      </c>
      <c r="M142" s="14" t="n">
        <v>10.92</v>
      </c>
      <c r="N142" s="14" t="n">
        <v>2.82</v>
      </c>
      <c r="O142" s="14" t="n">
        <v>2.46</v>
      </c>
      <c r="P142" s="14" t="n">
        <v>0</v>
      </c>
      <c r="Q142" s="14" t="n">
        <v>0</v>
      </c>
      <c r="R142" s="14" t="n">
        <v>0</v>
      </c>
      <c r="S142" s="14" t="n">
        <v>3.17</v>
      </c>
      <c r="T142" s="14" t="n">
        <v>0</v>
      </c>
      <c r="U142" s="14" t="n">
        <v>1.41</v>
      </c>
      <c r="V142" s="14" t="n">
        <v>2.82</v>
      </c>
      <c r="W142" s="14" t="n">
        <v>1.76</v>
      </c>
      <c r="X142" s="14" t="n">
        <v>1.06</v>
      </c>
      <c r="Y142" s="14" t="n">
        <v>0.7</v>
      </c>
      <c r="Z142" s="14" t="n">
        <v>0.35</v>
      </c>
      <c r="AA142" s="14" t="n">
        <v>0</v>
      </c>
    </row>
    <row r="143">
      <c r="A143" t="inlineStr">
        <is>
          <t>120121</t>
        </is>
      </c>
      <c r="B143" t="inlineStr">
        <is>
          <t>JUNIN</t>
        </is>
      </c>
      <c r="C143" t="inlineStr">
        <is>
          <t>HUANCAYO</t>
        </is>
      </c>
      <c r="D143" t="inlineStr">
        <is>
          <t>HUAYUCACHI</t>
        </is>
      </c>
      <c r="E143" t="n">
        <v>3817</v>
      </c>
      <c r="F143" s="14" t="n">
        <v>0</v>
      </c>
      <c r="G143" s="14" t="n">
        <v>31.23</v>
      </c>
      <c r="H143" s="14" t="n">
        <v>0.84</v>
      </c>
      <c r="I143" s="14" t="n">
        <v>5.87</v>
      </c>
      <c r="J143" s="14" t="n">
        <v>0.39</v>
      </c>
      <c r="K143" s="14" t="n">
        <v>0.03</v>
      </c>
      <c r="L143" s="14" t="n">
        <v>7.6</v>
      </c>
      <c r="M143" s="14" t="n">
        <v>18.13</v>
      </c>
      <c r="N143" s="14" t="n">
        <v>11.76</v>
      </c>
      <c r="O143" s="14" t="n">
        <v>5.21</v>
      </c>
      <c r="P143" s="14" t="n">
        <v>0.63</v>
      </c>
      <c r="Q143" s="14" t="n">
        <v>0.5</v>
      </c>
      <c r="R143" s="14" t="n">
        <v>0.03</v>
      </c>
      <c r="S143" s="14" t="n">
        <v>3.01</v>
      </c>
      <c r="T143" s="14" t="n">
        <v>1.39</v>
      </c>
      <c r="U143" s="14" t="n">
        <v>2.91</v>
      </c>
      <c r="V143" s="14" t="n">
        <v>4.45</v>
      </c>
      <c r="W143" s="14" t="n">
        <v>2.02</v>
      </c>
      <c r="X143" s="14" t="n">
        <v>1.07</v>
      </c>
      <c r="Y143" s="14" t="n">
        <v>1.81</v>
      </c>
      <c r="Z143" s="14" t="n">
        <v>1.13</v>
      </c>
      <c r="AA143" s="14" t="n">
        <v>0</v>
      </c>
    </row>
    <row r="144">
      <c r="A144" t="inlineStr">
        <is>
          <t>120122</t>
        </is>
      </c>
      <c r="B144" t="inlineStr">
        <is>
          <t>JUNIN</t>
        </is>
      </c>
      <c r="C144" t="inlineStr">
        <is>
          <t>HUANCAYO</t>
        </is>
      </c>
      <c r="D144" t="inlineStr">
        <is>
          <t>INGENIO</t>
        </is>
      </c>
      <c r="E144" t="n">
        <v>879</v>
      </c>
      <c r="F144" s="14" t="n">
        <v>0</v>
      </c>
      <c r="G144" s="14" t="n">
        <v>45.73</v>
      </c>
      <c r="H144" s="14" t="n">
        <v>5.46</v>
      </c>
      <c r="I144" s="14" t="n">
        <v>2.28</v>
      </c>
      <c r="J144" s="14" t="n">
        <v>0</v>
      </c>
      <c r="K144" s="14" t="n">
        <v>0</v>
      </c>
      <c r="L144" s="14" t="n">
        <v>6.03</v>
      </c>
      <c r="M144" s="14" t="n">
        <v>9.1</v>
      </c>
      <c r="N144" s="14" t="n">
        <v>8.300000000000001</v>
      </c>
      <c r="O144" s="14" t="n">
        <v>14.56</v>
      </c>
      <c r="P144" s="14" t="n">
        <v>0.11</v>
      </c>
      <c r="Q144" s="14" t="n">
        <v>0.23</v>
      </c>
      <c r="R144" s="14" t="n">
        <v>0</v>
      </c>
      <c r="S144" s="14" t="n">
        <v>1.25</v>
      </c>
      <c r="T144" s="14" t="n">
        <v>0.8</v>
      </c>
      <c r="U144" s="14" t="n">
        <v>3.19</v>
      </c>
      <c r="V144" s="14" t="n">
        <v>1.02</v>
      </c>
      <c r="W144" s="14" t="n">
        <v>0.46</v>
      </c>
      <c r="X144" s="14" t="n">
        <v>0.11</v>
      </c>
      <c r="Y144" s="14" t="n">
        <v>0.91</v>
      </c>
      <c r="Z144" s="14" t="n">
        <v>0.46</v>
      </c>
      <c r="AA144" s="14" t="n">
        <v>0</v>
      </c>
    </row>
    <row r="145">
      <c r="A145" t="inlineStr">
        <is>
          <t>120124</t>
        </is>
      </c>
      <c r="B145" t="inlineStr">
        <is>
          <t>JUNIN</t>
        </is>
      </c>
      <c r="C145" t="inlineStr">
        <is>
          <t>HUANCAYO</t>
        </is>
      </c>
      <c r="D145" t="inlineStr">
        <is>
          <t>PARIAHUANCA</t>
        </is>
      </c>
      <c r="E145" t="n">
        <v>1226</v>
      </c>
      <c r="F145" s="14" t="n">
        <v>0</v>
      </c>
      <c r="G145" s="14" t="n">
        <v>93.47</v>
      </c>
      <c r="H145" s="14" t="n">
        <v>0.08</v>
      </c>
      <c r="I145" s="14" t="n">
        <v>0.24</v>
      </c>
      <c r="J145" s="14" t="n">
        <v>0</v>
      </c>
      <c r="K145" s="14" t="n">
        <v>0</v>
      </c>
      <c r="L145" s="14" t="n">
        <v>0.65</v>
      </c>
      <c r="M145" s="14" t="n">
        <v>1.79</v>
      </c>
      <c r="N145" s="14" t="n">
        <v>0.65</v>
      </c>
      <c r="O145" s="14" t="n">
        <v>0.57</v>
      </c>
      <c r="P145" s="14" t="n">
        <v>0</v>
      </c>
      <c r="Q145" s="14" t="n">
        <v>0</v>
      </c>
      <c r="R145" s="14" t="n">
        <v>0</v>
      </c>
      <c r="S145" s="14" t="n">
        <v>0.24</v>
      </c>
      <c r="T145" s="14" t="n">
        <v>0.08</v>
      </c>
      <c r="U145" s="14" t="n">
        <v>0.65</v>
      </c>
      <c r="V145" s="14" t="n">
        <v>0.41</v>
      </c>
      <c r="W145" s="14" t="n">
        <v>0.16</v>
      </c>
      <c r="X145" s="14" t="n">
        <v>0</v>
      </c>
      <c r="Y145" s="14" t="n">
        <v>0.9</v>
      </c>
      <c r="Z145" s="14" t="n">
        <v>0.08</v>
      </c>
      <c r="AA145" s="14" t="n">
        <v>0</v>
      </c>
    </row>
    <row r="146">
      <c r="A146" t="inlineStr">
        <is>
          <t>120125</t>
        </is>
      </c>
      <c r="B146" t="inlineStr">
        <is>
          <t>JUNIN</t>
        </is>
      </c>
      <c r="C146" t="inlineStr">
        <is>
          <t>HUANCAYO</t>
        </is>
      </c>
      <c r="D146" t="inlineStr">
        <is>
          <t>PILCOMAYO</t>
        </is>
      </c>
      <c r="E146" t="n">
        <v>7697</v>
      </c>
      <c r="F146" s="14" t="n">
        <v>0</v>
      </c>
      <c r="G146" s="14" t="n">
        <v>11.54</v>
      </c>
      <c r="H146" s="14" t="n">
        <v>2.34</v>
      </c>
      <c r="I146" s="14" t="n">
        <v>5.7</v>
      </c>
      <c r="J146" s="14" t="n">
        <v>0.22</v>
      </c>
      <c r="K146" s="14" t="n">
        <v>0.26</v>
      </c>
      <c r="L146" s="14" t="n">
        <v>10.02</v>
      </c>
      <c r="M146" s="14" t="n">
        <v>21.11</v>
      </c>
      <c r="N146" s="14" t="n">
        <v>11.41</v>
      </c>
      <c r="O146" s="14" t="n">
        <v>7.63</v>
      </c>
      <c r="P146" s="14" t="n">
        <v>0.68</v>
      </c>
      <c r="Q146" s="14" t="n">
        <v>1.18</v>
      </c>
      <c r="R146" s="14" t="n">
        <v>0.21</v>
      </c>
      <c r="S146" s="14" t="n">
        <v>4.55</v>
      </c>
      <c r="T146" s="14" t="n">
        <v>2</v>
      </c>
      <c r="U146" s="14" t="n">
        <v>3.86</v>
      </c>
      <c r="V146" s="14" t="n">
        <v>9.539999999999999</v>
      </c>
      <c r="W146" s="14" t="n">
        <v>3</v>
      </c>
      <c r="X146" s="14" t="n">
        <v>0.96</v>
      </c>
      <c r="Y146" s="14" t="n">
        <v>2.46</v>
      </c>
      <c r="Z146" s="14" t="n">
        <v>1.35</v>
      </c>
      <c r="AA146" s="14" t="n">
        <v>0</v>
      </c>
    </row>
    <row r="147">
      <c r="A147" t="inlineStr">
        <is>
          <t>120126</t>
        </is>
      </c>
      <c r="B147" t="inlineStr">
        <is>
          <t>JUNIN</t>
        </is>
      </c>
      <c r="C147" t="inlineStr">
        <is>
          <t>HUANCAYO</t>
        </is>
      </c>
      <c r="D147" t="inlineStr">
        <is>
          <t>PUCARA</t>
        </is>
      </c>
      <c r="E147" t="n">
        <v>2330</v>
      </c>
      <c r="F147" s="14" t="n">
        <v>0</v>
      </c>
      <c r="G147" s="14" t="n">
        <v>64.64</v>
      </c>
      <c r="H147" s="14" t="n">
        <v>0.21</v>
      </c>
      <c r="I147" s="14" t="n">
        <v>1.93</v>
      </c>
      <c r="J147" s="14" t="n">
        <v>0</v>
      </c>
      <c r="K147" s="14" t="n">
        <v>0.09</v>
      </c>
      <c r="L147" s="14" t="n">
        <v>4.51</v>
      </c>
      <c r="M147" s="14" t="n">
        <v>10.09</v>
      </c>
      <c r="N147" s="14" t="n">
        <v>6.7</v>
      </c>
      <c r="O147" s="14" t="n">
        <v>2.23</v>
      </c>
      <c r="P147" s="14" t="n">
        <v>0.13</v>
      </c>
      <c r="Q147" s="14" t="n">
        <v>0.13</v>
      </c>
      <c r="R147" s="14" t="n">
        <v>0</v>
      </c>
      <c r="S147" s="14" t="n">
        <v>1.93</v>
      </c>
      <c r="T147" s="14" t="n">
        <v>0.39</v>
      </c>
      <c r="U147" s="14" t="n">
        <v>1.8</v>
      </c>
      <c r="V147" s="14" t="n">
        <v>2.88</v>
      </c>
      <c r="W147" s="14" t="n">
        <v>0.99</v>
      </c>
      <c r="X147" s="14" t="n">
        <v>0.34</v>
      </c>
      <c r="Y147" s="14" t="n">
        <v>0.6899999999999999</v>
      </c>
      <c r="Z147" s="14" t="n">
        <v>0.34</v>
      </c>
      <c r="AA147" s="14" t="n">
        <v>0</v>
      </c>
    </row>
    <row r="148">
      <c r="A148" t="inlineStr">
        <is>
          <t>120127</t>
        </is>
      </c>
      <c r="B148" t="inlineStr">
        <is>
          <t>JUNIN</t>
        </is>
      </c>
      <c r="C148" t="inlineStr">
        <is>
          <t>HUANCAYO</t>
        </is>
      </c>
      <c r="D148" t="inlineStr">
        <is>
          <t>QUICHUAY</t>
        </is>
      </c>
      <c r="E148" t="n">
        <v>626</v>
      </c>
      <c r="F148" s="14" t="n">
        <v>0</v>
      </c>
      <c r="G148" s="14" t="n">
        <v>48.56</v>
      </c>
      <c r="H148" s="14" t="n">
        <v>2.56</v>
      </c>
      <c r="I148" s="14" t="n">
        <v>3.67</v>
      </c>
      <c r="J148" s="14" t="n">
        <v>0.16</v>
      </c>
      <c r="K148" s="14" t="n">
        <v>0</v>
      </c>
      <c r="L148" s="14" t="n">
        <v>7.03</v>
      </c>
      <c r="M148" s="14" t="n">
        <v>8.15</v>
      </c>
      <c r="N148" s="14" t="n">
        <v>12.94</v>
      </c>
      <c r="O148" s="14" t="n">
        <v>5.43</v>
      </c>
      <c r="P148" s="14" t="n">
        <v>0.32</v>
      </c>
      <c r="Q148" s="14" t="n">
        <v>0.16</v>
      </c>
      <c r="R148" s="14" t="n">
        <v>0</v>
      </c>
      <c r="S148" s="14" t="n">
        <v>1.28</v>
      </c>
      <c r="T148" s="14" t="n">
        <v>1.44</v>
      </c>
      <c r="U148" s="14" t="n">
        <v>1.92</v>
      </c>
      <c r="V148" s="14" t="n">
        <v>3.35</v>
      </c>
      <c r="W148" s="14" t="n">
        <v>0.96</v>
      </c>
      <c r="X148" s="14" t="n">
        <v>0.8</v>
      </c>
      <c r="Y148" s="14" t="n">
        <v>1.28</v>
      </c>
      <c r="Z148" s="14" t="n">
        <v>0</v>
      </c>
      <c r="AA148" s="14" t="n">
        <v>0</v>
      </c>
    </row>
    <row r="149">
      <c r="A149" t="inlineStr">
        <is>
          <t>120128</t>
        </is>
      </c>
      <c r="B149" t="inlineStr">
        <is>
          <t>JUNIN</t>
        </is>
      </c>
      <c r="C149" t="inlineStr">
        <is>
          <t>HUANCAYO</t>
        </is>
      </c>
      <c r="D149" t="inlineStr">
        <is>
          <t>QUILCAS</t>
        </is>
      </c>
      <c r="E149" t="n">
        <v>1267</v>
      </c>
      <c r="F149" s="14" t="n">
        <v>0</v>
      </c>
      <c r="G149" s="14" t="n">
        <v>36.23</v>
      </c>
      <c r="H149" s="14" t="n">
        <v>4.5</v>
      </c>
      <c r="I149" s="14" t="n">
        <v>6.95</v>
      </c>
      <c r="J149" s="14" t="n">
        <v>0</v>
      </c>
      <c r="K149" s="14" t="n">
        <v>0.08</v>
      </c>
      <c r="L149" s="14" t="n">
        <v>7.02</v>
      </c>
      <c r="M149" s="14" t="n">
        <v>12.39</v>
      </c>
      <c r="N149" s="14" t="n">
        <v>10.58</v>
      </c>
      <c r="O149" s="14" t="n">
        <v>5.29</v>
      </c>
      <c r="P149" s="14" t="n">
        <v>0.24</v>
      </c>
      <c r="Q149" s="14" t="n">
        <v>0.32</v>
      </c>
      <c r="R149" s="14" t="n">
        <v>0</v>
      </c>
      <c r="S149" s="14" t="n">
        <v>1.97</v>
      </c>
      <c r="T149" s="14" t="n">
        <v>0.79</v>
      </c>
      <c r="U149" s="14" t="n">
        <v>3.55</v>
      </c>
      <c r="V149" s="14" t="n">
        <v>5.13</v>
      </c>
      <c r="W149" s="14" t="n">
        <v>1.82</v>
      </c>
      <c r="X149" s="14" t="n">
        <v>0.87</v>
      </c>
      <c r="Y149" s="14" t="n">
        <v>1.58</v>
      </c>
      <c r="Z149" s="14" t="n">
        <v>0.71</v>
      </c>
      <c r="AA149" s="14" t="n">
        <v>0</v>
      </c>
    </row>
    <row r="150">
      <c r="A150" t="inlineStr">
        <is>
          <t>120129</t>
        </is>
      </c>
      <c r="B150" t="inlineStr">
        <is>
          <t>JUNIN</t>
        </is>
      </c>
      <c r="C150" t="inlineStr">
        <is>
          <t>HUANCAYO</t>
        </is>
      </c>
      <c r="D150" t="inlineStr">
        <is>
          <t>SAN AGUSTIN</t>
        </is>
      </c>
      <c r="E150" t="n">
        <v>5750</v>
      </c>
      <c r="F150" s="14" t="n">
        <v>0</v>
      </c>
      <c r="G150" s="14" t="n">
        <v>14.38</v>
      </c>
      <c r="H150" s="14" t="n">
        <v>2.3</v>
      </c>
      <c r="I150" s="14" t="n">
        <v>9.6</v>
      </c>
      <c r="J150" s="14" t="n">
        <v>0.26</v>
      </c>
      <c r="K150" s="14" t="n">
        <v>0.14</v>
      </c>
      <c r="L150" s="14" t="n">
        <v>8.24</v>
      </c>
      <c r="M150" s="14" t="n">
        <v>21.46</v>
      </c>
      <c r="N150" s="14" t="n">
        <v>12.78</v>
      </c>
      <c r="O150" s="14" t="n">
        <v>7.11</v>
      </c>
      <c r="P150" s="14" t="n">
        <v>0.8</v>
      </c>
      <c r="Q150" s="14" t="n">
        <v>0.9399999999999999</v>
      </c>
      <c r="R150" s="14" t="n">
        <v>0.05</v>
      </c>
      <c r="S150" s="14" t="n">
        <v>3.41</v>
      </c>
      <c r="T150" s="14" t="n">
        <v>1.93</v>
      </c>
      <c r="U150" s="14" t="n">
        <v>2.99</v>
      </c>
      <c r="V150" s="14" t="n">
        <v>6.38</v>
      </c>
      <c r="W150" s="14" t="n">
        <v>2.38</v>
      </c>
      <c r="X150" s="14" t="n">
        <v>0.99</v>
      </c>
      <c r="Y150" s="14" t="n">
        <v>2.77</v>
      </c>
      <c r="Z150" s="14" t="n">
        <v>1.08</v>
      </c>
      <c r="AA150" s="14" t="n">
        <v>0</v>
      </c>
    </row>
    <row r="151">
      <c r="A151" t="inlineStr">
        <is>
          <t>120130</t>
        </is>
      </c>
      <c r="B151" t="inlineStr">
        <is>
          <t>JUNIN</t>
        </is>
      </c>
      <c r="C151" t="inlineStr">
        <is>
          <t>HUANCAYO</t>
        </is>
      </c>
      <c r="D151" t="inlineStr">
        <is>
          <t>SAN JERONIMO DE TUNAN</t>
        </is>
      </c>
      <c r="E151" t="n">
        <v>4252</v>
      </c>
      <c r="F151" s="14" t="n">
        <v>0</v>
      </c>
      <c r="G151" s="14" t="n">
        <v>13.76</v>
      </c>
      <c r="H151" s="14" t="n">
        <v>3.53</v>
      </c>
      <c r="I151" s="14" t="n">
        <v>7.76</v>
      </c>
      <c r="J151" s="14" t="n">
        <v>0.26</v>
      </c>
      <c r="K151" s="14" t="n">
        <v>0.02</v>
      </c>
      <c r="L151" s="14" t="n">
        <v>9.289999999999999</v>
      </c>
      <c r="M151" s="14" t="n">
        <v>20.91</v>
      </c>
      <c r="N151" s="14" t="n">
        <v>10.42</v>
      </c>
      <c r="O151" s="14" t="n">
        <v>6.84</v>
      </c>
      <c r="P151" s="14" t="n">
        <v>0.68</v>
      </c>
      <c r="Q151" s="14" t="n">
        <v>1.01</v>
      </c>
      <c r="R151" s="14" t="n">
        <v>0.07000000000000001</v>
      </c>
      <c r="S151" s="14" t="n">
        <v>2.96</v>
      </c>
      <c r="T151" s="14" t="n">
        <v>2.05</v>
      </c>
      <c r="U151" s="14" t="n">
        <v>3.81</v>
      </c>
      <c r="V151" s="14" t="n">
        <v>9.050000000000001</v>
      </c>
      <c r="W151" s="14" t="n">
        <v>2.85</v>
      </c>
      <c r="X151" s="14" t="n">
        <v>0.82</v>
      </c>
      <c r="Y151" s="14" t="n">
        <v>2.75</v>
      </c>
      <c r="Z151" s="14" t="n">
        <v>1.13</v>
      </c>
      <c r="AA151" s="14" t="n">
        <v>0.02</v>
      </c>
    </row>
    <row r="152">
      <c r="A152" t="inlineStr">
        <is>
          <t>120132</t>
        </is>
      </c>
      <c r="B152" t="inlineStr">
        <is>
          <t>JUNIN</t>
        </is>
      </c>
      <c r="C152" t="inlineStr">
        <is>
          <t>HUANCAYO</t>
        </is>
      </c>
      <c r="D152" t="inlineStr">
        <is>
          <t>SAÑO</t>
        </is>
      </c>
      <c r="E152" t="n">
        <v>1791</v>
      </c>
      <c r="F152" s="14" t="n">
        <v>0</v>
      </c>
      <c r="G152" s="14" t="n">
        <v>26.3</v>
      </c>
      <c r="H152" s="14" t="n">
        <v>2.68</v>
      </c>
      <c r="I152" s="14" t="n">
        <v>11.11</v>
      </c>
      <c r="J152" s="14" t="n">
        <v>0.11</v>
      </c>
      <c r="K152" s="14" t="n">
        <v>0</v>
      </c>
      <c r="L152" s="14" t="n">
        <v>7.54</v>
      </c>
      <c r="M152" s="14" t="n">
        <v>15.19</v>
      </c>
      <c r="N152" s="14" t="n">
        <v>11.28</v>
      </c>
      <c r="O152" s="14" t="n">
        <v>5.03</v>
      </c>
      <c r="P152" s="14" t="n">
        <v>0.73</v>
      </c>
      <c r="Q152" s="14" t="n">
        <v>0.5600000000000001</v>
      </c>
      <c r="R152" s="14" t="n">
        <v>0.28</v>
      </c>
      <c r="S152" s="14" t="n">
        <v>2.9</v>
      </c>
      <c r="T152" s="14" t="n">
        <v>0.95</v>
      </c>
      <c r="U152" s="14" t="n">
        <v>3.46</v>
      </c>
      <c r="V152" s="14" t="n">
        <v>6.42</v>
      </c>
      <c r="W152" s="14" t="n">
        <v>2.23</v>
      </c>
      <c r="X152" s="14" t="n">
        <v>0.5600000000000001</v>
      </c>
      <c r="Y152" s="14" t="n">
        <v>1.84</v>
      </c>
      <c r="Z152" s="14" t="n">
        <v>0.84</v>
      </c>
      <c r="AA152" s="14" t="n">
        <v>0</v>
      </c>
    </row>
    <row r="153">
      <c r="A153" t="inlineStr">
        <is>
          <t>120133</t>
        </is>
      </c>
      <c r="B153" t="inlineStr">
        <is>
          <t>JUNIN</t>
        </is>
      </c>
      <c r="C153" t="inlineStr">
        <is>
          <t>HUANCAYO</t>
        </is>
      </c>
      <c r="D153" t="inlineStr">
        <is>
          <t>SAPALLANGA</t>
        </is>
      </c>
      <c r="E153" t="n">
        <v>8667</v>
      </c>
      <c r="F153" s="14" t="n">
        <v>0</v>
      </c>
      <c r="G153" s="14" t="n">
        <v>32.83</v>
      </c>
      <c r="H153" s="14" t="n">
        <v>0.8100000000000001</v>
      </c>
      <c r="I153" s="14" t="n">
        <v>7.02</v>
      </c>
      <c r="J153" s="14" t="n">
        <v>0.05</v>
      </c>
      <c r="K153" s="14" t="n">
        <v>0.13</v>
      </c>
      <c r="L153" s="14" t="n">
        <v>7.73</v>
      </c>
      <c r="M153" s="14" t="n">
        <v>18.61</v>
      </c>
      <c r="N153" s="14" t="n">
        <v>11.19</v>
      </c>
      <c r="O153" s="14" t="n">
        <v>6.48</v>
      </c>
      <c r="P153" s="14" t="n">
        <v>0.37</v>
      </c>
      <c r="Q153" s="14" t="n">
        <v>0.37</v>
      </c>
      <c r="R153" s="14" t="n">
        <v>0.18</v>
      </c>
      <c r="S153" s="14" t="n">
        <v>2.13</v>
      </c>
      <c r="T153" s="14" t="n">
        <v>0.96</v>
      </c>
      <c r="U153" s="14" t="n">
        <v>2.62</v>
      </c>
      <c r="V153" s="14" t="n">
        <v>3.55</v>
      </c>
      <c r="W153" s="14" t="n">
        <v>1.22</v>
      </c>
      <c r="X153" s="14" t="n">
        <v>0.85</v>
      </c>
      <c r="Y153" s="14" t="n">
        <v>2.24</v>
      </c>
      <c r="Z153" s="14" t="n">
        <v>0.66</v>
      </c>
      <c r="AA153" s="14" t="n">
        <v>0</v>
      </c>
    </row>
    <row r="154">
      <c r="A154" t="inlineStr">
        <is>
          <t>120134</t>
        </is>
      </c>
      <c r="B154" t="inlineStr">
        <is>
          <t>JUNIN</t>
        </is>
      </c>
      <c r="C154" t="inlineStr">
        <is>
          <t>HUANCAYO</t>
        </is>
      </c>
      <c r="D154" t="inlineStr">
        <is>
          <t>SICAYA</t>
        </is>
      </c>
      <c r="E154" t="n">
        <v>6209</v>
      </c>
      <c r="F154" s="14" t="n">
        <v>0</v>
      </c>
      <c r="G154" s="14" t="n">
        <v>36.29</v>
      </c>
      <c r="H154" s="14" t="n">
        <v>1.59</v>
      </c>
      <c r="I154" s="14" t="n">
        <v>5.19</v>
      </c>
      <c r="J154" s="14" t="n">
        <v>0.08</v>
      </c>
      <c r="K154" s="14" t="n">
        <v>0.11</v>
      </c>
      <c r="L154" s="14" t="n">
        <v>7.91</v>
      </c>
      <c r="M154" s="14" t="n">
        <v>14.53</v>
      </c>
      <c r="N154" s="14" t="n">
        <v>9.199999999999999</v>
      </c>
      <c r="O154" s="14" t="n">
        <v>5.49</v>
      </c>
      <c r="P154" s="14" t="n">
        <v>0.45</v>
      </c>
      <c r="Q154" s="14" t="n">
        <v>0.68</v>
      </c>
      <c r="R154" s="14" t="n">
        <v>0.08</v>
      </c>
      <c r="S154" s="14" t="n">
        <v>2.08</v>
      </c>
      <c r="T154" s="14" t="n">
        <v>1.1</v>
      </c>
      <c r="U154" s="14" t="n">
        <v>3.95</v>
      </c>
      <c r="V154" s="14" t="n">
        <v>5.27</v>
      </c>
      <c r="W154" s="14" t="n">
        <v>1.92</v>
      </c>
      <c r="X154" s="14" t="n">
        <v>0.85</v>
      </c>
      <c r="Y154" s="14" t="n">
        <v>2.29</v>
      </c>
      <c r="Z154" s="14" t="n">
        <v>0.97</v>
      </c>
      <c r="AA154" s="14" t="n">
        <v>0</v>
      </c>
    </row>
    <row r="155">
      <c r="A155" t="inlineStr">
        <is>
          <t>120135</t>
        </is>
      </c>
      <c r="B155" t="inlineStr">
        <is>
          <t>JUNIN</t>
        </is>
      </c>
      <c r="C155" t="inlineStr">
        <is>
          <t>HUANCAYO</t>
        </is>
      </c>
      <c r="D155" t="inlineStr">
        <is>
          <t>SANTO DOMINGO DE ACOBAMBA</t>
        </is>
      </c>
      <c r="E155" t="n">
        <v>1614</v>
      </c>
      <c r="F155" s="14" t="n">
        <v>0</v>
      </c>
      <c r="G155" s="14" t="n">
        <v>74.41</v>
      </c>
      <c r="H155" s="14" t="n">
        <v>0.31</v>
      </c>
      <c r="I155" s="14" t="n">
        <v>0.62</v>
      </c>
      <c r="J155" s="14" t="n">
        <v>0</v>
      </c>
      <c r="K155" s="14" t="n">
        <v>0</v>
      </c>
      <c r="L155" s="14" t="n">
        <v>0.68</v>
      </c>
      <c r="M155" s="14" t="n">
        <v>6.07</v>
      </c>
      <c r="N155" s="14" t="n">
        <v>0.8100000000000001</v>
      </c>
      <c r="O155" s="14" t="n">
        <v>0.74</v>
      </c>
      <c r="P155" s="14" t="n">
        <v>0.12</v>
      </c>
      <c r="Q155" s="14" t="n">
        <v>0</v>
      </c>
      <c r="R155" s="14" t="n">
        <v>0</v>
      </c>
      <c r="S155" s="14" t="n">
        <v>0.5</v>
      </c>
      <c r="T155" s="14" t="n">
        <v>0.37</v>
      </c>
      <c r="U155" s="14" t="n">
        <v>3.41</v>
      </c>
      <c r="V155" s="14" t="n">
        <v>6.75</v>
      </c>
      <c r="W155" s="14" t="n">
        <v>1.24</v>
      </c>
      <c r="X155" s="14" t="n">
        <v>0</v>
      </c>
      <c r="Y155" s="14" t="n">
        <v>3.9</v>
      </c>
      <c r="Z155" s="14" t="n">
        <v>0.06</v>
      </c>
      <c r="AA155" s="14" t="n">
        <v>0</v>
      </c>
    </row>
    <row r="156">
      <c r="A156" t="inlineStr">
        <is>
          <t>120136</t>
        </is>
      </c>
      <c r="B156" t="inlineStr">
        <is>
          <t>JUNIN</t>
        </is>
      </c>
      <c r="C156" t="inlineStr">
        <is>
          <t>HUANCAYO</t>
        </is>
      </c>
      <c r="D156" t="inlineStr">
        <is>
          <t>VIQUES</t>
        </is>
      </c>
      <c r="E156" t="n">
        <v>974</v>
      </c>
      <c r="F156" s="14" t="n">
        <v>0</v>
      </c>
      <c r="G156" s="14" t="n">
        <v>38.19</v>
      </c>
      <c r="H156" s="14" t="n">
        <v>1.64</v>
      </c>
      <c r="I156" s="14" t="n">
        <v>6.88</v>
      </c>
      <c r="J156" s="14" t="n">
        <v>0</v>
      </c>
      <c r="K156" s="14" t="n">
        <v>0.1</v>
      </c>
      <c r="L156" s="14" t="n">
        <v>10.68</v>
      </c>
      <c r="M156" s="14" t="n">
        <v>14.68</v>
      </c>
      <c r="N156" s="14" t="n">
        <v>9.34</v>
      </c>
      <c r="O156" s="14" t="n">
        <v>6.16</v>
      </c>
      <c r="P156" s="14" t="n">
        <v>0.41</v>
      </c>
      <c r="Q156" s="14" t="n">
        <v>0.1</v>
      </c>
      <c r="R156" s="14" t="n">
        <v>0</v>
      </c>
      <c r="S156" s="14" t="n">
        <v>1.95</v>
      </c>
      <c r="T156" s="14" t="n">
        <v>0.82</v>
      </c>
      <c r="U156" s="14" t="n">
        <v>2.36</v>
      </c>
      <c r="V156" s="14" t="n">
        <v>2.16</v>
      </c>
      <c r="W156" s="14" t="n">
        <v>1.23</v>
      </c>
      <c r="X156" s="14" t="n">
        <v>0.82</v>
      </c>
      <c r="Y156" s="14" t="n">
        <v>1.64</v>
      </c>
      <c r="Z156" s="14" t="n">
        <v>0.82</v>
      </c>
      <c r="AA156" s="14" t="n">
        <v>0</v>
      </c>
    </row>
    <row r="157">
      <c r="A157" t="inlineStr">
        <is>
          <t>120201</t>
        </is>
      </c>
      <c r="B157" t="inlineStr">
        <is>
          <t>JUNIN</t>
        </is>
      </c>
      <c r="C157" t="inlineStr">
        <is>
          <t>CONCEPCION</t>
        </is>
      </c>
      <c r="D157" t="inlineStr">
        <is>
          <t>CONCEPCION</t>
        </is>
      </c>
      <c r="E157" t="n">
        <v>6404</v>
      </c>
      <c r="F157" s="14" t="n">
        <v>0</v>
      </c>
      <c r="G157" s="14" t="n">
        <v>15.79</v>
      </c>
      <c r="H157" s="14" t="n">
        <v>1.64</v>
      </c>
      <c r="I157" s="14" t="n">
        <v>6.61</v>
      </c>
      <c r="J157" s="14" t="n">
        <v>0.19</v>
      </c>
      <c r="K157" s="14" t="n">
        <v>0.25</v>
      </c>
      <c r="L157" s="14" t="n">
        <v>7.87</v>
      </c>
      <c r="M157" s="14" t="n">
        <v>19.47</v>
      </c>
      <c r="N157" s="14" t="n">
        <v>9.289999999999999</v>
      </c>
      <c r="O157" s="14" t="n">
        <v>8.17</v>
      </c>
      <c r="P157" s="14" t="n">
        <v>0.8100000000000001</v>
      </c>
      <c r="Q157" s="14" t="n">
        <v>1.45</v>
      </c>
      <c r="R157" s="14" t="n">
        <v>0.05</v>
      </c>
      <c r="S157" s="14" t="n">
        <v>4.22</v>
      </c>
      <c r="T157" s="14" t="n">
        <v>2.09</v>
      </c>
      <c r="U157" s="14" t="n">
        <v>6.68</v>
      </c>
      <c r="V157" s="14" t="n">
        <v>7.84</v>
      </c>
      <c r="W157" s="14" t="n">
        <v>2.75</v>
      </c>
      <c r="X157" s="14" t="n">
        <v>1.28</v>
      </c>
      <c r="Y157" s="14" t="n">
        <v>2.53</v>
      </c>
      <c r="Z157" s="14" t="n">
        <v>1.03</v>
      </c>
      <c r="AA157" s="14" t="n">
        <v>0</v>
      </c>
    </row>
    <row r="158">
      <c r="A158" t="inlineStr">
        <is>
          <t>120202</t>
        </is>
      </c>
      <c r="B158" t="inlineStr">
        <is>
          <t>JUNIN</t>
        </is>
      </c>
      <c r="C158" t="inlineStr">
        <is>
          <t>CONCEPCION</t>
        </is>
      </c>
      <c r="D158" t="inlineStr">
        <is>
          <t>ACO</t>
        </is>
      </c>
      <c r="E158" t="n">
        <v>758</v>
      </c>
      <c r="F158" s="14" t="n">
        <v>0</v>
      </c>
      <c r="G158" s="14" t="n">
        <v>66.89</v>
      </c>
      <c r="H158" s="14" t="n">
        <v>0.26</v>
      </c>
      <c r="I158" s="14" t="n">
        <v>5.15</v>
      </c>
      <c r="J158" s="14" t="n">
        <v>0.13</v>
      </c>
      <c r="K158" s="14" t="n">
        <v>0</v>
      </c>
      <c r="L158" s="14" t="n">
        <v>3.96</v>
      </c>
      <c r="M158" s="14" t="n">
        <v>7.52</v>
      </c>
      <c r="N158" s="14" t="n">
        <v>4.09</v>
      </c>
      <c r="O158" s="14" t="n">
        <v>1.72</v>
      </c>
      <c r="P158" s="14" t="n">
        <v>0.26</v>
      </c>
      <c r="Q158" s="14" t="n">
        <v>0.13</v>
      </c>
      <c r="R158" s="14" t="n">
        <v>0</v>
      </c>
      <c r="S158" s="14" t="n">
        <v>1.19</v>
      </c>
      <c r="T158" s="14" t="n">
        <v>0.53</v>
      </c>
      <c r="U158" s="14" t="n">
        <v>3.17</v>
      </c>
      <c r="V158" s="14" t="n">
        <v>2.9</v>
      </c>
      <c r="W158" s="14" t="n">
        <v>0.92</v>
      </c>
      <c r="X158" s="14" t="n">
        <v>0.4</v>
      </c>
      <c r="Y158" s="14" t="n">
        <v>0.4</v>
      </c>
      <c r="Z158" s="14" t="n">
        <v>0.4</v>
      </c>
      <c r="AA158" s="14" t="n">
        <v>0</v>
      </c>
    </row>
    <row r="159">
      <c r="A159" t="inlineStr">
        <is>
          <t>120203</t>
        </is>
      </c>
      <c r="B159" t="inlineStr">
        <is>
          <t>JUNIN</t>
        </is>
      </c>
      <c r="C159" t="inlineStr">
        <is>
          <t>CONCEPCION</t>
        </is>
      </c>
      <c r="D159" t="inlineStr">
        <is>
          <t>ANDAMARCA</t>
        </is>
      </c>
      <c r="E159" t="n">
        <v>990</v>
      </c>
      <c r="F159" s="14" t="n">
        <v>0</v>
      </c>
      <c r="G159" s="14" t="n">
        <v>84.44</v>
      </c>
      <c r="H159" s="14" t="n">
        <v>0.1</v>
      </c>
      <c r="I159" s="14" t="n">
        <v>0.4</v>
      </c>
      <c r="J159" s="14" t="n">
        <v>0</v>
      </c>
      <c r="K159" s="14" t="n">
        <v>0</v>
      </c>
      <c r="L159" s="14" t="n">
        <v>0.2</v>
      </c>
      <c r="M159" s="14" t="n">
        <v>3.23</v>
      </c>
      <c r="N159" s="14" t="n">
        <v>0.4</v>
      </c>
      <c r="O159" s="14" t="n">
        <v>1.01</v>
      </c>
      <c r="P159" s="14" t="n">
        <v>0</v>
      </c>
      <c r="Q159" s="14" t="n">
        <v>0.1</v>
      </c>
      <c r="R159" s="14" t="n">
        <v>0</v>
      </c>
      <c r="S159" s="14" t="n">
        <v>0.51</v>
      </c>
      <c r="T159" s="14" t="n">
        <v>0.3</v>
      </c>
      <c r="U159" s="14" t="n">
        <v>3.23</v>
      </c>
      <c r="V159" s="14" t="n">
        <v>3.03</v>
      </c>
      <c r="W159" s="14" t="n">
        <v>1.11</v>
      </c>
      <c r="X159" s="14" t="n">
        <v>0</v>
      </c>
      <c r="Y159" s="14" t="n">
        <v>1.41</v>
      </c>
      <c r="Z159" s="14" t="n">
        <v>0.51</v>
      </c>
      <c r="AA159" s="14" t="n">
        <v>0</v>
      </c>
    </row>
    <row r="160">
      <c r="A160" t="inlineStr">
        <is>
          <t>120204</t>
        </is>
      </c>
      <c r="B160" t="inlineStr">
        <is>
          <t>JUNIN</t>
        </is>
      </c>
      <c r="C160" t="inlineStr">
        <is>
          <t>CONCEPCION</t>
        </is>
      </c>
      <c r="D160" t="inlineStr">
        <is>
          <t>CHAMBARA</t>
        </is>
      </c>
      <c r="E160" t="n">
        <v>961</v>
      </c>
      <c r="F160" s="14" t="n">
        <v>0</v>
      </c>
      <c r="G160" s="14" t="n">
        <v>75.86</v>
      </c>
      <c r="H160" s="14" t="n">
        <v>1.25</v>
      </c>
      <c r="I160" s="14" t="n">
        <v>1.87</v>
      </c>
      <c r="J160" s="14" t="n">
        <v>0.21</v>
      </c>
      <c r="K160" s="14" t="n">
        <v>0</v>
      </c>
      <c r="L160" s="14" t="n">
        <v>3.33</v>
      </c>
      <c r="M160" s="14" t="n">
        <v>2.39</v>
      </c>
      <c r="N160" s="14" t="n">
        <v>3.12</v>
      </c>
      <c r="O160" s="14" t="n">
        <v>2.71</v>
      </c>
      <c r="P160" s="14" t="n">
        <v>0</v>
      </c>
      <c r="Q160" s="14" t="n">
        <v>0</v>
      </c>
      <c r="R160" s="14" t="n">
        <v>0</v>
      </c>
      <c r="S160" s="14" t="n">
        <v>0.21</v>
      </c>
      <c r="T160" s="14" t="n">
        <v>0.31</v>
      </c>
      <c r="U160" s="14" t="n">
        <v>2.29</v>
      </c>
      <c r="V160" s="14" t="n">
        <v>5.41</v>
      </c>
      <c r="W160" s="14" t="n">
        <v>0.21</v>
      </c>
      <c r="X160" s="14" t="n">
        <v>0.31</v>
      </c>
      <c r="Y160" s="14" t="n">
        <v>0.21</v>
      </c>
      <c r="Z160" s="14" t="n">
        <v>0.31</v>
      </c>
      <c r="AA160" s="14" t="n">
        <v>0</v>
      </c>
    </row>
    <row r="161">
      <c r="A161" t="inlineStr">
        <is>
          <t>120205</t>
        </is>
      </c>
      <c r="B161" t="inlineStr">
        <is>
          <t>JUNIN</t>
        </is>
      </c>
      <c r="C161" t="inlineStr">
        <is>
          <t>CONCEPCION</t>
        </is>
      </c>
      <c r="D161" t="inlineStr">
        <is>
          <t>COCHAS</t>
        </is>
      </c>
      <c r="E161" t="n">
        <v>705</v>
      </c>
      <c r="F161" s="14" t="n">
        <v>0</v>
      </c>
      <c r="G161" s="14" t="n">
        <v>98.44</v>
      </c>
      <c r="H161" s="14" t="n">
        <v>0</v>
      </c>
      <c r="I161" s="14" t="n">
        <v>0.14</v>
      </c>
      <c r="J161" s="14" t="n">
        <v>0</v>
      </c>
      <c r="K161" s="14" t="n">
        <v>0</v>
      </c>
      <c r="L161" s="14" t="n">
        <v>0</v>
      </c>
      <c r="M161" s="14" t="n">
        <v>0.28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0.57</v>
      </c>
      <c r="V161" s="14" t="n">
        <v>0.43</v>
      </c>
      <c r="W161" s="14" t="n">
        <v>0.14</v>
      </c>
      <c r="X161" s="14" t="n">
        <v>0</v>
      </c>
      <c r="Y161" s="14" t="n">
        <v>0</v>
      </c>
      <c r="Z161" s="14" t="n">
        <v>0</v>
      </c>
      <c r="AA161" s="14" t="n">
        <v>0</v>
      </c>
    </row>
    <row r="162">
      <c r="A162" t="inlineStr">
        <is>
          <t>120206</t>
        </is>
      </c>
      <c r="B162" t="inlineStr">
        <is>
          <t>JUNIN</t>
        </is>
      </c>
      <c r="C162" t="inlineStr">
        <is>
          <t>CONCEPCION</t>
        </is>
      </c>
      <c r="D162" t="inlineStr">
        <is>
          <t>COMAS</t>
        </is>
      </c>
      <c r="E162" t="n">
        <v>1530</v>
      </c>
      <c r="F162" s="14" t="n">
        <v>0</v>
      </c>
      <c r="G162" s="14" t="n">
        <v>81.44</v>
      </c>
      <c r="H162" s="14" t="n">
        <v>0.78</v>
      </c>
      <c r="I162" s="14" t="n">
        <v>0.85</v>
      </c>
      <c r="J162" s="14" t="n">
        <v>0</v>
      </c>
      <c r="K162" s="14" t="n">
        <v>0</v>
      </c>
      <c r="L162" s="14" t="n">
        <v>0.92</v>
      </c>
      <c r="M162" s="14" t="n">
        <v>8.1</v>
      </c>
      <c r="N162" s="14" t="n">
        <v>1.24</v>
      </c>
      <c r="O162" s="14" t="n">
        <v>1.5</v>
      </c>
      <c r="P162" s="14" t="n">
        <v>0</v>
      </c>
      <c r="Q162" s="14" t="n">
        <v>0.07000000000000001</v>
      </c>
      <c r="R162" s="14" t="n">
        <v>0</v>
      </c>
      <c r="S162" s="14" t="n">
        <v>0.26</v>
      </c>
      <c r="T162" s="14" t="n">
        <v>0.33</v>
      </c>
      <c r="U162" s="14" t="n">
        <v>2.75</v>
      </c>
      <c r="V162" s="14" t="n">
        <v>0.59</v>
      </c>
      <c r="W162" s="14" t="n">
        <v>0.39</v>
      </c>
      <c r="X162" s="14" t="n">
        <v>0.13</v>
      </c>
      <c r="Y162" s="14" t="n">
        <v>0.52</v>
      </c>
      <c r="Z162" s="14" t="n">
        <v>0.13</v>
      </c>
      <c r="AA162" s="14" t="n">
        <v>0</v>
      </c>
    </row>
    <row r="163">
      <c r="A163" t="inlineStr">
        <is>
          <t>120207</t>
        </is>
      </c>
      <c r="B163" t="inlineStr">
        <is>
          <t>JUNIN</t>
        </is>
      </c>
      <c r="C163" t="inlineStr">
        <is>
          <t>CONCEPCION</t>
        </is>
      </c>
      <c r="D163" t="inlineStr">
        <is>
          <t>HEROINAS TOLEDO</t>
        </is>
      </c>
      <c r="E163" t="n">
        <v>292</v>
      </c>
      <c r="F163" s="14" t="n">
        <v>0</v>
      </c>
      <c r="G163" s="14" t="n">
        <v>81.51000000000001</v>
      </c>
      <c r="H163" s="14" t="n">
        <v>2.4</v>
      </c>
      <c r="I163" s="14" t="n">
        <v>2.05</v>
      </c>
      <c r="J163" s="14" t="n">
        <v>0</v>
      </c>
      <c r="K163" s="14" t="n">
        <v>0</v>
      </c>
      <c r="L163" s="14" t="n">
        <v>1.03</v>
      </c>
      <c r="M163" s="14" t="n">
        <v>4.11</v>
      </c>
      <c r="N163" s="14" t="n">
        <v>2.4</v>
      </c>
      <c r="O163" s="14" t="n">
        <v>1.03</v>
      </c>
      <c r="P163" s="14" t="n">
        <v>0</v>
      </c>
      <c r="Q163" s="14" t="n">
        <v>0.68</v>
      </c>
      <c r="R163" s="14" t="n">
        <v>0</v>
      </c>
      <c r="S163" s="14" t="n">
        <v>0.34</v>
      </c>
      <c r="T163" s="14" t="n">
        <v>0.34</v>
      </c>
      <c r="U163" s="14" t="n">
        <v>1.37</v>
      </c>
      <c r="V163" s="14" t="n">
        <v>1.37</v>
      </c>
      <c r="W163" s="14" t="n">
        <v>0</v>
      </c>
      <c r="X163" s="14" t="n">
        <v>0</v>
      </c>
      <c r="Y163" s="14" t="n">
        <v>0.68</v>
      </c>
      <c r="Z163" s="14" t="n">
        <v>0.68</v>
      </c>
      <c r="AA163" s="14" t="n">
        <v>0</v>
      </c>
    </row>
    <row r="164">
      <c r="A164" t="inlineStr">
        <is>
          <t>120208</t>
        </is>
      </c>
      <c r="B164" t="inlineStr">
        <is>
          <t>JUNIN</t>
        </is>
      </c>
      <c r="C164" t="inlineStr">
        <is>
          <t>CONCEPCION</t>
        </is>
      </c>
      <c r="D164" t="inlineStr">
        <is>
          <t>MANZANARES</t>
        </is>
      </c>
      <c r="E164" t="n">
        <v>603</v>
      </c>
      <c r="F164" s="14" t="n">
        <v>0</v>
      </c>
      <c r="G164" s="14" t="n">
        <v>60.2</v>
      </c>
      <c r="H164" s="14" t="n">
        <v>0.17</v>
      </c>
      <c r="I164" s="14" t="n">
        <v>4.15</v>
      </c>
      <c r="J164" s="14" t="n">
        <v>0</v>
      </c>
      <c r="K164" s="14" t="n">
        <v>0.17</v>
      </c>
      <c r="L164" s="14" t="n">
        <v>3.65</v>
      </c>
      <c r="M164" s="14" t="n">
        <v>6.97</v>
      </c>
      <c r="N164" s="14" t="n">
        <v>6.8</v>
      </c>
      <c r="O164" s="14" t="n">
        <v>2.65</v>
      </c>
      <c r="P164" s="14" t="n">
        <v>0.5</v>
      </c>
      <c r="Q164" s="14" t="n">
        <v>0.17</v>
      </c>
      <c r="R164" s="14" t="n">
        <v>0</v>
      </c>
      <c r="S164" s="14" t="n">
        <v>1.16</v>
      </c>
      <c r="T164" s="14" t="n">
        <v>0.5</v>
      </c>
      <c r="U164" s="14" t="n">
        <v>3.65</v>
      </c>
      <c r="V164" s="14" t="n">
        <v>7.46</v>
      </c>
      <c r="W164" s="14" t="n">
        <v>0.66</v>
      </c>
      <c r="X164" s="14" t="n">
        <v>0.33</v>
      </c>
      <c r="Y164" s="14" t="n">
        <v>0.5</v>
      </c>
      <c r="Z164" s="14" t="n">
        <v>0.33</v>
      </c>
      <c r="AA164" s="14" t="n">
        <v>0</v>
      </c>
    </row>
    <row r="165">
      <c r="A165" t="inlineStr">
        <is>
          <t>120209</t>
        </is>
      </c>
      <c r="B165" t="inlineStr">
        <is>
          <t>JUNIN</t>
        </is>
      </c>
      <c r="C165" t="inlineStr">
        <is>
          <t>CONCEPCION</t>
        </is>
      </c>
      <c r="D165" t="inlineStr">
        <is>
          <t>MARISCAL CASTILLA</t>
        </is>
      </c>
      <c r="E165" t="n">
        <v>438</v>
      </c>
      <c r="F165" s="14" t="n">
        <v>0</v>
      </c>
      <c r="G165" s="14" t="n">
        <v>91.09999999999999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0.91</v>
      </c>
      <c r="M165" s="14" t="n">
        <v>2.28</v>
      </c>
      <c r="N165" s="14" t="n">
        <v>1.6</v>
      </c>
      <c r="O165" s="14" t="n">
        <v>0.46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0.91</v>
      </c>
      <c r="V165" s="14" t="n">
        <v>1.37</v>
      </c>
      <c r="W165" s="14" t="n">
        <v>0.68</v>
      </c>
      <c r="X165" s="14" t="n">
        <v>0</v>
      </c>
      <c r="Y165" s="14" t="n">
        <v>0</v>
      </c>
      <c r="Z165" s="14" t="n">
        <v>0.68</v>
      </c>
      <c r="AA165" s="14" t="n">
        <v>0</v>
      </c>
    </row>
    <row r="166">
      <c r="A166" t="inlineStr">
        <is>
          <t>120210</t>
        </is>
      </c>
      <c r="B166" t="inlineStr">
        <is>
          <t>JUNIN</t>
        </is>
      </c>
      <c r="C166" t="inlineStr">
        <is>
          <t>CONCEPCION</t>
        </is>
      </c>
      <c r="D166" t="inlineStr">
        <is>
          <t>MATAHUASI</t>
        </is>
      </c>
      <c r="E166" t="n">
        <v>2210</v>
      </c>
      <c r="F166" s="14" t="n">
        <v>0</v>
      </c>
      <c r="G166" s="14" t="n">
        <v>44.34</v>
      </c>
      <c r="H166" s="14" t="n">
        <v>1.04</v>
      </c>
      <c r="I166" s="14" t="n">
        <v>5.38</v>
      </c>
      <c r="J166" s="14" t="n">
        <v>0.18</v>
      </c>
      <c r="K166" s="14" t="n">
        <v>0.14</v>
      </c>
      <c r="L166" s="14" t="n">
        <v>6.2</v>
      </c>
      <c r="M166" s="14" t="n">
        <v>14.66</v>
      </c>
      <c r="N166" s="14" t="n">
        <v>7.92</v>
      </c>
      <c r="O166" s="14" t="n">
        <v>2.67</v>
      </c>
      <c r="P166" s="14" t="n">
        <v>0.32</v>
      </c>
      <c r="Q166" s="14" t="n">
        <v>0.95</v>
      </c>
      <c r="R166" s="14" t="n">
        <v>0</v>
      </c>
      <c r="S166" s="14" t="n">
        <v>1.27</v>
      </c>
      <c r="T166" s="14" t="n">
        <v>1.31</v>
      </c>
      <c r="U166" s="14" t="n">
        <v>3.26</v>
      </c>
      <c r="V166" s="14" t="n">
        <v>4.52</v>
      </c>
      <c r="W166" s="14" t="n">
        <v>2.04</v>
      </c>
      <c r="X166" s="14" t="n">
        <v>1.13</v>
      </c>
      <c r="Y166" s="14" t="n">
        <v>1.63</v>
      </c>
      <c r="Z166" s="14" t="n">
        <v>1.04</v>
      </c>
      <c r="AA166" s="14" t="n">
        <v>0</v>
      </c>
    </row>
    <row r="167">
      <c r="A167" t="inlineStr">
        <is>
          <t>120211</t>
        </is>
      </c>
      <c r="B167" t="inlineStr">
        <is>
          <t>JUNIN</t>
        </is>
      </c>
      <c r="C167" t="inlineStr">
        <is>
          <t>CONCEPCION</t>
        </is>
      </c>
      <c r="D167" t="inlineStr">
        <is>
          <t>MITO</t>
        </is>
      </c>
      <c r="E167" t="n">
        <v>629</v>
      </c>
      <c r="F167" s="14" t="n">
        <v>0</v>
      </c>
      <c r="G167" s="14" t="n">
        <v>55.01</v>
      </c>
      <c r="H167" s="14" t="n">
        <v>0.64</v>
      </c>
      <c r="I167" s="14" t="n">
        <v>4.45</v>
      </c>
      <c r="J167" s="14" t="n">
        <v>0.16</v>
      </c>
      <c r="K167" s="14" t="n">
        <v>0</v>
      </c>
      <c r="L167" s="14" t="n">
        <v>5.72</v>
      </c>
      <c r="M167" s="14" t="n">
        <v>6.36</v>
      </c>
      <c r="N167" s="14" t="n">
        <v>3.18</v>
      </c>
      <c r="O167" s="14" t="n">
        <v>1.59</v>
      </c>
      <c r="P167" s="14" t="n">
        <v>0.32</v>
      </c>
      <c r="Q167" s="14" t="n">
        <v>0.16</v>
      </c>
      <c r="R167" s="14" t="n">
        <v>0</v>
      </c>
      <c r="S167" s="14" t="n">
        <v>1.43</v>
      </c>
      <c r="T167" s="14" t="n">
        <v>0.95</v>
      </c>
      <c r="U167" s="14" t="n">
        <v>7.63</v>
      </c>
      <c r="V167" s="14" t="n">
        <v>5.88</v>
      </c>
      <c r="W167" s="14" t="n">
        <v>2.07</v>
      </c>
      <c r="X167" s="14" t="n">
        <v>1.27</v>
      </c>
      <c r="Y167" s="14" t="n">
        <v>1.59</v>
      </c>
      <c r="Z167" s="14" t="n">
        <v>1.59</v>
      </c>
      <c r="AA167" s="14" t="n">
        <v>0</v>
      </c>
    </row>
    <row r="168">
      <c r="A168" t="inlineStr">
        <is>
          <t>120212</t>
        </is>
      </c>
      <c r="B168" t="inlineStr">
        <is>
          <t>JUNIN</t>
        </is>
      </c>
      <c r="C168" t="inlineStr">
        <is>
          <t>CONCEPCION</t>
        </is>
      </c>
      <c r="D168" t="inlineStr">
        <is>
          <t>NUEVE DE JULIO</t>
        </is>
      </c>
      <c r="E168" t="n">
        <v>833</v>
      </c>
      <c r="F168" s="14" t="n">
        <v>0</v>
      </c>
      <c r="G168" s="14" t="n">
        <v>37.82</v>
      </c>
      <c r="H168" s="14" t="n">
        <v>0.96</v>
      </c>
      <c r="I168" s="14" t="n">
        <v>6.24</v>
      </c>
      <c r="J168" s="14" t="n">
        <v>0.12</v>
      </c>
      <c r="K168" s="14" t="n">
        <v>0.24</v>
      </c>
      <c r="L168" s="14" t="n">
        <v>8.640000000000001</v>
      </c>
      <c r="M168" s="14" t="n">
        <v>14.77</v>
      </c>
      <c r="N168" s="14" t="n">
        <v>10.08</v>
      </c>
      <c r="O168" s="14" t="n">
        <v>4.44</v>
      </c>
      <c r="P168" s="14" t="n">
        <v>0.12</v>
      </c>
      <c r="Q168" s="14" t="n">
        <v>0.72</v>
      </c>
      <c r="R168" s="14" t="n">
        <v>0</v>
      </c>
      <c r="S168" s="14" t="n">
        <v>2.52</v>
      </c>
      <c r="T168" s="14" t="n">
        <v>2.52</v>
      </c>
      <c r="U168" s="14" t="n">
        <v>3.12</v>
      </c>
      <c r="V168" s="14" t="n">
        <v>4.2</v>
      </c>
      <c r="W168" s="14" t="n">
        <v>1.56</v>
      </c>
      <c r="X168" s="14" t="n">
        <v>0.48</v>
      </c>
      <c r="Y168" s="14" t="n">
        <v>1.08</v>
      </c>
      <c r="Z168" s="14" t="n">
        <v>0.36</v>
      </c>
      <c r="AA168" s="14" t="n">
        <v>0</v>
      </c>
    </row>
    <row r="169">
      <c r="A169" t="inlineStr">
        <is>
          <t>120213</t>
        </is>
      </c>
      <c r="B169" t="inlineStr">
        <is>
          <t>JUNIN</t>
        </is>
      </c>
      <c r="C169" t="inlineStr">
        <is>
          <t>CONCEPCION</t>
        </is>
      </c>
      <c r="D169" t="inlineStr">
        <is>
          <t>ORCOTUNA</t>
        </is>
      </c>
      <c r="E169" t="n">
        <v>1909</v>
      </c>
      <c r="F169" s="14" t="n">
        <v>0</v>
      </c>
      <c r="G169" s="14" t="n">
        <v>58.77</v>
      </c>
      <c r="H169" s="14" t="n">
        <v>0.89</v>
      </c>
      <c r="I169" s="14" t="n">
        <v>5.4</v>
      </c>
      <c r="J169" s="14" t="n">
        <v>0.05</v>
      </c>
      <c r="K169" s="14" t="n">
        <v>0</v>
      </c>
      <c r="L169" s="14" t="n">
        <v>8.43</v>
      </c>
      <c r="M169" s="14" t="n">
        <v>9.949999999999999</v>
      </c>
      <c r="N169" s="14" t="n">
        <v>3.72</v>
      </c>
      <c r="O169" s="14" t="n">
        <v>5.71</v>
      </c>
      <c r="P169" s="14" t="n">
        <v>0.26</v>
      </c>
      <c r="Q169" s="14" t="n">
        <v>0.16</v>
      </c>
      <c r="R169" s="14" t="n">
        <v>0.1</v>
      </c>
      <c r="S169" s="14" t="n">
        <v>0.79</v>
      </c>
      <c r="T169" s="14" t="n">
        <v>0.37</v>
      </c>
      <c r="U169" s="14" t="n">
        <v>1.41</v>
      </c>
      <c r="V169" s="14" t="n">
        <v>1.47</v>
      </c>
      <c r="W169" s="14" t="n">
        <v>0.58</v>
      </c>
      <c r="X169" s="14" t="n">
        <v>0.26</v>
      </c>
      <c r="Y169" s="14" t="n">
        <v>1.2</v>
      </c>
      <c r="Z169" s="14" t="n">
        <v>0.47</v>
      </c>
      <c r="AA169" s="14" t="n">
        <v>0</v>
      </c>
    </row>
    <row r="170">
      <c r="A170" t="inlineStr">
        <is>
          <t>120214</t>
        </is>
      </c>
      <c r="B170" t="inlineStr">
        <is>
          <t>JUNIN</t>
        </is>
      </c>
      <c r="C170" t="inlineStr">
        <is>
          <t>CONCEPCION</t>
        </is>
      </c>
      <c r="D170" t="inlineStr">
        <is>
          <t>SAN JOSE DE QUERO</t>
        </is>
      </c>
      <c r="E170" t="n">
        <v>1952</v>
      </c>
      <c r="F170" s="14" t="n">
        <v>0</v>
      </c>
      <c r="G170" s="14" t="n">
        <v>85.81</v>
      </c>
      <c r="H170" s="14" t="n">
        <v>0.5600000000000001</v>
      </c>
      <c r="I170" s="14" t="n">
        <v>1.13</v>
      </c>
      <c r="J170" s="14" t="n">
        <v>0</v>
      </c>
      <c r="K170" s="14" t="n">
        <v>0</v>
      </c>
      <c r="L170" s="14" t="n">
        <v>2.2</v>
      </c>
      <c r="M170" s="14" t="n">
        <v>3.53</v>
      </c>
      <c r="N170" s="14" t="n">
        <v>1.95</v>
      </c>
      <c r="O170" s="14" t="n">
        <v>1.23</v>
      </c>
      <c r="P170" s="14" t="n">
        <v>0.05</v>
      </c>
      <c r="Q170" s="14" t="n">
        <v>0.15</v>
      </c>
      <c r="R170" s="14" t="n">
        <v>0</v>
      </c>
      <c r="S170" s="14" t="n">
        <v>0.41</v>
      </c>
      <c r="T170" s="14" t="n">
        <v>0.5600000000000001</v>
      </c>
      <c r="U170" s="14" t="n">
        <v>0.97</v>
      </c>
      <c r="V170" s="14" t="n">
        <v>0.51</v>
      </c>
      <c r="W170" s="14" t="n">
        <v>0.1</v>
      </c>
      <c r="X170" s="14" t="n">
        <v>0.1</v>
      </c>
      <c r="Y170" s="14" t="n">
        <v>0.41</v>
      </c>
      <c r="Z170" s="14" t="n">
        <v>0.31</v>
      </c>
      <c r="AA170" s="14" t="n">
        <v>0</v>
      </c>
    </row>
    <row r="171">
      <c r="A171" t="inlineStr">
        <is>
          <t>120215</t>
        </is>
      </c>
      <c r="B171" t="inlineStr">
        <is>
          <t>JUNIN</t>
        </is>
      </c>
      <c r="C171" t="inlineStr">
        <is>
          <t>CONCEPCION</t>
        </is>
      </c>
      <c r="D171" t="inlineStr">
        <is>
          <t>SANTA ROSA DE OCOPA</t>
        </is>
      </c>
      <c r="E171" t="n">
        <v>868</v>
      </c>
      <c r="F171" s="14" t="n">
        <v>0</v>
      </c>
      <c r="G171" s="14" t="n">
        <v>48.04</v>
      </c>
      <c r="H171" s="14" t="n">
        <v>1.04</v>
      </c>
      <c r="I171" s="14" t="n">
        <v>3.69</v>
      </c>
      <c r="J171" s="14" t="n">
        <v>0.12</v>
      </c>
      <c r="K171" s="14" t="n">
        <v>0</v>
      </c>
      <c r="L171" s="14" t="n">
        <v>7.14</v>
      </c>
      <c r="M171" s="14" t="n">
        <v>12.33</v>
      </c>
      <c r="N171" s="14" t="n">
        <v>7.37</v>
      </c>
      <c r="O171" s="14" t="n">
        <v>4.49</v>
      </c>
      <c r="P171" s="14" t="n">
        <v>0</v>
      </c>
      <c r="Q171" s="14" t="n">
        <v>0</v>
      </c>
      <c r="R171" s="14" t="n">
        <v>0</v>
      </c>
      <c r="S171" s="14" t="n">
        <v>1.61</v>
      </c>
      <c r="T171" s="14" t="n">
        <v>2.76</v>
      </c>
      <c r="U171" s="14" t="n">
        <v>3.23</v>
      </c>
      <c r="V171" s="14" t="n">
        <v>3.8</v>
      </c>
      <c r="W171" s="14" t="n">
        <v>1.15</v>
      </c>
      <c r="X171" s="14" t="n">
        <v>0.8100000000000001</v>
      </c>
      <c r="Y171" s="14" t="n">
        <v>1.27</v>
      </c>
      <c r="Z171" s="14" t="n">
        <v>1.15</v>
      </c>
      <c r="AA171" s="14" t="n">
        <v>0</v>
      </c>
    </row>
    <row r="172">
      <c r="A172" t="inlineStr">
        <is>
          <t>120301</t>
        </is>
      </c>
      <c r="B172" t="inlineStr">
        <is>
          <t>JUNIN</t>
        </is>
      </c>
      <c r="C172" t="inlineStr">
        <is>
          <t>CHANCHAMAYO</t>
        </is>
      </c>
      <c r="D172" t="inlineStr">
        <is>
          <t>CHANCHAMAYO</t>
        </is>
      </c>
      <c r="E172" t="n">
        <v>13258</v>
      </c>
      <c r="F172" s="14" t="n">
        <v>0</v>
      </c>
      <c r="G172" s="14" t="n">
        <v>15.14</v>
      </c>
      <c r="H172" s="14" t="n">
        <v>0.32</v>
      </c>
      <c r="I172" s="14" t="n">
        <v>5.5</v>
      </c>
      <c r="J172" s="14" t="n">
        <v>0.08</v>
      </c>
      <c r="K172" s="14" t="n">
        <v>0.21</v>
      </c>
      <c r="L172" s="14" t="n">
        <v>6.49</v>
      </c>
      <c r="M172" s="14" t="n">
        <v>21.19</v>
      </c>
      <c r="N172" s="14" t="n">
        <v>9.970000000000001</v>
      </c>
      <c r="O172" s="14" t="n">
        <v>10.18</v>
      </c>
      <c r="P172" s="14" t="n">
        <v>0.74</v>
      </c>
      <c r="Q172" s="14" t="n">
        <v>1.46</v>
      </c>
      <c r="R172" s="14" t="n">
        <v>0.07000000000000001</v>
      </c>
      <c r="S172" s="14" t="n">
        <v>4.86</v>
      </c>
      <c r="T172" s="14" t="n">
        <v>2.71</v>
      </c>
      <c r="U172" s="14" t="n">
        <v>7.47</v>
      </c>
      <c r="V172" s="14" t="n">
        <v>5.69</v>
      </c>
      <c r="W172" s="14" t="n">
        <v>3.21</v>
      </c>
      <c r="X172" s="14" t="n">
        <v>0.77</v>
      </c>
      <c r="Y172" s="14" t="n">
        <v>2.43</v>
      </c>
      <c r="Z172" s="14" t="n">
        <v>1.52</v>
      </c>
      <c r="AA172" s="14" t="n">
        <v>0</v>
      </c>
    </row>
    <row r="173">
      <c r="A173" t="inlineStr">
        <is>
          <t>120302</t>
        </is>
      </c>
      <c r="B173" t="inlineStr">
        <is>
          <t>JUNIN</t>
        </is>
      </c>
      <c r="C173" t="inlineStr">
        <is>
          <t>CHANCHAMAYO</t>
        </is>
      </c>
      <c r="D173" t="inlineStr">
        <is>
          <t>PERENE</t>
        </is>
      </c>
      <c r="E173" t="n">
        <v>21623</v>
      </c>
      <c r="F173" s="14" t="n">
        <v>0</v>
      </c>
      <c r="G173" s="14" t="n">
        <v>57.27</v>
      </c>
      <c r="H173" s="14" t="n">
        <v>0.14</v>
      </c>
      <c r="I173" s="14" t="n">
        <v>2.48</v>
      </c>
      <c r="J173" s="14" t="n">
        <v>0.04</v>
      </c>
      <c r="K173" s="14" t="n">
        <v>0.16</v>
      </c>
      <c r="L173" s="14" t="n">
        <v>2.96</v>
      </c>
      <c r="M173" s="14" t="n">
        <v>13.51</v>
      </c>
      <c r="N173" s="14" t="n">
        <v>6.88</v>
      </c>
      <c r="O173" s="14" t="n">
        <v>5.24</v>
      </c>
      <c r="P173" s="14" t="n">
        <v>0.27</v>
      </c>
      <c r="Q173" s="14" t="n">
        <v>0.43</v>
      </c>
      <c r="R173" s="14" t="n">
        <v>0.03</v>
      </c>
      <c r="S173" s="14" t="n">
        <v>1.32</v>
      </c>
      <c r="T173" s="14" t="n">
        <v>0.92</v>
      </c>
      <c r="U173" s="14" t="n">
        <v>1.19</v>
      </c>
      <c r="V173" s="14" t="n">
        <v>3.32</v>
      </c>
      <c r="W173" s="14" t="n">
        <v>0.93</v>
      </c>
      <c r="X173" s="14" t="n">
        <v>0.23</v>
      </c>
      <c r="Y173" s="14" t="n">
        <v>1.87</v>
      </c>
      <c r="Z173" s="14" t="n">
        <v>0.8100000000000001</v>
      </c>
      <c r="AA173" s="14" t="n">
        <v>0</v>
      </c>
    </row>
    <row r="174">
      <c r="A174" t="inlineStr">
        <is>
          <t>120303</t>
        </is>
      </c>
      <c r="B174" t="inlineStr">
        <is>
          <t>JUNIN</t>
        </is>
      </c>
      <c r="C174" t="inlineStr">
        <is>
          <t>CHANCHAMAYO</t>
        </is>
      </c>
      <c r="D174" t="inlineStr">
        <is>
          <t>PICHANAQUI</t>
        </is>
      </c>
      <c r="E174" t="n">
        <v>16131</v>
      </c>
      <c r="F174" s="14" t="n">
        <v>0</v>
      </c>
      <c r="G174" s="14" t="n">
        <v>54.08</v>
      </c>
      <c r="H174" s="14" t="n">
        <v>0.17</v>
      </c>
      <c r="I174" s="14" t="n">
        <v>2.62</v>
      </c>
      <c r="J174" s="14" t="n">
        <v>0.02</v>
      </c>
      <c r="K174" s="14" t="n">
        <v>0.06</v>
      </c>
      <c r="L174" s="14" t="n">
        <v>3.85</v>
      </c>
      <c r="M174" s="14" t="n">
        <v>14.83</v>
      </c>
      <c r="N174" s="14" t="n">
        <v>4.55</v>
      </c>
      <c r="O174" s="14" t="n">
        <v>5.32</v>
      </c>
      <c r="P174" s="14" t="n">
        <v>0.41</v>
      </c>
      <c r="Q174" s="14" t="n">
        <v>0.85</v>
      </c>
      <c r="R174" s="14" t="n">
        <v>0.04</v>
      </c>
      <c r="S174" s="14" t="n">
        <v>1.75</v>
      </c>
      <c r="T174" s="14" t="n">
        <v>0.92</v>
      </c>
      <c r="U174" s="14" t="n">
        <v>2</v>
      </c>
      <c r="V174" s="14" t="n">
        <v>3.62</v>
      </c>
      <c r="W174" s="14" t="n">
        <v>1.36</v>
      </c>
      <c r="X174" s="14" t="n">
        <v>0.39</v>
      </c>
      <c r="Y174" s="14" t="n">
        <v>2.24</v>
      </c>
      <c r="Z174" s="14" t="n">
        <v>0.92</v>
      </c>
      <c r="AA174" s="14" t="n">
        <v>0</v>
      </c>
    </row>
    <row r="175">
      <c r="A175" t="inlineStr">
        <is>
          <t>120304</t>
        </is>
      </c>
      <c r="B175" t="inlineStr">
        <is>
          <t>JUNIN</t>
        </is>
      </c>
      <c r="C175" t="inlineStr">
        <is>
          <t>CHANCHAMAYO</t>
        </is>
      </c>
      <c r="D175" t="inlineStr">
        <is>
          <t>SAN LUIS DE SHUARO</t>
        </is>
      </c>
      <c r="E175" t="n">
        <v>1846</v>
      </c>
      <c r="F175" s="14" t="n">
        <v>0</v>
      </c>
      <c r="G175" s="14" t="n">
        <v>78.98</v>
      </c>
      <c r="H175" s="14" t="n">
        <v>0.05</v>
      </c>
      <c r="I175" s="14" t="n">
        <v>0.8100000000000001</v>
      </c>
      <c r="J175" s="14" t="n">
        <v>0.11</v>
      </c>
      <c r="K175" s="14" t="n">
        <v>0.05</v>
      </c>
      <c r="L175" s="14" t="n">
        <v>1.14</v>
      </c>
      <c r="M175" s="14" t="n">
        <v>5.15</v>
      </c>
      <c r="N175" s="14" t="n">
        <v>2.71</v>
      </c>
      <c r="O175" s="14" t="n">
        <v>2.44</v>
      </c>
      <c r="P175" s="14" t="n">
        <v>0</v>
      </c>
      <c r="Q175" s="14" t="n">
        <v>0.16</v>
      </c>
      <c r="R175" s="14" t="n">
        <v>0</v>
      </c>
      <c r="S175" s="14" t="n">
        <v>0.38</v>
      </c>
      <c r="T175" s="14" t="n">
        <v>0.38</v>
      </c>
      <c r="U175" s="14" t="n">
        <v>2.98</v>
      </c>
      <c r="V175" s="14" t="n">
        <v>2.22</v>
      </c>
      <c r="W175" s="14" t="n">
        <v>1.57</v>
      </c>
      <c r="X175" s="14" t="n">
        <v>0.11</v>
      </c>
      <c r="Y175" s="14" t="n">
        <v>0.33</v>
      </c>
      <c r="Z175" s="14" t="n">
        <v>0.43</v>
      </c>
      <c r="AA175" s="14" t="n">
        <v>0</v>
      </c>
    </row>
    <row r="176">
      <c r="A176" t="inlineStr">
        <is>
          <t>120305</t>
        </is>
      </c>
      <c r="B176" t="inlineStr">
        <is>
          <t>JUNIN</t>
        </is>
      </c>
      <c r="C176" t="inlineStr">
        <is>
          <t>CHANCHAMAYO</t>
        </is>
      </c>
      <c r="D176" t="inlineStr">
        <is>
          <t>SAN RAMON</t>
        </is>
      </c>
      <c r="E176" t="n">
        <v>10868</v>
      </c>
      <c r="F176" s="14" t="n">
        <v>0</v>
      </c>
      <c r="G176" s="14" t="n">
        <v>22.38</v>
      </c>
      <c r="H176" s="14" t="n">
        <v>2.67</v>
      </c>
      <c r="I176" s="14" t="n">
        <v>4.77</v>
      </c>
      <c r="J176" s="14" t="n">
        <v>0.43</v>
      </c>
      <c r="K176" s="14" t="n">
        <v>0.28</v>
      </c>
      <c r="L176" s="14" t="n">
        <v>8.720000000000001</v>
      </c>
      <c r="M176" s="14" t="n">
        <v>19.12</v>
      </c>
      <c r="N176" s="14" t="n">
        <v>8.75</v>
      </c>
      <c r="O176" s="14" t="n">
        <v>8.49</v>
      </c>
      <c r="P176" s="14" t="n">
        <v>0.51</v>
      </c>
      <c r="Q176" s="14" t="n">
        <v>0.86</v>
      </c>
      <c r="R176" s="14" t="n">
        <v>0.04</v>
      </c>
      <c r="S176" s="14" t="n">
        <v>3.53</v>
      </c>
      <c r="T176" s="14" t="n">
        <v>2.81</v>
      </c>
      <c r="U176" s="14" t="n">
        <v>3.97</v>
      </c>
      <c r="V176" s="14" t="n">
        <v>5.94</v>
      </c>
      <c r="W176" s="14" t="n">
        <v>2.18</v>
      </c>
      <c r="X176" s="14" t="n">
        <v>0.72</v>
      </c>
      <c r="Y176" s="14" t="n">
        <v>2.38</v>
      </c>
      <c r="Z176" s="14" t="n">
        <v>1.45</v>
      </c>
      <c r="AA176" s="14" t="n">
        <v>0</v>
      </c>
    </row>
    <row r="177">
      <c r="A177" t="inlineStr">
        <is>
          <t>120306</t>
        </is>
      </c>
      <c r="B177" t="inlineStr">
        <is>
          <t>JUNIN</t>
        </is>
      </c>
      <c r="C177" t="inlineStr">
        <is>
          <t>CHANCHAMAYO</t>
        </is>
      </c>
      <c r="D177" t="inlineStr">
        <is>
          <t>VITOC</t>
        </is>
      </c>
      <c r="E177" t="n">
        <v>922</v>
      </c>
      <c r="F177" s="14" t="n">
        <v>0</v>
      </c>
      <c r="G177" s="14" t="n">
        <v>52.06</v>
      </c>
      <c r="H177" s="14" t="n">
        <v>14.1</v>
      </c>
      <c r="I177" s="14" t="n">
        <v>3.8</v>
      </c>
      <c r="J177" s="14" t="n">
        <v>0.11</v>
      </c>
      <c r="K177" s="14" t="n">
        <v>0.11</v>
      </c>
      <c r="L177" s="14" t="n">
        <v>5.1</v>
      </c>
      <c r="M177" s="14" t="n">
        <v>6.29</v>
      </c>
      <c r="N177" s="14" t="n">
        <v>4.12</v>
      </c>
      <c r="O177" s="14" t="n">
        <v>4.34</v>
      </c>
      <c r="P177" s="14" t="n">
        <v>0.33</v>
      </c>
      <c r="Q177" s="14" t="n">
        <v>0.11</v>
      </c>
      <c r="R177" s="14" t="n">
        <v>0</v>
      </c>
      <c r="S177" s="14" t="n">
        <v>4.01</v>
      </c>
      <c r="T177" s="14" t="n">
        <v>2.28</v>
      </c>
      <c r="U177" s="14" t="n">
        <v>1.19</v>
      </c>
      <c r="V177" s="14" t="n">
        <v>0.98</v>
      </c>
      <c r="W177" s="14" t="n">
        <v>0.76</v>
      </c>
      <c r="X177" s="14" t="n">
        <v>0</v>
      </c>
      <c r="Y177" s="14" t="n">
        <v>0.11</v>
      </c>
      <c r="Z177" s="14" t="n">
        <v>0.22</v>
      </c>
      <c r="AA177" s="14" t="n">
        <v>0</v>
      </c>
    </row>
    <row r="178">
      <c r="A178" t="inlineStr">
        <is>
          <t>120401</t>
        </is>
      </c>
      <c r="B178" t="inlineStr">
        <is>
          <t>JUNIN</t>
        </is>
      </c>
      <c r="C178" t="inlineStr">
        <is>
          <t>JAUJA</t>
        </is>
      </c>
      <c r="D178" t="inlineStr">
        <is>
          <t>JAUJA</t>
        </is>
      </c>
      <c r="E178" t="n">
        <v>7890</v>
      </c>
      <c r="F178" s="14" t="n">
        <v>0</v>
      </c>
      <c r="G178" s="14" t="n">
        <v>12.38</v>
      </c>
      <c r="H178" s="14" t="n">
        <v>1.39</v>
      </c>
      <c r="I178" s="14" t="n">
        <v>6.95</v>
      </c>
      <c r="J178" s="14" t="n">
        <v>0.14</v>
      </c>
      <c r="K178" s="14" t="n">
        <v>0.11</v>
      </c>
      <c r="L178" s="14" t="n">
        <v>5.36</v>
      </c>
      <c r="M178" s="14" t="n">
        <v>23.4</v>
      </c>
      <c r="N178" s="14" t="n">
        <v>8.82</v>
      </c>
      <c r="O178" s="14" t="n">
        <v>7.05</v>
      </c>
      <c r="P178" s="14" t="n">
        <v>0.9</v>
      </c>
      <c r="Q178" s="14" t="n">
        <v>1.03</v>
      </c>
      <c r="R178" s="14" t="n">
        <v>0.08</v>
      </c>
      <c r="S178" s="14" t="n">
        <v>2.72</v>
      </c>
      <c r="T178" s="14" t="n">
        <v>1.65</v>
      </c>
      <c r="U178" s="14" t="n">
        <v>7.86</v>
      </c>
      <c r="V178" s="14" t="n">
        <v>10.32</v>
      </c>
      <c r="W178" s="14" t="n">
        <v>3.88</v>
      </c>
      <c r="X178" s="14" t="n">
        <v>1.5</v>
      </c>
      <c r="Y178" s="14" t="n">
        <v>3.56</v>
      </c>
      <c r="Z178" s="14" t="n">
        <v>0.91</v>
      </c>
      <c r="AA178" s="14" t="n">
        <v>0</v>
      </c>
    </row>
    <row r="179">
      <c r="A179" t="inlineStr">
        <is>
          <t>120402</t>
        </is>
      </c>
      <c r="B179" t="inlineStr">
        <is>
          <t>JUNIN</t>
        </is>
      </c>
      <c r="C179" t="inlineStr">
        <is>
          <t>JAUJA</t>
        </is>
      </c>
      <c r="D179" t="inlineStr">
        <is>
          <t>ACOLLA</t>
        </is>
      </c>
      <c r="E179" t="n">
        <v>2277</v>
      </c>
      <c r="F179" s="14" t="n">
        <v>0</v>
      </c>
      <c r="G179" s="14" t="n">
        <v>62.23</v>
      </c>
      <c r="H179" s="14" t="n">
        <v>0.53</v>
      </c>
      <c r="I179" s="14" t="n">
        <v>2.68</v>
      </c>
      <c r="J179" s="14" t="n">
        <v>0</v>
      </c>
      <c r="K179" s="14" t="n">
        <v>0.04</v>
      </c>
      <c r="L179" s="14" t="n">
        <v>3.12</v>
      </c>
      <c r="M179" s="14" t="n">
        <v>8.43</v>
      </c>
      <c r="N179" s="14" t="n">
        <v>3.91</v>
      </c>
      <c r="O179" s="14" t="n">
        <v>1.62</v>
      </c>
      <c r="P179" s="14" t="n">
        <v>0.13</v>
      </c>
      <c r="Q179" s="14" t="n">
        <v>0.18</v>
      </c>
      <c r="R179" s="14" t="n">
        <v>0.04</v>
      </c>
      <c r="S179" s="14" t="n">
        <v>0.79</v>
      </c>
      <c r="T179" s="14" t="n">
        <v>0.61</v>
      </c>
      <c r="U179" s="14" t="n">
        <v>3.38</v>
      </c>
      <c r="V179" s="14" t="n">
        <v>7.42</v>
      </c>
      <c r="W179" s="14" t="n">
        <v>1.67</v>
      </c>
      <c r="X179" s="14" t="n">
        <v>2.59</v>
      </c>
      <c r="Y179" s="14" t="n">
        <v>0.57</v>
      </c>
      <c r="Z179" s="14" t="n">
        <v>0.04</v>
      </c>
      <c r="AA179" s="14" t="n">
        <v>0</v>
      </c>
    </row>
    <row r="180">
      <c r="A180" t="inlineStr">
        <is>
          <t>120403</t>
        </is>
      </c>
      <c r="B180" t="inlineStr">
        <is>
          <t>JUNIN</t>
        </is>
      </c>
      <c r="C180" t="inlineStr">
        <is>
          <t>JAUJA</t>
        </is>
      </c>
      <c r="D180" t="inlineStr">
        <is>
          <t>APATA</t>
        </is>
      </c>
      <c r="E180" t="n">
        <v>1278</v>
      </c>
      <c r="F180" s="14" t="n">
        <v>0</v>
      </c>
      <c r="G180" s="14" t="n">
        <v>63.69</v>
      </c>
      <c r="H180" s="14" t="n">
        <v>1.8</v>
      </c>
      <c r="I180" s="14" t="n">
        <v>3.29</v>
      </c>
      <c r="J180" s="14" t="n">
        <v>0</v>
      </c>
      <c r="K180" s="14" t="n">
        <v>0.08</v>
      </c>
      <c r="L180" s="14" t="n">
        <v>3.91</v>
      </c>
      <c r="M180" s="14" t="n">
        <v>8.76</v>
      </c>
      <c r="N180" s="14" t="n">
        <v>5.09</v>
      </c>
      <c r="O180" s="14" t="n">
        <v>1.96</v>
      </c>
      <c r="P180" s="14" t="n">
        <v>0.08</v>
      </c>
      <c r="Q180" s="14" t="n">
        <v>0.23</v>
      </c>
      <c r="R180" s="14" t="n">
        <v>0</v>
      </c>
      <c r="S180" s="14" t="n">
        <v>0.86</v>
      </c>
      <c r="T180" s="14" t="n">
        <v>0.55</v>
      </c>
      <c r="U180" s="14" t="n">
        <v>3.68</v>
      </c>
      <c r="V180" s="14" t="n">
        <v>3.13</v>
      </c>
      <c r="W180" s="14" t="n">
        <v>1.02</v>
      </c>
      <c r="X180" s="14" t="n">
        <v>0.23</v>
      </c>
      <c r="Y180" s="14" t="n">
        <v>1.1</v>
      </c>
      <c r="Z180" s="14" t="n">
        <v>0.55</v>
      </c>
      <c r="AA180" s="14" t="n">
        <v>0</v>
      </c>
    </row>
    <row r="181">
      <c r="A181" t="inlineStr">
        <is>
          <t>120404</t>
        </is>
      </c>
      <c r="B181" t="inlineStr">
        <is>
          <t>JUNIN</t>
        </is>
      </c>
      <c r="C181" t="inlineStr">
        <is>
          <t>JAUJA</t>
        </is>
      </c>
      <c r="D181" t="inlineStr">
        <is>
          <t>ATAURA</t>
        </is>
      </c>
      <c r="E181" t="n">
        <v>449</v>
      </c>
      <c r="F181" s="14" t="n">
        <v>0</v>
      </c>
      <c r="G181" s="14" t="n">
        <v>29.84</v>
      </c>
      <c r="H181" s="14" t="n">
        <v>3.12</v>
      </c>
      <c r="I181" s="14" t="n">
        <v>4.45</v>
      </c>
      <c r="J181" s="14" t="n">
        <v>0</v>
      </c>
      <c r="K181" s="14" t="n">
        <v>0</v>
      </c>
      <c r="L181" s="14" t="n">
        <v>13.59</v>
      </c>
      <c r="M181" s="14" t="n">
        <v>9.800000000000001</v>
      </c>
      <c r="N181" s="14" t="n">
        <v>6.68</v>
      </c>
      <c r="O181" s="14" t="n">
        <v>4.45</v>
      </c>
      <c r="P181" s="14" t="n">
        <v>0.89</v>
      </c>
      <c r="Q181" s="14" t="n">
        <v>0.89</v>
      </c>
      <c r="R181" s="14" t="n">
        <v>0</v>
      </c>
      <c r="S181" s="14" t="n">
        <v>1.78</v>
      </c>
      <c r="T181" s="14" t="n">
        <v>3.12</v>
      </c>
      <c r="U181" s="14" t="n">
        <v>4.45</v>
      </c>
      <c r="V181" s="14" t="n">
        <v>10.69</v>
      </c>
      <c r="W181" s="14" t="n">
        <v>3.56</v>
      </c>
      <c r="X181" s="14" t="n">
        <v>0.45</v>
      </c>
      <c r="Y181" s="14" t="n">
        <v>2</v>
      </c>
      <c r="Z181" s="14" t="n">
        <v>0.22</v>
      </c>
      <c r="AA181" s="14" t="n">
        <v>0</v>
      </c>
    </row>
    <row r="182">
      <c r="A182" t="inlineStr">
        <is>
          <t>120405</t>
        </is>
      </c>
      <c r="B182" t="inlineStr">
        <is>
          <t>JUNIN</t>
        </is>
      </c>
      <c r="C182" t="inlineStr">
        <is>
          <t>JAUJA</t>
        </is>
      </c>
      <c r="D182" t="inlineStr">
        <is>
          <t>CANCHAYLLO</t>
        </is>
      </c>
      <c r="E182" t="n">
        <v>459</v>
      </c>
      <c r="F182" s="14" t="n">
        <v>0</v>
      </c>
      <c r="G182" s="14" t="n">
        <v>41.39</v>
      </c>
      <c r="H182" s="14" t="n">
        <v>5.88</v>
      </c>
      <c r="I182" s="14" t="n">
        <v>3.27</v>
      </c>
      <c r="J182" s="14" t="n">
        <v>0.87</v>
      </c>
      <c r="K182" s="14" t="n">
        <v>0</v>
      </c>
      <c r="L182" s="14" t="n">
        <v>10.24</v>
      </c>
      <c r="M182" s="14" t="n">
        <v>8.710000000000001</v>
      </c>
      <c r="N182" s="14" t="n">
        <v>5.88</v>
      </c>
      <c r="O182" s="14" t="n">
        <v>5.23</v>
      </c>
      <c r="P182" s="14" t="n">
        <v>0.22</v>
      </c>
      <c r="Q182" s="14" t="n">
        <v>0.22</v>
      </c>
      <c r="R182" s="14" t="n">
        <v>0</v>
      </c>
      <c r="S182" s="14" t="n">
        <v>2.18</v>
      </c>
      <c r="T182" s="14" t="n">
        <v>3.27</v>
      </c>
      <c r="U182" s="14" t="n">
        <v>8.279999999999999</v>
      </c>
      <c r="V182" s="14" t="n">
        <v>1.53</v>
      </c>
      <c r="W182" s="14" t="n">
        <v>0.22</v>
      </c>
      <c r="X182" s="14" t="n">
        <v>0</v>
      </c>
      <c r="Y182" s="14" t="n">
        <v>1.31</v>
      </c>
      <c r="Z182" s="14" t="n">
        <v>1.31</v>
      </c>
      <c r="AA182" s="14" t="n">
        <v>0</v>
      </c>
    </row>
    <row r="183">
      <c r="A183" t="inlineStr">
        <is>
          <t>120406</t>
        </is>
      </c>
      <c r="B183" t="inlineStr">
        <is>
          <t>JUNIN</t>
        </is>
      </c>
      <c r="C183" t="inlineStr">
        <is>
          <t>JAUJA</t>
        </is>
      </c>
      <c r="D183" t="inlineStr">
        <is>
          <t>CURICACA</t>
        </is>
      </c>
      <c r="E183" t="n">
        <v>466</v>
      </c>
      <c r="F183" s="14" t="n">
        <v>0</v>
      </c>
      <c r="G183" s="14" t="n">
        <v>18.03</v>
      </c>
      <c r="H183" s="14" t="n">
        <v>36.05</v>
      </c>
      <c r="I183" s="14" t="n">
        <v>2.15</v>
      </c>
      <c r="J183" s="14" t="n">
        <v>0</v>
      </c>
      <c r="K183" s="14" t="n">
        <v>0</v>
      </c>
      <c r="L183" s="14" t="n">
        <v>3.86</v>
      </c>
      <c r="M183" s="14" t="n">
        <v>10.52</v>
      </c>
      <c r="N183" s="14" t="n">
        <v>9.66</v>
      </c>
      <c r="O183" s="14" t="n">
        <v>9.23</v>
      </c>
      <c r="P183" s="14" t="n">
        <v>0</v>
      </c>
      <c r="Q183" s="14" t="n">
        <v>0.21</v>
      </c>
      <c r="R183" s="14" t="n">
        <v>0</v>
      </c>
      <c r="S183" s="14" t="n">
        <v>0.21</v>
      </c>
      <c r="T183" s="14" t="n">
        <v>2.58</v>
      </c>
      <c r="U183" s="14" t="n">
        <v>3.43</v>
      </c>
      <c r="V183" s="14" t="n">
        <v>2.15</v>
      </c>
      <c r="W183" s="14" t="n">
        <v>0.43</v>
      </c>
      <c r="X183" s="14" t="n">
        <v>0.21</v>
      </c>
      <c r="Y183" s="14" t="n">
        <v>1.07</v>
      </c>
      <c r="Z183" s="14" t="n">
        <v>0.21</v>
      </c>
      <c r="AA183" s="14" t="n">
        <v>0</v>
      </c>
    </row>
    <row r="184">
      <c r="A184" t="inlineStr">
        <is>
          <t>120407</t>
        </is>
      </c>
      <c r="B184" t="inlineStr">
        <is>
          <t>JUNIN</t>
        </is>
      </c>
      <c r="C184" t="inlineStr">
        <is>
          <t>JAUJA</t>
        </is>
      </c>
      <c r="D184" t="inlineStr">
        <is>
          <t>EL MANTARO</t>
        </is>
      </c>
      <c r="E184" t="n">
        <v>1062</v>
      </c>
      <c r="F184" s="14" t="n">
        <v>0</v>
      </c>
      <c r="G184" s="14" t="n">
        <v>48.21</v>
      </c>
      <c r="H184" s="14" t="n">
        <v>1.51</v>
      </c>
      <c r="I184" s="14" t="n">
        <v>2.26</v>
      </c>
      <c r="J184" s="14" t="n">
        <v>0</v>
      </c>
      <c r="K184" s="14" t="n">
        <v>0</v>
      </c>
      <c r="L184" s="14" t="n">
        <v>5.56</v>
      </c>
      <c r="M184" s="14" t="n">
        <v>12.05</v>
      </c>
      <c r="N184" s="14" t="n">
        <v>5.74</v>
      </c>
      <c r="O184" s="14" t="n">
        <v>3.58</v>
      </c>
      <c r="P184" s="14" t="n">
        <v>0.28</v>
      </c>
      <c r="Q184" s="14" t="n">
        <v>0.75</v>
      </c>
      <c r="R184" s="14" t="n">
        <v>0</v>
      </c>
      <c r="S184" s="14" t="n">
        <v>1.88</v>
      </c>
      <c r="T184" s="14" t="n">
        <v>2.07</v>
      </c>
      <c r="U184" s="14" t="n">
        <v>2.82</v>
      </c>
      <c r="V184" s="14" t="n">
        <v>7.72</v>
      </c>
      <c r="W184" s="14" t="n">
        <v>2.82</v>
      </c>
      <c r="X184" s="14" t="n">
        <v>0.85</v>
      </c>
      <c r="Y184" s="14" t="n">
        <v>0.9399999999999999</v>
      </c>
      <c r="Z184" s="14" t="n">
        <v>0.9399999999999999</v>
      </c>
      <c r="AA184" s="14" t="n">
        <v>0</v>
      </c>
    </row>
    <row r="185">
      <c r="A185" t="inlineStr">
        <is>
          <t>120408</t>
        </is>
      </c>
      <c r="B185" t="inlineStr">
        <is>
          <t>JUNIN</t>
        </is>
      </c>
      <c r="C185" t="inlineStr">
        <is>
          <t>JAUJA</t>
        </is>
      </c>
      <c r="D185" t="inlineStr">
        <is>
          <t>HUAMALI</t>
        </is>
      </c>
      <c r="E185" t="n">
        <v>600</v>
      </c>
      <c r="F185" s="14" t="n">
        <v>0</v>
      </c>
      <c r="G185" s="14" t="n">
        <v>46.5</v>
      </c>
      <c r="H185" s="14" t="n">
        <v>3.17</v>
      </c>
      <c r="I185" s="14" t="n">
        <v>5.17</v>
      </c>
      <c r="J185" s="14" t="n">
        <v>0.5</v>
      </c>
      <c r="K185" s="14" t="n">
        <v>0</v>
      </c>
      <c r="L185" s="14" t="n">
        <v>8.17</v>
      </c>
      <c r="M185" s="14" t="n">
        <v>10.33</v>
      </c>
      <c r="N185" s="14" t="n">
        <v>7.17</v>
      </c>
      <c r="O185" s="14" t="n">
        <v>2.83</v>
      </c>
      <c r="P185" s="14" t="n">
        <v>0.17</v>
      </c>
      <c r="Q185" s="14" t="n">
        <v>0.17</v>
      </c>
      <c r="R185" s="14" t="n">
        <v>0</v>
      </c>
      <c r="S185" s="14" t="n">
        <v>1.5</v>
      </c>
      <c r="T185" s="14" t="n">
        <v>1.5</v>
      </c>
      <c r="U185" s="14" t="n">
        <v>3.33</v>
      </c>
      <c r="V185" s="14" t="n">
        <v>4.5</v>
      </c>
      <c r="W185" s="14" t="n">
        <v>1.67</v>
      </c>
      <c r="X185" s="14" t="n">
        <v>0.83</v>
      </c>
      <c r="Y185" s="14" t="n">
        <v>2.17</v>
      </c>
      <c r="Z185" s="14" t="n">
        <v>0.33</v>
      </c>
      <c r="AA185" s="14" t="n">
        <v>0</v>
      </c>
    </row>
    <row r="186">
      <c r="A186" t="inlineStr">
        <is>
          <t>120409</t>
        </is>
      </c>
      <c r="B186" t="inlineStr">
        <is>
          <t>JUNIN</t>
        </is>
      </c>
      <c r="C186" t="inlineStr">
        <is>
          <t>JAUJA</t>
        </is>
      </c>
      <c r="D186" t="inlineStr">
        <is>
          <t>HUARIPAMPA</t>
        </is>
      </c>
      <c r="E186" t="n">
        <v>391</v>
      </c>
      <c r="F186" s="14" t="n">
        <v>0</v>
      </c>
      <c r="G186" s="14" t="n">
        <v>49.36</v>
      </c>
      <c r="H186" s="14" t="n">
        <v>0.77</v>
      </c>
      <c r="I186" s="14" t="n">
        <v>3.84</v>
      </c>
      <c r="J186" s="14" t="n">
        <v>0</v>
      </c>
      <c r="K186" s="14" t="n">
        <v>0</v>
      </c>
      <c r="L186" s="14" t="n">
        <v>6.39</v>
      </c>
      <c r="M186" s="14" t="n">
        <v>8.18</v>
      </c>
      <c r="N186" s="14" t="n">
        <v>3.58</v>
      </c>
      <c r="O186" s="14" t="n">
        <v>5.12</v>
      </c>
      <c r="P186" s="14" t="n">
        <v>1.53</v>
      </c>
      <c r="Q186" s="14" t="n">
        <v>0.51</v>
      </c>
      <c r="R186" s="14" t="n">
        <v>0</v>
      </c>
      <c r="S186" s="14" t="n">
        <v>0.77</v>
      </c>
      <c r="T186" s="14" t="n">
        <v>1.28</v>
      </c>
      <c r="U186" s="14" t="n">
        <v>5.88</v>
      </c>
      <c r="V186" s="14" t="n">
        <v>6.65</v>
      </c>
      <c r="W186" s="14" t="n">
        <v>2.05</v>
      </c>
      <c r="X186" s="14" t="n">
        <v>0.77</v>
      </c>
      <c r="Y186" s="14" t="n">
        <v>2.3</v>
      </c>
      <c r="Z186" s="14" t="n">
        <v>1.02</v>
      </c>
      <c r="AA186" s="14" t="n">
        <v>0</v>
      </c>
    </row>
    <row r="187">
      <c r="A187" t="inlineStr">
        <is>
          <t>120410</t>
        </is>
      </c>
      <c r="B187" t="inlineStr">
        <is>
          <t>JUNIN</t>
        </is>
      </c>
      <c r="C187" t="inlineStr">
        <is>
          <t>JAUJA</t>
        </is>
      </c>
      <c r="D187" t="inlineStr">
        <is>
          <t>HUERTAS</t>
        </is>
      </c>
      <c r="E187" t="n">
        <v>799</v>
      </c>
      <c r="F187" s="14" t="n">
        <v>0</v>
      </c>
      <c r="G187" s="14" t="n">
        <v>33.79</v>
      </c>
      <c r="H187" s="14" t="n">
        <v>0.75</v>
      </c>
      <c r="I187" s="14" t="n">
        <v>25.28</v>
      </c>
      <c r="J187" s="14" t="n">
        <v>0</v>
      </c>
      <c r="K187" s="14" t="n">
        <v>0.38</v>
      </c>
      <c r="L187" s="14" t="n">
        <v>7.88</v>
      </c>
      <c r="M187" s="14" t="n">
        <v>6.76</v>
      </c>
      <c r="N187" s="14" t="n">
        <v>8.51</v>
      </c>
      <c r="O187" s="14" t="n">
        <v>2.38</v>
      </c>
      <c r="P187" s="14" t="n">
        <v>0</v>
      </c>
      <c r="Q187" s="14" t="n">
        <v>0.13</v>
      </c>
      <c r="R187" s="14" t="n">
        <v>0</v>
      </c>
      <c r="S187" s="14" t="n">
        <v>0.63</v>
      </c>
      <c r="T187" s="14" t="n">
        <v>0.25</v>
      </c>
      <c r="U187" s="14" t="n">
        <v>3.63</v>
      </c>
      <c r="V187" s="14" t="n">
        <v>4.88</v>
      </c>
      <c r="W187" s="14" t="n">
        <v>2</v>
      </c>
      <c r="X187" s="14" t="n">
        <v>1.13</v>
      </c>
      <c r="Y187" s="14" t="n">
        <v>1.25</v>
      </c>
      <c r="Z187" s="14" t="n">
        <v>0.38</v>
      </c>
      <c r="AA187" s="14" t="n">
        <v>0</v>
      </c>
    </row>
    <row r="188">
      <c r="A188" t="inlineStr">
        <is>
          <t>120411</t>
        </is>
      </c>
      <c r="B188" t="inlineStr">
        <is>
          <t>JUNIN</t>
        </is>
      </c>
      <c r="C188" t="inlineStr">
        <is>
          <t>JAUJA</t>
        </is>
      </c>
      <c r="D188" t="inlineStr">
        <is>
          <t>JANJAILLO</t>
        </is>
      </c>
      <c r="E188" t="n">
        <v>147</v>
      </c>
      <c r="F188" s="14" t="n">
        <v>0</v>
      </c>
      <c r="G188" s="14" t="n">
        <v>73.47</v>
      </c>
      <c r="H188" s="14" t="n">
        <v>0.68</v>
      </c>
      <c r="I188" s="14" t="n">
        <v>1.36</v>
      </c>
      <c r="J188" s="14" t="n">
        <v>0</v>
      </c>
      <c r="K188" s="14" t="n">
        <v>0</v>
      </c>
      <c r="L188" s="14" t="n">
        <v>8.84</v>
      </c>
      <c r="M188" s="14" t="n">
        <v>4.76</v>
      </c>
      <c r="N188" s="14" t="n">
        <v>2.72</v>
      </c>
      <c r="O188" s="14" t="n">
        <v>1.36</v>
      </c>
      <c r="P188" s="14" t="n">
        <v>0</v>
      </c>
      <c r="Q188" s="14" t="n">
        <v>0</v>
      </c>
      <c r="R188" s="14" t="n">
        <v>0</v>
      </c>
      <c r="S188" s="14" t="n">
        <v>0</v>
      </c>
      <c r="T188" s="14" t="n">
        <v>0</v>
      </c>
      <c r="U188" s="14" t="n">
        <v>4.76</v>
      </c>
      <c r="V188" s="14" t="n">
        <v>2.04</v>
      </c>
      <c r="W188" s="14" t="n">
        <v>0</v>
      </c>
      <c r="X188" s="14" t="n">
        <v>0</v>
      </c>
      <c r="Y188" s="14" t="n">
        <v>0</v>
      </c>
      <c r="Z188" s="14" t="n">
        <v>0</v>
      </c>
      <c r="AA188" s="14" t="n">
        <v>0</v>
      </c>
    </row>
    <row r="189">
      <c r="A189" t="inlineStr">
        <is>
          <t>120412</t>
        </is>
      </c>
      <c r="B189" t="inlineStr">
        <is>
          <t>JUNIN</t>
        </is>
      </c>
      <c r="C189" t="inlineStr">
        <is>
          <t>JAUJA</t>
        </is>
      </c>
      <c r="D189" t="inlineStr">
        <is>
          <t>JULCAN</t>
        </is>
      </c>
      <c r="E189" t="n">
        <v>305</v>
      </c>
      <c r="F189" s="14" t="n">
        <v>0</v>
      </c>
      <c r="G189" s="14" t="n">
        <v>43.93</v>
      </c>
      <c r="H189" s="14" t="n">
        <v>0.33</v>
      </c>
      <c r="I189" s="14" t="n">
        <v>14.75</v>
      </c>
      <c r="J189" s="14" t="n">
        <v>0</v>
      </c>
      <c r="K189" s="14" t="n">
        <v>0.33</v>
      </c>
      <c r="L189" s="14" t="n">
        <v>3.28</v>
      </c>
      <c r="M189" s="14" t="n">
        <v>11.48</v>
      </c>
      <c r="N189" s="14" t="n">
        <v>4.92</v>
      </c>
      <c r="O189" s="14" t="n">
        <v>3.28</v>
      </c>
      <c r="P189" s="14" t="n">
        <v>0</v>
      </c>
      <c r="Q189" s="14" t="n">
        <v>0.33</v>
      </c>
      <c r="R189" s="14" t="n">
        <v>0</v>
      </c>
      <c r="S189" s="14" t="n">
        <v>1.64</v>
      </c>
      <c r="T189" s="14" t="n">
        <v>0.33</v>
      </c>
      <c r="U189" s="14" t="n">
        <v>5.9</v>
      </c>
      <c r="V189" s="14" t="n">
        <v>4.92</v>
      </c>
      <c r="W189" s="14" t="n">
        <v>1.31</v>
      </c>
      <c r="X189" s="14" t="n">
        <v>0.98</v>
      </c>
      <c r="Y189" s="14" t="n">
        <v>1.97</v>
      </c>
      <c r="Z189" s="14" t="n">
        <v>0.33</v>
      </c>
      <c r="AA189" s="14" t="n">
        <v>0</v>
      </c>
    </row>
    <row r="190">
      <c r="A190" t="inlineStr">
        <is>
          <t>120413</t>
        </is>
      </c>
      <c r="B190" t="inlineStr">
        <is>
          <t>JUNIN</t>
        </is>
      </c>
      <c r="C190" t="inlineStr">
        <is>
          <t>JAUJA</t>
        </is>
      </c>
      <c r="D190" t="inlineStr">
        <is>
          <t>LEONOR ORDOÑEZ</t>
        </is>
      </c>
      <c r="E190" t="n">
        <v>668</v>
      </c>
      <c r="F190" s="14" t="n">
        <v>0</v>
      </c>
      <c r="G190" s="14" t="n">
        <v>58.53</v>
      </c>
      <c r="H190" s="14" t="n">
        <v>0.6</v>
      </c>
      <c r="I190" s="14" t="n">
        <v>2.69</v>
      </c>
      <c r="J190" s="14" t="n">
        <v>0</v>
      </c>
      <c r="K190" s="14" t="n">
        <v>0</v>
      </c>
      <c r="L190" s="14" t="n">
        <v>4.04</v>
      </c>
      <c r="M190" s="14" t="n">
        <v>9.43</v>
      </c>
      <c r="N190" s="14" t="n">
        <v>5.09</v>
      </c>
      <c r="O190" s="14" t="n">
        <v>2.54</v>
      </c>
      <c r="P190" s="14" t="n">
        <v>0.45</v>
      </c>
      <c r="Q190" s="14" t="n">
        <v>0.6</v>
      </c>
      <c r="R190" s="14" t="n">
        <v>0</v>
      </c>
      <c r="S190" s="14" t="n">
        <v>0.45</v>
      </c>
      <c r="T190" s="14" t="n">
        <v>0.9</v>
      </c>
      <c r="U190" s="14" t="n">
        <v>4.49</v>
      </c>
      <c r="V190" s="14" t="n">
        <v>5.09</v>
      </c>
      <c r="W190" s="14" t="n">
        <v>2.54</v>
      </c>
      <c r="X190" s="14" t="n">
        <v>0.45</v>
      </c>
      <c r="Y190" s="14" t="n">
        <v>1.2</v>
      </c>
      <c r="Z190" s="14" t="n">
        <v>0.9</v>
      </c>
      <c r="AA190" s="14" t="n">
        <v>0</v>
      </c>
    </row>
    <row r="191">
      <c r="A191" t="inlineStr">
        <is>
          <t>120414</t>
        </is>
      </c>
      <c r="B191" t="inlineStr">
        <is>
          <t>JUNIN</t>
        </is>
      </c>
      <c r="C191" t="inlineStr">
        <is>
          <t>JAUJA</t>
        </is>
      </c>
      <c r="D191" t="inlineStr">
        <is>
          <t>LLOCLLAPAMPA</t>
        </is>
      </c>
      <c r="E191" t="n">
        <v>378</v>
      </c>
      <c r="F191" s="14" t="n">
        <v>0</v>
      </c>
      <c r="G191" s="14" t="n">
        <v>29.37</v>
      </c>
      <c r="H191" s="14" t="n">
        <v>22.49</v>
      </c>
      <c r="I191" s="14" t="n">
        <v>2.38</v>
      </c>
      <c r="J191" s="14" t="n">
        <v>0</v>
      </c>
      <c r="K191" s="14" t="n">
        <v>0</v>
      </c>
      <c r="L191" s="14" t="n">
        <v>5.82</v>
      </c>
      <c r="M191" s="14" t="n">
        <v>7.67</v>
      </c>
      <c r="N191" s="14" t="n">
        <v>5.56</v>
      </c>
      <c r="O191" s="14" t="n">
        <v>0.79</v>
      </c>
      <c r="P191" s="14" t="n">
        <v>0.53</v>
      </c>
      <c r="Q191" s="14" t="n">
        <v>1.85</v>
      </c>
      <c r="R191" s="14" t="n">
        <v>0</v>
      </c>
      <c r="S191" s="14" t="n">
        <v>2.38</v>
      </c>
      <c r="T191" s="14" t="n">
        <v>5.82</v>
      </c>
      <c r="U191" s="14" t="n">
        <v>6.88</v>
      </c>
      <c r="V191" s="14" t="n">
        <v>1.85</v>
      </c>
      <c r="W191" s="14" t="n">
        <v>2.38</v>
      </c>
      <c r="X191" s="14" t="n">
        <v>0.26</v>
      </c>
      <c r="Y191" s="14" t="n">
        <v>3.44</v>
      </c>
      <c r="Z191" s="14" t="n">
        <v>0.53</v>
      </c>
      <c r="AA191" s="14" t="n">
        <v>0</v>
      </c>
    </row>
    <row r="192">
      <c r="A192" t="inlineStr">
        <is>
          <t>120415</t>
        </is>
      </c>
      <c r="B192" t="inlineStr">
        <is>
          <t>JUNIN</t>
        </is>
      </c>
      <c r="C192" t="inlineStr">
        <is>
          <t>JAUJA</t>
        </is>
      </c>
      <c r="D192" t="inlineStr">
        <is>
          <t>MARCO</t>
        </is>
      </c>
      <c r="E192" t="n">
        <v>425</v>
      </c>
      <c r="F192" s="14" t="n">
        <v>0</v>
      </c>
      <c r="G192" s="14" t="n">
        <v>62.59</v>
      </c>
      <c r="H192" s="14" t="n">
        <v>0.71</v>
      </c>
      <c r="I192" s="14" t="n">
        <v>0.47</v>
      </c>
      <c r="J192" s="14" t="n">
        <v>0</v>
      </c>
      <c r="K192" s="14" t="n">
        <v>0</v>
      </c>
      <c r="L192" s="14" t="n">
        <v>3.06</v>
      </c>
      <c r="M192" s="14" t="n">
        <v>6.59</v>
      </c>
      <c r="N192" s="14" t="n">
        <v>3.76</v>
      </c>
      <c r="O192" s="14" t="n">
        <v>2.35</v>
      </c>
      <c r="P192" s="14" t="n">
        <v>0.24</v>
      </c>
      <c r="Q192" s="14" t="n">
        <v>0</v>
      </c>
      <c r="R192" s="14" t="n">
        <v>0</v>
      </c>
      <c r="S192" s="14" t="n">
        <v>0.9399999999999999</v>
      </c>
      <c r="T192" s="14" t="n">
        <v>0.24</v>
      </c>
      <c r="U192" s="14" t="n">
        <v>5.88</v>
      </c>
      <c r="V192" s="14" t="n">
        <v>8.94</v>
      </c>
      <c r="W192" s="14" t="n">
        <v>0.71</v>
      </c>
      <c r="X192" s="14" t="n">
        <v>2.35</v>
      </c>
      <c r="Y192" s="14" t="n">
        <v>1.18</v>
      </c>
      <c r="Z192" s="14" t="n">
        <v>0</v>
      </c>
      <c r="AA192" s="14" t="n">
        <v>0</v>
      </c>
    </row>
    <row r="193">
      <c r="A193" t="inlineStr">
        <is>
          <t>120416</t>
        </is>
      </c>
      <c r="B193" t="inlineStr">
        <is>
          <t>JUNIN</t>
        </is>
      </c>
      <c r="C193" t="inlineStr">
        <is>
          <t>JAUJA</t>
        </is>
      </c>
      <c r="D193" t="inlineStr">
        <is>
          <t>MASMA</t>
        </is>
      </c>
      <c r="E193" t="n">
        <v>565</v>
      </c>
      <c r="F193" s="14" t="n">
        <v>0</v>
      </c>
      <c r="G193" s="14" t="n">
        <v>63.89</v>
      </c>
      <c r="H193" s="14" t="n">
        <v>1.59</v>
      </c>
      <c r="I193" s="14" t="n">
        <v>4.25</v>
      </c>
      <c r="J193" s="14" t="n">
        <v>0.18</v>
      </c>
      <c r="K193" s="14" t="n">
        <v>0</v>
      </c>
      <c r="L193" s="14" t="n">
        <v>4.96</v>
      </c>
      <c r="M193" s="14" t="n">
        <v>6.55</v>
      </c>
      <c r="N193" s="14" t="n">
        <v>5.31</v>
      </c>
      <c r="O193" s="14" t="n">
        <v>2.48</v>
      </c>
      <c r="P193" s="14" t="n">
        <v>0.18</v>
      </c>
      <c r="Q193" s="14" t="n">
        <v>0.18</v>
      </c>
      <c r="R193" s="14" t="n">
        <v>0</v>
      </c>
      <c r="S193" s="14" t="n">
        <v>1.06</v>
      </c>
      <c r="T193" s="14" t="n">
        <v>1.06</v>
      </c>
      <c r="U193" s="14" t="n">
        <v>1.59</v>
      </c>
      <c r="V193" s="14" t="n">
        <v>3.19</v>
      </c>
      <c r="W193" s="14" t="n">
        <v>1.06</v>
      </c>
      <c r="X193" s="14" t="n">
        <v>1.24</v>
      </c>
      <c r="Y193" s="14" t="n">
        <v>1.24</v>
      </c>
      <c r="Z193" s="14" t="n">
        <v>0</v>
      </c>
      <c r="AA193" s="14" t="n">
        <v>0</v>
      </c>
    </row>
    <row r="194">
      <c r="A194" t="inlineStr">
        <is>
          <t>120417</t>
        </is>
      </c>
      <c r="B194" t="inlineStr">
        <is>
          <t>JUNIN</t>
        </is>
      </c>
      <c r="C194" t="inlineStr">
        <is>
          <t>JAUJA</t>
        </is>
      </c>
      <c r="D194" t="inlineStr">
        <is>
          <t>MASMA CHICCHE</t>
        </is>
      </c>
      <c r="E194" t="n">
        <v>187</v>
      </c>
      <c r="F194" s="14" t="n">
        <v>0</v>
      </c>
      <c r="G194" s="14" t="n">
        <v>81.28</v>
      </c>
      <c r="H194" s="14" t="n">
        <v>0.53</v>
      </c>
      <c r="I194" s="14" t="n">
        <v>3.21</v>
      </c>
      <c r="J194" s="14" t="n">
        <v>0</v>
      </c>
      <c r="K194" s="14" t="n">
        <v>0</v>
      </c>
      <c r="L194" s="14" t="n">
        <v>0.53</v>
      </c>
      <c r="M194" s="14" t="n">
        <v>0.53</v>
      </c>
      <c r="N194" s="14" t="n">
        <v>5.88</v>
      </c>
      <c r="O194" s="14" t="n">
        <v>2.67</v>
      </c>
      <c r="P194" s="14" t="n">
        <v>0</v>
      </c>
      <c r="Q194" s="14" t="n">
        <v>0</v>
      </c>
      <c r="R194" s="14" t="n">
        <v>0</v>
      </c>
      <c r="S194" s="14" t="n">
        <v>0</v>
      </c>
      <c r="T194" s="14" t="n">
        <v>0.53</v>
      </c>
      <c r="U194" s="14" t="n">
        <v>4.81</v>
      </c>
      <c r="V194" s="14" t="n">
        <v>0</v>
      </c>
      <c r="W194" s="14" t="n">
        <v>0</v>
      </c>
      <c r="X194" s="14" t="n">
        <v>0</v>
      </c>
      <c r="Y194" s="14" t="n">
        <v>0</v>
      </c>
      <c r="Z194" s="14" t="n">
        <v>0</v>
      </c>
      <c r="AA194" s="14" t="n">
        <v>0</v>
      </c>
    </row>
    <row r="195">
      <c r="A195" t="inlineStr">
        <is>
          <t>120418</t>
        </is>
      </c>
      <c r="B195" t="inlineStr">
        <is>
          <t>JUNIN</t>
        </is>
      </c>
      <c r="C195" t="inlineStr">
        <is>
          <t>JAUJA</t>
        </is>
      </c>
      <c r="D195" t="inlineStr">
        <is>
          <t>MOLINOS</t>
        </is>
      </c>
      <c r="E195" t="n">
        <v>540</v>
      </c>
      <c r="F195" s="14" t="n">
        <v>0</v>
      </c>
      <c r="G195" s="14" t="n">
        <v>77.59</v>
      </c>
      <c r="H195" s="14" t="n">
        <v>0.5600000000000001</v>
      </c>
      <c r="I195" s="14" t="n">
        <v>6.11</v>
      </c>
      <c r="J195" s="14" t="n">
        <v>0</v>
      </c>
      <c r="K195" s="14" t="n">
        <v>0</v>
      </c>
      <c r="L195" s="14" t="n">
        <v>1.11</v>
      </c>
      <c r="M195" s="14" t="n">
        <v>3.33</v>
      </c>
      <c r="N195" s="14" t="n">
        <v>1.67</v>
      </c>
      <c r="O195" s="14" t="n">
        <v>3.15</v>
      </c>
      <c r="P195" s="14" t="n">
        <v>0</v>
      </c>
      <c r="Q195" s="14" t="n">
        <v>0.19</v>
      </c>
      <c r="R195" s="14" t="n">
        <v>0</v>
      </c>
      <c r="S195" s="14" t="n">
        <v>1.11</v>
      </c>
      <c r="T195" s="14" t="n">
        <v>0</v>
      </c>
      <c r="U195" s="14" t="n">
        <v>1.11</v>
      </c>
      <c r="V195" s="14" t="n">
        <v>1.3</v>
      </c>
      <c r="W195" s="14" t="n">
        <v>0.74</v>
      </c>
      <c r="X195" s="14" t="n">
        <v>0.93</v>
      </c>
      <c r="Y195" s="14" t="n">
        <v>1.11</v>
      </c>
      <c r="Z195" s="14" t="n">
        <v>0</v>
      </c>
      <c r="AA195" s="14" t="n">
        <v>0</v>
      </c>
    </row>
    <row r="196">
      <c r="A196" t="inlineStr">
        <is>
          <t>120419</t>
        </is>
      </c>
      <c r="B196" t="inlineStr">
        <is>
          <t>JUNIN</t>
        </is>
      </c>
      <c r="C196" t="inlineStr">
        <is>
          <t>JAUJA</t>
        </is>
      </c>
      <c r="D196" t="inlineStr">
        <is>
          <t>MONOBAMBA</t>
        </is>
      </c>
      <c r="E196" t="n">
        <v>820</v>
      </c>
      <c r="F196" s="14" t="n">
        <v>0</v>
      </c>
      <c r="G196" s="14" t="n">
        <v>69.63</v>
      </c>
      <c r="H196" s="14" t="n">
        <v>0.85</v>
      </c>
      <c r="I196" s="14" t="n">
        <v>0.61</v>
      </c>
      <c r="J196" s="14" t="n">
        <v>0.12</v>
      </c>
      <c r="K196" s="14" t="n">
        <v>0</v>
      </c>
      <c r="L196" s="14" t="n">
        <v>2.07</v>
      </c>
      <c r="M196" s="14" t="n">
        <v>16.71</v>
      </c>
      <c r="N196" s="14" t="n">
        <v>1.22</v>
      </c>
      <c r="O196" s="14" t="n">
        <v>1.34</v>
      </c>
      <c r="P196" s="14" t="n">
        <v>0.12</v>
      </c>
      <c r="Q196" s="14" t="n">
        <v>0</v>
      </c>
      <c r="R196" s="14" t="n">
        <v>0</v>
      </c>
      <c r="S196" s="14" t="n">
        <v>0.49</v>
      </c>
      <c r="T196" s="14" t="n">
        <v>0.61</v>
      </c>
      <c r="U196" s="14" t="n">
        <v>2.8</v>
      </c>
      <c r="V196" s="14" t="n">
        <v>1.83</v>
      </c>
      <c r="W196" s="14" t="n">
        <v>0.85</v>
      </c>
      <c r="X196" s="14" t="n">
        <v>0</v>
      </c>
      <c r="Y196" s="14" t="n">
        <v>0.24</v>
      </c>
      <c r="Z196" s="14" t="n">
        <v>0.49</v>
      </c>
      <c r="AA196" s="14" t="n">
        <v>0</v>
      </c>
    </row>
    <row r="197">
      <c r="A197" t="inlineStr">
        <is>
          <t>120420</t>
        </is>
      </c>
      <c r="B197" t="inlineStr">
        <is>
          <t>JUNIN</t>
        </is>
      </c>
      <c r="C197" t="inlineStr">
        <is>
          <t>JAUJA</t>
        </is>
      </c>
      <c r="D197" t="inlineStr">
        <is>
          <t>MUQUI</t>
        </is>
      </c>
      <c r="E197" t="n">
        <v>394</v>
      </c>
      <c r="F197" s="14" t="n">
        <v>0</v>
      </c>
      <c r="G197" s="14" t="n">
        <v>51.78</v>
      </c>
      <c r="H197" s="14" t="n">
        <v>2.79</v>
      </c>
      <c r="I197" s="14" t="n">
        <v>2.79</v>
      </c>
      <c r="J197" s="14" t="n">
        <v>0</v>
      </c>
      <c r="K197" s="14" t="n">
        <v>0.51</v>
      </c>
      <c r="L197" s="14" t="n">
        <v>7.36</v>
      </c>
      <c r="M197" s="14" t="n">
        <v>11.17</v>
      </c>
      <c r="N197" s="14" t="n">
        <v>3.55</v>
      </c>
      <c r="O197" s="14" t="n">
        <v>3.05</v>
      </c>
      <c r="P197" s="14" t="n">
        <v>0.51</v>
      </c>
      <c r="Q197" s="14" t="n">
        <v>0.51</v>
      </c>
      <c r="R197" s="14" t="n">
        <v>0.25</v>
      </c>
      <c r="S197" s="14" t="n">
        <v>2.03</v>
      </c>
      <c r="T197" s="14" t="n">
        <v>1.78</v>
      </c>
      <c r="U197" s="14" t="n">
        <v>5.33</v>
      </c>
      <c r="V197" s="14" t="n">
        <v>2.79</v>
      </c>
      <c r="W197" s="14" t="n">
        <v>2.03</v>
      </c>
      <c r="X197" s="14" t="n">
        <v>0.51</v>
      </c>
      <c r="Y197" s="14" t="n">
        <v>0.76</v>
      </c>
      <c r="Z197" s="14" t="n">
        <v>0.51</v>
      </c>
      <c r="AA197" s="14" t="n">
        <v>0</v>
      </c>
    </row>
    <row r="198">
      <c r="A198" t="inlineStr">
        <is>
          <t>120421</t>
        </is>
      </c>
      <c r="B198" t="inlineStr">
        <is>
          <t>JUNIN</t>
        </is>
      </c>
      <c r="C198" t="inlineStr">
        <is>
          <t>JAUJA</t>
        </is>
      </c>
      <c r="D198" t="inlineStr">
        <is>
          <t>MUQUIYAUYO</t>
        </is>
      </c>
      <c r="E198" t="n">
        <v>954</v>
      </c>
      <c r="F198" s="14" t="n">
        <v>0</v>
      </c>
      <c r="G198" s="14" t="n">
        <v>44.97</v>
      </c>
      <c r="H198" s="14" t="n">
        <v>1.15</v>
      </c>
      <c r="I198" s="14" t="n">
        <v>5.14</v>
      </c>
      <c r="J198" s="14" t="n">
        <v>0.21</v>
      </c>
      <c r="K198" s="14" t="n">
        <v>0.1</v>
      </c>
      <c r="L198" s="14" t="n">
        <v>9.33</v>
      </c>
      <c r="M198" s="14" t="n">
        <v>12.26</v>
      </c>
      <c r="N198" s="14" t="n">
        <v>3.77</v>
      </c>
      <c r="O198" s="14" t="n">
        <v>5.14</v>
      </c>
      <c r="P198" s="14" t="n">
        <v>0.42</v>
      </c>
      <c r="Q198" s="14" t="n">
        <v>0.42</v>
      </c>
      <c r="R198" s="14" t="n">
        <v>0.1</v>
      </c>
      <c r="S198" s="14" t="n">
        <v>0.63</v>
      </c>
      <c r="T198" s="14" t="n">
        <v>0.42</v>
      </c>
      <c r="U198" s="14" t="n">
        <v>3.88</v>
      </c>
      <c r="V198" s="14" t="n">
        <v>5.24</v>
      </c>
      <c r="W198" s="14" t="n">
        <v>2.83</v>
      </c>
      <c r="X198" s="14" t="n">
        <v>1.36</v>
      </c>
      <c r="Y198" s="14" t="n">
        <v>1.68</v>
      </c>
      <c r="Z198" s="14" t="n">
        <v>0.9399999999999999</v>
      </c>
      <c r="AA198" s="14" t="n">
        <v>0</v>
      </c>
    </row>
    <row r="199">
      <c r="A199" t="inlineStr">
        <is>
          <t>120422</t>
        </is>
      </c>
      <c r="B199" t="inlineStr">
        <is>
          <t>JUNIN</t>
        </is>
      </c>
      <c r="C199" t="inlineStr">
        <is>
          <t>JAUJA</t>
        </is>
      </c>
      <c r="D199" t="inlineStr">
        <is>
          <t>PACA</t>
        </is>
      </c>
      <c r="E199" t="n">
        <v>327</v>
      </c>
      <c r="F199" s="14" t="n">
        <v>0</v>
      </c>
      <c r="G199" s="14" t="n">
        <v>64.22</v>
      </c>
      <c r="H199" s="14" t="n">
        <v>1.53</v>
      </c>
      <c r="I199" s="14" t="n">
        <v>0.92</v>
      </c>
      <c r="J199" s="14" t="n">
        <v>0</v>
      </c>
      <c r="K199" s="14" t="n">
        <v>0</v>
      </c>
      <c r="L199" s="14" t="n">
        <v>3.98</v>
      </c>
      <c r="M199" s="14" t="n">
        <v>10.7</v>
      </c>
      <c r="N199" s="14" t="n">
        <v>5.2</v>
      </c>
      <c r="O199" s="14" t="n">
        <v>3.98</v>
      </c>
      <c r="P199" s="14" t="n">
        <v>0.31</v>
      </c>
      <c r="Q199" s="14" t="n">
        <v>0.61</v>
      </c>
      <c r="R199" s="14" t="n">
        <v>0</v>
      </c>
      <c r="S199" s="14" t="n">
        <v>2.45</v>
      </c>
      <c r="T199" s="14" t="n">
        <v>0</v>
      </c>
      <c r="U199" s="14" t="n">
        <v>2.14</v>
      </c>
      <c r="V199" s="14" t="n">
        <v>1.83</v>
      </c>
      <c r="W199" s="14" t="n">
        <v>0.61</v>
      </c>
      <c r="X199" s="14" t="n">
        <v>0.31</v>
      </c>
      <c r="Y199" s="14" t="n">
        <v>1.22</v>
      </c>
      <c r="Z199" s="14" t="n">
        <v>0</v>
      </c>
      <c r="AA199" s="14" t="n">
        <v>0</v>
      </c>
    </row>
    <row r="200">
      <c r="A200" t="inlineStr">
        <is>
          <t>120423</t>
        </is>
      </c>
      <c r="B200" t="inlineStr">
        <is>
          <t>JUNIN</t>
        </is>
      </c>
      <c r="C200" t="inlineStr">
        <is>
          <t>JAUJA</t>
        </is>
      </c>
      <c r="D200" t="inlineStr">
        <is>
          <t>PACCHA</t>
        </is>
      </c>
      <c r="E200" t="n">
        <v>429</v>
      </c>
      <c r="F200" s="14" t="n">
        <v>0</v>
      </c>
      <c r="G200" s="14" t="n">
        <v>74.83</v>
      </c>
      <c r="H200" s="14" t="n">
        <v>3.5</v>
      </c>
      <c r="I200" s="14" t="n">
        <v>0.93</v>
      </c>
      <c r="J200" s="14" t="n">
        <v>0</v>
      </c>
      <c r="K200" s="14" t="n">
        <v>0</v>
      </c>
      <c r="L200" s="14" t="n">
        <v>4.43</v>
      </c>
      <c r="M200" s="14" t="n">
        <v>4.2</v>
      </c>
      <c r="N200" s="14" t="n">
        <v>3.96</v>
      </c>
      <c r="O200" s="14" t="n">
        <v>3.03</v>
      </c>
      <c r="P200" s="14" t="n">
        <v>0</v>
      </c>
      <c r="Q200" s="14" t="n">
        <v>0.23</v>
      </c>
      <c r="R200" s="14" t="n">
        <v>0</v>
      </c>
      <c r="S200" s="14" t="n">
        <v>0.23</v>
      </c>
      <c r="T200" s="14" t="n">
        <v>0.47</v>
      </c>
      <c r="U200" s="14" t="n">
        <v>2.8</v>
      </c>
      <c r="V200" s="14" t="n">
        <v>0.47</v>
      </c>
      <c r="W200" s="14" t="n">
        <v>0.7</v>
      </c>
      <c r="X200" s="14" t="n">
        <v>0</v>
      </c>
      <c r="Y200" s="14" t="n">
        <v>0.23</v>
      </c>
      <c r="Z200" s="14" t="n">
        <v>0</v>
      </c>
      <c r="AA200" s="14" t="n">
        <v>0</v>
      </c>
    </row>
    <row r="201">
      <c r="A201" t="inlineStr">
        <is>
          <t>120424</t>
        </is>
      </c>
      <c r="B201" t="inlineStr">
        <is>
          <t>JUNIN</t>
        </is>
      </c>
      <c r="C201" t="inlineStr">
        <is>
          <t>JAUJA</t>
        </is>
      </c>
      <c r="D201" t="inlineStr">
        <is>
          <t>PANCAN</t>
        </is>
      </c>
      <c r="E201" t="n">
        <v>507</v>
      </c>
      <c r="F201" s="14" t="n">
        <v>0</v>
      </c>
      <c r="G201" s="14" t="n">
        <v>35.9</v>
      </c>
      <c r="H201" s="14" t="n">
        <v>0.99</v>
      </c>
      <c r="I201" s="14" t="n">
        <v>6.51</v>
      </c>
      <c r="J201" s="14" t="n">
        <v>0</v>
      </c>
      <c r="K201" s="14" t="n">
        <v>0.2</v>
      </c>
      <c r="L201" s="14" t="n">
        <v>8.279999999999999</v>
      </c>
      <c r="M201" s="14" t="n">
        <v>13.41</v>
      </c>
      <c r="N201" s="14" t="n">
        <v>9.859999999999999</v>
      </c>
      <c r="O201" s="14" t="n">
        <v>7.69</v>
      </c>
      <c r="P201" s="14" t="n">
        <v>0.2</v>
      </c>
      <c r="Q201" s="14" t="n">
        <v>0</v>
      </c>
      <c r="R201" s="14" t="n">
        <v>0</v>
      </c>
      <c r="S201" s="14" t="n">
        <v>0.99</v>
      </c>
      <c r="T201" s="14" t="n">
        <v>1.58</v>
      </c>
      <c r="U201" s="14" t="n">
        <v>1.97</v>
      </c>
      <c r="V201" s="14" t="n">
        <v>5.33</v>
      </c>
      <c r="W201" s="14" t="n">
        <v>1.78</v>
      </c>
      <c r="X201" s="14" t="n">
        <v>0.2</v>
      </c>
      <c r="Y201" s="14" t="n">
        <v>2.96</v>
      </c>
      <c r="Z201" s="14" t="n">
        <v>2.17</v>
      </c>
      <c r="AA201" s="14" t="n">
        <v>0</v>
      </c>
    </row>
    <row r="202">
      <c r="A202" t="inlineStr">
        <is>
          <t>120425</t>
        </is>
      </c>
      <c r="B202" t="inlineStr">
        <is>
          <t>JUNIN</t>
        </is>
      </c>
      <c r="C202" t="inlineStr">
        <is>
          <t>JAUJA</t>
        </is>
      </c>
      <c r="D202" t="inlineStr">
        <is>
          <t>PARCO</t>
        </is>
      </c>
      <c r="E202" t="n">
        <v>408</v>
      </c>
      <c r="F202" s="14" t="n">
        <v>0.245</v>
      </c>
      <c r="G202" s="14" t="n">
        <v>38.48</v>
      </c>
      <c r="H202" s="14" t="n">
        <v>3.92</v>
      </c>
      <c r="I202" s="14" t="n">
        <v>3.68</v>
      </c>
      <c r="J202" s="14" t="n">
        <v>0</v>
      </c>
      <c r="K202" s="14" t="n">
        <v>0</v>
      </c>
      <c r="L202" s="14" t="n">
        <v>12.01</v>
      </c>
      <c r="M202" s="14" t="n">
        <v>14.71</v>
      </c>
      <c r="N202" s="14" t="n">
        <v>9.07</v>
      </c>
      <c r="O202" s="14" t="n">
        <v>1.96</v>
      </c>
      <c r="P202" s="14" t="n">
        <v>0</v>
      </c>
      <c r="Q202" s="14" t="n">
        <v>0.25</v>
      </c>
      <c r="R202" s="14" t="n">
        <v>0</v>
      </c>
      <c r="S202" s="14" t="n">
        <v>1.47</v>
      </c>
      <c r="T202" s="14" t="n">
        <v>0</v>
      </c>
      <c r="U202" s="14" t="n">
        <v>3.92</v>
      </c>
      <c r="V202" s="14" t="n">
        <v>5.64</v>
      </c>
      <c r="W202" s="14" t="n">
        <v>1.23</v>
      </c>
      <c r="X202" s="14" t="n">
        <v>2.45</v>
      </c>
      <c r="Y202" s="14" t="n">
        <v>0.98</v>
      </c>
      <c r="Z202" s="14" t="n">
        <v>0.25</v>
      </c>
      <c r="AA202" s="14" t="n">
        <v>0</v>
      </c>
    </row>
    <row r="203">
      <c r="A203" t="inlineStr">
        <is>
          <t>120426</t>
        </is>
      </c>
      <c r="B203" t="inlineStr">
        <is>
          <t>JUNIN</t>
        </is>
      </c>
      <c r="C203" t="inlineStr">
        <is>
          <t>JAUJA</t>
        </is>
      </c>
      <c r="D203" t="inlineStr">
        <is>
          <t>POMACANCHA</t>
        </is>
      </c>
      <c r="E203" t="n">
        <v>391</v>
      </c>
      <c r="F203" s="14" t="n">
        <v>0</v>
      </c>
      <c r="G203" s="14" t="n">
        <v>92.84</v>
      </c>
      <c r="H203" s="14" t="n">
        <v>0</v>
      </c>
      <c r="I203" s="14" t="n">
        <v>1.02</v>
      </c>
      <c r="J203" s="14" t="n">
        <v>0</v>
      </c>
      <c r="K203" s="14" t="n">
        <v>0</v>
      </c>
      <c r="L203" s="14" t="n">
        <v>0.77</v>
      </c>
      <c r="M203" s="14" t="n">
        <v>1.02</v>
      </c>
      <c r="N203" s="14" t="n">
        <v>1.28</v>
      </c>
      <c r="O203" s="14" t="n">
        <v>0.26</v>
      </c>
      <c r="P203" s="14" t="n">
        <v>0.26</v>
      </c>
      <c r="Q203" s="14" t="n">
        <v>0</v>
      </c>
      <c r="R203" s="14" t="n">
        <v>0</v>
      </c>
      <c r="S203" s="14" t="n">
        <v>0</v>
      </c>
      <c r="T203" s="14" t="n">
        <v>0.77</v>
      </c>
      <c r="U203" s="14" t="n">
        <v>1.02</v>
      </c>
      <c r="V203" s="14" t="n">
        <v>0.77</v>
      </c>
      <c r="W203" s="14" t="n">
        <v>0</v>
      </c>
      <c r="X203" s="14" t="n">
        <v>0</v>
      </c>
      <c r="Y203" s="14" t="n">
        <v>0</v>
      </c>
      <c r="Z203" s="14" t="n">
        <v>0</v>
      </c>
      <c r="AA203" s="14" t="n">
        <v>0</v>
      </c>
    </row>
    <row r="204">
      <c r="A204" t="inlineStr">
        <is>
          <t>120427</t>
        </is>
      </c>
      <c r="B204" t="inlineStr">
        <is>
          <t>JUNIN</t>
        </is>
      </c>
      <c r="C204" t="inlineStr">
        <is>
          <t>JAUJA</t>
        </is>
      </c>
      <c r="D204" t="inlineStr">
        <is>
          <t>RICRAN</t>
        </is>
      </c>
      <c r="E204" t="n">
        <v>478</v>
      </c>
      <c r="F204" s="14" t="n">
        <v>0</v>
      </c>
      <c r="G204" s="14" t="n">
        <v>81.17</v>
      </c>
      <c r="H204" s="14" t="n">
        <v>0.42</v>
      </c>
      <c r="I204" s="14" t="n">
        <v>0.63</v>
      </c>
      <c r="J204" s="14" t="n">
        <v>0</v>
      </c>
      <c r="K204" s="14" t="n">
        <v>0</v>
      </c>
      <c r="L204" s="14" t="n">
        <v>5.23</v>
      </c>
      <c r="M204" s="14" t="n">
        <v>4.81</v>
      </c>
      <c r="N204" s="14" t="n">
        <v>1.46</v>
      </c>
      <c r="O204" s="14" t="n">
        <v>1.67</v>
      </c>
      <c r="P204" s="14" t="n">
        <v>0</v>
      </c>
      <c r="Q204" s="14" t="n">
        <v>0</v>
      </c>
      <c r="R204" s="14" t="n">
        <v>0</v>
      </c>
      <c r="S204" s="14" t="n">
        <v>0.42</v>
      </c>
      <c r="T204" s="14" t="n">
        <v>0.21</v>
      </c>
      <c r="U204" s="14" t="n">
        <v>2.93</v>
      </c>
      <c r="V204" s="14" t="n">
        <v>0.84</v>
      </c>
      <c r="W204" s="14" t="n">
        <v>0</v>
      </c>
      <c r="X204" s="14" t="n">
        <v>0</v>
      </c>
      <c r="Y204" s="14" t="n">
        <v>0.21</v>
      </c>
      <c r="Z204" s="14" t="n">
        <v>0</v>
      </c>
      <c r="AA204" s="14" t="n">
        <v>0</v>
      </c>
    </row>
    <row r="205">
      <c r="A205" t="inlineStr">
        <is>
          <t>120428</t>
        </is>
      </c>
      <c r="B205" t="inlineStr">
        <is>
          <t>JUNIN</t>
        </is>
      </c>
      <c r="C205" t="inlineStr">
        <is>
          <t>JAUJA</t>
        </is>
      </c>
      <c r="D205" t="inlineStr">
        <is>
          <t>SAN LORENZO</t>
        </is>
      </c>
      <c r="E205" t="n">
        <v>919</v>
      </c>
      <c r="F205" s="14" t="n">
        <v>0</v>
      </c>
      <c r="G205" s="14" t="n">
        <v>47.88</v>
      </c>
      <c r="H205" s="14" t="n">
        <v>1.74</v>
      </c>
      <c r="I205" s="14" t="n">
        <v>2.5</v>
      </c>
      <c r="J205" s="14" t="n">
        <v>0.44</v>
      </c>
      <c r="K205" s="14" t="n">
        <v>0</v>
      </c>
      <c r="L205" s="14" t="n">
        <v>8.16</v>
      </c>
      <c r="M205" s="14" t="n">
        <v>10.66</v>
      </c>
      <c r="N205" s="14" t="n">
        <v>8.16</v>
      </c>
      <c r="O205" s="14" t="n">
        <v>4.79</v>
      </c>
      <c r="P205" s="14" t="n">
        <v>0.76</v>
      </c>
      <c r="Q205" s="14" t="n">
        <v>0.22</v>
      </c>
      <c r="R205" s="14" t="n">
        <v>0</v>
      </c>
      <c r="S205" s="14" t="n">
        <v>1.31</v>
      </c>
      <c r="T205" s="14" t="n">
        <v>1.09</v>
      </c>
      <c r="U205" s="14" t="n">
        <v>4.03</v>
      </c>
      <c r="V205" s="14" t="n">
        <v>4.79</v>
      </c>
      <c r="W205" s="14" t="n">
        <v>1.52</v>
      </c>
      <c r="X205" s="14" t="n">
        <v>0.44</v>
      </c>
      <c r="Y205" s="14" t="n">
        <v>1.09</v>
      </c>
      <c r="Z205" s="14" t="n">
        <v>0.44</v>
      </c>
      <c r="AA205" s="14" t="n">
        <v>0</v>
      </c>
    </row>
    <row r="206">
      <c r="A206" t="inlineStr">
        <is>
          <t>120429</t>
        </is>
      </c>
      <c r="B206" t="inlineStr">
        <is>
          <t>JUNIN</t>
        </is>
      </c>
      <c r="C206" t="inlineStr">
        <is>
          <t>JAUJA</t>
        </is>
      </c>
      <c r="D206" t="inlineStr">
        <is>
          <t>SAN PEDRO DE CHUNAN</t>
        </is>
      </c>
      <c r="E206" t="n">
        <v>214</v>
      </c>
      <c r="F206" s="14" t="n">
        <v>0</v>
      </c>
      <c r="G206" s="14" t="n">
        <v>47.66</v>
      </c>
      <c r="H206" s="14" t="n">
        <v>0</v>
      </c>
      <c r="I206" s="14" t="n">
        <v>7.01</v>
      </c>
      <c r="J206" s="14" t="n">
        <v>0</v>
      </c>
      <c r="K206" s="14" t="n">
        <v>0</v>
      </c>
      <c r="L206" s="14" t="n">
        <v>10.28</v>
      </c>
      <c r="M206" s="14" t="n">
        <v>7.94</v>
      </c>
      <c r="N206" s="14" t="n">
        <v>7.48</v>
      </c>
      <c r="O206" s="14" t="n">
        <v>0.93</v>
      </c>
      <c r="P206" s="14" t="n">
        <v>0</v>
      </c>
      <c r="Q206" s="14" t="n">
        <v>0</v>
      </c>
      <c r="R206" s="14" t="n">
        <v>0</v>
      </c>
      <c r="S206" s="14" t="n">
        <v>0.93</v>
      </c>
      <c r="T206" s="14" t="n">
        <v>1.4</v>
      </c>
      <c r="U206" s="14" t="n">
        <v>8.41</v>
      </c>
      <c r="V206" s="14" t="n">
        <v>2.8</v>
      </c>
      <c r="W206" s="14" t="n">
        <v>0.93</v>
      </c>
      <c r="X206" s="14" t="n">
        <v>2.34</v>
      </c>
      <c r="Y206" s="14" t="n">
        <v>0.93</v>
      </c>
      <c r="Z206" s="14" t="n">
        <v>0.93</v>
      </c>
      <c r="AA206" s="14" t="n">
        <v>0</v>
      </c>
    </row>
    <row r="207">
      <c r="A207" t="inlineStr">
        <is>
          <t>120430</t>
        </is>
      </c>
      <c r="B207" t="inlineStr">
        <is>
          <t>JUNIN</t>
        </is>
      </c>
      <c r="C207" t="inlineStr">
        <is>
          <t>JAUJA</t>
        </is>
      </c>
      <c r="D207" t="inlineStr">
        <is>
          <t>SAUSA</t>
        </is>
      </c>
      <c r="E207" t="n">
        <v>1057</v>
      </c>
      <c r="F207" s="14" t="n">
        <v>0</v>
      </c>
      <c r="G207" s="14" t="n">
        <v>18.64</v>
      </c>
      <c r="H207" s="14" t="n">
        <v>2.08</v>
      </c>
      <c r="I207" s="14" t="n">
        <v>5.96</v>
      </c>
      <c r="J207" s="14" t="n">
        <v>0.19</v>
      </c>
      <c r="K207" s="14" t="n">
        <v>0.38</v>
      </c>
      <c r="L207" s="14" t="n">
        <v>7.76</v>
      </c>
      <c r="M207" s="14" t="n">
        <v>18.64</v>
      </c>
      <c r="N207" s="14" t="n">
        <v>13.62</v>
      </c>
      <c r="O207" s="14" t="n">
        <v>7.19</v>
      </c>
      <c r="P207" s="14" t="n">
        <v>0.66</v>
      </c>
      <c r="Q207" s="14" t="n">
        <v>0.47</v>
      </c>
      <c r="R207" s="14" t="n">
        <v>0</v>
      </c>
      <c r="S207" s="14" t="n">
        <v>1.89</v>
      </c>
      <c r="T207" s="14" t="n">
        <v>0.95</v>
      </c>
      <c r="U207" s="14" t="n">
        <v>5.87</v>
      </c>
      <c r="V207" s="14" t="n">
        <v>7.57</v>
      </c>
      <c r="W207" s="14" t="n">
        <v>3.41</v>
      </c>
      <c r="X207" s="14" t="n">
        <v>0.57</v>
      </c>
      <c r="Y207" s="14" t="n">
        <v>2.74</v>
      </c>
      <c r="Z207" s="14" t="n">
        <v>1.42</v>
      </c>
      <c r="AA207" s="14" t="n">
        <v>0</v>
      </c>
    </row>
    <row r="208">
      <c r="A208" t="inlineStr">
        <is>
          <t>120431</t>
        </is>
      </c>
      <c r="B208" t="inlineStr">
        <is>
          <t>JUNIN</t>
        </is>
      </c>
      <c r="C208" t="inlineStr">
        <is>
          <t>JAUJA</t>
        </is>
      </c>
      <c r="D208" t="inlineStr">
        <is>
          <t>SINCOS</t>
        </is>
      </c>
      <c r="E208" t="n">
        <v>1697</v>
      </c>
      <c r="F208" s="14" t="n">
        <v>0</v>
      </c>
      <c r="G208" s="14" t="n">
        <v>72.95</v>
      </c>
      <c r="H208" s="14" t="n">
        <v>0.41</v>
      </c>
      <c r="I208" s="14" t="n">
        <v>2</v>
      </c>
      <c r="J208" s="14" t="n">
        <v>0</v>
      </c>
      <c r="K208" s="14" t="n">
        <v>0</v>
      </c>
      <c r="L208" s="14" t="n">
        <v>4.89</v>
      </c>
      <c r="M208" s="14" t="n">
        <v>5.72</v>
      </c>
      <c r="N208" s="14" t="n">
        <v>2.53</v>
      </c>
      <c r="O208" s="14" t="n">
        <v>3.48</v>
      </c>
      <c r="P208" s="14" t="n">
        <v>0.06</v>
      </c>
      <c r="Q208" s="14" t="n">
        <v>0.29</v>
      </c>
      <c r="R208" s="14" t="n">
        <v>0.06</v>
      </c>
      <c r="S208" s="14" t="n">
        <v>1.24</v>
      </c>
      <c r="T208" s="14" t="n">
        <v>0.35</v>
      </c>
      <c r="U208" s="14" t="n">
        <v>2.12</v>
      </c>
      <c r="V208" s="14" t="n">
        <v>1.47</v>
      </c>
      <c r="W208" s="14" t="n">
        <v>1.36</v>
      </c>
      <c r="X208" s="14" t="n">
        <v>0.47</v>
      </c>
      <c r="Y208" s="14" t="n">
        <v>0.29</v>
      </c>
      <c r="Z208" s="14" t="n">
        <v>0.29</v>
      </c>
      <c r="AA208" s="14" t="n">
        <v>0</v>
      </c>
    </row>
    <row r="209">
      <c r="A209" t="inlineStr">
        <is>
          <t>120432</t>
        </is>
      </c>
      <c r="B209" t="inlineStr">
        <is>
          <t>JUNIN</t>
        </is>
      </c>
      <c r="C209" t="inlineStr">
        <is>
          <t>JAUJA</t>
        </is>
      </c>
      <c r="D209" t="inlineStr">
        <is>
          <t>TUNAN MARCA</t>
        </is>
      </c>
      <c r="E209" t="n">
        <v>331</v>
      </c>
      <c r="F209" s="14" t="n">
        <v>0</v>
      </c>
      <c r="G209" s="14" t="n">
        <v>61.93</v>
      </c>
      <c r="H209" s="14" t="n">
        <v>0.6</v>
      </c>
      <c r="I209" s="14" t="n">
        <v>2.42</v>
      </c>
      <c r="J209" s="14" t="n">
        <v>0</v>
      </c>
      <c r="K209" s="14" t="n">
        <v>0</v>
      </c>
      <c r="L209" s="14" t="n">
        <v>8.460000000000001</v>
      </c>
      <c r="M209" s="14" t="n">
        <v>3.93</v>
      </c>
      <c r="N209" s="14" t="n">
        <v>1.81</v>
      </c>
      <c r="O209" s="14" t="n">
        <v>2.72</v>
      </c>
      <c r="P209" s="14" t="n">
        <v>0</v>
      </c>
      <c r="Q209" s="14" t="n">
        <v>0</v>
      </c>
      <c r="R209" s="14" t="n">
        <v>0</v>
      </c>
      <c r="S209" s="14" t="n">
        <v>1.21</v>
      </c>
      <c r="T209" s="14" t="n">
        <v>0.91</v>
      </c>
      <c r="U209" s="14" t="n">
        <v>5.14</v>
      </c>
      <c r="V209" s="14" t="n">
        <v>6.04</v>
      </c>
      <c r="W209" s="14" t="n">
        <v>3.02</v>
      </c>
      <c r="X209" s="14" t="n">
        <v>1.51</v>
      </c>
      <c r="Y209" s="14" t="n">
        <v>0.3</v>
      </c>
      <c r="Z209" s="14" t="n">
        <v>0</v>
      </c>
      <c r="AA209" s="14" t="n">
        <v>0</v>
      </c>
    </row>
    <row r="210">
      <c r="A210" t="inlineStr">
        <is>
          <t>120433</t>
        </is>
      </c>
      <c r="B210" t="inlineStr">
        <is>
          <t>JUNIN</t>
        </is>
      </c>
      <c r="C210" t="inlineStr">
        <is>
          <t>JAUJA</t>
        </is>
      </c>
      <c r="D210" t="inlineStr">
        <is>
          <t>YAULI</t>
        </is>
      </c>
      <c r="E210" t="n">
        <v>449</v>
      </c>
      <c r="F210" s="14" t="n">
        <v>0</v>
      </c>
      <c r="G210" s="14" t="n">
        <v>61.69</v>
      </c>
      <c r="H210" s="14" t="n">
        <v>0.67</v>
      </c>
      <c r="I210" s="14" t="n">
        <v>4.9</v>
      </c>
      <c r="J210" s="14" t="n">
        <v>0</v>
      </c>
      <c r="K210" s="14" t="n">
        <v>0</v>
      </c>
      <c r="L210" s="14" t="n">
        <v>3.12</v>
      </c>
      <c r="M210" s="14" t="n">
        <v>9.58</v>
      </c>
      <c r="N210" s="14" t="n">
        <v>5.79</v>
      </c>
      <c r="O210" s="14" t="n">
        <v>1.34</v>
      </c>
      <c r="P210" s="14" t="n">
        <v>0</v>
      </c>
      <c r="Q210" s="14" t="n">
        <v>0.22</v>
      </c>
      <c r="R210" s="14" t="n">
        <v>0</v>
      </c>
      <c r="S210" s="14" t="n">
        <v>1.78</v>
      </c>
      <c r="T210" s="14" t="n">
        <v>0</v>
      </c>
      <c r="U210" s="14" t="n">
        <v>4.9</v>
      </c>
      <c r="V210" s="14" t="n">
        <v>2</v>
      </c>
      <c r="W210" s="14" t="n">
        <v>0.67</v>
      </c>
      <c r="X210" s="14" t="n">
        <v>1.78</v>
      </c>
      <c r="Y210" s="14" t="n">
        <v>1.34</v>
      </c>
      <c r="Z210" s="14" t="n">
        <v>0.22</v>
      </c>
      <c r="AA210" s="14" t="n">
        <v>0</v>
      </c>
    </row>
    <row r="211">
      <c r="A211" t="inlineStr">
        <is>
          <t>120434</t>
        </is>
      </c>
      <c r="B211" t="inlineStr">
        <is>
          <t>JUNIN</t>
        </is>
      </c>
      <c r="C211" t="inlineStr">
        <is>
          <t>JAUJA</t>
        </is>
      </c>
      <c r="D211" t="inlineStr">
        <is>
          <t>YAUYOS</t>
        </is>
      </c>
      <c r="E211" t="n">
        <v>3530</v>
      </c>
      <c r="F211" s="14" t="n">
        <v>0</v>
      </c>
      <c r="G211" s="14" t="n">
        <v>14.28</v>
      </c>
      <c r="H211" s="14" t="n">
        <v>1.93</v>
      </c>
      <c r="I211" s="14" t="n">
        <v>4.9</v>
      </c>
      <c r="J211" s="14" t="n">
        <v>0.14</v>
      </c>
      <c r="K211" s="14" t="n">
        <v>0.23</v>
      </c>
      <c r="L211" s="14" t="n">
        <v>9.01</v>
      </c>
      <c r="M211" s="14" t="n">
        <v>24.25</v>
      </c>
      <c r="N211" s="14" t="n">
        <v>10.06</v>
      </c>
      <c r="O211" s="14" t="n">
        <v>8.24</v>
      </c>
      <c r="P211" s="14" t="n">
        <v>0.68</v>
      </c>
      <c r="Q211" s="14" t="n">
        <v>0.59</v>
      </c>
      <c r="R211" s="14" t="n">
        <v>0.06</v>
      </c>
      <c r="S211" s="14" t="n">
        <v>2.46</v>
      </c>
      <c r="T211" s="14" t="n">
        <v>1.44</v>
      </c>
      <c r="U211" s="14" t="n">
        <v>5.04</v>
      </c>
      <c r="V211" s="14" t="n">
        <v>9.58</v>
      </c>
      <c r="W211" s="14" t="n">
        <v>3.03</v>
      </c>
      <c r="X211" s="14" t="n">
        <v>1.1</v>
      </c>
      <c r="Y211" s="14" t="n">
        <v>2.1</v>
      </c>
      <c r="Z211" s="14" t="n">
        <v>0.88</v>
      </c>
      <c r="AA211" s="14" t="n">
        <v>0</v>
      </c>
    </row>
    <row r="212">
      <c r="A212" t="inlineStr">
        <is>
          <t>120501</t>
        </is>
      </c>
      <c r="B212" t="inlineStr">
        <is>
          <t>JUNIN</t>
        </is>
      </c>
      <c r="C212" t="inlineStr">
        <is>
          <t>JUNIN</t>
        </is>
      </c>
      <c r="D212" t="inlineStr">
        <is>
          <t>JUNIN</t>
        </is>
      </c>
      <c r="E212" t="n">
        <v>4067</v>
      </c>
      <c r="F212" s="14" t="n">
        <v>0</v>
      </c>
      <c r="G212" s="14" t="n">
        <v>25.99</v>
      </c>
      <c r="H212" s="14" t="n">
        <v>2.07</v>
      </c>
      <c r="I212" s="14" t="n">
        <v>5.04</v>
      </c>
      <c r="J212" s="14" t="n">
        <v>0</v>
      </c>
      <c r="K212" s="14" t="n">
        <v>0.02</v>
      </c>
      <c r="L212" s="14" t="n">
        <v>6.81</v>
      </c>
      <c r="M212" s="14" t="n">
        <v>17.19</v>
      </c>
      <c r="N212" s="14" t="n">
        <v>8.85</v>
      </c>
      <c r="O212" s="14" t="n">
        <v>4.48</v>
      </c>
      <c r="P212" s="14" t="n">
        <v>0.34</v>
      </c>
      <c r="Q212" s="14" t="n">
        <v>0.37</v>
      </c>
      <c r="R212" s="14" t="n">
        <v>0</v>
      </c>
      <c r="S212" s="14" t="n">
        <v>1.2</v>
      </c>
      <c r="T212" s="14" t="n">
        <v>1.87</v>
      </c>
      <c r="U212" s="14" t="n">
        <v>6.76</v>
      </c>
      <c r="V212" s="14" t="n">
        <v>11.83</v>
      </c>
      <c r="W212" s="14" t="n">
        <v>3.47</v>
      </c>
      <c r="X212" s="14" t="n">
        <v>0.93</v>
      </c>
      <c r="Y212" s="14" t="n">
        <v>2.19</v>
      </c>
      <c r="Z212" s="14" t="n">
        <v>0.59</v>
      </c>
      <c r="AA212" s="14" t="n">
        <v>0</v>
      </c>
    </row>
    <row r="213">
      <c r="A213" t="inlineStr">
        <is>
          <t>120502</t>
        </is>
      </c>
      <c r="B213" t="inlineStr">
        <is>
          <t>JUNIN</t>
        </is>
      </c>
      <c r="C213" t="inlineStr">
        <is>
          <t>JUNIN</t>
        </is>
      </c>
      <c r="D213" t="inlineStr">
        <is>
          <t>CARHUAMAYO</t>
        </is>
      </c>
      <c r="E213" t="n">
        <v>2300</v>
      </c>
      <c r="F213" s="14" t="n">
        <v>0</v>
      </c>
      <c r="G213" s="14" t="n">
        <v>25.26</v>
      </c>
      <c r="H213" s="14" t="n">
        <v>3.7</v>
      </c>
      <c r="I213" s="14" t="n">
        <v>4.09</v>
      </c>
      <c r="J213" s="14" t="n">
        <v>0.13</v>
      </c>
      <c r="K213" s="14" t="n">
        <v>0.17</v>
      </c>
      <c r="L213" s="14" t="n">
        <v>8.609999999999999</v>
      </c>
      <c r="M213" s="14" t="n">
        <v>18.13</v>
      </c>
      <c r="N213" s="14" t="n">
        <v>13.3</v>
      </c>
      <c r="O213" s="14" t="n">
        <v>5.74</v>
      </c>
      <c r="P213" s="14" t="n">
        <v>0.35</v>
      </c>
      <c r="Q213" s="14" t="n">
        <v>0.43</v>
      </c>
      <c r="R213" s="14" t="n">
        <v>0</v>
      </c>
      <c r="S213" s="14" t="n">
        <v>1.91</v>
      </c>
      <c r="T213" s="14" t="n">
        <v>0.91</v>
      </c>
      <c r="U213" s="14" t="n">
        <v>4.43</v>
      </c>
      <c r="V213" s="14" t="n">
        <v>4.78</v>
      </c>
      <c r="W213" s="14" t="n">
        <v>1.26</v>
      </c>
      <c r="X213" s="14" t="n">
        <v>0.3</v>
      </c>
      <c r="Y213" s="14" t="n">
        <v>6.04</v>
      </c>
      <c r="Z213" s="14" t="n">
        <v>0.43</v>
      </c>
      <c r="AA213" s="14" t="n">
        <v>0</v>
      </c>
    </row>
    <row r="214">
      <c r="A214" t="inlineStr">
        <is>
          <t>120503</t>
        </is>
      </c>
      <c r="B214" t="inlineStr">
        <is>
          <t>JUNIN</t>
        </is>
      </c>
      <c r="C214" t="inlineStr">
        <is>
          <t>JUNIN</t>
        </is>
      </c>
      <c r="D214" t="inlineStr">
        <is>
          <t>ONDORES</t>
        </is>
      </c>
      <c r="E214" t="n">
        <v>449</v>
      </c>
      <c r="F214" s="14" t="n">
        <v>0</v>
      </c>
      <c r="G214" s="14" t="n">
        <v>67.04000000000001</v>
      </c>
      <c r="H214" s="14" t="n">
        <v>2.67</v>
      </c>
      <c r="I214" s="14" t="n">
        <v>1.78</v>
      </c>
      <c r="J214" s="14" t="n">
        <v>0</v>
      </c>
      <c r="K214" s="14" t="n">
        <v>0</v>
      </c>
      <c r="L214" s="14" t="n">
        <v>2.45</v>
      </c>
      <c r="M214" s="14" t="n">
        <v>7.57</v>
      </c>
      <c r="N214" s="14" t="n">
        <v>2.67</v>
      </c>
      <c r="O214" s="14" t="n">
        <v>0.89</v>
      </c>
      <c r="P214" s="14" t="n">
        <v>0</v>
      </c>
      <c r="Q214" s="14" t="n">
        <v>0</v>
      </c>
      <c r="R214" s="14" t="n">
        <v>0</v>
      </c>
      <c r="S214" s="14" t="n">
        <v>0</v>
      </c>
      <c r="T214" s="14" t="n">
        <v>0</v>
      </c>
      <c r="U214" s="14" t="n">
        <v>6.46</v>
      </c>
      <c r="V214" s="14" t="n">
        <v>4.45</v>
      </c>
      <c r="W214" s="14" t="n">
        <v>2.9</v>
      </c>
      <c r="X214" s="14" t="n">
        <v>0</v>
      </c>
      <c r="Y214" s="14" t="n">
        <v>0.89</v>
      </c>
      <c r="Z214" s="14" t="n">
        <v>0.22</v>
      </c>
      <c r="AA214" s="14" t="n">
        <v>0</v>
      </c>
    </row>
    <row r="215">
      <c r="A215" t="inlineStr">
        <is>
          <t>120504</t>
        </is>
      </c>
      <c r="B215" t="inlineStr">
        <is>
          <t>JUNIN</t>
        </is>
      </c>
      <c r="C215" t="inlineStr">
        <is>
          <t>JUNIN</t>
        </is>
      </c>
      <c r="D215" t="inlineStr">
        <is>
          <t>ULCUMAYO</t>
        </is>
      </c>
      <c r="E215" t="n">
        <v>1435</v>
      </c>
      <c r="F215" s="14" t="n">
        <v>0</v>
      </c>
      <c r="G215" s="14" t="n">
        <v>88.5</v>
      </c>
      <c r="H215" s="14" t="n">
        <v>0.28</v>
      </c>
      <c r="I215" s="14" t="n">
        <v>0.84</v>
      </c>
      <c r="J215" s="14" t="n">
        <v>0</v>
      </c>
      <c r="K215" s="14" t="n">
        <v>0</v>
      </c>
      <c r="L215" s="14" t="n">
        <v>0.98</v>
      </c>
      <c r="M215" s="14" t="n">
        <v>1.81</v>
      </c>
      <c r="N215" s="14" t="n">
        <v>2.16</v>
      </c>
      <c r="O215" s="14" t="n">
        <v>0.28</v>
      </c>
      <c r="P215" s="14" t="n">
        <v>0</v>
      </c>
      <c r="Q215" s="14" t="n">
        <v>0.07000000000000001</v>
      </c>
      <c r="R215" s="14" t="n">
        <v>0</v>
      </c>
      <c r="S215" s="14" t="n">
        <v>0.42</v>
      </c>
      <c r="T215" s="14" t="n">
        <v>0</v>
      </c>
      <c r="U215" s="14" t="n">
        <v>1.11</v>
      </c>
      <c r="V215" s="14" t="n">
        <v>2.3</v>
      </c>
      <c r="W215" s="14" t="n">
        <v>0.7</v>
      </c>
      <c r="X215" s="14" t="n">
        <v>0</v>
      </c>
      <c r="Y215" s="14" t="n">
        <v>0.28</v>
      </c>
      <c r="Z215" s="14" t="n">
        <v>0.28</v>
      </c>
      <c r="AA215" s="14" t="n">
        <v>0</v>
      </c>
    </row>
    <row r="216">
      <c r="A216" t="inlineStr">
        <is>
          <t>120601</t>
        </is>
      </c>
      <c r="B216" t="inlineStr">
        <is>
          <t>JUNIN</t>
        </is>
      </c>
      <c r="C216" t="inlineStr">
        <is>
          <t>SATIPO</t>
        </is>
      </c>
      <c r="D216" t="inlineStr">
        <is>
          <t>SATIPO</t>
        </is>
      </c>
      <c r="E216" t="n">
        <v>16177</v>
      </c>
      <c r="F216" s="14" t="n">
        <v>0</v>
      </c>
      <c r="G216" s="14" t="n">
        <v>34.22</v>
      </c>
      <c r="H216" s="14" t="n">
        <v>0.18</v>
      </c>
      <c r="I216" s="14" t="n">
        <v>4.19</v>
      </c>
      <c r="J216" s="14" t="n">
        <v>0.09</v>
      </c>
      <c r="K216" s="14" t="n">
        <v>0.12</v>
      </c>
      <c r="L216" s="14" t="n">
        <v>4.55</v>
      </c>
      <c r="M216" s="14" t="n">
        <v>17.14</v>
      </c>
      <c r="N216" s="14" t="n">
        <v>7.36</v>
      </c>
      <c r="O216" s="14" t="n">
        <v>7.45</v>
      </c>
      <c r="P216" s="14" t="n">
        <v>0.57</v>
      </c>
      <c r="Q216" s="14" t="n">
        <v>0.96</v>
      </c>
      <c r="R216" s="14" t="n">
        <v>0.09</v>
      </c>
      <c r="S216" s="14" t="n">
        <v>3.76</v>
      </c>
      <c r="T216" s="14" t="n">
        <v>1.61</v>
      </c>
      <c r="U216" s="14" t="n">
        <v>4.72</v>
      </c>
      <c r="V216" s="14" t="n">
        <v>7.07</v>
      </c>
      <c r="W216" s="14" t="n">
        <v>2.03</v>
      </c>
      <c r="X216" s="14" t="n">
        <v>0.55</v>
      </c>
      <c r="Y216" s="14" t="n">
        <v>2.3</v>
      </c>
      <c r="Z216" s="14" t="n">
        <v>1.04</v>
      </c>
      <c r="AA216" s="14" t="n">
        <v>0</v>
      </c>
    </row>
    <row r="217">
      <c r="A217" t="inlineStr">
        <is>
          <t>120602</t>
        </is>
      </c>
      <c r="B217" t="inlineStr">
        <is>
          <t>JUNIN</t>
        </is>
      </c>
      <c r="C217" t="inlineStr">
        <is>
          <t>SATIPO</t>
        </is>
      </c>
      <c r="D217" t="inlineStr">
        <is>
          <t>COVIRIALI</t>
        </is>
      </c>
      <c r="E217" t="n">
        <v>2121</v>
      </c>
      <c r="F217" s="14" t="n">
        <v>0</v>
      </c>
      <c r="G217" s="14" t="n">
        <v>73.27</v>
      </c>
      <c r="H217" s="14" t="n">
        <v>0.05</v>
      </c>
      <c r="I217" s="14" t="n">
        <v>0.75</v>
      </c>
      <c r="J217" s="14" t="n">
        <v>0.09</v>
      </c>
      <c r="K217" s="14" t="n">
        <v>0</v>
      </c>
      <c r="L217" s="14" t="n">
        <v>2.36</v>
      </c>
      <c r="M217" s="14" t="n">
        <v>5.56</v>
      </c>
      <c r="N217" s="14" t="n">
        <v>4.1</v>
      </c>
      <c r="O217" s="14" t="n">
        <v>3.63</v>
      </c>
      <c r="P217" s="14" t="n">
        <v>0</v>
      </c>
      <c r="Q217" s="14" t="n">
        <v>0.24</v>
      </c>
      <c r="R217" s="14" t="n">
        <v>0</v>
      </c>
      <c r="S217" s="14" t="n">
        <v>1.23</v>
      </c>
      <c r="T217" s="14" t="n">
        <v>0.8</v>
      </c>
      <c r="U217" s="14" t="n">
        <v>2.12</v>
      </c>
      <c r="V217" s="14" t="n">
        <v>1.89</v>
      </c>
      <c r="W217" s="14" t="n">
        <v>0.9</v>
      </c>
      <c r="X217" s="14" t="n">
        <v>0.09</v>
      </c>
      <c r="Y217" s="14" t="n">
        <v>0.38</v>
      </c>
      <c r="Z217" s="14" t="n">
        <v>2.55</v>
      </c>
      <c r="AA217" s="14" t="n">
        <v>0</v>
      </c>
    </row>
    <row r="218">
      <c r="A218" t="inlineStr">
        <is>
          <t>120603</t>
        </is>
      </c>
      <c r="B218" t="inlineStr">
        <is>
          <t>JUNIN</t>
        </is>
      </c>
      <c r="C218" t="inlineStr">
        <is>
          <t>SATIPO</t>
        </is>
      </c>
      <c r="D218" t="inlineStr">
        <is>
          <t>LLAYLLA</t>
        </is>
      </c>
      <c r="E218" t="n">
        <v>3048</v>
      </c>
      <c r="F218" s="14" t="n">
        <v>0</v>
      </c>
      <c r="G218" s="14" t="n">
        <v>92.09</v>
      </c>
      <c r="H218" s="14" t="n">
        <v>0</v>
      </c>
      <c r="I218" s="14" t="n">
        <v>0.16</v>
      </c>
      <c r="J218" s="14" t="n">
        <v>0</v>
      </c>
      <c r="K218" s="14" t="n">
        <v>0</v>
      </c>
      <c r="L218" s="14" t="n">
        <v>0.52</v>
      </c>
      <c r="M218" s="14" t="n">
        <v>0.85</v>
      </c>
      <c r="N218" s="14" t="n">
        <v>0.39</v>
      </c>
      <c r="O218" s="14" t="n">
        <v>1.57</v>
      </c>
      <c r="P218" s="14" t="n">
        <v>0.03</v>
      </c>
      <c r="Q218" s="14" t="n">
        <v>0.07000000000000001</v>
      </c>
      <c r="R218" s="14" t="n">
        <v>0</v>
      </c>
      <c r="S218" s="14" t="n">
        <v>0.07000000000000001</v>
      </c>
      <c r="T218" s="14" t="n">
        <v>0.1</v>
      </c>
      <c r="U218" s="14" t="n">
        <v>0.43</v>
      </c>
      <c r="V218" s="14" t="n">
        <v>0.95</v>
      </c>
      <c r="W218" s="14" t="n">
        <v>0.2</v>
      </c>
      <c r="X218" s="14" t="n">
        <v>0.03</v>
      </c>
      <c r="Y218" s="14" t="n">
        <v>0.1</v>
      </c>
      <c r="Z218" s="14" t="n">
        <v>2.43</v>
      </c>
      <c r="AA218" s="14" t="n">
        <v>0</v>
      </c>
    </row>
    <row r="219">
      <c r="A219" t="inlineStr">
        <is>
          <t>120604</t>
        </is>
      </c>
      <c r="B219" t="inlineStr">
        <is>
          <t>JUNIN</t>
        </is>
      </c>
      <c r="C219" t="inlineStr">
        <is>
          <t>SATIPO</t>
        </is>
      </c>
      <c r="D219" t="inlineStr">
        <is>
          <t>MAZAMARI</t>
        </is>
      </c>
      <c r="E219" t="n">
        <v>12007</v>
      </c>
      <c r="F219" s="14" t="n">
        <v>0</v>
      </c>
      <c r="G219" s="14" t="n">
        <v>54.34</v>
      </c>
      <c r="H219" s="14" t="n">
        <v>0.07000000000000001</v>
      </c>
      <c r="I219" s="14" t="n">
        <v>3.06</v>
      </c>
      <c r="J219" s="14" t="n">
        <v>0.02</v>
      </c>
      <c r="K219" s="14" t="n">
        <v>0.06</v>
      </c>
      <c r="L219" s="14" t="n">
        <v>4.2</v>
      </c>
      <c r="M219" s="14" t="n">
        <v>10.84</v>
      </c>
      <c r="N219" s="14" t="n">
        <v>4.92</v>
      </c>
      <c r="O219" s="14" t="n">
        <v>5.32</v>
      </c>
      <c r="P219" s="14" t="n">
        <v>0.25</v>
      </c>
      <c r="Q219" s="14" t="n">
        <v>0.35</v>
      </c>
      <c r="R219" s="14" t="n">
        <v>0.02</v>
      </c>
      <c r="S219" s="14" t="n">
        <v>1.53</v>
      </c>
      <c r="T219" s="14" t="n">
        <v>0.67</v>
      </c>
      <c r="U219" s="14" t="n">
        <v>6.1</v>
      </c>
      <c r="V219" s="14" t="n">
        <v>3.53</v>
      </c>
      <c r="W219" s="14" t="n">
        <v>1.34</v>
      </c>
      <c r="X219" s="14" t="n">
        <v>0.2</v>
      </c>
      <c r="Y219" s="14" t="n">
        <v>2.1</v>
      </c>
      <c r="Z219" s="14" t="n">
        <v>1.06</v>
      </c>
      <c r="AA219" s="14" t="n">
        <v>0</v>
      </c>
    </row>
    <row r="220">
      <c r="A220" t="inlineStr">
        <is>
          <t>120605</t>
        </is>
      </c>
      <c r="B220" t="inlineStr">
        <is>
          <t>JUNIN</t>
        </is>
      </c>
      <c r="C220" t="inlineStr">
        <is>
          <t>SATIPO</t>
        </is>
      </c>
      <c r="D220" t="inlineStr">
        <is>
          <t>PAMPA HERMOSA</t>
        </is>
      </c>
      <c r="E220" t="n">
        <v>1439</v>
      </c>
      <c r="F220" s="14" t="n">
        <v>0</v>
      </c>
      <c r="G220" s="14" t="n">
        <v>94.16</v>
      </c>
      <c r="H220" s="14" t="n">
        <v>0.07000000000000001</v>
      </c>
      <c r="I220" s="14" t="n">
        <v>0.14</v>
      </c>
      <c r="J220" s="14" t="n">
        <v>0</v>
      </c>
      <c r="K220" s="14" t="n">
        <v>0</v>
      </c>
      <c r="L220" s="14" t="n">
        <v>0.28</v>
      </c>
      <c r="M220" s="14" t="n">
        <v>0.6899999999999999</v>
      </c>
      <c r="N220" s="14" t="n">
        <v>0.63</v>
      </c>
      <c r="O220" s="14" t="n">
        <v>0.5600000000000001</v>
      </c>
      <c r="P220" s="14" t="n">
        <v>0</v>
      </c>
      <c r="Q220" s="14" t="n">
        <v>0</v>
      </c>
      <c r="R220" s="14" t="n">
        <v>0</v>
      </c>
      <c r="S220" s="14" t="n">
        <v>0.21</v>
      </c>
      <c r="T220" s="14" t="n">
        <v>0</v>
      </c>
      <c r="U220" s="14" t="n">
        <v>1.67</v>
      </c>
      <c r="V220" s="14" t="n">
        <v>1.11</v>
      </c>
      <c r="W220" s="14" t="n">
        <v>0.14</v>
      </c>
      <c r="X220" s="14" t="n">
        <v>0</v>
      </c>
      <c r="Y220" s="14" t="n">
        <v>0</v>
      </c>
      <c r="Z220" s="14" t="n">
        <v>0.35</v>
      </c>
      <c r="AA220" s="14" t="n">
        <v>0</v>
      </c>
    </row>
    <row r="221">
      <c r="A221" t="inlineStr">
        <is>
          <t>120606</t>
        </is>
      </c>
      <c r="B221" t="inlineStr">
        <is>
          <t>JUNIN</t>
        </is>
      </c>
      <c r="C221" t="inlineStr">
        <is>
          <t>SATIPO</t>
        </is>
      </c>
      <c r="D221" t="inlineStr">
        <is>
          <t>PANGOA</t>
        </is>
      </c>
      <c r="E221" t="n">
        <v>19851</v>
      </c>
      <c r="F221" s="14" t="n">
        <v>0</v>
      </c>
      <c r="G221" s="14" t="n">
        <v>67.55</v>
      </c>
      <c r="H221" s="14" t="n">
        <v>0.07000000000000001</v>
      </c>
      <c r="I221" s="14" t="n">
        <v>1.77</v>
      </c>
      <c r="J221" s="14" t="n">
        <v>0.02</v>
      </c>
      <c r="K221" s="14" t="n">
        <v>0.05</v>
      </c>
      <c r="L221" s="14" t="n">
        <v>3.09</v>
      </c>
      <c r="M221" s="14" t="n">
        <v>8.76</v>
      </c>
      <c r="N221" s="14" t="n">
        <v>3.38</v>
      </c>
      <c r="O221" s="14" t="n">
        <v>3.49</v>
      </c>
      <c r="P221" s="14" t="n">
        <v>0.13</v>
      </c>
      <c r="Q221" s="14" t="n">
        <v>0.34</v>
      </c>
      <c r="R221" s="14" t="n">
        <v>0.04</v>
      </c>
      <c r="S221" s="14" t="n">
        <v>1.21</v>
      </c>
      <c r="T221" s="14" t="n">
        <v>0.52</v>
      </c>
      <c r="U221" s="14" t="n">
        <v>2.42</v>
      </c>
      <c r="V221" s="14" t="n">
        <v>4.06</v>
      </c>
      <c r="W221" s="14" t="n">
        <v>1.09</v>
      </c>
      <c r="X221" s="14" t="n">
        <v>0.1</v>
      </c>
      <c r="Y221" s="14" t="n">
        <v>1.16</v>
      </c>
      <c r="Z221" s="14" t="n">
        <v>0.76</v>
      </c>
      <c r="AA221" s="14" t="n">
        <v>0</v>
      </c>
    </row>
    <row r="222">
      <c r="A222" t="inlineStr">
        <is>
          <t>120607</t>
        </is>
      </c>
      <c r="B222" t="inlineStr">
        <is>
          <t>JUNIN</t>
        </is>
      </c>
      <c r="C222" t="inlineStr">
        <is>
          <t>SATIPO</t>
        </is>
      </c>
      <c r="D222" t="inlineStr">
        <is>
          <t>RIO NEGRO</t>
        </is>
      </c>
      <c r="E222" t="n">
        <v>9462</v>
      </c>
      <c r="F222" s="14" t="n">
        <v>0</v>
      </c>
      <c r="G222" s="14" t="n">
        <v>72.56999999999999</v>
      </c>
      <c r="H222" s="14" t="n">
        <v>0.13</v>
      </c>
      <c r="I222" s="14" t="n">
        <v>1.51</v>
      </c>
      <c r="J222" s="14" t="n">
        <v>0.01</v>
      </c>
      <c r="K222" s="14" t="n">
        <v>0.04</v>
      </c>
      <c r="L222" s="14" t="n">
        <v>2.72</v>
      </c>
      <c r="M222" s="14" t="n">
        <v>7.46</v>
      </c>
      <c r="N222" s="14" t="n">
        <v>4.35</v>
      </c>
      <c r="O222" s="14" t="n">
        <v>3.38</v>
      </c>
      <c r="P222" s="14" t="n">
        <v>0.07000000000000001</v>
      </c>
      <c r="Q222" s="14" t="n">
        <v>0.16</v>
      </c>
      <c r="R222" s="14" t="n">
        <v>0.01</v>
      </c>
      <c r="S222" s="14" t="n">
        <v>0.72</v>
      </c>
      <c r="T222" s="14" t="n">
        <v>0.54</v>
      </c>
      <c r="U222" s="14" t="n">
        <v>1.23</v>
      </c>
      <c r="V222" s="14" t="n">
        <v>2.25</v>
      </c>
      <c r="W222" s="14" t="n">
        <v>1.06</v>
      </c>
      <c r="X222" s="14" t="n">
        <v>0.08</v>
      </c>
      <c r="Y222" s="14" t="n">
        <v>0.9399999999999999</v>
      </c>
      <c r="Z222" s="14" t="n">
        <v>0.76</v>
      </c>
      <c r="AA222" s="14" t="n">
        <v>0</v>
      </c>
    </row>
    <row r="223">
      <c r="A223" t="inlineStr">
        <is>
          <t>120608</t>
        </is>
      </c>
      <c r="B223" t="inlineStr">
        <is>
          <t>JUNIN</t>
        </is>
      </c>
      <c r="C223" t="inlineStr">
        <is>
          <t>SATIPO</t>
        </is>
      </c>
      <c r="D223" t="inlineStr">
        <is>
          <t>RIO TAMBO</t>
        </is>
      </c>
      <c r="E223" t="n">
        <v>8694</v>
      </c>
      <c r="F223" s="14" t="n">
        <v>0</v>
      </c>
      <c r="G223" s="14" t="n">
        <v>87.59</v>
      </c>
      <c r="H223" s="14" t="n">
        <v>0.1</v>
      </c>
      <c r="I223" s="14" t="n">
        <v>0.75</v>
      </c>
      <c r="J223" s="14" t="n">
        <v>0</v>
      </c>
      <c r="K223" s="14" t="n">
        <v>0.01</v>
      </c>
      <c r="L223" s="14" t="n">
        <v>0.54</v>
      </c>
      <c r="M223" s="14" t="n">
        <v>2.93</v>
      </c>
      <c r="N223" s="14" t="n">
        <v>0.66</v>
      </c>
      <c r="O223" s="14" t="n">
        <v>1.15</v>
      </c>
      <c r="P223" s="14" t="n">
        <v>0.03</v>
      </c>
      <c r="Q223" s="14" t="n">
        <v>0</v>
      </c>
      <c r="R223" s="14" t="n">
        <v>0</v>
      </c>
      <c r="S223" s="14" t="n">
        <v>0.3</v>
      </c>
      <c r="T223" s="14" t="n">
        <v>0.12</v>
      </c>
      <c r="U223" s="14" t="n">
        <v>1.45</v>
      </c>
      <c r="V223" s="14" t="n">
        <v>3.34</v>
      </c>
      <c r="W223" s="14" t="n">
        <v>0.47</v>
      </c>
      <c r="X223" s="14" t="n">
        <v>0.01</v>
      </c>
      <c r="Y223" s="14" t="n">
        <v>0.31</v>
      </c>
      <c r="Z223" s="14" t="n">
        <v>0.24</v>
      </c>
      <c r="AA223" s="14" t="n">
        <v>0</v>
      </c>
    </row>
    <row r="224">
      <c r="A224" t="inlineStr">
        <is>
          <t>120609</t>
        </is>
      </c>
      <c r="B224" t="inlineStr">
        <is>
          <t>JUNIN</t>
        </is>
      </c>
      <c r="C224" t="inlineStr">
        <is>
          <t>SATIPO</t>
        </is>
      </c>
      <c r="D224" t="inlineStr">
        <is>
          <t>VIZCATAN DEL ENE</t>
        </is>
      </c>
      <c r="E224" t="n">
        <v>2090</v>
      </c>
      <c r="F224" s="14" t="n">
        <v>0</v>
      </c>
      <c r="G224" s="14" t="n">
        <v>82.73</v>
      </c>
      <c r="H224" s="14" t="n">
        <v>0.1</v>
      </c>
      <c r="I224" s="14" t="n">
        <v>0.24</v>
      </c>
      <c r="J224" s="14" t="n">
        <v>0</v>
      </c>
      <c r="K224" s="14" t="n">
        <v>0</v>
      </c>
      <c r="L224" s="14" t="n">
        <v>0.96</v>
      </c>
      <c r="M224" s="14" t="n">
        <v>3.59</v>
      </c>
      <c r="N224" s="14" t="n">
        <v>1.1</v>
      </c>
      <c r="O224" s="14" t="n">
        <v>1.58</v>
      </c>
      <c r="P224" s="14" t="n">
        <v>0</v>
      </c>
      <c r="Q224" s="14" t="n">
        <v>0</v>
      </c>
      <c r="R224" s="14" t="n">
        <v>0</v>
      </c>
      <c r="S224" s="14" t="n">
        <v>0.29</v>
      </c>
      <c r="T224" s="14" t="n">
        <v>0.05</v>
      </c>
      <c r="U224" s="14" t="n">
        <v>6.65</v>
      </c>
      <c r="V224" s="14" t="n">
        <v>2.15</v>
      </c>
      <c r="W224" s="14" t="n">
        <v>0.24</v>
      </c>
      <c r="X224" s="14" t="n">
        <v>0</v>
      </c>
      <c r="Y224" s="14" t="n">
        <v>0.14</v>
      </c>
      <c r="Z224" s="14" t="n">
        <v>0.19</v>
      </c>
      <c r="AA224" s="14" t="n">
        <v>0</v>
      </c>
    </row>
    <row r="225">
      <c r="A225" t="inlineStr">
        <is>
          <t>120701</t>
        </is>
      </c>
      <c r="B225" t="inlineStr">
        <is>
          <t>JUNIN</t>
        </is>
      </c>
      <c r="C225" t="inlineStr">
        <is>
          <t>TARMA</t>
        </is>
      </c>
      <c r="D225" t="inlineStr">
        <is>
          <t>TARMA</t>
        </is>
      </c>
      <c r="E225" t="n">
        <v>21321</v>
      </c>
      <c r="F225" s="14" t="n">
        <v>0</v>
      </c>
      <c r="G225" s="14" t="n">
        <v>20.03</v>
      </c>
      <c r="H225" s="14" t="n">
        <v>0.86</v>
      </c>
      <c r="I225" s="14" t="n">
        <v>5.63</v>
      </c>
      <c r="J225" s="14" t="n">
        <v>0.11</v>
      </c>
      <c r="K225" s="14" t="n">
        <v>0.18</v>
      </c>
      <c r="L225" s="14" t="n">
        <v>6.03</v>
      </c>
      <c r="M225" s="14" t="n">
        <v>23.87</v>
      </c>
      <c r="N225" s="14" t="n">
        <v>10.08</v>
      </c>
      <c r="O225" s="14" t="n">
        <v>7.09</v>
      </c>
      <c r="P225" s="14" t="n">
        <v>0.67</v>
      </c>
      <c r="Q225" s="14" t="n">
        <v>1.2</v>
      </c>
      <c r="R225" s="14" t="n">
        <v>0.06</v>
      </c>
      <c r="S225" s="14" t="n">
        <v>2.91</v>
      </c>
      <c r="T225" s="14" t="n">
        <v>1.94</v>
      </c>
      <c r="U225" s="14" t="n">
        <v>2.79</v>
      </c>
      <c r="V225" s="14" t="n">
        <v>8.710000000000001</v>
      </c>
      <c r="W225" s="14" t="n">
        <v>2.85</v>
      </c>
      <c r="X225" s="14" t="n">
        <v>1.19</v>
      </c>
      <c r="Y225" s="14" t="n">
        <v>2.88</v>
      </c>
      <c r="Z225" s="14" t="n">
        <v>0.93</v>
      </c>
      <c r="AA225" s="14" t="n">
        <v>0</v>
      </c>
    </row>
    <row r="226">
      <c r="A226" t="inlineStr">
        <is>
          <t>120702</t>
        </is>
      </c>
      <c r="B226" t="inlineStr">
        <is>
          <t>JUNIN</t>
        </is>
      </c>
      <c r="C226" t="inlineStr">
        <is>
          <t>TARMA</t>
        </is>
      </c>
      <c r="D226" t="inlineStr">
        <is>
          <t>ACOBAMBA</t>
        </is>
      </c>
      <c r="E226" t="n">
        <v>4173</v>
      </c>
      <c r="F226" s="14" t="n">
        <v>0</v>
      </c>
      <c r="G226" s="14" t="n">
        <v>62.38</v>
      </c>
      <c r="H226" s="14" t="n">
        <v>0.36</v>
      </c>
      <c r="I226" s="14" t="n">
        <v>2.08</v>
      </c>
      <c r="J226" s="14" t="n">
        <v>0.24</v>
      </c>
      <c r="K226" s="14" t="n">
        <v>0</v>
      </c>
      <c r="L226" s="14" t="n">
        <v>3.98</v>
      </c>
      <c r="M226" s="14" t="n">
        <v>9.609999999999999</v>
      </c>
      <c r="N226" s="14" t="n">
        <v>5.46</v>
      </c>
      <c r="O226" s="14" t="n">
        <v>3.31</v>
      </c>
      <c r="P226" s="14" t="n">
        <v>0.12</v>
      </c>
      <c r="Q226" s="14" t="n">
        <v>0.24</v>
      </c>
      <c r="R226" s="14" t="n">
        <v>0</v>
      </c>
      <c r="S226" s="14" t="n">
        <v>1.13</v>
      </c>
      <c r="T226" s="14" t="n">
        <v>0.6899999999999999</v>
      </c>
      <c r="U226" s="14" t="n">
        <v>2.13</v>
      </c>
      <c r="V226" s="14" t="n">
        <v>4.05</v>
      </c>
      <c r="W226" s="14" t="n">
        <v>1.22</v>
      </c>
      <c r="X226" s="14" t="n">
        <v>0.41</v>
      </c>
      <c r="Y226" s="14" t="n">
        <v>2.08</v>
      </c>
      <c r="Z226" s="14" t="n">
        <v>0.5</v>
      </c>
      <c r="AA226" s="14" t="n">
        <v>0</v>
      </c>
    </row>
    <row r="227">
      <c r="A227" t="inlineStr">
        <is>
          <t>120703</t>
        </is>
      </c>
      <c r="B227" t="inlineStr">
        <is>
          <t>JUNIN</t>
        </is>
      </c>
      <c r="C227" t="inlineStr">
        <is>
          <t>TARMA</t>
        </is>
      </c>
      <c r="D227" t="inlineStr">
        <is>
          <t>HUARICOLCA</t>
        </is>
      </c>
      <c r="E227" t="n">
        <v>558</v>
      </c>
      <c r="F227" s="14" t="n">
        <v>0</v>
      </c>
      <c r="G227" s="14" t="n">
        <v>84.59</v>
      </c>
      <c r="H227" s="14" t="n">
        <v>0.9</v>
      </c>
      <c r="I227" s="14" t="n">
        <v>0.54</v>
      </c>
      <c r="J227" s="14" t="n">
        <v>0</v>
      </c>
      <c r="K227" s="14" t="n">
        <v>0</v>
      </c>
      <c r="L227" s="14" t="n">
        <v>1.43</v>
      </c>
      <c r="M227" s="14" t="n">
        <v>3.41</v>
      </c>
      <c r="N227" s="14" t="n">
        <v>2.15</v>
      </c>
      <c r="O227" s="14" t="n">
        <v>0.9</v>
      </c>
      <c r="P227" s="14" t="n">
        <v>0</v>
      </c>
      <c r="Q227" s="14" t="n">
        <v>0.18</v>
      </c>
      <c r="R227" s="14" t="n">
        <v>0</v>
      </c>
      <c r="S227" s="14" t="n">
        <v>0.54</v>
      </c>
      <c r="T227" s="14" t="n">
        <v>0.72</v>
      </c>
      <c r="U227" s="14" t="n">
        <v>2.87</v>
      </c>
      <c r="V227" s="14" t="n">
        <v>0.9</v>
      </c>
      <c r="W227" s="14" t="n">
        <v>0.54</v>
      </c>
      <c r="X227" s="14" t="n">
        <v>0</v>
      </c>
      <c r="Y227" s="14" t="n">
        <v>0.18</v>
      </c>
      <c r="Z227" s="14" t="n">
        <v>0.18</v>
      </c>
      <c r="AA227" s="14" t="n">
        <v>0</v>
      </c>
    </row>
    <row r="228">
      <c r="A228" t="inlineStr">
        <is>
          <t>120704</t>
        </is>
      </c>
      <c r="B228" t="inlineStr">
        <is>
          <t>JUNIN</t>
        </is>
      </c>
      <c r="C228" t="inlineStr">
        <is>
          <t>TARMA</t>
        </is>
      </c>
      <c r="D228" t="inlineStr">
        <is>
          <t>HUASAHUASI</t>
        </is>
      </c>
      <c r="E228" t="n">
        <v>3958</v>
      </c>
      <c r="F228" s="14" t="n">
        <v>0</v>
      </c>
      <c r="G228" s="14" t="n">
        <v>82.04000000000001</v>
      </c>
      <c r="H228" s="14" t="n">
        <v>0.13</v>
      </c>
      <c r="I228" s="14" t="n">
        <v>1.16</v>
      </c>
      <c r="J228" s="14" t="n">
        <v>0.03</v>
      </c>
      <c r="K228" s="14" t="n">
        <v>0</v>
      </c>
      <c r="L228" s="14" t="n">
        <v>1.77</v>
      </c>
      <c r="M228" s="14" t="n">
        <v>6.44</v>
      </c>
      <c r="N228" s="14" t="n">
        <v>1.87</v>
      </c>
      <c r="O228" s="14" t="n">
        <v>2.12</v>
      </c>
      <c r="P228" s="14" t="n">
        <v>0.1</v>
      </c>
      <c r="Q228" s="14" t="n">
        <v>0.15</v>
      </c>
      <c r="R228" s="14" t="n">
        <v>0</v>
      </c>
      <c r="S228" s="14" t="n">
        <v>0.3</v>
      </c>
      <c r="T228" s="14" t="n">
        <v>0.13</v>
      </c>
      <c r="U228" s="14" t="n">
        <v>1.72</v>
      </c>
      <c r="V228" s="14" t="n">
        <v>0.88</v>
      </c>
      <c r="W228" s="14" t="n">
        <v>0.51</v>
      </c>
      <c r="X228" s="14" t="n">
        <v>0.18</v>
      </c>
      <c r="Y228" s="14" t="n">
        <v>0.43</v>
      </c>
      <c r="Z228" s="14" t="n">
        <v>0.05</v>
      </c>
      <c r="AA228" s="14" t="n">
        <v>0</v>
      </c>
    </row>
    <row r="229">
      <c r="A229" t="inlineStr">
        <is>
          <t>120705</t>
        </is>
      </c>
      <c r="B229" t="inlineStr">
        <is>
          <t>JUNIN</t>
        </is>
      </c>
      <c r="C229" t="inlineStr">
        <is>
          <t>TARMA</t>
        </is>
      </c>
      <c r="D229" t="inlineStr">
        <is>
          <t>LA UNION</t>
        </is>
      </c>
      <c r="E229" t="n">
        <v>1661</v>
      </c>
      <c r="F229" s="14" t="n">
        <v>0</v>
      </c>
      <c r="G229" s="14" t="n">
        <v>51.78</v>
      </c>
      <c r="H229" s="14" t="n">
        <v>2.17</v>
      </c>
      <c r="I229" s="14" t="n">
        <v>6.08</v>
      </c>
      <c r="J229" s="14" t="n">
        <v>0</v>
      </c>
      <c r="K229" s="14" t="n">
        <v>0</v>
      </c>
      <c r="L229" s="14" t="n">
        <v>4.52</v>
      </c>
      <c r="M229" s="14" t="n">
        <v>10.23</v>
      </c>
      <c r="N229" s="14" t="n">
        <v>8.31</v>
      </c>
      <c r="O229" s="14" t="n">
        <v>2.95</v>
      </c>
      <c r="P229" s="14" t="n">
        <v>0.06</v>
      </c>
      <c r="Q229" s="14" t="n">
        <v>0.06</v>
      </c>
      <c r="R229" s="14" t="n">
        <v>0</v>
      </c>
      <c r="S229" s="14" t="n">
        <v>0.72</v>
      </c>
      <c r="T229" s="14" t="n">
        <v>3.67</v>
      </c>
      <c r="U229" s="14" t="n">
        <v>6.08</v>
      </c>
      <c r="V229" s="14" t="n">
        <v>0.36</v>
      </c>
      <c r="W229" s="14" t="n">
        <v>0.9</v>
      </c>
      <c r="X229" s="14" t="n">
        <v>0.06</v>
      </c>
      <c r="Y229" s="14" t="n">
        <v>1.99</v>
      </c>
      <c r="Z229" s="14" t="n">
        <v>0.06</v>
      </c>
      <c r="AA229" s="14" t="n">
        <v>0</v>
      </c>
    </row>
    <row r="230">
      <c r="A230" t="inlineStr">
        <is>
          <t>120706</t>
        </is>
      </c>
      <c r="B230" t="inlineStr">
        <is>
          <t>JUNIN</t>
        </is>
      </c>
      <c r="C230" t="inlineStr">
        <is>
          <t>TARMA</t>
        </is>
      </c>
      <c r="D230" t="inlineStr">
        <is>
          <t>PALCA</t>
        </is>
      </c>
      <c r="E230" t="n">
        <v>2270</v>
      </c>
      <c r="F230" s="14" t="n">
        <v>0</v>
      </c>
      <c r="G230" s="14" t="n">
        <v>80.48</v>
      </c>
      <c r="H230" s="14" t="n">
        <v>0.53</v>
      </c>
      <c r="I230" s="14" t="n">
        <v>1.28</v>
      </c>
      <c r="J230" s="14" t="n">
        <v>0.31</v>
      </c>
      <c r="K230" s="14" t="n">
        <v>0</v>
      </c>
      <c r="L230" s="14" t="n">
        <v>1.81</v>
      </c>
      <c r="M230" s="14" t="n">
        <v>5.29</v>
      </c>
      <c r="N230" s="14" t="n">
        <v>3.96</v>
      </c>
      <c r="O230" s="14" t="n">
        <v>1.85</v>
      </c>
      <c r="P230" s="14" t="n">
        <v>0.09</v>
      </c>
      <c r="Q230" s="14" t="n">
        <v>0.09</v>
      </c>
      <c r="R230" s="14" t="n">
        <v>0.04</v>
      </c>
      <c r="S230" s="14" t="n">
        <v>0.31</v>
      </c>
      <c r="T230" s="14" t="n">
        <v>0.09</v>
      </c>
      <c r="U230" s="14" t="n">
        <v>1.32</v>
      </c>
      <c r="V230" s="14" t="n">
        <v>0.79</v>
      </c>
      <c r="W230" s="14" t="n">
        <v>0.53</v>
      </c>
      <c r="X230" s="14" t="n">
        <v>0.22</v>
      </c>
      <c r="Y230" s="14" t="n">
        <v>0.75</v>
      </c>
      <c r="Z230" s="14" t="n">
        <v>0.26</v>
      </c>
      <c r="AA230" s="14" t="n">
        <v>0</v>
      </c>
    </row>
    <row r="231">
      <c r="A231" t="inlineStr">
        <is>
          <t>120707</t>
        </is>
      </c>
      <c r="B231" t="inlineStr">
        <is>
          <t>JUNIN</t>
        </is>
      </c>
      <c r="C231" t="inlineStr">
        <is>
          <t>TARMA</t>
        </is>
      </c>
      <c r="D231" t="inlineStr">
        <is>
          <t>PALCAMAYO</t>
        </is>
      </c>
      <c r="E231" t="n">
        <v>1570</v>
      </c>
      <c r="F231" s="14" t="n">
        <v>0</v>
      </c>
      <c r="G231" s="14" t="n">
        <v>84.45999999999999</v>
      </c>
      <c r="H231" s="14" t="n">
        <v>0.32</v>
      </c>
      <c r="I231" s="14" t="n">
        <v>1.15</v>
      </c>
      <c r="J231" s="14" t="n">
        <v>0</v>
      </c>
      <c r="K231" s="14" t="n">
        <v>0</v>
      </c>
      <c r="L231" s="14" t="n">
        <v>1.15</v>
      </c>
      <c r="M231" s="14" t="n">
        <v>3.89</v>
      </c>
      <c r="N231" s="14" t="n">
        <v>3.18</v>
      </c>
      <c r="O231" s="14" t="n">
        <v>1.21</v>
      </c>
      <c r="P231" s="14" t="n">
        <v>0.25</v>
      </c>
      <c r="Q231" s="14" t="n">
        <v>0</v>
      </c>
      <c r="R231" s="14" t="n">
        <v>0</v>
      </c>
      <c r="S231" s="14" t="n">
        <v>0.57</v>
      </c>
      <c r="T231" s="14" t="n">
        <v>0.19</v>
      </c>
      <c r="U231" s="14" t="n">
        <v>1.15</v>
      </c>
      <c r="V231" s="14" t="n">
        <v>1.53</v>
      </c>
      <c r="W231" s="14" t="n">
        <v>0.25</v>
      </c>
      <c r="X231" s="14" t="n">
        <v>0.06</v>
      </c>
      <c r="Y231" s="14" t="n">
        <v>0.51</v>
      </c>
      <c r="Z231" s="14" t="n">
        <v>0.13</v>
      </c>
      <c r="AA231" s="14" t="n">
        <v>0</v>
      </c>
    </row>
    <row r="232">
      <c r="A232" t="inlineStr">
        <is>
          <t>120708</t>
        </is>
      </c>
      <c r="B232" t="inlineStr">
        <is>
          <t>JUNIN</t>
        </is>
      </c>
      <c r="C232" t="inlineStr">
        <is>
          <t>TARMA</t>
        </is>
      </c>
      <c r="D232" t="inlineStr">
        <is>
          <t>SAN PEDRO DE CAJAS</t>
        </is>
      </c>
      <c r="E232" t="n">
        <v>1642</v>
      </c>
      <c r="F232" s="14" t="n">
        <v>0</v>
      </c>
      <c r="G232" s="14" t="n">
        <v>45.92</v>
      </c>
      <c r="H232" s="14" t="n">
        <v>0.43</v>
      </c>
      <c r="I232" s="14" t="n">
        <v>28.01</v>
      </c>
      <c r="J232" s="14" t="n">
        <v>0</v>
      </c>
      <c r="K232" s="14" t="n">
        <v>0.06</v>
      </c>
      <c r="L232" s="14" t="n">
        <v>4.75</v>
      </c>
      <c r="M232" s="14" t="n">
        <v>8.039999999999999</v>
      </c>
      <c r="N232" s="14" t="n">
        <v>2.86</v>
      </c>
      <c r="O232" s="14" t="n">
        <v>1.64</v>
      </c>
      <c r="P232" s="14" t="n">
        <v>0</v>
      </c>
      <c r="Q232" s="14" t="n">
        <v>0.06</v>
      </c>
      <c r="R232" s="14" t="n">
        <v>0</v>
      </c>
      <c r="S232" s="14" t="n">
        <v>1.28</v>
      </c>
      <c r="T232" s="14" t="n">
        <v>0.3</v>
      </c>
      <c r="U232" s="14" t="n">
        <v>2.19</v>
      </c>
      <c r="V232" s="14" t="n">
        <v>2.25</v>
      </c>
      <c r="W232" s="14" t="n">
        <v>0.79</v>
      </c>
      <c r="X232" s="14" t="n">
        <v>0.55</v>
      </c>
      <c r="Y232" s="14" t="n">
        <v>0.67</v>
      </c>
      <c r="Z232" s="14" t="n">
        <v>0.18</v>
      </c>
      <c r="AA232" s="14" t="n">
        <v>0</v>
      </c>
    </row>
    <row r="233">
      <c r="A233" t="inlineStr">
        <is>
          <t>120709</t>
        </is>
      </c>
      <c r="B233" t="inlineStr">
        <is>
          <t>JUNIN</t>
        </is>
      </c>
      <c r="C233" t="inlineStr">
        <is>
          <t>TARMA</t>
        </is>
      </c>
      <c r="D233" t="inlineStr">
        <is>
          <t>TAPO</t>
        </is>
      </c>
      <c r="E233" t="n">
        <v>1514</v>
      </c>
      <c r="F233" s="14" t="n">
        <v>0</v>
      </c>
      <c r="G233" s="14" t="n">
        <v>90.42</v>
      </c>
      <c r="H233" s="14" t="n">
        <v>0.26</v>
      </c>
      <c r="I233" s="14" t="n">
        <v>0.46</v>
      </c>
      <c r="J233" s="14" t="n">
        <v>0</v>
      </c>
      <c r="K233" s="14" t="n">
        <v>0.13</v>
      </c>
      <c r="L233" s="14" t="n">
        <v>1.72</v>
      </c>
      <c r="M233" s="14" t="n">
        <v>2.25</v>
      </c>
      <c r="N233" s="14" t="n">
        <v>1.45</v>
      </c>
      <c r="O233" s="14" t="n">
        <v>0.66</v>
      </c>
      <c r="P233" s="14" t="n">
        <v>0.2</v>
      </c>
      <c r="Q233" s="14" t="n">
        <v>0</v>
      </c>
      <c r="R233" s="14" t="n">
        <v>0</v>
      </c>
      <c r="S233" s="14" t="n">
        <v>0.26</v>
      </c>
      <c r="T233" s="14" t="n">
        <v>0.13</v>
      </c>
      <c r="U233" s="14" t="n">
        <v>0.99</v>
      </c>
      <c r="V233" s="14" t="n">
        <v>0.53</v>
      </c>
      <c r="W233" s="14" t="n">
        <v>0.07000000000000001</v>
      </c>
      <c r="X233" s="14" t="n">
        <v>0.13</v>
      </c>
      <c r="Y233" s="14" t="n">
        <v>0.26</v>
      </c>
      <c r="Z233" s="14" t="n">
        <v>0.07000000000000001</v>
      </c>
      <c r="AA233" s="14" t="n">
        <v>0</v>
      </c>
    </row>
    <row r="234">
      <c r="A234" t="inlineStr">
        <is>
          <t>120801</t>
        </is>
      </c>
      <c r="B234" t="inlineStr">
        <is>
          <t>JUNIN</t>
        </is>
      </c>
      <c r="C234" t="inlineStr">
        <is>
          <t>YAULI</t>
        </is>
      </c>
      <c r="D234" t="inlineStr">
        <is>
          <t>LA OROYA</t>
        </is>
      </c>
      <c r="E234" t="n">
        <v>5686</v>
      </c>
      <c r="F234" s="14" t="n">
        <v>0</v>
      </c>
      <c r="G234" s="14" t="n">
        <v>4.05</v>
      </c>
      <c r="H234" s="14" t="n">
        <v>5.35</v>
      </c>
      <c r="I234" s="14" t="n">
        <v>5.58</v>
      </c>
      <c r="J234" s="14" t="n">
        <v>0.14</v>
      </c>
      <c r="K234" s="14" t="n">
        <v>0.37</v>
      </c>
      <c r="L234" s="14" t="n">
        <v>10.64</v>
      </c>
      <c r="M234" s="14" t="n">
        <v>20.54</v>
      </c>
      <c r="N234" s="14" t="n">
        <v>12.61</v>
      </c>
      <c r="O234" s="14" t="n">
        <v>9.6</v>
      </c>
      <c r="P234" s="14" t="n">
        <v>0.65</v>
      </c>
      <c r="Q234" s="14" t="n">
        <v>0.86</v>
      </c>
      <c r="R234" s="14" t="n">
        <v>0.02</v>
      </c>
      <c r="S234" s="14" t="n">
        <v>3.64</v>
      </c>
      <c r="T234" s="14" t="n">
        <v>4.47</v>
      </c>
      <c r="U234" s="14" t="n">
        <v>6.12</v>
      </c>
      <c r="V234" s="14" t="n">
        <v>6.77</v>
      </c>
      <c r="W234" s="14" t="n">
        <v>1.97</v>
      </c>
      <c r="X234" s="14" t="n">
        <v>0.83</v>
      </c>
      <c r="Y234" s="14" t="n">
        <v>4.91</v>
      </c>
      <c r="Z234" s="14" t="n">
        <v>0.9</v>
      </c>
      <c r="AA234" s="14" t="n">
        <v>0</v>
      </c>
    </row>
    <row r="235">
      <c r="A235" t="inlineStr">
        <is>
          <t>120802</t>
        </is>
      </c>
      <c r="B235" t="inlineStr">
        <is>
          <t>JUNIN</t>
        </is>
      </c>
      <c r="C235" t="inlineStr">
        <is>
          <t>YAULI</t>
        </is>
      </c>
      <c r="D235" t="inlineStr">
        <is>
          <t>CHACAPALPA</t>
        </is>
      </c>
      <c r="E235" t="n">
        <v>297</v>
      </c>
      <c r="F235" s="14" t="n">
        <v>0</v>
      </c>
      <c r="G235" s="14" t="n">
        <v>60.94</v>
      </c>
      <c r="H235" s="14" t="n">
        <v>3.7</v>
      </c>
      <c r="I235" s="14" t="n">
        <v>2.36</v>
      </c>
      <c r="J235" s="14" t="n">
        <v>0.34</v>
      </c>
      <c r="K235" s="14" t="n">
        <v>0.34</v>
      </c>
      <c r="L235" s="14" t="n">
        <v>11.78</v>
      </c>
      <c r="M235" s="14" t="n">
        <v>9.43</v>
      </c>
      <c r="N235" s="14" t="n">
        <v>1.01</v>
      </c>
      <c r="O235" s="14" t="n">
        <v>3.03</v>
      </c>
      <c r="P235" s="14" t="n">
        <v>0</v>
      </c>
      <c r="Q235" s="14" t="n">
        <v>0</v>
      </c>
      <c r="R235" s="14" t="n">
        <v>0</v>
      </c>
      <c r="S235" s="14" t="n">
        <v>0.34</v>
      </c>
      <c r="T235" s="14" t="n">
        <v>0.67</v>
      </c>
      <c r="U235" s="14" t="n">
        <v>3.03</v>
      </c>
      <c r="V235" s="14" t="n">
        <v>0.67</v>
      </c>
      <c r="W235" s="14" t="n">
        <v>0.34</v>
      </c>
      <c r="X235" s="14" t="n">
        <v>0</v>
      </c>
      <c r="Y235" s="14" t="n">
        <v>1.68</v>
      </c>
      <c r="Z235" s="14" t="n">
        <v>0.34</v>
      </c>
      <c r="AA235" s="14" t="n">
        <v>0</v>
      </c>
    </row>
    <row r="236">
      <c r="A236" t="inlineStr">
        <is>
          <t>120803</t>
        </is>
      </c>
      <c r="B236" t="inlineStr">
        <is>
          <t>JUNIN</t>
        </is>
      </c>
      <c r="C236" t="inlineStr">
        <is>
          <t>YAULI</t>
        </is>
      </c>
      <c r="D236" t="inlineStr">
        <is>
          <t>HUAY-HUAY</t>
        </is>
      </c>
      <c r="E236" t="n">
        <v>926</v>
      </c>
      <c r="F236" s="14" t="n">
        <v>0</v>
      </c>
      <c r="G236" s="14" t="n">
        <v>15.44</v>
      </c>
      <c r="H236" s="14" t="n">
        <v>35.42</v>
      </c>
      <c r="I236" s="14" t="n">
        <v>4.64</v>
      </c>
      <c r="J236" s="14" t="n">
        <v>0.43</v>
      </c>
      <c r="K236" s="14" t="n">
        <v>0.22</v>
      </c>
      <c r="L236" s="14" t="n">
        <v>10.15</v>
      </c>
      <c r="M236" s="14" t="n">
        <v>7.56</v>
      </c>
      <c r="N236" s="14" t="n">
        <v>9.609999999999999</v>
      </c>
      <c r="O236" s="14" t="n">
        <v>4.32</v>
      </c>
      <c r="P236" s="14" t="n">
        <v>0</v>
      </c>
      <c r="Q236" s="14" t="n">
        <v>0</v>
      </c>
      <c r="R236" s="14" t="n">
        <v>0</v>
      </c>
      <c r="S236" s="14" t="n">
        <v>2.81</v>
      </c>
      <c r="T236" s="14" t="n">
        <v>3.46</v>
      </c>
      <c r="U236" s="14" t="n">
        <v>2.59</v>
      </c>
      <c r="V236" s="14" t="n">
        <v>0.32</v>
      </c>
      <c r="W236" s="14" t="n">
        <v>0.97</v>
      </c>
      <c r="X236" s="14" t="n">
        <v>0.11</v>
      </c>
      <c r="Y236" s="14" t="n">
        <v>1.73</v>
      </c>
      <c r="Z236" s="14" t="n">
        <v>0.22</v>
      </c>
      <c r="AA236" s="14" t="n">
        <v>0</v>
      </c>
    </row>
    <row r="237">
      <c r="A237" t="inlineStr">
        <is>
          <t>120804</t>
        </is>
      </c>
      <c r="B237" t="inlineStr">
        <is>
          <t>JUNIN</t>
        </is>
      </c>
      <c r="C237" t="inlineStr">
        <is>
          <t>YAULI</t>
        </is>
      </c>
      <c r="D237" t="inlineStr">
        <is>
          <t>MARCAPOMACOCHA</t>
        </is>
      </c>
      <c r="E237" t="n">
        <v>421</v>
      </c>
      <c r="F237" s="14" t="n">
        <v>0</v>
      </c>
      <c r="G237" s="14" t="n">
        <v>66.03</v>
      </c>
      <c r="H237" s="14" t="n">
        <v>3.33</v>
      </c>
      <c r="I237" s="14" t="n">
        <v>1.66</v>
      </c>
      <c r="J237" s="14" t="n">
        <v>0</v>
      </c>
      <c r="K237" s="14" t="n">
        <v>0.24</v>
      </c>
      <c r="L237" s="14" t="n">
        <v>4.99</v>
      </c>
      <c r="M237" s="14" t="n">
        <v>5.46</v>
      </c>
      <c r="N237" s="14" t="n">
        <v>4.04</v>
      </c>
      <c r="O237" s="14" t="n">
        <v>3.56</v>
      </c>
      <c r="P237" s="14" t="n">
        <v>0.24</v>
      </c>
      <c r="Q237" s="14" t="n">
        <v>0</v>
      </c>
      <c r="R237" s="14" t="n">
        <v>0</v>
      </c>
      <c r="S237" s="14" t="n">
        <v>2.38</v>
      </c>
      <c r="T237" s="14" t="n">
        <v>1.43</v>
      </c>
      <c r="U237" s="14" t="n">
        <v>2.61</v>
      </c>
      <c r="V237" s="14" t="n">
        <v>1.19</v>
      </c>
      <c r="W237" s="14" t="n">
        <v>1.9</v>
      </c>
      <c r="X237" s="14" t="n">
        <v>0</v>
      </c>
      <c r="Y237" s="14" t="n">
        <v>0.95</v>
      </c>
      <c r="Z237" s="14" t="n">
        <v>0</v>
      </c>
      <c r="AA237" s="14" t="n">
        <v>0</v>
      </c>
    </row>
    <row r="238">
      <c r="A238" t="inlineStr">
        <is>
          <t>120805</t>
        </is>
      </c>
      <c r="B238" t="inlineStr">
        <is>
          <t>JUNIN</t>
        </is>
      </c>
      <c r="C238" t="inlineStr">
        <is>
          <t>YAULI</t>
        </is>
      </c>
      <c r="D238" t="inlineStr">
        <is>
          <t>MOROCOCHA</t>
        </is>
      </c>
      <c r="E238" t="n">
        <v>3115</v>
      </c>
      <c r="F238" s="14" t="n">
        <v>0</v>
      </c>
      <c r="G238" s="14" t="n">
        <v>2.57</v>
      </c>
      <c r="H238" s="14" t="n">
        <v>51.52</v>
      </c>
      <c r="I238" s="14" t="n">
        <v>3.18</v>
      </c>
      <c r="J238" s="14" t="n">
        <v>0.03</v>
      </c>
      <c r="K238" s="14" t="n">
        <v>0.39</v>
      </c>
      <c r="L238" s="14" t="n">
        <v>10.11</v>
      </c>
      <c r="M238" s="14" t="n">
        <v>6.26</v>
      </c>
      <c r="N238" s="14" t="n">
        <v>5.1</v>
      </c>
      <c r="O238" s="14" t="n">
        <v>7.38</v>
      </c>
      <c r="P238" s="14" t="n">
        <v>0.06</v>
      </c>
      <c r="Q238" s="14" t="n">
        <v>0.03</v>
      </c>
      <c r="R238" s="14" t="n">
        <v>0</v>
      </c>
      <c r="S238" s="14" t="n">
        <v>1.38</v>
      </c>
      <c r="T238" s="14" t="n">
        <v>4.49</v>
      </c>
      <c r="U238" s="14" t="n">
        <v>4.08</v>
      </c>
      <c r="V238" s="14" t="n">
        <v>1.06</v>
      </c>
      <c r="W238" s="14" t="n">
        <v>0.42</v>
      </c>
      <c r="X238" s="14" t="n">
        <v>0.06</v>
      </c>
      <c r="Y238" s="14" t="n">
        <v>1.77</v>
      </c>
      <c r="Z238" s="14" t="n">
        <v>0.1</v>
      </c>
      <c r="AA238" s="14" t="n">
        <v>0</v>
      </c>
    </row>
    <row r="239">
      <c r="A239" t="inlineStr">
        <is>
          <t>120806</t>
        </is>
      </c>
      <c r="B239" t="inlineStr">
        <is>
          <t>JUNIN</t>
        </is>
      </c>
      <c r="C239" t="inlineStr">
        <is>
          <t>YAULI</t>
        </is>
      </c>
      <c r="D239" t="inlineStr">
        <is>
          <t>PACCHA</t>
        </is>
      </c>
      <c r="E239" t="n">
        <v>718</v>
      </c>
      <c r="F239" s="14" t="n">
        <v>0</v>
      </c>
      <c r="G239" s="14" t="n">
        <v>16.57</v>
      </c>
      <c r="H239" s="14" t="n">
        <v>5.15</v>
      </c>
      <c r="I239" s="14" t="n">
        <v>3.9</v>
      </c>
      <c r="J239" s="14" t="n">
        <v>0</v>
      </c>
      <c r="K239" s="14" t="n">
        <v>0.7</v>
      </c>
      <c r="L239" s="14" t="n">
        <v>12.26</v>
      </c>
      <c r="M239" s="14" t="n">
        <v>14.62</v>
      </c>
      <c r="N239" s="14" t="n">
        <v>19.36</v>
      </c>
      <c r="O239" s="14" t="n">
        <v>8.91</v>
      </c>
      <c r="P239" s="14" t="n">
        <v>0.5600000000000001</v>
      </c>
      <c r="Q239" s="14" t="n">
        <v>0.28</v>
      </c>
      <c r="R239" s="14" t="n">
        <v>0</v>
      </c>
      <c r="S239" s="14" t="n">
        <v>1.95</v>
      </c>
      <c r="T239" s="14" t="n">
        <v>3.06</v>
      </c>
      <c r="U239" s="14" t="n">
        <v>3.76</v>
      </c>
      <c r="V239" s="14" t="n">
        <v>3.2</v>
      </c>
      <c r="W239" s="14" t="n">
        <v>2.23</v>
      </c>
      <c r="X239" s="14" t="n">
        <v>0.14</v>
      </c>
      <c r="Y239" s="14" t="n">
        <v>2.37</v>
      </c>
      <c r="Z239" s="14" t="n">
        <v>0.97</v>
      </c>
      <c r="AA239" s="14" t="n">
        <v>0</v>
      </c>
    </row>
    <row r="240">
      <c r="A240" t="inlineStr">
        <is>
          <t>120807</t>
        </is>
      </c>
      <c r="B240" t="inlineStr">
        <is>
          <t>JUNIN</t>
        </is>
      </c>
      <c r="C240" t="inlineStr">
        <is>
          <t>YAULI</t>
        </is>
      </c>
      <c r="D240" t="inlineStr">
        <is>
          <t>SANTA BARBARA DE CARHUACAYAN</t>
        </is>
      </c>
      <c r="E240" t="n">
        <v>586</v>
      </c>
      <c r="F240" s="14" t="n">
        <v>0</v>
      </c>
      <c r="G240" s="14" t="n">
        <v>31.06</v>
      </c>
      <c r="H240" s="14" t="n">
        <v>17.75</v>
      </c>
      <c r="I240" s="14" t="n">
        <v>7.68</v>
      </c>
      <c r="J240" s="14" t="n">
        <v>0.17</v>
      </c>
      <c r="K240" s="14" t="n">
        <v>0.17</v>
      </c>
      <c r="L240" s="14" t="n">
        <v>14.85</v>
      </c>
      <c r="M240" s="14" t="n">
        <v>4.95</v>
      </c>
      <c r="N240" s="14" t="n">
        <v>7.51</v>
      </c>
      <c r="O240" s="14" t="n">
        <v>3.75</v>
      </c>
      <c r="P240" s="14" t="n">
        <v>0.34</v>
      </c>
      <c r="Q240" s="14" t="n">
        <v>0</v>
      </c>
      <c r="R240" s="14" t="n">
        <v>0</v>
      </c>
      <c r="S240" s="14" t="n">
        <v>2.9</v>
      </c>
      <c r="T240" s="14" t="n">
        <v>2.56</v>
      </c>
      <c r="U240" s="14" t="n">
        <v>1.88</v>
      </c>
      <c r="V240" s="14" t="n">
        <v>1.54</v>
      </c>
      <c r="W240" s="14" t="n">
        <v>1.71</v>
      </c>
      <c r="X240" s="14" t="n">
        <v>0</v>
      </c>
      <c r="Y240" s="14" t="n">
        <v>1.19</v>
      </c>
      <c r="Z240" s="14" t="n">
        <v>0</v>
      </c>
      <c r="AA240" s="14" t="n">
        <v>0</v>
      </c>
    </row>
    <row r="241">
      <c r="A241" t="inlineStr">
        <is>
          <t>120808</t>
        </is>
      </c>
      <c r="B241" t="inlineStr">
        <is>
          <t>JUNIN</t>
        </is>
      </c>
      <c r="C241" t="inlineStr">
        <is>
          <t>YAULI</t>
        </is>
      </c>
      <c r="D241" t="inlineStr">
        <is>
          <t>SANTA ROSA DE SACCO</t>
        </is>
      </c>
      <c r="E241" t="n">
        <v>3442</v>
      </c>
      <c r="F241" s="14" t="n">
        <v>0</v>
      </c>
      <c r="G241" s="14" t="n">
        <v>3.81</v>
      </c>
      <c r="H241" s="14" t="n">
        <v>6.19</v>
      </c>
      <c r="I241" s="14" t="n">
        <v>4.88</v>
      </c>
      <c r="J241" s="14" t="n">
        <v>0.12</v>
      </c>
      <c r="K241" s="14" t="n">
        <v>0.41</v>
      </c>
      <c r="L241" s="14" t="n">
        <v>10.69</v>
      </c>
      <c r="M241" s="14" t="n">
        <v>21.53</v>
      </c>
      <c r="N241" s="14" t="n">
        <v>13.45</v>
      </c>
      <c r="O241" s="14" t="n">
        <v>8.6</v>
      </c>
      <c r="P241" s="14" t="n">
        <v>0.84</v>
      </c>
      <c r="Q241" s="14" t="n">
        <v>1.22</v>
      </c>
      <c r="R241" s="14" t="n">
        <v>0.03</v>
      </c>
      <c r="S241" s="14" t="n">
        <v>3.05</v>
      </c>
      <c r="T241" s="14" t="n">
        <v>3.4</v>
      </c>
      <c r="U241" s="14" t="n">
        <v>4.91</v>
      </c>
      <c r="V241" s="14" t="n">
        <v>6.04</v>
      </c>
      <c r="W241" s="14" t="n">
        <v>3.25</v>
      </c>
      <c r="X241" s="14" t="n">
        <v>0.76</v>
      </c>
      <c r="Y241" s="14" t="n">
        <v>6.42</v>
      </c>
      <c r="Z241" s="14" t="n">
        <v>0.41</v>
      </c>
      <c r="AA241" s="14" t="n">
        <v>0</v>
      </c>
    </row>
    <row r="242">
      <c r="A242" t="inlineStr">
        <is>
          <t>120809</t>
        </is>
      </c>
      <c r="B242" t="inlineStr">
        <is>
          <t>JUNIN</t>
        </is>
      </c>
      <c r="C242" t="inlineStr">
        <is>
          <t>YAULI</t>
        </is>
      </c>
      <c r="D242" t="inlineStr">
        <is>
          <t>SUITUCANCHA</t>
        </is>
      </c>
      <c r="E242" t="n">
        <v>266</v>
      </c>
      <c r="F242" s="14" t="n">
        <v>0</v>
      </c>
      <c r="G242" s="14" t="n">
        <v>69.55</v>
      </c>
      <c r="H242" s="14" t="n">
        <v>6.39</v>
      </c>
      <c r="I242" s="14" t="n">
        <v>0.38</v>
      </c>
      <c r="J242" s="14" t="n">
        <v>0</v>
      </c>
      <c r="K242" s="14" t="n">
        <v>0</v>
      </c>
      <c r="L242" s="14" t="n">
        <v>9.02</v>
      </c>
      <c r="M242" s="14" t="n">
        <v>3.01</v>
      </c>
      <c r="N242" s="14" t="n">
        <v>1.5</v>
      </c>
      <c r="O242" s="14" t="n">
        <v>4.14</v>
      </c>
      <c r="P242" s="14" t="n">
        <v>0</v>
      </c>
      <c r="Q242" s="14" t="n">
        <v>0</v>
      </c>
      <c r="R242" s="14" t="n">
        <v>0</v>
      </c>
      <c r="S242" s="14" t="n">
        <v>0.38</v>
      </c>
      <c r="T242" s="14" t="n">
        <v>0.38</v>
      </c>
      <c r="U242" s="14" t="n">
        <v>1.5</v>
      </c>
      <c r="V242" s="14" t="n">
        <v>1.13</v>
      </c>
      <c r="W242" s="14" t="n">
        <v>1.5</v>
      </c>
      <c r="X242" s="14" t="n">
        <v>0</v>
      </c>
      <c r="Y242" s="14" t="n">
        <v>0.38</v>
      </c>
      <c r="Z242" s="14" t="n">
        <v>0.75</v>
      </c>
      <c r="AA242" s="14" t="n">
        <v>0</v>
      </c>
    </row>
    <row r="243">
      <c r="A243" t="inlineStr">
        <is>
          <t>120810</t>
        </is>
      </c>
      <c r="B243" t="inlineStr">
        <is>
          <t>JUNIN</t>
        </is>
      </c>
      <c r="C243" t="inlineStr">
        <is>
          <t>YAULI</t>
        </is>
      </c>
      <c r="D243" t="inlineStr">
        <is>
          <t>YAULI</t>
        </is>
      </c>
      <c r="E243" t="n">
        <v>3324</v>
      </c>
      <c r="F243" s="14" t="n">
        <v>0</v>
      </c>
      <c r="G243" s="14" t="n">
        <v>3.49</v>
      </c>
      <c r="H243" s="14" t="n">
        <v>32.34</v>
      </c>
      <c r="I243" s="14" t="n">
        <v>6.29</v>
      </c>
      <c r="J243" s="14" t="n">
        <v>0.09</v>
      </c>
      <c r="K243" s="14" t="n">
        <v>0.21</v>
      </c>
      <c r="L243" s="14" t="n">
        <v>10.17</v>
      </c>
      <c r="M243" s="14" t="n">
        <v>10.02</v>
      </c>
      <c r="N243" s="14" t="n">
        <v>12.15</v>
      </c>
      <c r="O243" s="14" t="n">
        <v>6.62</v>
      </c>
      <c r="P243" s="14" t="n">
        <v>0.6899999999999999</v>
      </c>
      <c r="Q243" s="14" t="n">
        <v>0.12</v>
      </c>
      <c r="R243" s="14" t="n">
        <v>0.24</v>
      </c>
      <c r="S243" s="14" t="n">
        <v>3.34</v>
      </c>
      <c r="T243" s="14" t="n">
        <v>5.69</v>
      </c>
      <c r="U243" s="14" t="n">
        <v>4.66</v>
      </c>
      <c r="V243" s="14" t="n">
        <v>0.72</v>
      </c>
      <c r="W243" s="14" t="n">
        <v>1.11</v>
      </c>
      <c r="X243" s="14" t="n">
        <v>0.18</v>
      </c>
      <c r="Y243" s="14" t="n">
        <v>1.71</v>
      </c>
      <c r="Z243" s="14" t="n">
        <v>0.15</v>
      </c>
      <c r="AA243" s="14" t="n">
        <v>0</v>
      </c>
    </row>
    <row r="244">
      <c r="A244" t="inlineStr">
        <is>
          <t>120901</t>
        </is>
      </c>
      <c r="B244" t="inlineStr">
        <is>
          <t>JUNIN</t>
        </is>
      </c>
      <c r="C244" t="inlineStr">
        <is>
          <t>CHUPACA</t>
        </is>
      </c>
      <c r="D244" t="inlineStr">
        <is>
          <t>CHUPACA</t>
        </is>
      </c>
      <c r="E244" t="n">
        <v>8530</v>
      </c>
      <c r="F244" s="14" t="n">
        <v>0</v>
      </c>
      <c r="G244" s="14" t="n">
        <v>31.13</v>
      </c>
      <c r="H244" s="14" t="n">
        <v>1.37</v>
      </c>
      <c r="I244" s="14" t="n">
        <v>4.33</v>
      </c>
      <c r="J244" s="14" t="n">
        <v>0.08</v>
      </c>
      <c r="K244" s="14" t="n">
        <v>0.15</v>
      </c>
      <c r="L244" s="14" t="n">
        <v>6.94</v>
      </c>
      <c r="M244" s="14" t="n">
        <v>17.85</v>
      </c>
      <c r="N244" s="14" t="n">
        <v>8.98</v>
      </c>
      <c r="O244" s="14" t="n">
        <v>5.69</v>
      </c>
      <c r="P244" s="14" t="n">
        <v>0.52</v>
      </c>
      <c r="Q244" s="14" t="n">
        <v>1.48</v>
      </c>
      <c r="R244" s="14" t="n">
        <v>0</v>
      </c>
      <c r="S244" s="14" t="n">
        <v>2.15</v>
      </c>
      <c r="T244" s="14" t="n">
        <v>1.57</v>
      </c>
      <c r="U244" s="14" t="n">
        <v>3.51</v>
      </c>
      <c r="V244" s="14" t="n">
        <v>8.92</v>
      </c>
      <c r="W244" s="14" t="n">
        <v>1.83</v>
      </c>
      <c r="X244" s="14" t="n">
        <v>0.64</v>
      </c>
      <c r="Y244" s="14" t="n">
        <v>1.93</v>
      </c>
      <c r="Z244" s="14" t="n">
        <v>0.9399999999999999</v>
      </c>
      <c r="AA244" s="14" t="n">
        <v>0</v>
      </c>
    </row>
    <row r="245">
      <c r="A245" t="inlineStr">
        <is>
          <t>120902</t>
        </is>
      </c>
      <c r="B245" t="inlineStr">
        <is>
          <t>JUNIN</t>
        </is>
      </c>
      <c r="C245" t="inlineStr">
        <is>
          <t>CHUPACA</t>
        </is>
      </c>
      <c r="D245" t="inlineStr">
        <is>
          <t>AHUAC</t>
        </is>
      </c>
      <c r="E245" t="n">
        <v>2622</v>
      </c>
      <c r="F245" s="14" t="n">
        <v>0</v>
      </c>
      <c r="G245" s="14" t="n">
        <v>60.49</v>
      </c>
      <c r="H245" s="14" t="n">
        <v>1.03</v>
      </c>
      <c r="I245" s="14" t="n">
        <v>2.75</v>
      </c>
      <c r="J245" s="14" t="n">
        <v>0.11</v>
      </c>
      <c r="K245" s="14" t="n">
        <v>0.11</v>
      </c>
      <c r="L245" s="14" t="n">
        <v>3.78</v>
      </c>
      <c r="M245" s="14" t="n">
        <v>7.93</v>
      </c>
      <c r="N245" s="14" t="n">
        <v>7.13</v>
      </c>
      <c r="O245" s="14" t="n">
        <v>2.52</v>
      </c>
      <c r="P245" s="14" t="n">
        <v>0.19</v>
      </c>
      <c r="Q245" s="14" t="n">
        <v>0.65</v>
      </c>
      <c r="R245" s="14" t="n">
        <v>0</v>
      </c>
      <c r="S245" s="14" t="n">
        <v>1.49</v>
      </c>
      <c r="T245" s="14" t="n">
        <v>0.76</v>
      </c>
      <c r="U245" s="14" t="n">
        <v>2.36</v>
      </c>
      <c r="V245" s="14" t="n">
        <v>5.61</v>
      </c>
      <c r="W245" s="14" t="n">
        <v>1.11</v>
      </c>
      <c r="X245" s="14" t="n">
        <v>0.31</v>
      </c>
      <c r="Y245" s="14" t="n">
        <v>0.84</v>
      </c>
      <c r="Z245" s="14" t="n">
        <v>0.84</v>
      </c>
      <c r="AA245" s="14" t="n">
        <v>0</v>
      </c>
    </row>
    <row r="246">
      <c r="A246" t="inlineStr">
        <is>
          <t>120903</t>
        </is>
      </c>
      <c r="B246" t="inlineStr">
        <is>
          <t>JUNIN</t>
        </is>
      </c>
      <c r="C246" t="inlineStr">
        <is>
          <t>CHUPACA</t>
        </is>
      </c>
      <c r="D246" t="inlineStr">
        <is>
          <t>CHONGOS BAJO</t>
        </is>
      </c>
      <c r="E246" t="n">
        <v>2050</v>
      </c>
      <c r="F246" s="14" t="n">
        <v>0</v>
      </c>
      <c r="G246" s="14" t="n">
        <v>56.39</v>
      </c>
      <c r="H246" s="14" t="n">
        <v>0.93</v>
      </c>
      <c r="I246" s="14" t="n">
        <v>2.73</v>
      </c>
      <c r="J246" s="14" t="n">
        <v>0.1</v>
      </c>
      <c r="K246" s="14" t="n">
        <v>0</v>
      </c>
      <c r="L246" s="14" t="n">
        <v>4.73</v>
      </c>
      <c r="M246" s="14" t="n">
        <v>12.15</v>
      </c>
      <c r="N246" s="14" t="n">
        <v>7.17</v>
      </c>
      <c r="O246" s="14" t="n">
        <v>3.27</v>
      </c>
      <c r="P246" s="14" t="n">
        <v>0.2</v>
      </c>
      <c r="Q246" s="14" t="n">
        <v>0.49</v>
      </c>
      <c r="R246" s="14" t="n">
        <v>0.15</v>
      </c>
      <c r="S246" s="14" t="n">
        <v>1.07</v>
      </c>
      <c r="T246" s="14" t="n">
        <v>0.63</v>
      </c>
      <c r="U246" s="14" t="n">
        <v>2.83</v>
      </c>
      <c r="V246" s="14" t="n">
        <v>3.17</v>
      </c>
      <c r="W246" s="14" t="n">
        <v>2.39</v>
      </c>
      <c r="X246" s="14" t="n">
        <v>0.44</v>
      </c>
      <c r="Y246" s="14" t="n">
        <v>0.93</v>
      </c>
      <c r="Z246" s="14" t="n">
        <v>0.24</v>
      </c>
      <c r="AA246" s="14" t="n">
        <v>0</v>
      </c>
    </row>
    <row r="247">
      <c r="A247" t="inlineStr">
        <is>
          <t>120904</t>
        </is>
      </c>
      <c r="B247" t="inlineStr">
        <is>
          <t>JUNIN</t>
        </is>
      </c>
      <c r="C247" t="inlineStr">
        <is>
          <t>CHUPACA</t>
        </is>
      </c>
      <c r="D247" t="inlineStr">
        <is>
          <t>HUACHAC</t>
        </is>
      </c>
      <c r="E247" t="n">
        <v>1181</v>
      </c>
      <c r="F247" s="14" t="n">
        <v>0</v>
      </c>
      <c r="G247" s="14" t="n">
        <v>54.78</v>
      </c>
      <c r="H247" s="14" t="n">
        <v>0.76</v>
      </c>
      <c r="I247" s="14" t="n">
        <v>3.56</v>
      </c>
      <c r="J247" s="14" t="n">
        <v>0.25</v>
      </c>
      <c r="K247" s="14" t="n">
        <v>0.08</v>
      </c>
      <c r="L247" s="14" t="n">
        <v>5.67</v>
      </c>
      <c r="M247" s="14" t="n">
        <v>8.890000000000001</v>
      </c>
      <c r="N247" s="14" t="n">
        <v>6.77</v>
      </c>
      <c r="O247" s="14" t="n">
        <v>2.46</v>
      </c>
      <c r="P247" s="14" t="n">
        <v>0.59</v>
      </c>
      <c r="Q247" s="14" t="n">
        <v>0.25</v>
      </c>
      <c r="R247" s="14" t="n">
        <v>0</v>
      </c>
      <c r="S247" s="14" t="n">
        <v>2.46</v>
      </c>
      <c r="T247" s="14" t="n">
        <v>1.69</v>
      </c>
      <c r="U247" s="14" t="n">
        <v>3.47</v>
      </c>
      <c r="V247" s="14" t="n">
        <v>4.91</v>
      </c>
      <c r="W247" s="14" t="n">
        <v>1.1</v>
      </c>
      <c r="X247" s="14" t="n">
        <v>0.51</v>
      </c>
      <c r="Y247" s="14" t="n">
        <v>1.35</v>
      </c>
      <c r="Z247" s="14" t="n">
        <v>0.42</v>
      </c>
      <c r="AA247" s="14" t="n">
        <v>0</v>
      </c>
    </row>
    <row r="248">
      <c r="A248" t="inlineStr">
        <is>
          <t>120905</t>
        </is>
      </c>
      <c r="B248" t="inlineStr">
        <is>
          <t>JUNIN</t>
        </is>
      </c>
      <c r="C248" t="inlineStr">
        <is>
          <t>CHUPACA</t>
        </is>
      </c>
      <c r="D248" t="inlineStr">
        <is>
          <t>HUAMANCACA CHICO</t>
        </is>
      </c>
      <c r="E248" t="n">
        <v>4701</v>
      </c>
      <c r="F248" s="14" t="n">
        <v>0</v>
      </c>
      <c r="G248" s="14" t="n">
        <v>17.87</v>
      </c>
      <c r="H248" s="14" t="n">
        <v>0.83</v>
      </c>
      <c r="I248" s="14" t="n">
        <v>41.18</v>
      </c>
      <c r="J248" s="14" t="n">
        <v>0.11</v>
      </c>
      <c r="K248" s="14" t="n">
        <v>0.23</v>
      </c>
      <c r="L248" s="14" t="n">
        <v>7.15</v>
      </c>
      <c r="M248" s="14" t="n">
        <v>9.42</v>
      </c>
      <c r="N248" s="14" t="n">
        <v>5.36</v>
      </c>
      <c r="O248" s="14" t="n">
        <v>5.59</v>
      </c>
      <c r="P248" s="14" t="n">
        <v>0.3</v>
      </c>
      <c r="Q248" s="14" t="n">
        <v>0.38</v>
      </c>
      <c r="R248" s="14" t="n">
        <v>0.11</v>
      </c>
      <c r="S248" s="14" t="n">
        <v>1.43</v>
      </c>
      <c r="T248" s="14" t="n">
        <v>0.7</v>
      </c>
      <c r="U248" s="14" t="n">
        <v>2.34</v>
      </c>
      <c r="V248" s="14" t="n">
        <v>2.68</v>
      </c>
      <c r="W248" s="14" t="n">
        <v>1.08</v>
      </c>
      <c r="X248" s="14" t="n">
        <v>0.4</v>
      </c>
      <c r="Y248" s="14" t="n">
        <v>2.49</v>
      </c>
      <c r="Z248" s="14" t="n">
        <v>0.34</v>
      </c>
      <c r="AA248" s="14" t="n">
        <v>0</v>
      </c>
    </row>
    <row r="249">
      <c r="A249" t="inlineStr">
        <is>
          <t>120906</t>
        </is>
      </c>
      <c r="B249" t="inlineStr">
        <is>
          <t>JUNIN</t>
        </is>
      </c>
      <c r="C249" t="inlineStr">
        <is>
          <t>CHUPACA</t>
        </is>
      </c>
      <c r="D249" t="inlineStr">
        <is>
          <t>SAN JUAN DE YSCOS</t>
        </is>
      </c>
      <c r="E249" t="n">
        <v>1016</v>
      </c>
      <c r="F249" s="14" t="n">
        <v>0</v>
      </c>
      <c r="G249" s="14" t="n">
        <v>70.47</v>
      </c>
      <c r="H249" s="14" t="n">
        <v>1.28</v>
      </c>
      <c r="I249" s="14" t="n">
        <v>1.67</v>
      </c>
      <c r="J249" s="14" t="n">
        <v>0</v>
      </c>
      <c r="K249" s="14" t="n">
        <v>0</v>
      </c>
      <c r="L249" s="14" t="n">
        <v>2.46</v>
      </c>
      <c r="M249" s="14" t="n">
        <v>6.5</v>
      </c>
      <c r="N249" s="14" t="n">
        <v>5.22</v>
      </c>
      <c r="O249" s="14" t="n">
        <v>2.26</v>
      </c>
      <c r="P249" s="14" t="n">
        <v>0.3</v>
      </c>
      <c r="Q249" s="14" t="n">
        <v>0.39</v>
      </c>
      <c r="R249" s="14" t="n">
        <v>0</v>
      </c>
      <c r="S249" s="14" t="n">
        <v>0.98</v>
      </c>
      <c r="T249" s="14" t="n">
        <v>0.6899999999999999</v>
      </c>
      <c r="U249" s="14" t="n">
        <v>1.87</v>
      </c>
      <c r="V249" s="14" t="n">
        <v>3.94</v>
      </c>
      <c r="W249" s="14" t="n">
        <v>1.08</v>
      </c>
      <c r="X249" s="14" t="n">
        <v>0.39</v>
      </c>
      <c r="Y249" s="14" t="n">
        <v>0.39</v>
      </c>
      <c r="Z249" s="14" t="n">
        <v>0.1</v>
      </c>
      <c r="AA249" s="14" t="n">
        <v>0</v>
      </c>
    </row>
    <row r="250">
      <c r="A250" t="inlineStr">
        <is>
          <t>120907</t>
        </is>
      </c>
      <c r="B250" t="inlineStr">
        <is>
          <t>JUNIN</t>
        </is>
      </c>
      <c r="C250" t="inlineStr">
        <is>
          <t>CHUPACA</t>
        </is>
      </c>
      <c r="D250" t="inlineStr">
        <is>
          <t>SAN JUAN DE JARPA</t>
        </is>
      </c>
      <c r="E250" t="n">
        <v>1122</v>
      </c>
      <c r="F250" s="14" t="n">
        <v>0</v>
      </c>
      <c r="G250" s="14" t="n">
        <v>86.90000000000001</v>
      </c>
      <c r="H250" s="14" t="n">
        <v>1.96</v>
      </c>
      <c r="I250" s="14" t="n">
        <v>0.8</v>
      </c>
      <c r="J250" s="14" t="n">
        <v>0</v>
      </c>
      <c r="K250" s="14" t="n">
        <v>0.27</v>
      </c>
      <c r="L250" s="14" t="n">
        <v>1.34</v>
      </c>
      <c r="M250" s="14" t="n">
        <v>2.5</v>
      </c>
      <c r="N250" s="14" t="n">
        <v>1.6</v>
      </c>
      <c r="O250" s="14" t="n">
        <v>1.25</v>
      </c>
      <c r="P250" s="14" t="n">
        <v>0</v>
      </c>
      <c r="Q250" s="14" t="n">
        <v>0</v>
      </c>
      <c r="R250" s="14" t="n">
        <v>0</v>
      </c>
      <c r="S250" s="14" t="n">
        <v>0</v>
      </c>
      <c r="T250" s="14" t="n">
        <v>0.09</v>
      </c>
      <c r="U250" s="14" t="n">
        <v>0.8</v>
      </c>
      <c r="V250" s="14" t="n">
        <v>1.6</v>
      </c>
      <c r="W250" s="14" t="n">
        <v>0.09</v>
      </c>
      <c r="X250" s="14" t="n">
        <v>0.18</v>
      </c>
      <c r="Y250" s="14" t="n">
        <v>0.45</v>
      </c>
      <c r="Z250" s="14" t="n">
        <v>0.18</v>
      </c>
      <c r="AA250" s="14" t="n">
        <v>0</v>
      </c>
    </row>
    <row r="251">
      <c r="A251" t="inlineStr">
        <is>
          <t>120908</t>
        </is>
      </c>
      <c r="B251" t="inlineStr">
        <is>
          <t>JUNIN</t>
        </is>
      </c>
      <c r="C251" t="inlineStr">
        <is>
          <t>CHUPACA</t>
        </is>
      </c>
      <c r="D251" t="inlineStr">
        <is>
          <t>TRES DE DICIEMBRE</t>
        </is>
      </c>
      <c r="E251" t="n">
        <v>1301</v>
      </c>
      <c r="F251" s="14" t="n">
        <v>0</v>
      </c>
      <c r="G251" s="14" t="n">
        <v>53.73</v>
      </c>
      <c r="H251" s="14" t="n">
        <v>0.85</v>
      </c>
      <c r="I251" s="14" t="n">
        <v>3.23</v>
      </c>
      <c r="J251" s="14" t="n">
        <v>0</v>
      </c>
      <c r="K251" s="14" t="n">
        <v>0.15</v>
      </c>
      <c r="L251" s="14" t="n">
        <v>6.61</v>
      </c>
      <c r="M251" s="14" t="n">
        <v>9.529999999999999</v>
      </c>
      <c r="N251" s="14" t="n">
        <v>7.53</v>
      </c>
      <c r="O251" s="14" t="n">
        <v>5.3</v>
      </c>
      <c r="P251" s="14" t="n">
        <v>0.31</v>
      </c>
      <c r="Q251" s="14" t="n">
        <v>0.61</v>
      </c>
      <c r="R251" s="14" t="n">
        <v>0</v>
      </c>
      <c r="S251" s="14" t="n">
        <v>0.77</v>
      </c>
      <c r="T251" s="14" t="n">
        <v>0.61</v>
      </c>
      <c r="U251" s="14" t="n">
        <v>2.61</v>
      </c>
      <c r="V251" s="14" t="n">
        <v>4.46</v>
      </c>
      <c r="W251" s="14" t="n">
        <v>1.38</v>
      </c>
      <c r="X251" s="14" t="n">
        <v>0.38</v>
      </c>
      <c r="Y251" s="14" t="n">
        <v>0.85</v>
      </c>
      <c r="Z251" s="14" t="n">
        <v>1.08</v>
      </c>
      <c r="AA251" s="14" t="n">
        <v>0</v>
      </c>
    </row>
    <row r="252">
      <c r="A252" t="inlineStr">
        <is>
          <t>120909</t>
        </is>
      </c>
      <c r="B252" t="inlineStr">
        <is>
          <t>JUNIN</t>
        </is>
      </c>
      <c r="C252" t="inlineStr">
        <is>
          <t>CHUPACA</t>
        </is>
      </c>
      <c r="D252" t="inlineStr">
        <is>
          <t>YANACANCHA</t>
        </is>
      </c>
      <c r="E252" t="n">
        <v>1049</v>
      </c>
      <c r="F252" s="14" t="n">
        <v>0</v>
      </c>
      <c r="G252" s="14" t="n">
        <v>80.55</v>
      </c>
      <c r="H252" s="14" t="n">
        <v>2.29</v>
      </c>
      <c r="I252" s="14" t="n">
        <v>3.05</v>
      </c>
      <c r="J252" s="14" t="n">
        <v>0</v>
      </c>
      <c r="K252" s="14" t="n">
        <v>0.1</v>
      </c>
      <c r="L252" s="14" t="n">
        <v>4.96</v>
      </c>
      <c r="M252" s="14" t="n">
        <v>2.86</v>
      </c>
      <c r="N252" s="14" t="n">
        <v>2.38</v>
      </c>
      <c r="O252" s="14" t="n">
        <v>0.57</v>
      </c>
      <c r="P252" s="14" t="n">
        <v>0</v>
      </c>
      <c r="Q252" s="14" t="n">
        <v>0</v>
      </c>
      <c r="R252" s="14" t="n">
        <v>0</v>
      </c>
      <c r="S252" s="14" t="n">
        <v>0.48</v>
      </c>
      <c r="T252" s="14" t="n">
        <v>0.57</v>
      </c>
      <c r="U252" s="14" t="n">
        <v>0.67</v>
      </c>
      <c r="V252" s="14" t="n">
        <v>0.95</v>
      </c>
      <c r="W252" s="14" t="n">
        <v>0.19</v>
      </c>
      <c r="X252" s="14" t="n">
        <v>0.29</v>
      </c>
      <c r="Y252" s="14" t="n">
        <v>0</v>
      </c>
      <c r="Z252" s="14" t="n">
        <v>0.1</v>
      </c>
      <c r="AA252" s="14" t="n">
        <v>0</v>
      </c>
    </row>
    <row r="253">
      <c r="A253" t="inlineStr">
        <is>
          <t>130101</t>
        </is>
      </c>
      <c r="B253" t="inlineStr">
        <is>
          <t>LA LIBERTAD</t>
        </is>
      </c>
      <c r="C253" t="inlineStr">
        <is>
          <t>TRUJILLO</t>
        </is>
      </c>
      <c r="D253" t="inlineStr">
        <is>
          <t>TRUJILLO</t>
        </is>
      </c>
      <c r="E253" t="n">
        <v>144246</v>
      </c>
      <c r="F253" s="14" t="n">
        <v>0.012</v>
      </c>
      <c r="G253" s="14" t="n">
        <v>2.43</v>
      </c>
      <c r="H253" s="14" t="n">
        <v>0.73</v>
      </c>
      <c r="I253" s="14" t="n">
        <v>7.37</v>
      </c>
      <c r="J253" s="14" t="n">
        <v>0.14</v>
      </c>
      <c r="K253" s="14" t="n">
        <v>0.3</v>
      </c>
      <c r="L253" s="14" t="n">
        <v>5.47</v>
      </c>
      <c r="M253" s="14" t="n">
        <v>23.85</v>
      </c>
      <c r="N253" s="14" t="n">
        <v>7.93</v>
      </c>
      <c r="O253" s="14" t="n">
        <v>7.56</v>
      </c>
      <c r="P253" s="14" t="n">
        <v>1.65</v>
      </c>
      <c r="Q253" s="14" t="n">
        <v>2.03</v>
      </c>
      <c r="R253" s="14" t="n">
        <v>0.34</v>
      </c>
      <c r="S253" s="14" t="n">
        <v>10.22</v>
      </c>
      <c r="T253" s="14" t="n">
        <v>3.66</v>
      </c>
      <c r="U253" s="14" t="n">
        <v>4.41</v>
      </c>
      <c r="V253" s="14" t="n">
        <v>10.12</v>
      </c>
      <c r="W253" s="14" t="n">
        <v>5.7</v>
      </c>
      <c r="X253" s="14" t="n">
        <v>1.48</v>
      </c>
      <c r="Y253" s="14" t="n">
        <v>3.16</v>
      </c>
      <c r="Z253" s="14" t="n">
        <v>1.46</v>
      </c>
      <c r="AA253" s="14" t="n">
        <v>0</v>
      </c>
    </row>
    <row r="254">
      <c r="A254" t="inlineStr">
        <is>
          <t>130102</t>
        </is>
      </c>
      <c r="B254" t="inlineStr">
        <is>
          <t>LA LIBERTAD</t>
        </is>
      </c>
      <c r="C254" t="inlineStr">
        <is>
          <t>TRUJILLO</t>
        </is>
      </c>
      <c r="D254" t="inlineStr">
        <is>
          <t>EL PORVENIR</t>
        </is>
      </c>
      <c r="E254" t="n">
        <v>78834</v>
      </c>
      <c r="F254" s="14" t="n">
        <v>0</v>
      </c>
      <c r="G254" s="14" t="n">
        <v>3.83</v>
      </c>
      <c r="H254" s="14" t="n">
        <v>0.47</v>
      </c>
      <c r="I254" s="14" t="n">
        <v>24.56</v>
      </c>
      <c r="J254" s="14" t="n">
        <v>0.05</v>
      </c>
      <c r="K254" s="14" t="n">
        <v>0.39</v>
      </c>
      <c r="L254" s="14" t="n">
        <v>10.01</v>
      </c>
      <c r="M254" s="14" t="n">
        <v>22.57</v>
      </c>
      <c r="N254" s="14" t="n">
        <v>12.35</v>
      </c>
      <c r="O254" s="14" t="n">
        <v>7.29</v>
      </c>
      <c r="P254" s="14" t="n">
        <v>0.41</v>
      </c>
      <c r="Q254" s="14" t="n">
        <v>0.41</v>
      </c>
      <c r="R254" s="14" t="n">
        <v>0.02</v>
      </c>
      <c r="S254" s="14" t="n">
        <v>2.68</v>
      </c>
      <c r="T254" s="14" t="n">
        <v>2.61</v>
      </c>
      <c r="U254" s="14" t="n">
        <v>1.83</v>
      </c>
      <c r="V254" s="14" t="n">
        <v>3.28</v>
      </c>
      <c r="W254" s="14" t="n">
        <v>1.4</v>
      </c>
      <c r="X254" s="14" t="n">
        <v>0.61</v>
      </c>
      <c r="Y254" s="14" t="n">
        <v>3.07</v>
      </c>
      <c r="Z254" s="14" t="n">
        <v>2.18</v>
      </c>
      <c r="AA254" s="14" t="n">
        <v>0</v>
      </c>
    </row>
    <row r="255">
      <c r="A255" t="inlineStr">
        <is>
          <t>130103</t>
        </is>
      </c>
      <c r="B255" t="inlineStr">
        <is>
          <t>LA LIBERTAD</t>
        </is>
      </c>
      <c r="C255" t="inlineStr">
        <is>
          <t>TRUJILLO</t>
        </is>
      </c>
      <c r="D255" t="inlineStr">
        <is>
          <t>FLORENCIA DE MORA</t>
        </is>
      </c>
      <c r="E255" t="n">
        <v>16099</v>
      </c>
      <c r="F255" s="14" t="n">
        <v>0</v>
      </c>
      <c r="G255" s="14" t="n">
        <v>2.05</v>
      </c>
      <c r="H255" s="14" t="n">
        <v>0.37</v>
      </c>
      <c r="I255" s="14" t="n">
        <v>16.56</v>
      </c>
      <c r="J255" s="14" t="n">
        <v>0.11</v>
      </c>
      <c r="K255" s="14" t="n">
        <v>0.28</v>
      </c>
      <c r="L255" s="14" t="n">
        <v>8.83</v>
      </c>
      <c r="M255" s="14" t="n">
        <v>27.55</v>
      </c>
      <c r="N255" s="14" t="n">
        <v>11.34</v>
      </c>
      <c r="O255" s="14" t="n">
        <v>8.27</v>
      </c>
      <c r="P255" s="14" t="n">
        <v>0.7</v>
      </c>
      <c r="Q255" s="14" t="n">
        <v>0.63</v>
      </c>
      <c r="R255" s="14" t="n">
        <v>0.04</v>
      </c>
      <c r="S255" s="14" t="n">
        <v>3.6</v>
      </c>
      <c r="T255" s="14" t="n">
        <v>3.52</v>
      </c>
      <c r="U255" s="14" t="n">
        <v>2.24</v>
      </c>
      <c r="V255" s="14" t="n">
        <v>5.76</v>
      </c>
      <c r="W255" s="14" t="n">
        <v>2.06</v>
      </c>
      <c r="X255" s="14" t="n">
        <v>1.02</v>
      </c>
      <c r="Y255" s="14" t="n">
        <v>3.09</v>
      </c>
      <c r="Z255" s="14" t="n">
        <v>1.99</v>
      </c>
      <c r="AA255" s="14" t="n">
        <v>0</v>
      </c>
    </row>
    <row r="256">
      <c r="A256" t="inlineStr">
        <is>
          <t>130104</t>
        </is>
      </c>
      <c r="B256" t="inlineStr">
        <is>
          <t>LA LIBERTAD</t>
        </is>
      </c>
      <c r="C256" t="inlineStr">
        <is>
          <t>TRUJILLO</t>
        </is>
      </c>
      <c r="D256" t="inlineStr">
        <is>
          <t>HUANCHACO</t>
        </is>
      </c>
      <c r="E256" t="n">
        <v>29058</v>
      </c>
      <c r="F256" s="14" t="n">
        <v>0</v>
      </c>
      <c r="G256" s="14" t="n">
        <v>6.77</v>
      </c>
      <c r="H256" s="14" t="n">
        <v>0.57</v>
      </c>
      <c r="I256" s="14" t="n">
        <v>15.12</v>
      </c>
      <c r="J256" s="14" t="n">
        <v>0.11</v>
      </c>
      <c r="K256" s="14" t="n">
        <v>1.73</v>
      </c>
      <c r="L256" s="14" t="n">
        <v>11.08</v>
      </c>
      <c r="M256" s="14" t="n">
        <v>18.96</v>
      </c>
      <c r="N256" s="14" t="n">
        <v>11.54</v>
      </c>
      <c r="O256" s="14" t="n">
        <v>9.529999999999999</v>
      </c>
      <c r="P256" s="14" t="n">
        <v>0.68</v>
      </c>
      <c r="Q256" s="14" t="n">
        <v>0.73</v>
      </c>
      <c r="R256" s="14" t="n">
        <v>0.17</v>
      </c>
      <c r="S256" s="14" t="n">
        <v>4.29</v>
      </c>
      <c r="T256" s="14" t="n">
        <v>3.7</v>
      </c>
      <c r="U256" s="14" t="n">
        <v>3.19</v>
      </c>
      <c r="V256" s="14" t="n">
        <v>4.09</v>
      </c>
      <c r="W256" s="14" t="n">
        <v>1.88</v>
      </c>
      <c r="X256" s="14" t="n">
        <v>0.86</v>
      </c>
      <c r="Y256" s="14" t="n">
        <v>3.09</v>
      </c>
      <c r="Z256" s="14" t="n">
        <v>1.91</v>
      </c>
      <c r="AA256" s="14" t="n">
        <v>0</v>
      </c>
    </row>
    <row r="257">
      <c r="A257" t="inlineStr">
        <is>
          <t>130105</t>
        </is>
      </c>
      <c r="B257" t="inlineStr">
        <is>
          <t>LA LIBERTAD</t>
        </is>
      </c>
      <c r="C257" t="inlineStr">
        <is>
          <t>TRUJILLO</t>
        </is>
      </c>
      <c r="D257" t="inlineStr">
        <is>
          <t>LA ESPERANZA</t>
        </is>
      </c>
      <c r="E257" t="n">
        <v>77568</v>
      </c>
      <c r="F257" s="14" t="n">
        <v>0</v>
      </c>
      <c r="G257" s="14" t="n">
        <v>3.89</v>
      </c>
      <c r="H257" s="14" t="n">
        <v>0.6</v>
      </c>
      <c r="I257" s="14" t="n">
        <v>10.26</v>
      </c>
      <c r="J257" s="14" t="n">
        <v>0.1</v>
      </c>
      <c r="K257" s="14" t="n">
        <v>0.53</v>
      </c>
      <c r="L257" s="14" t="n">
        <v>10.89</v>
      </c>
      <c r="M257" s="14" t="n">
        <v>23.47</v>
      </c>
      <c r="N257" s="14" t="n">
        <v>13.78</v>
      </c>
      <c r="O257" s="14" t="n">
        <v>7.8</v>
      </c>
      <c r="P257" s="14" t="n">
        <v>0.8</v>
      </c>
      <c r="Q257" s="14" t="n">
        <v>0.79</v>
      </c>
      <c r="R257" s="14" t="n">
        <v>0.07000000000000001</v>
      </c>
      <c r="S257" s="14" t="n">
        <v>4.3</v>
      </c>
      <c r="T257" s="14" t="n">
        <v>4.3</v>
      </c>
      <c r="U257" s="14" t="n">
        <v>3.34</v>
      </c>
      <c r="V257" s="14" t="n">
        <v>6.14</v>
      </c>
      <c r="W257" s="14" t="n">
        <v>2.62</v>
      </c>
      <c r="X257" s="14" t="n">
        <v>0.98</v>
      </c>
      <c r="Y257" s="14" t="n">
        <v>3.1</v>
      </c>
      <c r="Z257" s="14" t="n">
        <v>2.24</v>
      </c>
      <c r="AA257" s="14" t="n">
        <v>0</v>
      </c>
    </row>
    <row r="258">
      <c r="A258" t="inlineStr">
        <is>
          <t>130106</t>
        </is>
      </c>
      <c r="B258" t="inlineStr">
        <is>
          <t>LA LIBERTAD</t>
        </is>
      </c>
      <c r="C258" t="inlineStr">
        <is>
          <t>TRUJILLO</t>
        </is>
      </c>
      <c r="D258" t="inlineStr">
        <is>
          <t>LAREDO</t>
        </is>
      </c>
      <c r="E258" t="n">
        <v>15004</v>
      </c>
      <c r="F258" s="14" t="n">
        <v>0</v>
      </c>
      <c r="G258" s="14" t="n">
        <v>20.81</v>
      </c>
      <c r="H258" s="14" t="n">
        <v>0.55</v>
      </c>
      <c r="I258" s="14" t="n">
        <v>9.69</v>
      </c>
      <c r="J258" s="14" t="n">
        <v>0.1</v>
      </c>
      <c r="K258" s="14" t="n">
        <v>0.32</v>
      </c>
      <c r="L258" s="14" t="n">
        <v>8.119999999999999</v>
      </c>
      <c r="M258" s="14" t="n">
        <v>17</v>
      </c>
      <c r="N258" s="14" t="n">
        <v>12.68</v>
      </c>
      <c r="O258" s="14" t="n">
        <v>7.41</v>
      </c>
      <c r="P258" s="14" t="n">
        <v>0.45</v>
      </c>
      <c r="Q258" s="14" t="n">
        <v>0.58</v>
      </c>
      <c r="R258" s="14" t="n">
        <v>0.06</v>
      </c>
      <c r="S258" s="14" t="n">
        <v>2.95</v>
      </c>
      <c r="T258" s="14" t="n">
        <v>3.35</v>
      </c>
      <c r="U258" s="14" t="n">
        <v>2.88</v>
      </c>
      <c r="V258" s="14" t="n">
        <v>5.41</v>
      </c>
      <c r="W258" s="14" t="n">
        <v>2.33</v>
      </c>
      <c r="X258" s="14" t="n">
        <v>0.86</v>
      </c>
      <c r="Y258" s="14" t="n">
        <v>2.35</v>
      </c>
      <c r="Z258" s="14" t="n">
        <v>2.1</v>
      </c>
      <c r="AA258" s="14" t="n">
        <v>0</v>
      </c>
    </row>
    <row r="259">
      <c r="A259" t="inlineStr">
        <is>
          <t>130107</t>
        </is>
      </c>
      <c r="B259" t="inlineStr">
        <is>
          <t>LA LIBERTAD</t>
        </is>
      </c>
      <c r="C259" t="inlineStr">
        <is>
          <t>TRUJILLO</t>
        </is>
      </c>
      <c r="D259" t="inlineStr">
        <is>
          <t>MOCHE</t>
        </is>
      </c>
      <c r="E259" t="n">
        <v>15762</v>
      </c>
      <c r="F259" s="14" t="n">
        <v>0</v>
      </c>
      <c r="G259" s="14" t="n">
        <v>12.13</v>
      </c>
      <c r="H259" s="14" t="n">
        <v>0.55</v>
      </c>
      <c r="I259" s="14" t="n">
        <v>9.609999999999999</v>
      </c>
      <c r="J259" s="14" t="n">
        <v>0.16</v>
      </c>
      <c r="K259" s="14" t="n">
        <v>0.21</v>
      </c>
      <c r="L259" s="14" t="n">
        <v>10.54</v>
      </c>
      <c r="M259" s="14" t="n">
        <v>18.38</v>
      </c>
      <c r="N259" s="14" t="n">
        <v>11.72</v>
      </c>
      <c r="O259" s="14" t="n">
        <v>7.69</v>
      </c>
      <c r="P259" s="14" t="n">
        <v>0.88</v>
      </c>
      <c r="Q259" s="14" t="n">
        <v>0.78</v>
      </c>
      <c r="R259" s="14" t="n">
        <v>0.11</v>
      </c>
      <c r="S259" s="14" t="n">
        <v>4.64</v>
      </c>
      <c r="T259" s="14" t="n">
        <v>4.31</v>
      </c>
      <c r="U259" s="14" t="n">
        <v>3.86</v>
      </c>
      <c r="V259" s="14" t="n">
        <v>5.79</v>
      </c>
      <c r="W259" s="14" t="n">
        <v>2.94</v>
      </c>
      <c r="X259" s="14" t="n">
        <v>1.1</v>
      </c>
      <c r="Y259" s="14" t="n">
        <v>2.75</v>
      </c>
      <c r="Z259" s="14" t="n">
        <v>1.85</v>
      </c>
      <c r="AA259" s="14" t="n">
        <v>0</v>
      </c>
    </row>
    <row r="260">
      <c r="A260" t="inlineStr">
        <is>
          <t>130108</t>
        </is>
      </c>
      <c r="B260" t="inlineStr">
        <is>
          <t>LA LIBERTAD</t>
        </is>
      </c>
      <c r="C260" t="inlineStr">
        <is>
          <t>TRUJILLO</t>
        </is>
      </c>
      <c r="D260" t="inlineStr">
        <is>
          <t>POROTO</t>
        </is>
      </c>
      <c r="E260" t="n">
        <v>1321</v>
      </c>
      <c r="F260" s="14" t="n">
        <v>0</v>
      </c>
      <c r="G260" s="14" t="n">
        <v>59.35</v>
      </c>
      <c r="H260" s="14" t="n">
        <v>0.3</v>
      </c>
      <c r="I260" s="14" t="n">
        <v>2.12</v>
      </c>
      <c r="J260" s="14" t="n">
        <v>0</v>
      </c>
      <c r="K260" s="14" t="n">
        <v>0.23</v>
      </c>
      <c r="L260" s="14" t="n">
        <v>4.62</v>
      </c>
      <c r="M260" s="14" t="n">
        <v>10.07</v>
      </c>
      <c r="N260" s="14" t="n">
        <v>8.25</v>
      </c>
      <c r="O260" s="14" t="n">
        <v>5.9</v>
      </c>
      <c r="P260" s="14" t="n">
        <v>0.08</v>
      </c>
      <c r="Q260" s="14" t="n">
        <v>0.15</v>
      </c>
      <c r="R260" s="14" t="n">
        <v>0.08</v>
      </c>
      <c r="S260" s="14" t="n">
        <v>1.21</v>
      </c>
      <c r="T260" s="14" t="n">
        <v>0.98</v>
      </c>
      <c r="U260" s="14" t="n">
        <v>2.27</v>
      </c>
      <c r="V260" s="14" t="n">
        <v>2.65</v>
      </c>
      <c r="W260" s="14" t="n">
        <v>0.38</v>
      </c>
      <c r="X260" s="14" t="n">
        <v>0</v>
      </c>
      <c r="Y260" s="14" t="n">
        <v>0.61</v>
      </c>
      <c r="Z260" s="14" t="n">
        <v>0.76</v>
      </c>
      <c r="AA260" s="14" t="n">
        <v>0</v>
      </c>
    </row>
    <row r="261">
      <c r="A261" t="inlineStr">
        <is>
          <t>130109</t>
        </is>
      </c>
      <c r="B261" t="inlineStr">
        <is>
          <t>LA LIBERTAD</t>
        </is>
      </c>
      <c r="C261" t="inlineStr">
        <is>
          <t>TRUJILLO</t>
        </is>
      </c>
      <c r="D261" t="inlineStr">
        <is>
          <t>SALAVERRY</t>
        </is>
      </c>
      <c r="E261" t="n">
        <v>7507</v>
      </c>
      <c r="F261" s="14" t="n">
        <v>0</v>
      </c>
      <c r="G261" s="14" t="n">
        <v>17.05</v>
      </c>
      <c r="H261" s="14" t="n">
        <v>0.55</v>
      </c>
      <c r="I261" s="14" t="n">
        <v>9.42</v>
      </c>
      <c r="J261" s="14" t="n">
        <v>0.01</v>
      </c>
      <c r="K261" s="14" t="n">
        <v>0.13</v>
      </c>
      <c r="L261" s="14" t="n">
        <v>10.56</v>
      </c>
      <c r="M261" s="14" t="n">
        <v>16.69</v>
      </c>
      <c r="N261" s="14" t="n">
        <v>14.65</v>
      </c>
      <c r="O261" s="14" t="n">
        <v>7.79</v>
      </c>
      <c r="P261" s="14" t="n">
        <v>0.61</v>
      </c>
      <c r="Q261" s="14" t="n">
        <v>0.37</v>
      </c>
      <c r="R261" s="14" t="n">
        <v>0.11</v>
      </c>
      <c r="S261" s="14" t="n">
        <v>4.29</v>
      </c>
      <c r="T261" s="14" t="n">
        <v>4.57</v>
      </c>
      <c r="U261" s="14" t="n">
        <v>2.76</v>
      </c>
      <c r="V261" s="14" t="n">
        <v>3.18</v>
      </c>
      <c r="W261" s="14" t="n">
        <v>1.85</v>
      </c>
      <c r="X261" s="14" t="n">
        <v>0.63</v>
      </c>
      <c r="Y261" s="14" t="n">
        <v>3.42</v>
      </c>
      <c r="Z261" s="14" t="n">
        <v>1.35</v>
      </c>
      <c r="AA261" s="14" t="n">
        <v>0</v>
      </c>
    </row>
    <row r="262">
      <c r="A262" t="inlineStr">
        <is>
          <t>130110</t>
        </is>
      </c>
      <c r="B262" t="inlineStr">
        <is>
          <t>LA LIBERTAD</t>
        </is>
      </c>
      <c r="C262" t="inlineStr">
        <is>
          <t>TRUJILLO</t>
        </is>
      </c>
      <c r="D262" t="inlineStr">
        <is>
          <t>SIMBAL</t>
        </is>
      </c>
      <c r="E262" t="n">
        <v>1492</v>
      </c>
      <c r="F262" s="14" t="n">
        <v>0</v>
      </c>
      <c r="G262" s="14" t="n">
        <v>51.54</v>
      </c>
      <c r="H262" s="14" t="n">
        <v>2.75</v>
      </c>
      <c r="I262" s="14" t="n">
        <v>2.55</v>
      </c>
      <c r="J262" s="14" t="n">
        <v>0</v>
      </c>
      <c r="K262" s="14" t="n">
        <v>0</v>
      </c>
      <c r="L262" s="14" t="n">
        <v>7.98</v>
      </c>
      <c r="M262" s="14" t="n">
        <v>9.85</v>
      </c>
      <c r="N262" s="14" t="n">
        <v>9.050000000000001</v>
      </c>
      <c r="O262" s="14" t="n">
        <v>5.03</v>
      </c>
      <c r="P262" s="14" t="n">
        <v>0</v>
      </c>
      <c r="Q262" s="14" t="n">
        <v>0.2</v>
      </c>
      <c r="R262" s="14" t="n">
        <v>0</v>
      </c>
      <c r="S262" s="14" t="n">
        <v>1.07</v>
      </c>
      <c r="T262" s="14" t="n">
        <v>2.48</v>
      </c>
      <c r="U262" s="14" t="n">
        <v>1.47</v>
      </c>
      <c r="V262" s="14" t="n">
        <v>2.55</v>
      </c>
      <c r="W262" s="14" t="n">
        <v>1.27</v>
      </c>
      <c r="X262" s="14" t="n">
        <v>0.13</v>
      </c>
      <c r="Y262" s="14" t="n">
        <v>1.01</v>
      </c>
      <c r="Z262" s="14" t="n">
        <v>1.07</v>
      </c>
      <c r="AA262" s="14" t="n">
        <v>0</v>
      </c>
    </row>
    <row r="263">
      <c r="A263" t="inlineStr">
        <is>
          <t>130111</t>
        </is>
      </c>
      <c r="B263" t="inlineStr">
        <is>
          <t>LA LIBERTAD</t>
        </is>
      </c>
      <c r="C263" t="inlineStr">
        <is>
          <t>TRUJILLO</t>
        </is>
      </c>
      <c r="D263" t="inlineStr">
        <is>
          <t>VICTOR LARCO HERRERA</t>
        </is>
      </c>
      <c r="E263" t="n">
        <v>30786</v>
      </c>
      <c r="F263" s="14" t="n">
        <v>0.042</v>
      </c>
      <c r="G263" s="14" t="n">
        <v>2.57</v>
      </c>
      <c r="H263" s="14" t="n">
        <v>0.87</v>
      </c>
      <c r="I263" s="14" t="n">
        <v>6.63</v>
      </c>
      <c r="J263" s="14" t="n">
        <v>0.15</v>
      </c>
      <c r="K263" s="14" t="n">
        <v>0.31</v>
      </c>
      <c r="L263" s="14" t="n">
        <v>8.49</v>
      </c>
      <c r="M263" s="14" t="n">
        <v>21.03</v>
      </c>
      <c r="N263" s="14" t="n">
        <v>7.24</v>
      </c>
      <c r="O263" s="14" t="n">
        <v>8</v>
      </c>
      <c r="P263" s="14" t="n">
        <v>1.46</v>
      </c>
      <c r="Q263" s="14" t="n">
        <v>2.11</v>
      </c>
      <c r="R263" s="14" t="n">
        <v>0.67</v>
      </c>
      <c r="S263" s="14" t="n">
        <v>10.77</v>
      </c>
      <c r="T263" s="14" t="n">
        <v>4.44</v>
      </c>
      <c r="U263" s="14" t="n">
        <v>4.52</v>
      </c>
      <c r="V263" s="14" t="n">
        <v>8.300000000000001</v>
      </c>
      <c r="W263" s="14" t="n">
        <v>5.39</v>
      </c>
      <c r="X263" s="14" t="n">
        <v>1.54</v>
      </c>
      <c r="Y263" s="14" t="n">
        <v>2.93</v>
      </c>
      <c r="Z263" s="14" t="n">
        <v>2.57</v>
      </c>
      <c r="AA263" s="14" t="n">
        <v>0</v>
      </c>
    </row>
    <row r="264">
      <c r="A264" t="inlineStr">
        <is>
          <t>130112</t>
        </is>
      </c>
      <c r="B264" t="inlineStr">
        <is>
          <t>LA LIBERTAD</t>
        </is>
      </c>
      <c r="C264" t="inlineStr">
        <is>
          <t>TRUJILLO</t>
        </is>
      </c>
      <c r="D264" t="inlineStr">
        <is>
          <t>ALTO TRUJILLO</t>
        </is>
      </c>
      <c r="E264" t="n">
        <v>0</v>
      </c>
      <c r="F264" s="14" t="n">
        <v>0</v>
      </c>
      <c r="G264" s="14" t="n">
        <v>7.53</v>
      </c>
      <c r="H264" s="14" t="n">
        <v>0.61</v>
      </c>
      <c r="I264" s="14" t="n">
        <v>10.69</v>
      </c>
      <c r="J264" s="14" t="n">
        <v>0.11</v>
      </c>
      <c r="K264" s="14" t="n">
        <v>0.33</v>
      </c>
      <c r="L264" s="14" t="n">
        <v>9.83</v>
      </c>
      <c r="M264" s="14" t="n">
        <v>21.1</v>
      </c>
      <c r="N264" s="14" t="n">
        <v>12.84</v>
      </c>
      <c r="O264" s="14" t="n">
        <v>8.550000000000001</v>
      </c>
      <c r="P264" s="14" t="n">
        <v>0.76</v>
      </c>
      <c r="Q264" s="14" t="n">
        <v>0.7</v>
      </c>
      <c r="R264" s="14" t="n">
        <v>0.08</v>
      </c>
      <c r="S264" s="14" t="n">
        <v>4.77</v>
      </c>
      <c r="T264" s="14" t="n">
        <v>4.07</v>
      </c>
      <c r="U264" s="14" t="n">
        <v>3.2</v>
      </c>
      <c r="V264" s="14" t="n">
        <v>6.02</v>
      </c>
      <c r="W264" s="14" t="n">
        <v>2.29</v>
      </c>
      <c r="X264" s="14" t="n">
        <v>0.96</v>
      </c>
      <c r="Y264" s="14" t="n">
        <v>3.42</v>
      </c>
      <c r="Z264" s="14" t="n">
        <v>2.12</v>
      </c>
      <c r="AA264" s="14" t="n">
        <v>0</v>
      </c>
    </row>
    <row r="265">
      <c r="A265" t="inlineStr">
        <is>
          <t>130201</t>
        </is>
      </c>
      <c r="B265" t="inlineStr">
        <is>
          <t>LA LIBERTAD</t>
        </is>
      </c>
      <c r="C265" t="inlineStr">
        <is>
          <t>ASCOPE</t>
        </is>
      </c>
      <c r="D265" t="inlineStr">
        <is>
          <t>ASCOPE</t>
        </is>
      </c>
      <c r="E265" t="n">
        <v>2445</v>
      </c>
      <c r="F265" s="14" t="n">
        <v>0</v>
      </c>
      <c r="G265" s="14" t="n">
        <v>27.89</v>
      </c>
      <c r="H265" s="14" t="n">
        <v>0.16</v>
      </c>
      <c r="I265" s="14" t="n">
        <v>5.56</v>
      </c>
      <c r="J265" s="14" t="n">
        <v>0.04</v>
      </c>
      <c r="K265" s="14" t="n">
        <v>0.16</v>
      </c>
      <c r="L265" s="14" t="n">
        <v>6.58</v>
      </c>
      <c r="M265" s="14" t="n">
        <v>14.56</v>
      </c>
      <c r="N265" s="14" t="n">
        <v>8.26</v>
      </c>
      <c r="O265" s="14" t="n">
        <v>6.46</v>
      </c>
      <c r="P265" s="14" t="n">
        <v>0.41</v>
      </c>
      <c r="Q265" s="14" t="n">
        <v>0.53</v>
      </c>
      <c r="R265" s="14" t="n">
        <v>0</v>
      </c>
      <c r="S265" s="14" t="n">
        <v>3.48</v>
      </c>
      <c r="T265" s="14" t="n">
        <v>5.11</v>
      </c>
      <c r="U265" s="14" t="n">
        <v>5.44</v>
      </c>
      <c r="V265" s="14" t="n">
        <v>8.300000000000001</v>
      </c>
      <c r="W265" s="14" t="n">
        <v>2.58</v>
      </c>
      <c r="X265" s="14" t="n">
        <v>0.41</v>
      </c>
      <c r="Y265" s="14" t="n">
        <v>2.49</v>
      </c>
      <c r="Z265" s="14" t="n">
        <v>1.55</v>
      </c>
      <c r="AA265" s="14" t="n">
        <v>0</v>
      </c>
    </row>
    <row r="266">
      <c r="A266" t="inlineStr">
        <is>
          <t>130202</t>
        </is>
      </c>
      <c r="B266" t="inlineStr">
        <is>
          <t>LA LIBERTAD</t>
        </is>
      </c>
      <c r="C266" t="inlineStr">
        <is>
          <t>ASCOPE</t>
        </is>
      </c>
      <c r="D266" t="inlineStr">
        <is>
          <t>CHICAMA</t>
        </is>
      </c>
      <c r="E266" t="n">
        <v>5582</v>
      </c>
      <c r="F266" s="14" t="n">
        <v>0</v>
      </c>
      <c r="G266" s="14" t="n">
        <v>35.01</v>
      </c>
      <c r="H266" s="14" t="n">
        <v>0.47</v>
      </c>
      <c r="I266" s="14" t="n">
        <v>6.45</v>
      </c>
      <c r="J266" s="14" t="n">
        <v>0.16</v>
      </c>
      <c r="K266" s="14" t="n">
        <v>0.21</v>
      </c>
      <c r="L266" s="14" t="n">
        <v>7.24</v>
      </c>
      <c r="M266" s="14" t="n">
        <v>16.02</v>
      </c>
      <c r="N266" s="14" t="n">
        <v>7.4</v>
      </c>
      <c r="O266" s="14" t="n">
        <v>5.05</v>
      </c>
      <c r="P266" s="14" t="n">
        <v>0.66</v>
      </c>
      <c r="Q266" s="14" t="n">
        <v>0.57</v>
      </c>
      <c r="R266" s="14" t="n">
        <v>0.05</v>
      </c>
      <c r="S266" s="14" t="n">
        <v>2.72</v>
      </c>
      <c r="T266" s="14" t="n">
        <v>3.65</v>
      </c>
      <c r="U266" s="14" t="n">
        <v>4.41</v>
      </c>
      <c r="V266" s="14" t="n">
        <v>4.89</v>
      </c>
      <c r="W266" s="14" t="n">
        <v>1.42</v>
      </c>
      <c r="X266" s="14" t="n">
        <v>0.54</v>
      </c>
      <c r="Y266" s="14" t="n">
        <v>1.92</v>
      </c>
      <c r="Z266" s="14" t="n">
        <v>1.16</v>
      </c>
      <c r="AA266" s="14" t="n">
        <v>0</v>
      </c>
    </row>
    <row r="267">
      <c r="A267" t="inlineStr">
        <is>
          <t>130203</t>
        </is>
      </c>
      <c r="B267" t="inlineStr">
        <is>
          <t>LA LIBERTAD</t>
        </is>
      </c>
      <c r="C267" t="inlineStr">
        <is>
          <t>ASCOPE</t>
        </is>
      </c>
      <c r="D267" t="inlineStr">
        <is>
          <t>CHOCOPE</t>
        </is>
      </c>
      <c r="E267" t="n">
        <v>3540</v>
      </c>
      <c r="F267" s="14" t="n">
        <v>0</v>
      </c>
      <c r="G267" s="14" t="n">
        <v>25.42</v>
      </c>
      <c r="H267" s="14" t="n">
        <v>0.23</v>
      </c>
      <c r="I267" s="14" t="n">
        <v>7.71</v>
      </c>
      <c r="J267" s="14" t="n">
        <v>0.03</v>
      </c>
      <c r="K267" s="14" t="n">
        <v>0.2</v>
      </c>
      <c r="L267" s="14" t="n">
        <v>6.33</v>
      </c>
      <c r="M267" s="14" t="n">
        <v>17.15</v>
      </c>
      <c r="N267" s="14" t="n">
        <v>9.380000000000001</v>
      </c>
      <c r="O267" s="14" t="n">
        <v>6.95</v>
      </c>
      <c r="P267" s="14" t="n">
        <v>0.51</v>
      </c>
      <c r="Q267" s="14" t="n">
        <v>1.3</v>
      </c>
      <c r="R267" s="14" t="n">
        <v>0.11</v>
      </c>
      <c r="S267" s="14" t="n">
        <v>3.42</v>
      </c>
      <c r="T267" s="14" t="n">
        <v>4.1</v>
      </c>
      <c r="U267" s="14" t="n">
        <v>4.18</v>
      </c>
      <c r="V267" s="14" t="n">
        <v>5.37</v>
      </c>
      <c r="W267" s="14" t="n">
        <v>3.98</v>
      </c>
      <c r="X267" s="14" t="n">
        <v>0.42</v>
      </c>
      <c r="Y267" s="14" t="n">
        <v>2.34</v>
      </c>
      <c r="Z267" s="14" t="n">
        <v>0.88</v>
      </c>
      <c r="AA267" s="14" t="n">
        <v>0</v>
      </c>
    </row>
    <row r="268">
      <c r="A268" t="inlineStr">
        <is>
          <t>130204</t>
        </is>
      </c>
      <c r="B268" t="inlineStr">
        <is>
          <t>LA LIBERTAD</t>
        </is>
      </c>
      <c r="C268" t="inlineStr">
        <is>
          <t>ASCOPE</t>
        </is>
      </c>
      <c r="D268" t="inlineStr">
        <is>
          <t>MAGDALENA DE CAO</t>
        </is>
      </c>
      <c r="E268" t="n">
        <v>856</v>
      </c>
      <c r="F268" s="14" t="n">
        <v>0</v>
      </c>
      <c r="G268" s="14" t="n">
        <v>46.14</v>
      </c>
      <c r="H268" s="14" t="n">
        <v>0.58</v>
      </c>
      <c r="I268" s="14" t="n">
        <v>3.39</v>
      </c>
      <c r="J268" s="14" t="n">
        <v>0.23</v>
      </c>
      <c r="K268" s="14" t="n">
        <v>0.12</v>
      </c>
      <c r="L268" s="14" t="n">
        <v>4.44</v>
      </c>
      <c r="M268" s="14" t="n">
        <v>11.21</v>
      </c>
      <c r="N268" s="14" t="n">
        <v>5.49</v>
      </c>
      <c r="O268" s="14" t="n">
        <v>6.31</v>
      </c>
      <c r="P268" s="14" t="n">
        <v>0.47</v>
      </c>
      <c r="Q268" s="14" t="n">
        <v>0.23</v>
      </c>
      <c r="R268" s="14" t="n">
        <v>0</v>
      </c>
      <c r="S268" s="14" t="n">
        <v>2.45</v>
      </c>
      <c r="T268" s="14" t="n">
        <v>5.37</v>
      </c>
      <c r="U268" s="14" t="n">
        <v>6.07</v>
      </c>
      <c r="V268" s="14" t="n">
        <v>2.45</v>
      </c>
      <c r="W268" s="14" t="n">
        <v>1.17</v>
      </c>
      <c r="X268" s="14" t="n">
        <v>0.58</v>
      </c>
      <c r="Y268" s="14" t="n">
        <v>2.45</v>
      </c>
      <c r="Z268" s="14" t="n">
        <v>0.82</v>
      </c>
      <c r="AA268" s="14" t="n">
        <v>0</v>
      </c>
    </row>
    <row r="269">
      <c r="A269" t="inlineStr">
        <is>
          <t>130205</t>
        </is>
      </c>
      <c r="B269" t="inlineStr">
        <is>
          <t>LA LIBERTAD</t>
        </is>
      </c>
      <c r="C269" t="inlineStr">
        <is>
          <t>ASCOPE</t>
        </is>
      </c>
      <c r="D269" t="inlineStr">
        <is>
          <t>PAIJAN</t>
        </is>
      </c>
      <c r="E269" t="n">
        <v>9511</v>
      </c>
      <c r="F269" s="14" t="n">
        <v>0</v>
      </c>
      <c r="G269" s="14" t="n">
        <v>39.38</v>
      </c>
      <c r="H269" s="14" t="n">
        <v>0.17</v>
      </c>
      <c r="I269" s="14" t="n">
        <v>5.34</v>
      </c>
      <c r="J269" s="14" t="n">
        <v>0.03</v>
      </c>
      <c r="K269" s="14" t="n">
        <v>0.23</v>
      </c>
      <c r="L269" s="14" t="n">
        <v>7.24</v>
      </c>
      <c r="M269" s="14" t="n">
        <v>16.23</v>
      </c>
      <c r="N269" s="14" t="n">
        <v>10.49</v>
      </c>
      <c r="O269" s="14" t="n">
        <v>4.34</v>
      </c>
      <c r="P269" s="14" t="n">
        <v>0.33</v>
      </c>
      <c r="Q269" s="14" t="n">
        <v>0.62</v>
      </c>
      <c r="R269" s="14" t="n">
        <v>0.03</v>
      </c>
      <c r="S269" s="14" t="n">
        <v>2.04</v>
      </c>
      <c r="T269" s="14" t="n">
        <v>2.41</v>
      </c>
      <c r="U269" s="14" t="n">
        <v>3.03</v>
      </c>
      <c r="V269" s="14" t="n">
        <v>3.29</v>
      </c>
      <c r="W269" s="14" t="n">
        <v>1.16</v>
      </c>
      <c r="X269" s="14" t="n">
        <v>0.33</v>
      </c>
      <c r="Y269" s="14" t="n">
        <v>1.88</v>
      </c>
      <c r="Z269" s="14" t="n">
        <v>1.43</v>
      </c>
      <c r="AA269" s="14" t="n">
        <v>0</v>
      </c>
    </row>
    <row r="270">
      <c r="A270" t="inlineStr">
        <is>
          <t>130206</t>
        </is>
      </c>
      <c r="B270" t="inlineStr">
        <is>
          <t>LA LIBERTAD</t>
        </is>
      </c>
      <c r="C270" t="inlineStr">
        <is>
          <t>ASCOPE</t>
        </is>
      </c>
      <c r="D270" t="inlineStr">
        <is>
          <t>RAZURI</t>
        </is>
      </c>
      <c r="E270" t="n">
        <v>3272</v>
      </c>
      <c r="F270" s="14" t="n">
        <v>13.57</v>
      </c>
      <c r="G270" s="14" t="n">
        <v>47.13</v>
      </c>
      <c r="H270" s="14" t="n">
        <v>0.31</v>
      </c>
      <c r="I270" s="14" t="n">
        <v>9.26</v>
      </c>
      <c r="J270" s="14" t="n">
        <v>0.09</v>
      </c>
      <c r="K270" s="14" t="n">
        <v>0.28</v>
      </c>
      <c r="L270" s="14" t="n">
        <v>6.08</v>
      </c>
      <c r="M270" s="14" t="n">
        <v>9.6</v>
      </c>
      <c r="N270" s="14" t="n">
        <v>6.23</v>
      </c>
      <c r="O270" s="14" t="n">
        <v>7</v>
      </c>
      <c r="P270" s="14" t="n">
        <v>0.24</v>
      </c>
      <c r="Q270" s="14" t="n">
        <v>0.28</v>
      </c>
      <c r="R270" s="14" t="n">
        <v>0.09</v>
      </c>
      <c r="S270" s="14" t="n">
        <v>1.38</v>
      </c>
      <c r="T270" s="14" t="n">
        <v>2.08</v>
      </c>
      <c r="U270" s="14" t="n">
        <v>4.19</v>
      </c>
      <c r="V270" s="14" t="n">
        <v>2.23</v>
      </c>
      <c r="W270" s="14" t="n">
        <v>1.07</v>
      </c>
      <c r="X270" s="14" t="n">
        <v>0.28</v>
      </c>
      <c r="Y270" s="14" t="n">
        <v>1.31</v>
      </c>
      <c r="Z270" s="14" t="n">
        <v>0.89</v>
      </c>
      <c r="AA270" s="14" t="n">
        <v>0</v>
      </c>
    </row>
    <row r="271">
      <c r="A271" t="inlineStr">
        <is>
          <t>130207</t>
        </is>
      </c>
      <c r="B271" t="inlineStr">
        <is>
          <t>LA LIBERTAD</t>
        </is>
      </c>
      <c r="C271" t="inlineStr">
        <is>
          <t>ASCOPE</t>
        </is>
      </c>
      <c r="D271" t="inlineStr">
        <is>
          <t>SANTIAGO DE CAO</t>
        </is>
      </c>
      <c r="E271" t="n">
        <v>7773</v>
      </c>
      <c r="F271" s="14" t="n">
        <v>0</v>
      </c>
      <c r="G271" s="14" t="n">
        <v>27.12</v>
      </c>
      <c r="H271" s="14" t="n">
        <v>0.33</v>
      </c>
      <c r="I271" s="14" t="n">
        <v>14.6</v>
      </c>
      <c r="J271" s="14" t="n">
        <v>0.04</v>
      </c>
      <c r="K271" s="14" t="n">
        <v>0.4</v>
      </c>
      <c r="L271" s="14" t="n">
        <v>6.39</v>
      </c>
      <c r="M271" s="14" t="n">
        <v>14.88</v>
      </c>
      <c r="N271" s="14" t="n">
        <v>7.78</v>
      </c>
      <c r="O271" s="14" t="n">
        <v>5.92</v>
      </c>
      <c r="P271" s="14" t="n">
        <v>0.76</v>
      </c>
      <c r="Q271" s="14" t="n">
        <v>0.64</v>
      </c>
      <c r="R271" s="14" t="n">
        <v>0.06</v>
      </c>
      <c r="S271" s="14" t="n">
        <v>3.2</v>
      </c>
      <c r="T271" s="14" t="n">
        <v>3.72</v>
      </c>
      <c r="U271" s="14" t="n">
        <v>3.15</v>
      </c>
      <c r="V271" s="14" t="n">
        <v>5.18</v>
      </c>
      <c r="W271" s="14" t="n">
        <v>1.43</v>
      </c>
      <c r="X271" s="14" t="n">
        <v>0.85</v>
      </c>
      <c r="Y271" s="14" t="n">
        <v>2.61</v>
      </c>
      <c r="Z271" s="14" t="n">
        <v>0.91</v>
      </c>
      <c r="AA271" s="14" t="n">
        <v>0</v>
      </c>
    </row>
    <row r="272">
      <c r="A272" t="inlineStr">
        <is>
          <t>130208</t>
        </is>
      </c>
      <c r="B272" t="inlineStr">
        <is>
          <t>LA LIBERTAD</t>
        </is>
      </c>
      <c r="C272" t="inlineStr">
        <is>
          <t>ASCOPE</t>
        </is>
      </c>
      <c r="D272" t="inlineStr">
        <is>
          <t>CASA GRANDE</t>
        </is>
      </c>
      <c r="E272" t="n">
        <v>10669</v>
      </c>
      <c r="F272" s="14" t="n">
        <v>0</v>
      </c>
      <c r="G272" s="14" t="n">
        <v>23.75</v>
      </c>
      <c r="H272" s="14" t="n">
        <v>0.32</v>
      </c>
      <c r="I272" s="14" t="n">
        <v>11.35</v>
      </c>
      <c r="J272" s="14" t="n">
        <v>0.11</v>
      </c>
      <c r="K272" s="14" t="n">
        <v>0.22</v>
      </c>
      <c r="L272" s="14" t="n">
        <v>6.56</v>
      </c>
      <c r="M272" s="14" t="n">
        <v>16.55</v>
      </c>
      <c r="N272" s="14" t="n">
        <v>8.02</v>
      </c>
      <c r="O272" s="14" t="n">
        <v>6.25</v>
      </c>
      <c r="P272" s="14" t="n">
        <v>0.68</v>
      </c>
      <c r="Q272" s="14" t="n">
        <v>0.87</v>
      </c>
      <c r="R272" s="14" t="n">
        <v>0.06</v>
      </c>
      <c r="S272" s="14" t="n">
        <v>4.34</v>
      </c>
      <c r="T272" s="14" t="n">
        <v>4.66</v>
      </c>
      <c r="U272" s="14" t="n">
        <v>3.04</v>
      </c>
      <c r="V272" s="14" t="n">
        <v>6.13</v>
      </c>
      <c r="W272" s="14" t="n">
        <v>2.54</v>
      </c>
      <c r="X272" s="14" t="n">
        <v>0.85</v>
      </c>
      <c r="Y272" s="14" t="n">
        <v>2.44</v>
      </c>
      <c r="Z272" s="14" t="n">
        <v>1.25</v>
      </c>
      <c r="AA272" s="14" t="n">
        <v>0</v>
      </c>
    </row>
    <row r="273">
      <c r="A273" t="inlineStr">
        <is>
          <t>130301</t>
        </is>
      </c>
      <c r="B273" t="inlineStr">
        <is>
          <t>LA LIBERTAD</t>
        </is>
      </c>
      <c r="C273" t="inlineStr">
        <is>
          <t>BOLIVAR</t>
        </is>
      </c>
      <c r="D273" t="inlineStr">
        <is>
          <t>BOLIVAR</t>
        </is>
      </c>
      <c r="E273" t="n">
        <v>1460</v>
      </c>
      <c r="F273" s="14" t="n">
        <v>0</v>
      </c>
      <c r="G273" s="14" t="n">
        <v>61.03</v>
      </c>
      <c r="H273" s="14" t="n">
        <v>0.21</v>
      </c>
      <c r="I273" s="14" t="n">
        <v>2.19</v>
      </c>
      <c r="J273" s="14" t="n">
        <v>0.07000000000000001</v>
      </c>
      <c r="K273" s="14" t="n">
        <v>0</v>
      </c>
      <c r="L273" s="14" t="n">
        <v>2.19</v>
      </c>
      <c r="M273" s="14" t="n">
        <v>6.58</v>
      </c>
      <c r="N273" s="14" t="n">
        <v>0.62</v>
      </c>
      <c r="O273" s="14" t="n">
        <v>1.51</v>
      </c>
      <c r="P273" s="14" t="n">
        <v>0.14</v>
      </c>
      <c r="Q273" s="14" t="n">
        <v>0.27</v>
      </c>
      <c r="R273" s="14" t="n">
        <v>0</v>
      </c>
      <c r="S273" s="14" t="n">
        <v>1.03</v>
      </c>
      <c r="T273" s="14" t="n">
        <v>0.82</v>
      </c>
      <c r="U273" s="14" t="n">
        <v>7.12</v>
      </c>
      <c r="V273" s="14" t="n">
        <v>12.67</v>
      </c>
      <c r="W273" s="14" t="n">
        <v>2.47</v>
      </c>
      <c r="X273" s="14" t="n">
        <v>0</v>
      </c>
      <c r="Y273" s="14" t="n">
        <v>0.48</v>
      </c>
      <c r="Z273" s="14" t="n">
        <v>0.62</v>
      </c>
      <c r="AA273" s="14" t="n">
        <v>0</v>
      </c>
    </row>
    <row r="274">
      <c r="A274" t="inlineStr">
        <is>
          <t>130302</t>
        </is>
      </c>
      <c r="B274" t="inlineStr">
        <is>
          <t>LA LIBERTAD</t>
        </is>
      </c>
      <c r="C274" t="inlineStr">
        <is>
          <t>BOLIVAR</t>
        </is>
      </c>
      <c r="D274" t="inlineStr">
        <is>
          <t>BAMBAMARCA</t>
        </is>
      </c>
      <c r="E274" t="n">
        <v>695</v>
      </c>
      <c r="F274" s="14" t="n">
        <v>0</v>
      </c>
      <c r="G274" s="14" t="n">
        <v>74.23999999999999</v>
      </c>
      <c r="H274" s="14" t="n">
        <v>0.86</v>
      </c>
      <c r="I274" s="14" t="n">
        <v>1.44</v>
      </c>
      <c r="J274" s="14" t="n">
        <v>0</v>
      </c>
      <c r="K274" s="14" t="n">
        <v>0</v>
      </c>
      <c r="L274" s="14" t="n">
        <v>4.03</v>
      </c>
      <c r="M274" s="14" t="n">
        <v>5.9</v>
      </c>
      <c r="N274" s="14" t="n">
        <v>0.58</v>
      </c>
      <c r="O274" s="14" t="n">
        <v>0.29</v>
      </c>
      <c r="P274" s="14" t="n">
        <v>0</v>
      </c>
      <c r="Q274" s="14" t="n">
        <v>0</v>
      </c>
      <c r="R274" s="14" t="n">
        <v>0</v>
      </c>
      <c r="S274" s="14" t="n">
        <v>1.44</v>
      </c>
      <c r="T274" s="14" t="n">
        <v>0.14</v>
      </c>
      <c r="U274" s="14" t="n">
        <v>2.01</v>
      </c>
      <c r="V274" s="14" t="n">
        <v>4.6</v>
      </c>
      <c r="W274" s="14" t="n">
        <v>1.73</v>
      </c>
      <c r="X274" s="14" t="n">
        <v>0</v>
      </c>
      <c r="Y274" s="14" t="n">
        <v>0.43</v>
      </c>
      <c r="Z274" s="14" t="n">
        <v>2.3</v>
      </c>
      <c r="AA274" s="14" t="n">
        <v>0</v>
      </c>
    </row>
    <row r="275">
      <c r="A275" t="inlineStr">
        <is>
          <t>130303</t>
        </is>
      </c>
      <c r="B275" t="inlineStr">
        <is>
          <t>LA LIBERTAD</t>
        </is>
      </c>
      <c r="C275" t="inlineStr">
        <is>
          <t>BOLIVAR</t>
        </is>
      </c>
      <c r="D275" t="inlineStr">
        <is>
          <t>CONDORMARCA</t>
        </is>
      </c>
      <c r="E275" t="n">
        <v>408</v>
      </c>
      <c r="F275" s="14" t="n">
        <v>0</v>
      </c>
      <c r="G275" s="14" t="n">
        <v>72.55</v>
      </c>
      <c r="H275" s="14" t="n">
        <v>0.25</v>
      </c>
      <c r="I275" s="14" t="n">
        <v>0.25</v>
      </c>
      <c r="J275" s="14" t="n">
        <v>0</v>
      </c>
      <c r="K275" s="14" t="n">
        <v>0</v>
      </c>
      <c r="L275" s="14" t="n">
        <v>7.35</v>
      </c>
      <c r="M275" s="14" t="n">
        <v>0.25</v>
      </c>
      <c r="N275" s="14" t="n">
        <v>0.25</v>
      </c>
      <c r="O275" s="14" t="n">
        <v>1.72</v>
      </c>
      <c r="P275" s="14" t="n">
        <v>0</v>
      </c>
      <c r="Q275" s="14" t="n">
        <v>0</v>
      </c>
      <c r="R275" s="14" t="n">
        <v>0</v>
      </c>
      <c r="S275" s="14" t="n">
        <v>0.49</v>
      </c>
      <c r="T275" s="14" t="n">
        <v>0.98</v>
      </c>
      <c r="U275" s="14" t="n">
        <v>3.19</v>
      </c>
      <c r="V275" s="14" t="n">
        <v>9.56</v>
      </c>
      <c r="W275" s="14" t="n">
        <v>2.7</v>
      </c>
      <c r="X275" s="14" t="n">
        <v>0.25</v>
      </c>
      <c r="Y275" s="14" t="n">
        <v>0</v>
      </c>
      <c r="Z275" s="14" t="n">
        <v>0.25</v>
      </c>
      <c r="AA275" s="14" t="n">
        <v>0</v>
      </c>
    </row>
    <row r="276">
      <c r="A276" t="inlineStr">
        <is>
          <t>130304</t>
        </is>
      </c>
      <c r="B276" t="inlineStr">
        <is>
          <t>LA LIBERTAD</t>
        </is>
      </c>
      <c r="C276" t="inlineStr">
        <is>
          <t>BOLIVAR</t>
        </is>
      </c>
      <c r="D276" t="inlineStr">
        <is>
          <t>LONGOTEA</t>
        </is>
      </c>
      <c r="E276" t="n">
        <v>668</v>
      </c>
      <c r="F276" s="14" t="n">
        <v>0</v>
      </c>
      <c r="G276" s="14" t="n">
        <v>49.7</v>
      </c>
      <c r="H276" s="14" t="n">
        <v>0</v>
      </c>
      <c r="I276" s="14" t="n">
        <v>3.29</v>
      </c>
      <c r="J276" s="14" t="n">
        <v>0.15</v>
      </c>
      <c r="K276" s="14" t="n">
        <v>0</v>
      </c>
      <c r="L276" s="14" t="n">
        <v>3.29</v>
      </c>
      <c r="M276" s="14" t="n">
        <v>11.38</v>
      </c>
      <c r="N276" s="14" t="n">
        <v>2.4</v>
      </c>
      <c r="O276" s="14" t="n">
        <v>4.04</v>
      </c>
      <c r="P276" s="14" t="n">
        <v>0</v>
      </c>
      <c r="Q276" s="14" t="n">
        <v>0</v>
      </c>
      <c r="R276" s="14" t="n">
        <v>0</v>
      </c>
      <c r="S276" s="14" t="n">
        <v>0.3</v>
      </c>
      <c r="T276" s="14" t="n">
        <v>0.6</v>
      </c>
      <c r="U276" s="14" t="n">
        <v>2.69</v>
      </c>
      <c r="V276" s="14" t="n">
        <v>15.27</v>
      </c>
      <c r="W276" s="14" t="n">
        <v>3.74</v>
      </c>
      <c r="X276" s="14" t="n">
        <v>0</v>
      </c>
      <c r="Y276" s="14" t="n">
        <v>0.6</v>
      </c>
      <c r="Z276" s="14" t="n">
        <v>2.54</v>
      </c>
      <c r="AA276" s="14" t="n">
        <v>0</v>
      </c>
    </row>
    <row r="277">
      <c r="A277" t="inlineStr">
        <is>
          <t>130305</t>
        </is>
      </c>
      <c r="B277" t="inlineStr">
        <is>
          <t>LA LIBERTAD</t>
        </is>
      </c>
      <c r="C277" t="inlineStr">
        <is>
          <t>BOLIVAR</t>
        </is>
      </c>
      <c r="D277" t="inlineStr">
        <is>
          <t>UCHUMARCA</t>
        </is>
      </c>
      <c r="E277" t="n">
        <v>670</v>
      </c>
      <c r="F277" s="14" t="n">
        <v>0</v>
      </c>
      <c r="G277" s="14" t="n">
        <v>71.79000000000001</v>
      </c>
      <c r="H277" s="14" t="n">
        <v>0</v>
      </c>
      <c r="I277" s="14" t="n">
        <v>2.09</v>
      </c>
      <c r="J277" s="14" t="n">
        <v>0</v>
      </c>
      <c r="K277" s="14" t="n">
        <v>0</v>
      </c>
      <c r="L277" s="14" t="n">
        <v>2.09</v>
      </c>
      <c r="M277" s="14" t="n">
        <v>3.58</v>
      </c>
      <c r="N277" s="14" t="n">
        <v>1.49</v>
      </c>
      <c r="O277" s="14" t="n">
        <v>1.19</v>
      </c>
      <c r="P277" s="14" t="n">
        <v>0</v>
      </c>
      <c r="Q277" s="14" t="n">
        <v>0.15</v>
      </c>
      <c r="R277" s="14" t="n">
        <v>0</v>
      </c>
      <c r="S277" s="14" t="n">
        <v>0.15</v>
      </c>
      <c r="T277" s="14" t="n">
        <v>0</v>
      </c>
      <c r="U277" s="14" t="n">
        <v>3.28</v>
      </c>
      <c r="V277" s="14" t="n">
        <v>10.45</v>
      </c>
      <c r="W277" s="14" t="n">
        <v>1.49</v>
      </c>
      <c r="X277" s="14" t="n">
        <v>0</v>
      </c>
      <c r="Y277" s="14" t="n">
        <v>0.9</v>
      </c>
      <c r="Z277" s="14" t="n">
        <v>1.34</v>
      </c>
      <c r="AA277" s="14" t="n">
        <v>0</v>
      </c>
    </row>
    <row r="278">
      <c r="A278" t="inlineStr">
        <is>
          <t>130306</t>
        </is>
      </c>
      <c r="B278" t="inlineStr">
        <is>
          <t>LA LIBERTAD</t>
        </is>
      </c>
      <c r="C278" t="inlineStr">
        <is>
          <t>BOLIVAR</t>
        </is>
      </c>
      <c r="D278" t="inlineStr">
        <is>
          <t>UCUNCHA</t>
        </is>
      </c>
      <c r="E278" t="n">
        <v>249</v>
      </c>
      <c r="F278" s="14" t="n">
        <v>0</v>
      </c>
      <c r="G278" s="14" t="n">
        <v>53.01</v>
      </c>
      <c r="H278" s="14" t="n">
        <v>0</v>
      </c>
      <c r="I278" s="14" t="n">
        <v>13.25</v>
      </c>
      <c r="J278" s="14" t="n">
        <v>0</v>
      </c>
      <c r="K278" s="14" t="n">
        <v>0</v>
      </c>
      <c r="L278" s="14" t="n">
        <v>7.63</v>
      </c>
      <c r="M278" s="14" t="n">
        <v>2.01</v>
      </c>
      <c r="N278" s="14" t="n">
        <v>0.4</v>
      </c>
      <c r="O278" s="14" t="n">
        <v>0.8</v>
      </c>
      <c r="P278" s="14" t="n">
        <v>0</v>
      </c>
      <c r="Q278" s="14" t="n">
        <v>0</v>
      </c>
      <c r="R278" s="14" t="n">
        <v>0</v>
      </c>
      <c r="S278" s="14" t="n">
        <v>0.4</v>
      </c>
      <c r="T278" s="14" t="n">
        <v>0</v>
      </c>
      <c r="U278" s="14" t="n">
        <v>6.43</v>
      </c>
      <c r="V278" s="14" t="n">
        <v>12.45</v>
      </c>
      <c r="W278" s="14" t="n">
        <v>1.2</v>
      </c>
      <c r="X278" s="14" t="n">
        <v>0</v>
      </c>
      <c r="Y278" s="14" t="n">
        <v>1.61</v>
      </c>
      <c r="Z278" s="14" t="n">
        <v>0.8</v>
      </c>
      <c r="AA278" s="14" t="n">
        <v>0</v>
      </c>
    </row>
    <row r="279">
      <c r="A279" t="inlineStr">
        <is>
          <t>130401</t>
        </is>
      </c>
      <c r="B279" t="inlineStr">
        <is>
          <t>LA LIBERTAD</t>
        </is>
      </c>
      <c r="C279" t="inlineStr">
        <is>
          <t>CHEPEN</t>
        </is>
      </c>
      <c r="D279" t="inlineStr">
        <is>
          <t>CHEPEN</t>
        </is>
      </c>
      <c r="E279" t="n">
        <v>18200</v>
      </c>
      <c r="F279" s="14" t="n">
        <v>0</v>
      </c>
      <c r="G279" s="14" t="n">
        <v>21.36</v>
      </c>
      <c r="H279" s="14" t="n">
        <v>0.23</v>
      </c>
      <c r="I279" s="14" t="n">
        <v>4.91</v>
      </c>
      <c r="J279" s="14" t="n">
        <v>0.12</v>
      </c>
      <c r="K279" s="14" t="n">
        <v>0.3</v>
      </c>
      <c r="L279" s="14" t="n">
        <v>6.96</v>
      </c>
      <c r="M279" s="14" t="n">
        <v>22.46</v>
      </c>
      <c r="N279" s="14" t="n">
        <v>11.1</v>
      </c>
      <c r="O279" s="14" t="n">
        <v>5.93</v>
      </c>
      <c r="P279" s="14" t="n">
        <v>0.59</v>
      </c>
      <c r="Q279" s="14" t="n">
        <v>1.45</v>
      </c>
      <c r="R279" s="14" t="n">
        <v>0.05</v>
      </c>
      <c r="S279" s="14" t="n">
        <v>3.81</v>
      </c>
      <c r="T279" s="14" t="n">
        <v>2.41</v>
      </c>
      <c r="U279" s="14" t="n">
        <v>2.98</v>
      </c>
      <c r="V279" s="14" t="n">
        <v>8</v>
      </c>
      <c r="W279" s="14" t="n">
        <v>2.49</v>
      </c>
      <c r="X279" s="14" t="n">
        <v>0.8100000000000001</v>
      </c>
      <c r="Y279" s="14" t="n">
        <v>2.6</v>
      </c>
      <c r="Z279" s="14" t="n">
        <v>1.43</v>
      </c>
      <c r="AA279" s="14" t="n">
        <v>0</v>
      </c>
    </row>
    <row r="280">
      <c r="A280" t="inlineStr">
        <is>
          <t>130402</t>
        </is>
      </c>
      <c r="B280" t="inlineStr">
        <is>
          <t>LA LIBERTAD</t>
        </is>
      </c>
      <c r="C280" t="inlineStr">
        <is>
          <t>CHEPEN</t>
        </is>
      </c>
      <c r="D280" t="inlineStr">
        <is>
          <t>PACANGA</t>
        </is>
      </c>
      <c r="E280" t="n">
        <v>8125</v>
      </c>
      <c r="F280" s="14" t="n">
        <v>0</v>
      </c>
      <c r="G280" s="14" t="n">
        <v>59.35</v>
      </c>
      <c r="H280" s="14" t="n">
        <v>0.2</v>
      </c>
      <c r="I280" s="14" t="n">
        <v>3.41</v>
      </c>
      <c r="J280" s="14" t="n">
        <v>0</v>
      </c>
      <c r="K280" s="14" t="n">
        <v>0.11</v>
      </c>
      <c r="L280" s="14" t="n">
        <v>5.81</v>
      </c>
      <c r="M280" s="14" t="n">
        <v>10.81</v>
      </c>
      <c r="N280" s="14" t="n">
        <v>5.82</v>
      </c>
      <c r="O280" s="14" t="n">
        <v>4.02</v>
      </c>
      <c r="P280" s="14" t="n">
        <v>0.2</v>
      </c>
      <c r="Q280" s="14" t="n">
        <v>0.25</v>
      </c>
      <c r="R280" s="14" t="n">
        <v>0.01</v>
      </c>
      <c r="S280" s="14" t="n">
        <v>1.46</v>
      </c>
      <c r="T280" s="14" t="n">
        <v>1.77</v>
      </c>
      <c r="U280" s="14" t="n">
        <v>1.71</v>
      </c>
      <c r="V280" s="14" t="n">
        <v>1.94</v>
      </c>
      <c r="W280" s="14" t="n">
        <v>0.53</v>
      </c>
      <c r="X280" s="14" t="n">
        <v>0.2</v>
      </c>
      <c r="Y280" s="14" t="n">
        <v>1.71</v>
      </c>
      <c r="Z280" s="14" t="n">
        <v>0.68</v>
      </c>
      <c r="AA280" s="14" t="n">
        <v>0.01</v>
      </c>
    </row>
    <row r="281">
      <c r="A281" t="inlineStr">
        <is>
          <t>130403</t>
        </is>
      </c>
      <c r="B281" t="inlineStr">
        <is>
          <t>LA LIBERTAD</t>
        </is>
      </c>
      <c r="C281" t="inlineStr">
        <is>
          <t>CHEPEN</t>
        </is>
      </c>
      <c r="D281" t="inlineStr">
        <is>
          <t>PUEBLO NUEVO</t>
        </is>
      </c>
      <c r="E281" t="n">
        <v>3906</v>
      </c>
      <c r="F281" s="14" t="n">
        <v>0</v>
      </c>
      <c r="G281" s="14" t="n">
        <v>56.58</v>
      </c>
      <c r="H281" s="14" t="n">
        <v>0.13</v>
      </c>
      <c r="I281" s="14" t="n">
        <v>3.71</v>
      </c>
      <c r="J281" s="14" t="n">
        <v>0.03</v>
      </c>
      <c r="K281" s="14" t="n">
        <v>0.23</v>
      </c>
      <c r="L281" s="14" t="n">
        <v>4.81</v>
      </c>
      <c r="M281" s="14" t="n">
        <v>11.19</v>
      </c>
      <c r="N281" s="14" t="n">
        <v>6.63</v>
      </c>
      <c r="O281" s="14" t="n">
        <v>3.48</v>
      </c>
      <c r="P281" s="14" t="n">
        <v>0.41</v>
      </c>
      <c r="Q281" s="14" t="n">
        <v>0.26</v>
      </c>
      <c r="R281" s="14" t="n">
        <v>0.03</v>
      </c>
      <c r="S281" s="14" t="n">
        <v>1.61</v>
      </c>
      <c r="T281" s="14" t="n">
        <v>1.54</v>
      </c>
      <c r="U281" s="14" t="n">
        <v>2.87</v>
      </c>
      <c r="V281" s="14" t="n">
        <v>3.02</v>
      </c>
      <c r="W281" s="14" t="n">
        <v>1</v>
      </c>
      <c r="X281" s="14" t="n">
        <v>0.41</v>
      </c>
      <c r="Y281" s="14" t="n">
        <v>1.1</v>
      </c>
      <c r="Z281" s="14" t="n">
        <v>0.97</v>
      </c>
      <c r="AA281" s="14" t="n">
        <v>0</v>
      </c>
    </row>
    <row r="282">
      <c r="A282" t="inlineStr">
        <is>
          <t>130501</t>
        </is>
      </c>
      <c r="B282" t="inlineStr">
        <is>
          <t>LA LIBERTAD</t>
        </is>
      </c>
      <c r="C282" t="inlineStr">
        <is>
          <t>JULCAN</t>
        </is>
      </c>
      <c r="D282" t="inlineStr">
        <is>
          <t>JULCAN</t>
        </is>
      </c>
      <c r="E282" t="n">
        <v>3513</v>
      </c>
      <c r="F282" s="14" t="n">
        <v>0</v>
      </c>
      <c r="G282" s="14" t="n">
        <v>81.87</v>
      </c>
      <c r="H282" s="14" t="n">
        <v>0.23</v>
      </c>
      <c r="I282" s="14" t="n">
        <v>0.83</v>
      </c>
      <c r="J282" s="14" t="n">
        <v>0</v>
      </c>
      <c r="K282" s="14" t="n">
        <v>0.09</v>
      </c>
      <c r="L282" s="14" t="n">
        <v>1</v>
      </c>
      <c r="M282" s="14" t="n">
        <v>5.32</v>
      </c>
      <c r="N282" s="14" t="n">
        <v>1.28</v>
      </c>
      <c r="O282" s="14" t="n">
        <v>1.2</v>
      </c>
      <c r="P282" s="14" t="n">
        <v>0.06</v>
      </c>
      <c r="Q282" s="14" t="n">
        <v>0</v>
      </c>
      <c r="R282" s="14" t="n">
        <v>0</v>
      </c>
      <c r="S282" s="14" t="n">
        <v>0.43</v>
      </c>
      <c r="T282" s="14" t="n">
        <v>0.28</v>
      </c>
      <c r="U282" s="14" t="n">
        <v>1.96</v>
      </c>
      <c r="V282" s="14" t="n">
        <v>3.25</v>
      </c>
      <c r="W282" s="14" t="n">
        <v>1.45</v>
      </c>
      <c r="X282" s="14" t="n">
        <v>0.03</v>
      </c>
      <c r="Y282" s="14" t="n">
        <v>0.43</v>
      </c>
      <c r="Z282" s="14" t="n">
        <v>0.31</v>
      </c>
      <c r="AA282" s="14" t="n">
        <v>0</v>
      </c>
    </row>
    <row r="283">
      <c r="A283" t="inlineStr">
        <is>
          <t>130502</t>
        </is>
      </c>
      <c r="B283" t="inlineStr">
        <is>
          <t>LA LIBERTAD</t>
        </is>
      </c>
      <c r="C283" t="inlineStr">
        <is>
          <t>JULCAN</t>
        </is>
      </c>
      <c r="D283" t="inlineStr">
        <is>
          <t>CALAMARCA</t>
        </is>
      </c>
      <c r="E283" t="n">
        <v>1447</v>
      </c>
      <c r="F283" s="14" t="n">
        <v>0</v>
      </c>
      <c r="G283" s="14" t="n">
        <v>90.05</v>
      </c>
      <c r="H283" s="14" t="n">
        <v>0.28</v>
      </c>
      <c r="I283" s="14" t="n">
        <v>0.55</v>
      </c>
      <c r="J283" s="14" t="n">
        <v>0</v>
      </c>
      <c r="K283" s="14" t="n">
        <v>0</v>
      </c>
      <c r="L283" s="14" t="n">
        <v>0.35</v>
      </c>
      <c r="M283" s="14" t="n">
        <v>3.32</v>
      </c>
      <c r="N283" s="14" t="n">
        <v>0.48</v>
      </c>
      <c r="O283" s="14" t="n">
        <v>1.31</v>
      </c>
      <c r="P283" s="14" t="n">
        <v>0</v>
      </c>
      <c r="Q283" s="14" t="n">
        <v>0</v>
      </c>
      <c r="R283" s="14" t="n">
        <v>0</v>
      </c>
      <c r="S283" s="14" t="n">
        <v>0.48</v>
      </c>
      <c r="T283" s="14" t="n">
        <v>0.21</v>
      </c>
      <c r="U283" s="14" t="n">
        <v>0.35</v>
      </c>
      <c r="V283" s="14" t="n">
        <v>1.59</v>
      </c>
      <c r="W283" s="14" t="n">
        <v>0.9</v>
      </c>
      <c r="X283" s="14" t="n">
        <v>0</v>
      </c>
      <c r="Y283" s="14" t="n">
        <v>0.07000000000000001</v>
      </c>
      <c r="Z283" s="14" t="n">
        <v>0.07000000000000001</v>
      </c>
      <c r="AA283" s="14" t="n">
        <v>0</v>
      </c>
    </row>
    <row r="284">
      <c r="A284" t="inlineStr">
        <is>
          <t>130503</t>
        </is>
      </c>
      <c r="B284" t="inlineStr">
        <is>
          <t>LA LIBERTAD</t>
        </is>
      </c>
      <c r="C284" t="inlineStr">
        <is>
          <t>JULCAN</t>
        </is>
      </c>
      <c r="D284" t="inlineStr">
        <is>
          <t>CARABAMBA</t>
        </is>
      </c>
      <c r="E284" t="n">
        <v>1631</v>
      </c>
      <c r="F284" s="14" t="n">
        <v>0</v>
      </c>
      <c r="G284" s="14" t="n">
        <v>88.11</v>
      </c>
      <c r="H284" s="14" t="n">
        <v>0.12</v>
      </c>
      <c r="I284" s="14" t="n">
        <v>0.98</v>
      </c>
      <c r="J284" s="14" t="n">
        <v>0</v>
      </c>
      <c r="K284" s="14" t="n">
        <v>0.06</v>
      </c>
      <c r="L284" s="14" t="n">
        <v>0.74</v>
      </c>
      <c r="M284" s="14" t="n">
        <v>3.62</v>
      </c>
      <c r="N284" s="14" t="n">
        <v>1.1</v>
      </c>
      <c r="O284" s="14" t="n">
        <v>0.74</v>
      </c>
      <c r="P284" s="14" t="n">
        <v>0</v>
      </c>
      <c r="Q284" s="14" t="n">
        <v>0</v>
      </c>
      <c r="R284" s="14" t="n">
        <v>0</v>
      </c>
      <c r="S284" s="14" t="n">
        <v>0</v>
      </c>
      <c r="T284" s="14" t="n">
        <v>0.06</v>
      </c>
      <c r="U284" s="14" t="n">
        <v>1.41</v>
      </c>
      <c r="V284" s="14" t="n">
        <v>1.53</v>
      </c>
      <c r="W284" s="14" t="n">
        <v>1.1</v>
      </c>
      <c r="X284" s="14" t="n">
        <v>0.06</v>
      </c>
      <c r="Y284" s="14" t="n">
        <v>0.18</v>
      </c>
      <c r="Z284" s="14" t="n">
        <v>0.18</v>
      </c>
      <c r="AA284" s="14" t="n">
        <v>0</v>
      </c>
    </row>
    <row r="285">
      <c r="A285" t="inlineStr">
        <is>
          <t>130504</t>
        </is>
      </c>
      <c r="B285" t="inlineStr">
        <is>
          <t>LA LIBERTAD</t>
        </is>
      </c>
      <c r="C285" t="inlineStr">
        <is>
          <t>JULCAN</t>
        </is>
      </c>
      <c r="D285" t="inlineStr">
        <is>
          <t>HUASO</t>
        </is>
      </c>
      <c r="E285" t="n">
        <v>1436</v>
      </c>
      <c r="F285" s="14" t="n">
        <v>0</v>
      </c>
      <c r="G285" s="14" t="n">
        <v>93.8</v>
      </c>
      <c r="H285" s="14" t="n">
        <v>0.07000000000000001</v>
      </c>
      <c r="I285" s="14" t="n">
        <v>0.28</v>
      </c>
      <c r="J285" s="14" t="n">
        <v>0</v>
      </c>
      <c r="K285" s="14" t="n">
        <v>0</v>
      </c>
      <c r="L285" s="14" t="n">
        <v>0.14</v>
      </c>
      <c r="M285" s="14" t="n">
        <v>2.37</v>
      </c>
      <c r="N285" s="14" t="n">
        <v>0.14</v>
      </c>
      <c r="O285" s="14" t="n">
        <v>0.49</v>
      </c>
      <c r="P285" s="14" t="n">
        <v>0</v>
      </c>
      <c r="Q285" s="14" t="n">
        <v>0</v>
      </c>
      <c r="R285" s="14" t="n">
        <v>0</v>
      </c>
      <c r="S285" s="14" t="n">
        <v>0.07000000000000001</v>
      </c>
      <c r="T285" s="14" t="n">
        <v>0.07000000000000001</v>
      </c>
      <c r="U285" s="14" t="n">
        <v>0.49</v>
      </c>
      <c r="V285" s="14" t="n">
        <v>0.91</v>
      </c>
      <c r="W285" s="14" t="n">
        <v>1.04</v>
      </c>
      <c r="X285" s="14" t="n">
        <v>0</v>
      </c>
      <c r="Y285" s="14" t="n">
        <v>0</v>
      </c>
      <c r="Z285" s="14" t="n">
        <v>0.14</v>
      </c>
      <c r="AA285" s="14" t="n">
        <v>0</v>
      </c>
    </row>
    <row r="286">
      <c r="A286" t="inlineStr">
        <is>
          <t>130601</t>
        </is>
      </c>
      <c r="B286" t="inlineStr">
        <is>
          <t>LA LIBERTAD</t>
        </is>
      </c>
      <c r="C286" t="inlineStr">
        <is>
          <t>OTUZCO</t>
        </is>
      </c>
      <c r="D286" t="inlineStr">
        <is>
          <t>OTUZCO</t>
        </is>
      </c>
      <c r="E286" t="n">
        <v>8412</v>
      </c>
      <c r="F286" s="14" t="n">
        <v>0</v>
      </c>
      <c r="G286" s="14" t="n">
        <v>52.13</v>
      </c>
      <c r="H286" s="14" t="n">
        <v>0.23</v>
      </c>
      <c r="I286" s="14" t="n">
        <v>3.29</v>
      </c>
      <c r="J286" s="14" t="n">
        <v>0.01</v>
      </c>
      <c r="K286" s="14" t="n">
        <v>0.08</v>
      </c>
      <c r="L286" s="14" t="n">
        <v>4.43</v>
      </c>
      <c r="M286" s="14" t="n">
        <v>11.38</v>
      </c>
      <c r="N286" s="14" t="n">
        <v>3.33</v>
      </c>
      <c r="O286" s="14" t="n">
        <v>3.85</v>
      </c>
      <c r="P286" s="14" t="n">
        <v>0.26</v>
      </c>
      <c r="Q286" s="14" t="n">
        <v>0.58</v>
      </c>
      <c r="R286" s="14" t="n">
        <v>0</v>
      </c>
      <c r="S286" s="14" t="n">
        <v>1.38</v>
      </c>
      <c r="T286" s="14" t="n">
        <v>0.92</v>
      </c>
      <c r="U286" s="14" t="n">
        <v>2.26</v>
      </c>
      <c r="V286" s="14" t="n">
        <v>11.06</v>
      </c>
      <c r="W286" s="14" t="n">
        <v>1.64</v>
      </c>
      <c r="X286" s="14" t="n">
        <v>0.52</v>
      </c>
      <c r="Y286" s="14" t="n">
        <v>1.63</v>
      </c>
      <c r="Z286" s="14" t="n">
        <v>1.02</v>
      </c>
      <c r="AA286" s="14" t="n">
        <v>0</v>
      </c>
    </row>
    <row r="287">
      <c r="A287" t="inlineStr">
        <is>
          <t>130602</t>
        </is>
      </c>
      <c r="B287" t="inlineStr">
        <is>
          <t>LA LIBERTAD</t>
        </is>
      </c>
      <c r="C287" t="inlineStr">
        <is>
          <t>OTUZCO</t>
        </is>
      </c>
      <c r="D287" t="inlineStr">
        <is>
          <t>AGALLPAMPA</t>
        </is>
      </c>
      <c r="E287" t="n">
        <v>2507</v>
      </c>
      <c r="F287" s="14" t="n">
        <v>0</v>
      </c>
      <c r="G287" s="14" t="n">
        <v>84.92</v>
      </c>
      <c r="H287" s="14" t="n">
        <v>0.5600000000000001</v>
      </c>
      <c r="I287" s="14" t="n">
        <v>1.12</v>
      </c>
      <c r="J287" s="14" t="n">
        <v>0.04</v>
      </c>
      <c r="K287" s="14" t="n">
        <v>0.04</v>
      </c>
      <c r="L287" s="14" t="n">
        <v>1.16</v>
      </c>
      <c r="M287" s="14" t="n">
        <v>4.75</v>
      </c>
      <c r="N287" s="14" t="n">
        <v>1.28</v>
      </c>
      <c r="O287" s="14" t="n">
        <v>1.36</v>
      </c>
      <c r="P287" s="14" t="n">
        <v>0.08</v>
      </c>
      <c r="Q287" s="14" t="n">
        <v>0</v>
      </c>
      <c r="R287" s="14" t="n">
        <v>0</v>
      </c>
      <c r="S287" s="14" t="n">
        <v>0.24</v>
      </c>
      <c r="T287" s="14" t="n">
        <v>0.24</v>
      </c>
      <c r="U287" s="14" t="n">
        <v>1.36</v>
      </c>
      <c r="V287" s="14" t="n">
        <v>0.96</v>
      </c>
      <c r="W287" s="14" t="n">
        <v>1.04</v>
      </c>
      <c r="X287" s="14" t="n">
        <v>0</v>
      </c>
      <c r="Y287" s="14" t="n">
        <v>0.4</v>
      </c>
      <c r="Z287" s="14" t="n">
        <v>0.48</v>
      </c>
      <c r="AA287" s="14" t="n">
        <v>0</v>
      </c>
    </row>
    <row r="288">
      <c r="A288" t="inlineStr">
        <is>
          <t>130604</t>
        </is>
      </c>
      <c r="B288" t="inlineStr">
        <is>
          <t>LA LIBERTAD</t>
        </is>
      </c>
      <c r="C288" t="inlineStr">
        <is>
          <t>OTUZCO</t>
        </is>
      </c>
      <c r="D288" t="inlineStr">
        <is>
          <t>CHARAT</t>
        </is>
      </c>
      <c r="E288" t="n">
        <v>834</v>
      </c>
      <c r="F288" s="14" t="n">
        <v>0</v>
      </c>
      <c r="G288" s="14" t="n">
        <v>78.18000000000001</v>
      </c>
      <c r="H288" s="14" t="n">
        <v>0</v>
      </c>
      <c r="I288" s="14" t="n">
        <v>1.2</v>
      </c>
      <c r="J288" s="14" t="n">
        <v>0</v>
      </c>
      <c r="K288" s="14" t="n">
        <v>0</v>
      </c>
      <c r="L288" s="14" t="n">
        <v>0.72</v>
      </c>
      <c r="M288" s="14" t="n">
        <v>6.47</v>
      </c>
      <c r="N288" s="14" t="n">
        <v>1.2</v>
      </c>
      <c r="O288" s="14" t="n">
        <v>1.92</v>
      </c>
      <c r="P288" s="14" t="n">
        <v>0</v>
      </c>
      <c r="Q288" s="14" t="n">
        <v>0.12</v>
      </c>
      <c r="R288" s="14" t="n">
        <v>0</v>
      </c>
      <c r="S288" s="14" t="n">
        <v>1.8</v>
      </c>
      <c r="T288" s="14" t="n">
        <v>0.12</v>
      </c>
      <c r="U288" s="14" t="n">
        <v>1.44</v>
      </c>
      <c r="V288" s="14" t="n">
        <v>2.28</v>
      </c>
      <c r="W288" s="14" t="n">
        <v>0.48</v>
      </c>
      <c r="X288" s="14" t="n">
        <v>0.12</v>
      </c>
      <c r="Y288" s="14" t="n">
        <v>0.24</v>
      </c>
      <c r="Z288" s="14" t="n">
        <v>3.72</v>
      </c>
      <c r="AA288" s="14" t="n">
        <v>0</v>
      </c>
    </row>
    <row r="289">
      <c r="A289" t="inlineStr">
        <is>
          <t>130605</t>
        </is>
      </c>
      <c r="B289" t="inlineStr">
        <is>
          <t>LA LIBERTAD</t>
        </is>
      </c>
      <c r="C289" t="inlineStr">
        <is>
          <t>OTUZCO</t>
        </is>
      </c>
      <c r="D289" t="inlineStr">
        <is>
          <t>HUARANCHAL</t>
        </is>
      </c>
      <c r="E289" t="n">
        <v>1489</v>
      </c>
      <c r="F289" s="14" t="n">
        <v>0</v>
      </c>
      <c r="G289" s="14" t="n">
        <v>74.75</v>
      </c>
      <c r="H289" s="14" t="n">
        <v>6.11</v>
      </c>
      <c r="I289" s="14" t="n">
        <v>1.81</v>
      </c>
      <c r="J289" s="14" t="n">
        <v>0</v>
      </c>
      <c r="K289" s="14" t="n">
        <v>0</v>
      </c>
      <c r="L289" s="14" t="n">
        <v>1.95</v>
      </c>
      <c r="M289" s="14" t="n">
        <v>5.17</v>
      </c>
      <c r="N289" s="14" t="n">
        <v>0.67</v>
      </c>
      <c r="O289" s="14" t="n">
        <v>2.55</v>
      </c>
      <c r="P289" s="14" t="n">
        <v>0</v>
      </c>
      <c r="Q289" s="14" t="n">
        <v>0.07000000000000001</v>
      </c>
      <c r="R289" s="14" t="n">
        <v>0</v>
      </c>
      <c r="S289" s="14" t="n">
        <v>0.2</v>
      </c>
      <c r="T289" s="14" t="n">
        <v>0.47</v>
      </c>
      <c r="U289" s="14" t="n">
        <v>1.34</v>
      </c>
      <c r="V289" s="14" t="n">
        <v>1.75</v>
      </c>
      <c r="W289" s="14" t="n">
        <v>0.47</v>
      </c>
      <c r="X289" s="14" t="n">
        <v>0.4</v>
      </c>
      <c r="Y289" s="14" t="n">
        <v>1.41</v>
      </c>
      <c r="Z289" s="14" t="n">
        <v>0.87</v>
      </c>
      <c r="AA289" s="14" t="n">
        <v>0</v>
      </c>
    </row>
    <row r="290">
      <c r="A290" t="inlineStr">
        <is>
          <t>130606</t>
        </is>
      </c>
      <c r="B290" t="inlineStr">
        <is>
          <t>LA LIBERTAD</t>
        </is>
      </c>
      <c r="C290" t="inlineStr">
        <is>
          <t>OTUZCO</t>
        </is>
      </c>
      <c r="D290" t="inlineStr">
        <is>
          <t>LA CUESTA</t>
        </is>
      </c>
      <c r="E290" t="n">
        <v>156</v>
      </c>
      <c r="F290" s="14" t="n">
        <v>0</v>
      </c>
      <c r="G290" s="14" t="n">
        <v>71.79000000000001</v>
      </c>
      <c r="H290" s="14" t="n">
        <v>0.64</v>
      </c>
      <c r="I290" s="14" t="n">
        <v>0.64</v>
      </c>
      <c r="J290" s="14" t="n">
        <v>0</v>
      </c>
      <c r="K290" s="14" t="n">
        <v>0</v>
      </c>
      <c r="L290" s="14" t="n">
        <v>1.92</v>
      </c>
      <c r="M290" s="14" t="n">
        <v>12.82</v>
      </c>
      <c r="N290" s="14" t="n">
        <v>0.64</v>
      </c>
      <c r="O290" s="14" t="n">
        <v>1.92</v>
      </c>
      <c r="P290" s="14" t="n">
        <v>0</v>
      </c>
      <c r="Q290" s="14" t="n">
        <v>0.64</v>
      </c>
      <c r="R290" s="14" t="n">
        <v>0</v>
      </c>
      <c r="S290" s="14" t="n">
        <v>1.28</v>
      </c>
      <c r="T290" s="14" t="n">
        <v>0</v>
      </c>
      <c r="U290" s="14" t="n">
        <v>5.13</v>
      </c>
      <c r="V290" s="14" t="n">
        <v>0.64</v>
      </c>
      <c r="W290" s="14" t="n">
        <v>1.28</v>
      </c>
      <c r="X290" s="14" t="n">
        <v>0</v>
      </c>
      <c r="Y290" s="14" t="n">
        <v>0.64</v>
      </c>
      <c r="Z290" s="14" t="n">
        <v>0</v>
      </c>
      <c r="AA290" s="14" t="n">
        <v>0</v>
      </c>
    </row>
    <row r="291">
      <c r="A291" t="inlineStr">
        <is>
          <t>130608</t>
        </is>
      </c>
      <c r="B291" t="inlineStr">
        <is>
          <t>LA LIBERTAD</t>
        </is>
      </c>
      <c r="C291" t="inlineStr">
        <is>
          <t>OTUZCO</t>
        </is>
      </c>
      <c r="D291" t="inlineStr">
        <is>
          <t>MACHE</t>
        </is>
      </c>
      <c r="E291" t="n">
        <v>799</v>
      </c>
      <c r="F291" s="14" t="n">
        <v>0</v>
      </c>
      <c r="G291" s="14" t="n">
        <v>71.95999999999999</v>
      </c>
      <c r="H291" s="14" t="n">
        <v>0.13</v>
      </c>
      <c r="I291" s="14" t="n">
        <v>1</v>
      </c>
      <c r="J291" s="14" t="n">
        <v>0.13</v>
      </c>
      <c r="K291" s="14" t="n">
        <v>0</v>
      </c>
      <c r="L291" s="14" t="n">
        <v>8.51</v>
      </c>
      <c r="M291" s="14" t="n">
        <v>4.63</v>
      </c>
      <c r="N291" s="14" t="n">
        <v>3.13</v>
      </c>
      <c r="O291" s="14" t="n">
        <v>1</v>
      </c>
      <c r="P291" s="14" t="n">
        <v>0.25</v>
      </c>
      <c r="Q291" s="14" t="n">
        <v>0.25</v>
      </c>
      <c r="R291" s="14" t="n">
        <v>0</v>
      </c>
      <c r="S291" s="14" t="n">
        <v>1.5</v>
      </c>
      <c r="T291" s="14" t="n">
        <v>0.63</v>
      </c>
      <c r="U291" s="14" t="n">
        <v>2.88</v>
      </c>
      <c r="V291" s="14" t="n">
        <v>3</v>
      </c>
      <c r="W291" s="14" t="n">
        <v>0.88</v>
      </c>
      <c r="X291" s="14" t="n">
        <v>0</v>
      </c>
      <c r="Y291" s="14" t="n">
        <v>0.13</v>
      </c>
      <c r="Z291" s="14" t="n">
        <v>0</v>
      </c>
      <c r="AA291" s="14" t="n">
        <v>0</v>
      </c>
    </row>
    <row r="292">
      <c r="A292" t="inlineStr">
        <is>
          <t>130610</t>
        </is>
      </c>
      <c r="B292" t="inlineStr">
        <is>
          <t>LA LIBERTAD</t>
        </is>
      </c>
      <c r="C292" t="inlineStr">
        <is>
          <t>OTUZCO</t>
        </is>
      </c>
      <c r="D292" t="inlineStr">
        <is>
          <t>PARANDAY</t>
        </is>
      </c>
      <c r="E292" t="n">
        <v>185</v>
      </c>
      <c r="F292" s="14" t="n">
        <v>0</v>
      </c>
      <c r="G292" s="14" t="n">
        <v>91.34999999999999</v>
      </c>
      <c r="H292" s="14" t="n">
        <v>0</v>
      </c>
      <c r="I292" s="14" t="n">
        <v>0.54</v>
      </c>
      <c r="J292" s="14" t="n">
        <v>0</v>
      </c>
      <c r="K292" s="14" t="n">
        <v>0</v>
      </c>
      <c r="L292" s="14" t="n">
        <v>0</v>
      </c>
      <c r="M292" s="14" t="n">
        <v>3.24</v>
      </c>
      <c r="N292" s="14" t="n">
        <v>0</v>
      </c>
      <c r="O292" s="14" t="n">
        <v>0.54</v>
      </c>
      <c r="P292" s="14" t="n">
        <v>0</v>
      </c>
      <c r="Q292" s="14" t="n">
        <v>0</v>
      </c>
      <c r="R292" s="14" t="n">
        <v>0</v>
      </c>
      <c r="S292" s="14" t="n">
        <v>0</v>
      </c>
      <c r="T292" s="14" t="n">
        <v>0.54</v>
      </c>
      <c r="U292" s="14" t="n">
        <v>1.08</v>
      </c>
      <c r="V292" s="14" t="n">
        <v>0.54</v>
      </c>
      <c r="W292" s="14" t="n">
        <v>1.62</v>
      </c>
      <c r="X292" s="14" t="n">
        <v>0</v>
      </c>
      <c r="Y292" s="14" t="n">
        <v>0</v>
      </c>
      <c r="Z292" s="14" t="n">
        <v>0.54</v>
      </c>
      <c r="AA292" s="14" t="n">
        <v>0</v>
      </c>
    </row>
    <row r="293">
      <c r="A293" t="inlineStr">
        <is>
          <t>130611</t>
        </is>
      </c>
      <c r="B293" t="inlineStr">
        <is>
          <t>LA LIBERTAD</t>
        </is>
      </c>
      <c r="C293" t="inlineStr">
        <is>
          <t>OTUZCO</t>
        </is>
      </c>
      <c r="D293" t="inlineStr">
        <is>
          <t>SALPO</t>
        </is>
      </c>
      <c r="E293" t="n">
        <v>1857</v>
      </c>
      <c r="F293" s="14" t="n">
        <v>0</v>
      </c>
      <c r="G293" s="14" t="n">
        <v>80.08</v>
      </c>
      <c r="H293" s="14" t="n">
        <v>2.21</v>
      </c>
      <c r="I293" s="14" t="n">
        <v>1.62</v>
      </c>
      <c r="J293" s="14" t="n">
        <v>0</v>
      </c>
      <c r="K293" s="14" t="n">
        <v>0</v>
      </c>
      <c r="L293" s="14" t="n">
        <v>1.51</v>
      </c>
      <c r="M293" s="14" t="n">
        <v>5.87</v>
      </c>
      <c r="N293" s="14" t="n">
        <v>1.45</v>
      </c>
      <c r="O293" s="14" t="n">
        <v>1.45</v>
      </c>
      <c r="P293" s="14" t="n">
        <v>0</v>
      </c>
      <c r="Q293" s="14" t="n">
        <v>0.05</v>
      </c>
      <c r="R293" s="14" t="n">
        <v>0</v>
      </c>
      <c r="S293" s="14" t="n">
        <v>0.32</v>
      </c>
      <c r="T293" s="14" t="n">
        <v>0.38</v>
      </c>
      <c r="U293" s="14" t="n">
        <v>1.4</v>
      </c>
      <c r="V293" s="14" t="n">
        <v>1.4</v>
      </c>
      <c r="W293" s="14" t="n">
        <v>0.97</v>
      </c>
      <c r="X293" s="14" t="n">
        <v>0</v>
      </c>
      <c r="Y293" s="14" t="n">
        <v>0.92</v>
      </c>
      <c r="Z293" s="14" t="n">
        <v>0.38</v>
      </c>
      <c r="AA293" s="14" t="n">
        <v>0</v>
      </c>
    </row>
    <row r="294">
      <c r="A294" t="inlineStr">
        <is>
          <t>130613</t>
        </is>
      </c>
      <c r="B294" t="inlineStr">
        <is>
          <t>LA LIBERTAD</t>
        </is>
      </c>
      <c r="C294" t="inlineStr">
        <is>
          <t>OTUZCO</t>
        </is>
      </c>
      <c r="D294" t="inlineStr">
        <is>
          <t>SINSICAP</t>
        </is>
      </c>
      <c r="E294" t="n">
        <v>2471</v>
      </c>
      <c r="F294" s="14" t="n">
        <v>0</v>
      </c>
      <c r="G294" s="14" t="n">
        <v>88.79000000000001</v>
      </c>
      <c r="H294" s="14" t="n">
        <v>0.04</v>
      </c>
      <c r="I294" s="14" t="n">
        <v>1.09</v>
      </c>
      <c r="J294" s="14" t="n">
        <v>0</v>
      </c>
      <c r="K294" s="14" t="n">
        <v>0.04</v>
      </c>
      <c r="L294" s="14" t="n">
        <v>1.54</v>
      </c>
      <c r="M294" s="14" t="n">
        <v>3.97</v>
      </c>
      <c r="N294" s="14" t="n">
        <v>0.12</v>
      </c>
      <c r="O294" s="14" t="n">
        <v>1.74</v>
      </c>
      <c r="P294" s="14" t="n">
        <v>0</v>
      </c>
      <c r="Q294" s="14" t="n">
        <v>0</v>
      </c>
      <c r="R294" s="14" t="n">
        <v>0</v>
      </c>
      <c r="S294" s="14" t="n">
        <v>0.28</v>
      </c>
      <c r="T294" s="14" t="n">
        <v>0.12</v>
      </c>
      <c r="U294" s="14" t="n">
        <v>0.8100000000000001</v>
      </c>
      <c r="V294" s="14" t="n">
        <v>0.8100000000000001</v>
      </c>
      <c r="W294" s="14" t="n">
        <v>0.28</v>
      </c>
      <c r="X294" s="14" t="n">
        <v>0</v>
      </c>
      <c r="Y294" s="14" t="n">
        <v>0.16</v>
      </c>
      <c r="Z294" s="14" t="n">
        <v>0.2</v>
      </c>
      <c r="AA294" s="14" t="n">
        <v>0</v>
      </c>
    </row>
    <row r="295">
      <c r="A295" t="inlineStr">
        <is>
          <t>130614</t>
        </is>
      </c>
      <c r="B295" t="inlineStr">
        <is>
          <t>LA LIBERTAD</t>
        </is>
      </c>
      <c r="C295" t="inlineStr">
        <is>
          <t>OTUZCO</t>
        </is>
      </c>
      <c r="D295" t="inlineStr">
        <is>
          <t>USQUIL</t>
        </is>
      </c>
      <c r="E295" t="n">
        <v>6599</v>
      </c>
      <c r="F295" s="14" t="n">
        <v>0</v>
      </c>
      <c r="G295" s="14" t="n">
        <v>81.97</v>
      </c>
      <c r="H295" s="14" t="n">
        <v>2.17</v>
      </c>
      <c r="I295" s="14" t="n">
        <v>2.59</v>
      </c>
      <c r="J295" s="14" t="n">
        <v>0</v>
      </c>
      <c r="K295" s="14" t="n">
        <v>0</v>
      </c>
      <c r="L295" s="14" t="n">
        <v>1.05</v>
      </c>
      <c r="M295" s="14" t="n">
        <v>5.32</v>
      </c>
      <c r="N295" s="14" t="n">
        <v>1.2</v>
      </c>
      <c r="O295" s="14" t="n">
        <v>1.65</v>
      </c>
      <c r="P295" s="14" t="n">
        <v>0.03</v>
      </c>
      <c r="Q295" s="14" t="n">
        <v>0</v>
      </c>
      <c r="R295" s="14" t="n">
        <v>0</v>
      </c>
      <c r="S295" s="14" t="n">
        <v>0.24</v>
      </c>
      <c r="T295" s="14" t="n">
        <v>0.17</v>
      </c>
      <c r="U295" s="14" t="n">
        <v>0.83</v>
      </c>
      <c r="V295" s="14" t="n">
        <v>1.29</v>
      </c>
      <c r="W295" s="14" t="n">
        <v>0.64</v>
      </c>
      <c r="X295" s="14" t="n">
        <v>0.12</v>
      </c>
      <c r="Y295" s="14" t="n">
        <v>0.27</v>
      </c>
      <c r="Z295" s="14" t="n">
        <v>0.47</v>
      </c>
      <c r="AA295" s="14" t="n">
        <v>0</v>
      </c>
    </row>
    <row r="296">
      <c r="A296" t="inlineStr">
        <is>
          <t>130701</t>
        </is>
      </c>
      <c r="B296" t="inlineStr">
        <is>
          <t>LA LIBERTAD</t>
        </is>
      </c>
      <c r="C296" t="inlineStr">
        <is>
          <t>PACASMAYO</t>
        </is>
      </c>
      <c r="D296" t="inlineStr">
        <is>
          <t>SAN PEDRO DE LLOC</t>
        </is>
      </c>
      <c r="E296" t="n">
        <v>6982</v>
      </c>
      <c r="F296" s="14" t="n">
        <v>0</v>
      </c>
      <c r="G296" s="14" t="n">
        <v>26.44</v>
      </c>
      <c r="H296" s="14" t="n">
        <v>0.16</v>
      </c>
      <c r="I296" s="14" t="n">
        <v>5.34</v>
      </c>
      <c r="J296" s="14" t="n">
        <v>0.07000000000000001</v>
      </c>
      <c r="K296" s="14" t="n">
        <v>0.19</v>
      </c>
      <c r="L296" s="14" t="n">
        <v>8.52</v>
      </c>
      <c r="M296" s="14" t="n">
        <v>14.35</v>
      </c>
      <c r="N296" s="14" t="n">
        <v>8.609999999999999</v>
      </c>
      <c r="O296" s="14" t="n">
        <v>4.98</v>
      </c>
      <c r="P296" s="14" t="n">
        <v>0.46</v>
      </c>
      <c r="Q296" s="14" t="n">
        <v>0.79</v>
      </c>
      <c r="R296" s="14" t="n">
        <v>0.03</v>
      </c>
      <c r="S296" s="14" t="n">
        <v>3.05</v>
      </c>
      <c r="T296" s="14" t="n">
        <v>2.68</v>
      </c>
      <c r="U296" s="14" t="n">
        <v>4.91</v>
      </c>
      <c r="V296" s="14" t="n">
        <v>12.35</v>
      </c>
      <c r="W296" s="14" t="n">
        <v>2.61</v>
      </c>
      <c r="X296" s="14" t="n">
        <v>0.63</v>
      </c>
      <c r="Y296" s="14" t="n">
        <v>1.42</v>
      </c>
      <c r="Z296" s="14" t="n">
        <v>2.42</v>
      </c>
      <c r="AA296" s="14" t="n">
        <v>0</v>
      </c>
    </row>
    <row r="297">
      <c r="A297" t="inlineStr">
        <is>
          <t>130702</t>
        </is>
      </c>
      <c r="B297" t="inlineStr">
        <is>
          <t>LA LIBERTAD</t>
        </is>
      </c>
      <c r="C297" t="inlineStr">
        <is>
          <t>PACASMAYO</t>
        </is>
      </c>
      <c r="D297" t="inlineStr">
        <is>
          <t>GUADALUPE</t>
        </is>
      </c>
      <c r="E297" t="n">
        <v>14606</v>
      </c>
      <c r="F297" s="14" t="n">
        <v>0</v>
      </c>
      <c r="G297" s="14" t="n">
        <v>32.16</v>
      </c>
      <c r="H297" s="14" t="n">
        <v>0.27</v>
      </c>
      <c r="I297" s="14" t="n">
        <v>5.79</v>
      </c>
      <c r="J297" s="14" t="n">
        <v>0.09</v>
      </c>
      <c r="K297" s="14" t="n">
        <v>0.27</v>
      </c>
      <c r="L297" s="14" t="n">
        <v>7.57</v>
      </c>
      <c r="M297" s="14" t="n">
        <v>16.59</v>
      </c>
      <c r="N297" s="14" t="n">
        <v>11.32</v>
      </c>
      <c r="O297" s="14" t="n">
        <v>5.94</v>
      </c>
      <c r="P297" s="14" t="n">
        <v>0.58</v>
      </c>
      <c r="Q297" s="14" t="n">
        <v>0.48</v>
      </c>
      <c r="R297" s="14" t="n">
        <v>0.04</v>
      </c>
      <c r="S297" s="14" t="n">
        <v>2.68</v>
      </c>
      <c r="T297" s="14" t="n">
        <v>2.55</v>
      </c>
      <c r="U297" s="14" t="n">
        <v>2.83</v>
      </c>
      <c r="V297" s="14" t="n">
        <v>4.37</v>
      </c>
      <c r="W297" s="14" t="n">
        <v>1.9</v>
      </c>
      <c r="X297" s="14" t="n">
        <v>0.6899999999999999</v>
      </c>
      <c r="Y297" s="14" t="n">
        <v>2.21</v>
      </c>
      <c r="Z297" s="14" t="n">
        <v>1.68</v>
      </c>
      <c r="AA297" s="14" t="n">
        <v>0</v>
      </c>
    </row>
    <row r="298">
      <c r="A298" t="inlineStr">
        <is>
          <t>130703</t>
        </is>
      </c>
      <c r="B298" t="inlineStr">
        <is>
          <t>LA LIBERTAD</t>
        </is>
      </c>
      <c r="C298" t="inlineStr">
        <is>
          <t>PACASMAYO</t>
        </is>
      </c>
      <c r="D298" t="inlineStr">
        <is>
          <t>JEQUETEPEQUE</t>
        </is>
      </c>
      <c r="E298" t="n">
        <v>1587</v>
      </c>
      <c r="F298" s="14" t="n">
        <v>0</v>
      </c>
      <c r="G298" s="14" t="n">
        <v>45.12</v>
      </c>
      <c r="H298" s="14" t="n">
        <v>0.19</v>
      </c>
      <c r="I298" s="14" t="n">
        <v>8.57</v>
      </c>
      <c r="J298" s="14" t="n">
        <v>0</v>
      </c>
      <c r="K298" s="14" t="n">
        <v>0</v>
      </c>
      <c r="L298" s="14" t="n">
        <v>4.66</v>
      </c>
      <c r="M298" s="14" t="n">
        <v>12.48</v>
      </c>
      <c r="N298" s="14" t="n">
        <v>9.51</v>
      </c>
      <c r="O298" s="14" t="n">
        <v>3.65</v>
      </c>
      <c r="P298" s="14" t="n">
        <v>0.38</v>
      </c>
      <c r="Q298" s="14" t="n">
        <v>0.38</v>
      </c>
      <c r="R298" s="14" t="n">
        <v>0</v>
      </c>
      <c r="S298" s="14" t="n">
        <v>1.01</v>
      </c>
      <c r="T298" s="14" t="n">
        <v>2.27</v>
      </c>
      <c r="U298" s="14" t="n">
        <v>3.97</v>
      </c>
      <c r="V298" s="14" t="n">
        <v>3.21</v>
      </c>
      <c r="W298" s="14" t="n">
        <v>0.88</v>
      </c>
      <c r="X298" s="14" t="n">
        <v>0.44</v>
      </c>
      <c r="Y298" s="14" t="n">
        <v>1.39</v>
      </c>
      <c r="Z298" s="14" t="n">
        <v>1.89</v>
      </c>
      <c r="AA298" s="14" t="n">
        <v>0</v>
      </c>
    </row>
    <row r="299">
      <c r="A299" t="inlineStr">
        <is>
          <t>130704</t>
        </is>
      </c>
      <c r="B299" t="inlineStr">
        <is>
          <t>LA LIBERTAD</t>
        </is>
      </c>
      <c r="C299" t="inlineStr">
        <is>
          <t>PACASMAYO</t>
        </is>
      </c>
      <c r="D299" t="inlineStr">
        <is>
          <t>PACASMAYO</t>
        </is>
      </c>
      <c r="E299" t="n">
        <v>11207</v>
      </c>
      <c r="F299" s="14" t="n">
        <v>0</v>
      </c>
      <c r="G299" s="14" t="n">
        <v>9.380000000000001</v>
      </c>
      <c r="H299" s="14" t="n">
        <v>0.32</v>
      </c>
      <c r="I299" s="14" t="n">
        <v>8.890000000000001</v>
      </c>
      <c r="J299" s="14" t="n">
        <v>0.21</v>
      </c>
      <c r="K299" s="14" t="n">
        <v>0.49</v>
      </c>
      <c r="L299" s="14" t="n">
        <v>9.93</v>
      </c>
      <c r="M299" s="14" t="n">
        <v>21.92</v>
      </c>
      <c r="N299" s="14" t="n">
        <v>14</v>
      </c>
      <c r="O299" s="14" t="n">
        <v>7.5</v>
      </c>
      <c r="P299" s="14" t="n">
        <v>0.75</v>
      </c>
      <c r="Q299" s="14" t="n">
        <v>1.12</v>
      </c>
      <c r="R299" s="14" t="n">
        <v>0.08</v>
      </c>
      <c r="S299" s="14" t="n">
        <v>4.26</v>
      </c>
      <c r="T299" s="14" t="n">
        <v>3.45</v>
      </c>
      <c r="U299" s="14" t="n">
        <v>3.6</v>
      </c>
      <c r="V299" s="14" t="n">
        <v>5.7</v>
      </c>
      <c r="W299" s="14" t="n">
        <v>2.17</v>
      </c>
      <c r="X299" s="14" t="n">
        <v>1.03</v>
      </c>
      <c r="Y299" s="14" t="n">
        <v>2.86</v>
      </c>
      <c r="Z299" s="14" t="n">
        <v>2.35</v>
      </c>
      <c r="AA299" s="14" t="n">
        <v>0</v>
      </c>
    </row>
    <row r="300">
      <c r="A300" t="inlineStr">
        <is>
          <t>130705</t>
        </is>
      </c>
      <c r="B300" t="inlineStr">
        <is>
          <t>LA LIBERTAD</t>
        </is>
      </c>
      <c r="C300" t="inlineStr">
        <is>
          <t>PACASMAYO</t>
        </is>
      </c>
      <c r="D300" t="inlineStr">
        <is>
          <t>SAN JOSE</t>
        </is>
      </c>
      <c r="E300" t="n">
        <v>4081</v>
      </c>
      <c r="F300" s="14" t="n">
        <v>0</v>
      </c>
      <c r="G300" s="14" t="n">
        <v>50.55</v>
      </c>
      <c r="H300" s="14" t="n">
        <v>0.2</v>
      </c>
      <c r="I300" s="14" t="n">
        <v>5.02</v>
      </c>
      <c r="J300" s="14" t="n">
        <v>0.02</v>
      </c>
      <c r="K300" s="14" t="n">
        <v>0.22</v>
      </c>
      <c r="L300" s="14" t="n">
        <v>5.05</v>
      </c>
      <c r="M300" s="14" t="n">
        <v>11.91</v>
      </c>
      <c r="N300" s="14" t="n">
        <v>9.34</v>
      </c>
      <c r="O300" s="14" t="n">
        <v>4.02</v>
      </c>
      <c r="P300" s="14" t="n">
        <v>0.17</v>
      </c>
      <c r="Q300" s="14" t="n">
        <v>0.17</v>
      </c>
      <c r="R300" s="14" t="n">
        <v>0.05</v>
      </c>
      <c r="S300" s="14" t="n">
        <v>0.98</v>
      </c>
      <c r="T300" s="14" t="n">
        <v>2.03</v>
      </c>
      <c r="U300" s="14" t="n">
        <v>3.26</v>
      </c>
      <c r="V300" s="14" t="n">
        <v>3.43</v>
      </c>
      <c r="W300" s="14" t="n">
        <v>0.86</v>
      </c>
      <c r="X300" s="14" t="n">
        <v>0.32</v>
      </c>
      <c r="Y300" s="14" t="n">
        <v>1.27</v>
      </c>
      <c r="Z300" s="14" t="n">
        <v>1.13</v>
      </c>
      <c r="AA300" s="14" t="n">
        <v>0</v>
      </c>
    </row>
    <row r="301">
      <c r="A301" t="inlineStr">
        <is>
          <t>130801</t>
        </is>
      </c>
      <c r="B301" t="inlineStr">
        <is>
          <t>LA LIBERTAD</t>
        </is>
      </c>
      <c r="C301" t="inlineStr">
        <is>
          <t>PATAZ</t>
        </is>
      </c>
      <c r="D301" t="inlineStr">
        <is>
          <t>TAYABAMBA</t>
        </is>
      </c>
      <c r="E301" t="n">
        <v>3459</v>
      </c>
      <c r="F301" s="14" t="n">
        <v>0</v>
      </c>
      <c r="G301" s="14" t="n">
        <v>48.54</v>
      </c>
      <c r="H301" s="14" t="n">
        <v>4.02</v>
      </c>
      <c r="I301" s="14" t="n">
        <v>2.63</v>
      </c>
      <c r="J301" s="14" t="n">
        <v>0.06</v>
      </c>
      <c r="K301" s="14" t="n">
        <v>0.09</v>
      </c>
      <c r="L301" s="14" t="n">
        <v>5.06</v>
      </c>
      <c r="M301" s="14" t="n">
        <v>8.789999999999999</v>
      </c>
      <c r="N301" s="14" t="n">
        <v>2.98</v>
      </c>
      <c r="O301" s="14" t="n">
        <v>2.72</v>
      </c>
      <c r="P301" s="14" t="n">
        <v>0.17</v>
      </c>
      <c r="Q301" s="14" t="n">
        <v>0.52</v>
      </c>
      <c r="R301" s="14" t="n">
        <v>0.03</v>
      </c>
      <c r="S301" s="14" t="n">
        <v>2.37</v>
      </c>
      <c r="T301" s="14" t="n">
        <v>0.87</v>
      </c>
      <c r="U301" s="14" t="n">
        <v>4.19</v>
      </c>
      <c r="V301" s="14" t="n">
        <v>12.43</v>
      </c>
      <c r="W301" s="14" t="n">
        <v>1.91</v>
      </c>
      <c r="X301" s="14" t="n">
        <v>0.17</v>
      </c>
      <c r="Y301" s="14" t="n">
        <v>1.39</v>
      </c>
      <c r="Z301" s="14" t="n">
        <v>1.07</v>
      </c>
      <c r="AA301" s="14" t="n">
        <v>0</v>
      </c>
    </row>
    <row r="302">
      <c r="A302" t="inlineStr">
        <is>
          <t>130802</t>
        </is>
      </c>
      <c r="B302" t="inlineStr">
        <is>
          <t>LA LIBERTAD</t>
        </is>
      </c>
      <c r="C302" t="inlineStr">
        <is>
          <t>PATAZ</t>
        </is>
      </c>
      <c r="D302" t="inlineStr">
        <is>
          <t>BULDIBUYO</t>
        </is>
      </c>
      <c r="E302" t="n">
        <v>1215</v>
      </c>
      <c r="F302" s="14" t="n">
        <v>0</v>
      </c>
      <c r="G302" s="14" t="n">
        <v>46.67</v>
      </c>
      <c r="H302" s="14" t="n">
        <v>26.42</v>
      </c>
      <c r="I302" s="14" t="n">
        <v>1.15</v>
      </c>
      <c r="J302" s="14" t="n">
        <v>0.16</v>
      </c>
      <c r="K302" s="14" t="n">
        <v>0.08</v>
      </c>
      <c r="L302" s="14" t="n">
        <v>2.72</v>
      </c>
      <c r="M302" s="14" t="n">
        <v>7.33</v>
      </c>
      <c r="N302" s="14" t="n">
        <v>1.56</v>
      </c>
      <c r="O302" s="14" t="n">
        <v>3.13</v>
      </c>
      <c r="P302" s="14" t="n">
        <v>0</v>
      </c>
      <c r="Q302" s="14" t="n">
        <v>0.08</v>
      </c>
      <c r="R302" s="14" t="n">
        <v>0</v>
      </c>
      <c r="S302" s="14" t="n">
        <v>0.91</v>
      </c>
      <c r="T302" s="14" t="n">
        <v>1.07</v>
      </c>
      <c r="U302" s="14" t="n">
        <v>1.15</v>
      </c>
      <c r="V302" s="14" t="n">
        <v>4.77</v>
      </c>
      <c r="W302" s="14" t="n">
        <v>1.56</v>
      </c>
      <c r="X302" s="14" t="n">
        <v>0.25</v>
      </c>
      <c r="Y302" s="14" t="n">
        <v>0.41</v>
      </c>
      <c r="Z302" s="14" t="n">
        <v>0.58</v>
      </c>
      <c r="AA302" s="14" t="n">
        <v>0</v>
      </c>
    </row>
    <row r="303">
      <c r="A303" t="inlineStr">
        <is>
          <t>130803</t>
        </is>
      </c>
      <c r="B303" t="inlineStr">
        <is>
          <t>LA LIBERTAD</t>
        </is>
      </c>
      <c r="C303" t="inlineStr">
        <is>
          <t>PATAZ</t>
        </is>
      </c>
      <c r="D303" t="inlineStr">
        <is>
          <t>CHILLIA</t>
        </is>
      </c>
      <c r="E303" t="n">
        <v>2044</v>
      </c>
      <c r="F303" s="14" t="n">
        <v>0</v>
      </c>
      <c r="G303" s="14" t="n">
        <v>65.12</v>
      </c>
      <c r="H303" s="14" t="n">
        <v>1.13</v>
      </c>
      <c r="I303" s="14" t="n">
        <v>1.37</v>
      </c>
      <c r="J303" s="14" t="n">
        <v>0</v>
      </c>
      <c r="K303" s="14" t="n">
        <v>0</v>
      </c>
      <c r="L303" s="14" t="n">
        <v>4.11</v>
      </c>
      <c r="M303" s="14" t="n">
        <v>5.82</v>
      </c>
      <c r="N303" s="14" t="n">
        <v>1.61</v>
      </c>
      <c r="O303" s="14" t="n">
        <v>1.47</v>
      </c>
      <c r="P303" s="14" t="n">
        <v>0.1</v>
      </c>
      <c r="Q303" s="14" t="n">
        <v>0.05</v>
      </c>
      <c r="R303" s="14" t="n">
        <v>0</v>
      </c>
      <c r="S303" s="14" t="n">
        <v>1.37</v>
      </c>
      <c r="T303" s="14" t="n">
        <v>0.34</v>
      </c>
      <c r="U303" s="14" t="n">
        <v>1.71</v>
      </c>
      <c r="V303" s="14" t="n">
        <v>11.25</v>
      </c>
      <c r="W303" s="14" t="n">
        <v>1.71</v>
      </c>
      <c r="X303" s="14" t="n">
        <v>0.1</v>
      </c>
      <c r="Y303" s="14" t="n">
        <v>1.71</v>
      </c>
      <c r="Z303" s="14" t="n">
        <v>1.03</v>
      </c>
      <c r="AA303" s="14" t="n">
        <v>0</v>
      </c>
    </row>
    <row r="304">
      <c r="A304" t="inlineStr">
        <is>
          <t>130804</t>
        </is>
      </c>
      <c r="B304" t="inlineStr">
        <is>
          <t>LA LIBERTAD</t>
        </is>
      </c>
      <c r="C304" t="inlineStr">
        <is>
          <t>PATAZ</t>
        </is>
      </c>
      <c r="D304" t="inlineStr">
        <is>
          <t>HUANCASPATA</t>
        </is>
      </c>
      <c r="E304" t="n">
        <v>982</v>
      </c>
      <c r="F304" s="14" t="n">
        <v>0</v>
      </c>
      <c r="G304" s="14" t="n">
        <v>67.52</v>
      </c>
      <c r="H304" s="14" t="n">
        <v>0.31</v>
      </c>
      <c r="I304" s="14" t="n">
        <v>1.32</v>
      </c>
      <c r="J304" s="14" t="n">
        <v>0</v>
      </c>
      <c r="K304" s="14" t="n">
        <v>0</v>
      </c>
      <c r="L304" s="14" t="n">
        <v>4.28</v>
      </c>
      <c r="M304" s="14" t="n">
        <v>4.07</v>
      </c>
      <c r="N304" s="14" t="n">
        <v>1.63</v>
      </c>
      <c r="O304" s="14" t="n">
        <v>1.53</v>
      </c>
      <c r="P304" s="14" t="n">
        <v>0</v>
      </c>
      <c r="Q304" s="14" t="n">
        <v>0</v>
      </c>
      <c r="R304" s="14" t="n">
        <v>0</v>
      </c>
      <c r="S304" s="14" t="n">
        <v>0.51</v>
      </c>
      <c r="T304" s="14" t="n">
        <v>0.31</v>
      </c>
      <c r="U304" s="14" t="n">
        <v>2.44</v>
      </c>
      <c r="V304" s="14" t="n">
        <v>14.05</v>
      </c>
      <c r="W304" s="14" t="n">
        <v>1.43</v>
      </c>
      <c r="X304" s="14" t="n">
        <v>0</v>
      </c>
      <c r="Y304" s="14" t="n">
        <v>0.41</v>
      </c>
      <c r="Z304" s="14" t="n">
        <v>0.2</v>
      </c>
      <c r="AA304" s="14" t="n">
        <v>0</v>
      </c>
    </row>
    <row r="305">
      <c r="A305" t="inlineStr">
        <is>
          <t>130805</t>
        </is>
      </c>
      <c r="B305" t="inlineStr">
        <is>
          <t>LA LIBERTAD</t>
        </is>
      </c>
      <c r="C305" t="inlineStr">
        <is>
          <t>PATAZ</t>
        </is>
      </c>
      <c r="D305" t="inlineStr">
        <is>
          <t>HUAYLILLAS</t>
        </is>
      </c>
      <c r="E305" t="n">
        <v>271</v>
      </c>
      <c r="F305" s="14" t="n">
        <v>0</v>
      </c>
      <c r="G305" s="14" t="n">
        <v>35.06</v>
      </c>
      <c r="H305" s="14" t="n">
        <v>16.97</v>
      </c>
      <c r="I305" s="14" t="n">
        <v>3.32</v>
      </c>
      <c r="J305" s="14" t="n">
        <v>0</v>
      </c>
      <c r="K305" s="14" t="n">
        <v>0</v>
      </c>
      <c r="L305" s="14" t="n">
        <v>5.9</v>
      </c>
      <c r="M305" s="14" t="n">
        <v>6.27</v>
      </c>
      <c r="N305" s="14" t="n">
        <v>2.58</v>
      </c>
      <c r="O305" s="14" t="n">
        <v>3.32</v>
      </c>
      <c r="P305" s="14" t="n">
        <v>0</v>
      </c>
      <c r="Q305" s="14" t="n">
        <v>0</v>
      </c>
      <c r="R305" s="14" t="n">
        <v>0</v>
      </c>
      <c r="S305" s="14" t="n">
        <v>3.69</v>
      </c>
      <c r="T305" s="14" t="n">
        <v>2.21</v>
      </c>
      <c r="U305" s="14" t="n">
        <v>5.9</v>
      </c>
      <c r="V305" s="14" t="n">
        <v>12.18</v>
      </c>
      <c r="W305" s="14" t="n">
        <v>1.85</v>
      </c>
      <c r="X305" s="14" t="n">
        <v>0</v>
      </c>
      <c r="Y305" s="14" t="n">
        <v>0.37</v>
      </c>
      <c r="Z305" s="14" t="n">
        <v>0.37</v>
      </c>
      <c r="AA305" s="14" t="n">
        <v>0</v>
      </c>
    </row>
    <row r="306">
      <c r="A306" t="inlineStr">
        <is>
          <t>130806</t>
        </is>
      </c>
      <c r="B306" t="inlineStr">
        <is>
          <t>LA LIBERTAD</t>
        </is>
      </c>
      <c r="C306" t="inlineStr">
        <is>
          <t>PATAZ</t>
        </is>
      </c>
      <c r="D306" t="inlineStr">
        <is>
          <t>HUAYO</t>
        </is>
      </c>
      <c r="E306" t="n">
        <v>735</v>
      </c>
      <c r="F306" s="14" t="n">
        <v>0</v>
      </c>
      <c r="G306" s="14" t="n">
        <v>69.52</v>
      </c>
      <c r="H306" s="14" t="n">
        <v>3.54</v>
      </c>
      <c r="I306" s="14" t="n">
        <v>2.18</v>
      </c>
      <c r="J306" s="14" t="n">
        <v>0</v>
      </c>
      <c r="K306" s="14" t="n">
        <v>0</v>
      </c>
      <c r="L306" s="14" t="n">
        <v>7.48</v>
      </c>
      <c r="M306" s="14" t="n">
        <v>1.5</v>
      </c>
      <c r="N306" s="14" t="n">
        <v>0.82</v>
      </c>
      <c r="O306" s="14" t="n">
        <v>0</v>
      </c>
      <c r="P306" s="14" t="n">
        <v>0.14</v>
      </c>
      <c r="Q306" s="14" t="n">
        <v>0</v>
      </c>
      <c r="R306" s="14" t="n">
        <v>0</v>
      </c>
      <c r="S306" s="14" t="n">
        <v>1.09</v>
      </c>
      <c r="T306" s="14" t="n">
        <v>0</v>
      </c>
      <c r="U306" s="14" t="n">
        <v>1.22</v>
      </c>
      <c r="V306" s="14" t="n">
        <v>10.48</v>
      </c>
      <c r="W306" s="14" t="n">
        <v>0.95</v>
      </c>
      <c r="X306" s="14" t="n">
        <v>0</v>
      </c>
      <c r="Y306" s="14" t="n">
        <v>0.14</v>
      </c>
      <c r="Z306" s="14" t="n">
        <v>0.95</v>
      </c>
      <c r="AA306" s="14" t="n">
        <v>0</v>
      </c>
    </row>
    <row r="307">
      <c r="A307" t="inlineStr">
        <is>
          <t>130807</t>
        </is>
      </c>
      <c r="B307" t="inlineStr">
        <is>
          <t>LA LIBERTAD</t>
        </is>
      </c>
      <c r="C307" t="inlineStr">
        <is>
          <t>PATAZ</t>
        </is>
      </c>
      <c r="D307" t="inlineStr">
        <is>
          <t>ONGON</t>
        </is>
      </c>
      <c r="E307" t="n">
        <v>464</v>
      </c>
      <c r="F307" s="14" t="n">
        <v>0</v>
      </c>
      <c r="G307" s="14" t="n">
        <v>90.52</v>
      </c>
      <c r="H307" s="14" t="n">
        <v>0</v>
      </c>
      <c r="I307" s="14" t="n">
        <v>0.22</v>
      </c>
      <c r="J307" s="14" t="n">
        <v>0</v>
      </c>
      <c r="K307" s="14" t="n">
        <v>0</v>
      </c>
      <c r="L307" s="14" t="n">
        <v>0</v>
      </c>
      <c r="M307" s="14" t="n">
        <v>0.43</v>
      </c>
      <c r="N307" s="14" t="n">
        <v>0.22</v>
      </c>
      <c r="O307" s="14" t="n">
        <v>0</v>
      </c>
      <c r="P307" s="14" t="n">
        <v>0</v>
      </c>
      <c r="Q307" s="14" t="n">
        <v>0</v>
      </c>
      <c r="R307" s="14" t="n">
        <v>0</v>
      </c>
      <c r="S307" s="14" t="n">
        <v>1.08</v>
      </c>
      <c r="T307" s="14" t="n">
        <v>0.22</v>
      </c>
      <c r="U307" s="14" t="n">
        <v>0.43</v>
      </c>
      <c r="V307" s="14" t="n">
        <v>5.39</v>
      </c>
      <c r="W307" s="14" t="n">
        <v>1.08</v>
      </c>
      <c r="X307" s="14" t="n">
        <v>0</v>
      </c>
      <c r="Y307" s="14" t="n">
        <v>0</v>
      </c>
      <c r="Z307" s="14" t="n">
        <v>0.43</v>
      </c>
      <c r="AA307" s="14" t="n">
        <v>0</v>
      </c>
    </row>
    <row r="308">
      <c r="A308" t="inlineStr">
        <is>
          <t>130808</t>
        </is>
      </c>
      <c r="B308" t="inlineStr">
        <is>
          <t>LA LIBERTAD</t>
        </is>
      </c>
      <c r="C308" t="inlineStr">
        <is>
          <t>PATAZ</t>
        </is>
      </c>
      <c r="D308" t="inlineStr">
        <is>
          <t>PARCOY</t>
        </is>
      </c>
      <c r="E308" t="n">
        <v>9691</v>
      </c>
      <c r="F308" s="14" t="n">
        <v>0</v>
      </c>
      <c r="G308" s="14" t="n">
        <v>10.85</v>
      </c>
      <c r="H308" s="14" t="n">
        <v>52.41</v>
      </c>
      <c r="I308" s="14" t="n">
        <v>2.04</v>
      </c>
      <c r="J308" s="14" t="n">
        <v>0.07000000000000001</v>
      </c>
      <c r="K308" s="14" t="n">
        <v>0.26</v>
      </c>
      <c r="L308" s="14" t="n">
        <v>6.13</v>
      </c>
      <c r="M308" s="14" t="n">
        <v>9.380000000000001</v>
      </c>
      <c r="N308" s="14" t="n">
        <v>3.51</v>
      </c>
      <c r="O308" s="14" t="n">
        <v>4.61</v>
      </c>
      <c r="P308" s="14" t="n">
        <v>0.03</v>
      </c>
      <c r="Q308" s="14" t="n">
        <v>0.03</v>
      </c>
      <c r="R308" s="14" t="n">
        <v>0.01</v>
      </c>
      <c r="S308" s="14" t="n">
        <v>1.5</v>
      </c>
      <c r="T308" s="14" t="n">
        <v>2.88</v>
      </c>
      <c r="U308" s="14" t="n">
        <v>1.43</v>
      </c>
      <c r="V308" s="14" t="n">
        <v>2.63</v>
      </c>
      <c r="W308" s="14" t="n">
        <v>0.54</v>
      </c>
      <c r="X308" s="14" t="n">
        <v>0.08</v>
      </c>
      <c r="Y308" s="14" t="n">
        <v>1.35</v>
      </c>
      <c r="Z308" s="14" t="n">
        <v>0.26</v>
      </c>
      <c r="AA308" s="14" t="n">
        <v>0</v>
      </c>
    </row>
    <row r="309">
      <c r="A309" t="inlineStr">
        <is>
          <t>130809</t>
        </is>
      </c>
      <c r="B309" t="inlineStr">
        <is>
          <t>LA LIBERTAD</t>
        </is>
      </c>
      <c r="C309" t="inlineStr">
        <is>
          <t>PATAZ</t>
        </is>
      </c>
      <c r="D309" t="inlineStr">
        <is>
          <t>PATAZ</t>
        </is>
      </c>
      <c r="E309" t="n">
        <v>3714</v>
      </c>
      <c r="F309" s="14" t="n">
        <v>0</v>
      </c>
      <c r="G309" s="14" t="n">
        <v>17.23</v>
      </c>
      <c r="H309" s="14" t="n">
        <v>37.29</v>
      </c>
      <c r="I309" s="14" t="n">
        <v>3.31</v>
      </c>
      <c r="J309" s="14" t="n">
        <v>0.05</v>
      </c>
      <c r="K309" s="14" t="n">
        <v>0.05</v>
      </c>
      <c r="L309" s="14" t="n">
        <v>8.640000000000001</v>
      </c>
      <c r="M309" s="14" t="n">
        <v>11.23</v>
      </c>
      <c r="N309" s="14" t="n">
        <v>4.33</v>
      </c>
      <c r="O309" s="14" t="n">
        <v>4.55</v>
      </c>
      <c r="P309" s="14" t="n">
        <v>0.05</v>
      </c>
      <c r="Q309" s="14" t="n">
        <v>0.03</v>
      </c>
      <c r="R309" s="14" t="n">
        <v>0.03</v>
      </c>
      <c r="S309" s="14" t="n">
        <v>1.99</v>
      </c>
      <c r="T309" s="14" t="n">
        <v>2.37</v>
      </c>
      <c r="U309" s="14" t="n">
        <v>2.07</v>
      </c>
      <c r="V309" s="14" t="n">
        <v>3.42</v>
      </c>
      <c r="W309" s="14" t="n">
        <v>0.46</v>
      </c>
      <c r="X309" s="14" t="n">
        <v>0.22</v>
      </c>
      <c r="Y309" s="14" t="n">
        <v>1.08</v>
      </c>
      <c r="Z309" s="14" t="n">
        <v>1.59</v>
      </c>
      <c r="AA309" s="14" t="n">
        <v>0</v>
      </c>
    </row>
    <row r="310">
      <c r="A310" t="inlineStr">
        <is>
          <t>130810</t>
        </is>
      </c>
      <c r="B310" t="inlineStr">
        <is>
          <t>LA LIBERTAD</t>
        </is>
      </c>
      <c r="C310" t="inlineStr">
        <is>
          <t>PATAZ</t>
        </is>
      </c>
      <c r="D310" t="inlineStr">
        <is>
          <t>PIAS</t>
        </is>
      </c>
      <c r="E310" t="n">
        <v>544</v>
      </c>
      <c r="F310" s="14" t="n">
        <v>0</v>
      </c>
      <c r="G310" s="14" t="n">
        <v>40.99</v>
      </c>
      <c r="H310" s="14" t="n">
        <v>14.52</v>
      </c>
      <c r="I310" s="14" t="n">
        <v>3.13</v>
      </c>
      <c r="J310" s="14" t="n">
        <v>0</v>
      </c>
      <c r="K310" s="14" t="n">
        <v>0.37</v>
      </c>
      <c r="L310" s="14" t="n">
        <v>11.76</v>
      </c>
      <c r="M310" s="14" t="n">
        <v>6.07</v>
      </c>
      <c r="N310" s="14" t="n">
        <v>3.31</v>
      </c>
      <c r="O310" s="14" t="n">
        <v>3.13</v>
      </c>
      <c r="P310" s="14" t="n">
        <v>0</v>
      </c>
      <c r="Q310" s="14" t="n">
        <v>0</v>
      </c>
      <c r="R310" s="14" t="n">
        <v>0</v>
      </c>
      <c r="S310" s="14" t="n">
        <v>0.37</v>
      </c>
      <c r="T310" s="14" t="n">
        <v>2.21</v>
      </c>
      <c r="U310" s="14" t="n">
        <v>3.31</v>
      </c>
      <c r="V310" s="14" t="n">
        <v>8.09</v>
      </c>
      <c r="W310" s="14" t="n">
        <v>1.29</v>
      </c>
      <c r="X310" s="14" t="n">
        <v>0.18</v>
      </c>
      <c r="Y310" s="14" t="n">
        <v>0.74</v>
      </c>
      <c r="Z310" s="14" t="n">
        <v>0.55</v>
      </c>
      <c r="AA310" s="14" t="n">
        <v>0</v>
      </c>
    </row>
    <row r="311">
      <c r="A311" t="inlineStr">
        <is>
          <t>130811</t>
        </is>
      </c>
      <c r="B311" t="inlineStr">
        <is>
          <t>LA LIBERTAD</t>
        </is>
      </c>
      <c r="C311" t="inlineStr">
        <is>
          <t>PATAZ</t>
        </is>
      </c>
      <c r="D311" t="inlineStr">
        <is>
          <t>SANTIAGO DE CHALLAS</t>
        </is>
      </c>
      <c r="E311" t="n">
        <v>426</v>
      </c>
      <c r="F311" s="14" t="n">
        <v>0</v>
      </c>
      <c r="G311" s="14" t="n">
        <v>72.06999999999999</v>
      </c>
      <c r="H311" s="14" t="n">
        <v>0.23</v>
      </c>
      <c r="I311" s="14" t="n">
        <v>0.9399999999999999</v>
      </c>
      <c r="J311" s="14" t="n">
        <v>0</v>
      </c>
      <c r="K311" s="14" t="n">
        <v>0</v>
      </c>
      <c r="L311" s="14" t="n">
        <v>2.82</v>
      </c>
      <c r="M311" s="14" t="n">
        <v>3.76</v>
      </c>
      <c r="N311" s="14" t="n">
        <v>0.23</v>
      </c>
      <c r="O311" s="14" t="n">
        <v>0.47</v>
      </c>
      <c r="P311" s="14" t="n">
        <v>0</v>
      </c>
      <c r="Q311" s="14" t="n">
        <v>0</v>
      </c>
      <c r="R311" s="14" t="n">
        <v>0</v>
      </c>
      <c r="S311" s="14" t="n">
        <v>1.64</v>
      </c>
      <c r="T311" s="14" t="n">
        <v>0.23</v>
      </c>
      <c r="U311" s="14" t="n">
        <v>3.76</v>
      </c>
      <c r="V311" s="14" t="n">
        <v>10.33</v>
      </c>
      <c r="W311" s="14" t="n">
        <v>0.9399999999999999</v>
      </c>
      <c r="X311" s="14" t="n">
        <v>0</v>
      </c>
      <c r="Y311" s="14" t="n">
        <v>0.7</v>
      </c>
      <c r="Z311" s="14" t="n">
        <v>1.88</v>
      </c>
      <c r="AA311" s="14" t="n">
        <v>0</v>
      </c>
    </row>
    <row r="312">
      <c r="A312" t="inlineStr">
        <is>
          <t>130812</t>
        </is>
      </c>
      <c r="B312" t="inlineStr">
        <is>
          <t>LA LIBERTAD</t>
        </is>
      </c>
      <c r="C312" t="inlineStr">
        <is>
          <t>PATAZ</t>
        </is>
      </c>
      <c r="D312" t="inlineStr">
        <is>
          <t>TAURIJA</t>
        </is>
      </c>
      <c r="E312" t="n">
        <v>551</v>
      </c>
      <c r="F312" s="14" t="n">
        <v>0</v>
      </c>
      <c r="G312" s="14" t="n">
        <v>65.34</v>
      </c>
      <c r="H312" s="14" t="n">
        <v>1.45</v>
      </c>
      <c r="I312" s="14" t="n">
        <v>1.63</v>
      </c>
      <c r="J312" s="14" t="n">
        <v>0</v>
      </c>
      <c r="K312" s="14" t="n">
        <v>0</v>
      </c>
      <c r="L312" s="14" t="n">
        <v>2.9</v>
      </c>
      <c r="M312" s="14" t="n">
        <v>5.63</v>
      </c>
      <c r="N312" s="14" t="n">
        <v>1.27</v>
      </c>
      <c r="O312" s="14" t="n">
        <v>1.63</v>
      </c>
      <c r="P312" s="14" t="n">
        <v>0</v>
      </c>
      <c r="Q312" s="14" t="n">
        <v>0</v>
      </c>
      <c r="R312" s="14" t="n">
        <v>0</v>
      </c>
      <c r="S312" s="14" t="n">
        <v>1.81</v>
      </c>
      <c r="T312" s="14" t="n">
        <v>0.91</v>
      </c>
      <c r="U312" s="14" t="n">
        <v>1.81</v>
      </c>
      <c r="V312" s="14" t="n">
        <v>11.8</v>
      </c>
      <c r="W312" s="14" t="n">
        <v>2.36</v>
      </c>
      <c r="X312" s="14" t="n">
        <v>0.36</v>
      </c>
      <c r="Y312" s="14" t="n">
        <v>0.91</v>
      </c>
      <c r="Z312" s="14" t="n">
        <v>0.18</v>
      </c>
      <c r="AA312" s="14" t="n">
        <v>0</v>
      </c>
    </row>
    <row r="313">
      <c r="A313" t="inlineStr">
        <is>
          <t>130813</t>
        </is>
      </c>
      <c r="B313" t="inlineStr">
        <is>
          <t>LA LIBERTAD</t>
        </is>
      </c>
      <c r="C313" t="inlineStr">
        <is>
          <t>PATAZ</t>
        </is>
      </c>
      <c r="D313" t="inlineStr">
        <is>
          <t>URPAY</t>
        </is>
      </c>
      <c r="E313" t="n">
        <v>363</v>
      </c>
      <c r="F313" s="14" t="n">
        <v>0</v>
      </c>
      <c r="G313" s="14" t="n">
        <v>68.31999999999999</v>
      </c>
      <c r="H313" s="14" t="n">
        <v>0.28</v>
      </c>
      <c r="I313" s="14" t="n">
        <v>1.65</v>
      </c>
      <c r="J313" s="14" t="n">
        <v>0</v>
      </c>
      <c r="K313" s="14" t="n">
        <v>0</v>
      </c>
      <c r="L313" s="14" t="n">
        <v>3.31</v>
      </c>
      <c r="M313" s="14" t="n">
        <v>3.58</v>
      </c>
      <c r="N313" s="14" t="n">
        <v>1.1</v>
      </c>
      <c r="O313" s="14" t="n">
        <v>1.38</v>
      </c>
      <c r="P313" s="14" t="n">
        <v>0</v>
      </c>
      <c r="Q313" s="14" t="n">
        <v>0</v>
      </c>
      <c r="R313" s="14" t="n">
        <v>0</v>
      </c>
      <c r="S313" s="14" t="n">
        <v>3.31</v>
      </c>
      <c r="T313" s="14" t="n">
        <v>0.28</v>
      </c>
      <c r="U313" s="14" t="n">
        <v>1.93</v>
      </c>
      <c r="V313" s="14" t="n">
        <v>11.29</v>
      </c>
      <c r="W313" s="14" t="n">
        <v>2.48</v>
      </c>
      <c r="X313" s="14" t="n">
        <v>0</v>
      </c>
      <c r="Y313" s="14" t="n">
        <v>1.1</v>
      </c>
      <c r="Z313" s="14" t="n">
        <v>0</v>
      </c>
      <c r="AA313" s="14" t="n">
        <v>0</v>
      </c>
    </row>
    <row r="314">
      <c r="A314" t="inlineStr">
        <is>
          <t>130901</t>
        </is>
      </c>
      <c r="B314" t="inlineStr">
        <is>
          <t>LA LIBERTAD</t>
        </is>
      </c>
      <c r="C314" t="inlineStr">
        <is>
          <t>SANCHEZ CARRION</t>
        </is>
      </c>
      <c r="D314" t="inlineStr">
        <is>
          <t>HUAMACHUCO</t>
        </is>
      </c>
      <c r="E314" t="n">
        <v>21769</v>
      </c>
      <c r="F314" s="14" t="n">
        <v>0</v>
      </c>
      <c r="G314" s="14" t="n">
        <v>31.85</v>
      </c>
      <c r="H314" s="14" t="n">
        <v>5</v>
      </c>
      <c r="I314" s="14" t="n">
        <v>4.17</v>
      </c>
      <c r="J314" s="14" t="n">
        <v>0.04</v>
      </c>
      <c r="K314" s="14" t="n">
        <v>0.06</v>
      </c>
      <c r="L314" s="14" t="n">
        <v>8.800000000000001</v>
      </c>
      <c r="M314" s="14" t="n">
        <v>14.62</v>
      </c>
      <c r="N314" s="14" t="n">
        <v>8.119999999999999</v>
      </c>
      <c r="O314" s="14" t="n">
        <v>5.62</v>
      </c>
      <c r="P314" s="14" t="n">
        <v>0.37</v>
      </c>
      <c r="Q314" s="14" t="n">
        <v>0.73</v>
      </c>
      <c r="R314" s="14" t="n">
        <v>0.02</v>
      </c>
      <c r="S314" s="14" t="n">
        <v>2.06</v>
      </c>
      <c r="T314" s="14" t="n">
        <v>1.9</v>
      </c>
      <c r="U314" s="14" t="n">
        <v>2.74</v>
      </c>
      <c r="V314" s="14" t="n">
        <v>8.02</v>
      </c>
      <c r="W314" s="14" t="n">
        <v>1.47</v>
      </c>
      <c r="X314" s="14" t="n">
        <v>0.45</v>
      </c>
      <c r="Y314" s="14" t="n">
        <v>2.47</v>
      </c>
      <c r="Z314" s="14" t="n">
        <v>1.5</v>
      </c>
      <c r="AA314" s="14" t="n">
        <v>0</v>
      </c>
    </row>
    <row r="315">
      <c r="A315" t="inlineStr">
        <is>
          <t>130902</t>
        </is>
      </c>
      <c r="B315" t="inlineStr">
        <is>
          <t>LA LIBERTAD</t>
        </is>
      </c>
      <c r="C315" t="inlineStr">
        <is>
          <t>SANCHEZ CARRION</t>
        </is>
      </c>
      <c r="D315" t="inlineStr">
        <is>
          <t>CHUGAY</t>
        </is>
      </c>
      <c r="E315" t="n">
        <v>3854</v>
      </c>
      <c r="F315" s="14" t="n">
        <v>0</v>
      </c>
      <c r="G315" s="14" t="n">
        <v>80.15000000000001</v>
      </c>
      <c r="H315" s="14" t="n">
        <v>2.02</v>
      </c>
      <c r="I315" s="14" t="n">
        <v>1.74</v>
      </c>
      <c r="J315" s="14" t="n">
        <v>0</v>
      </c>
      <c r="K315" s="14" t="n">
        <v>0</v>
      </c>
      <c r="L315" s="14" t="n">
        <v>2.54</v>
      </c>
      <c r="M315" s="14" t="n">
        <v>4.83</v>
      </c>
      <c r="N315" s="14" t="n">
        <v>1.27</v>
      </c>
      <c r="O315" s="14" t="n">
        <v>1.3</v>
      </c>
      <c r="P315" s="14" t="n">
        <v>0</v>
      </c>
      <c r="Q315" s="14" t="n">
        <v>0</v>
      </c>
      <c r="R315" s="14" t="n">
        <v>0.03</v>
      </c>
      <c r="S315" s="14" t="n">
        <v>0.29</v>
      </c>
      <c r="T315" s="14" t="n">
        <v>0.36</v>
      </c>
      <c r="U315" s="14" t="n">
        <v>1.43</v>
      </c>
      <c r="V315" s="14" t="n">
        <v>1.97</v>
      </c>
      <c r="W315" s="14" t="n">
        <v>1.06</v>
      </c>
      <c r="X315" s="14" t="n">
        <v>0</v>
      </c>
      <c r="Y315" s="14" t="n">
        <v>0.7</v>
      </c>
      <c r="Z315" s="14" t="n">
        <v>0.31</v>
      </c>
      <c r="AA315" s="14" t="n">
        <v>0</v>
      </c>
    </row>
    <row r="316">
      <c r="A316" t="inlineStr">
        <is>
          <t>130903</t>
        </is>
      </c>
      <c r="B316" t="inlineStr">
        <is>
          <t>LA LIBERTAD</t>
        </is>
      </c>
      <c r="C316" t="inlineStr">
        <is>
          <t>SANCHEZ CARRION</t>
        </is>
      </c>
      <c r="D316" t="inlineStr">
        <is>
          <t>COCHORCO</t>
        </is>
      </c>
      <c r="E316" t="n">
        <v>1660</v>
      </c>
      <c r="F316" s="14" t="n">
        <v>0</v>
      </c>
      <c r="G316" s="14" t="n">
        <v>67.23</v>
      </c>
      <c r="H316" s="14" t="n">
        <v>5.48</v>
      </c>
      <c r="I316" s="14" t="n">
        <v>2.11</v>
      </c>
      <c r="J316" s="14" t="n">
        <v>0.18</v>
      </c>
      <c r="K316" s="14" t="n">
        <v>0.06</v>
      </c>
      <c r="L316" s="14" t="n">
        <v>3.86</v>
      </c>
      <c r="M316" s="14" t="n">
        <v>4.88</v>
      </c>
      <c r="N316" s="14" t="n">
        <v>1.93</v>
      </c>
      <c r="O316" s="14" t="n">
        <v>2.05</v>
      </c>
      <c r="P316" s="14" t="n">
        <v>0.12</v>
      </c>
      <c r="Q316" s="14" t="n">
        <v>0</v>
      </c>
      <c r="R316" s="14" t="n">
        <v>0</v>
      </c>
      <c r="S316" s="14" t="n">
        <v>0.42</v>
      </c>
      <c r="T316" s="14" t="n">
        <v>0.24</v>
      </c>
      <c r="U316" s="14" t="n">
        <v>0.9</v>
      </c>
      <c r="V316" s="14" t="n">
        <v>5.24</v>
      </c>
      <c r="W316" s="14" t="n">
        <v>1.39</v>
      </c>
      <c r="X316" s="14" t="n">
        <v>0</v>
      </c>
      <c r="Y316" s="14" t="n">
        <v>3.43</v>
      </c>
      <c r="Z316" s="14" t="n">
        <v>0.48</v>
      </c>
      <c r="AA316" s="14" t="n">
        <v>0</v>
      </c>
    </row>
    <row r="317">
      <c r="A317" t="inlineStr">
        <is>
          <t>130904</t>
        </is>
      </c>
      <c r="B317" t="inlineStr">
        <is>
          <t>LA LIBERTAD</t>
        </is>
      </c>
      <c r="C317" t="inlineStr">
        <is>
          <t>SANCHEZ CARRION</t>
        </is>
      </c>
      <c r="D317" t="inlineStr">
        <is>
          <t>CURGOS</t>
        </is>
      </c>
      <c r="E317" t="n">
        <v>2055</v>
      </c>
      <c r="F317" s="14" t="n">
        <v>0</v>
      </c>
      <c r="G317" s="14" t="n">
        <v>86.76000000000001</v>
      </c>
      <c r="H317" s="14" t="n">
        <v>0.68</v>
      </c>
      <c r="I317" s="14" t="n">
        <v>0.88</v>
      </c>
      <c r="J317" s="14" t="n">
        <v>0</v>
      </c>
      <c r="K317" s="14" t="n">
        <v>0</v>
      </c>
      <c r="L317" s="14" t="n">
        <v>1.46</v>
      </c>
      <c r="M317" s="14" t="n">
        <v>3.21</v>
      </c>
      <c r="N317" s="14" t="n">
        <v>1.75</v>
      </c>
      <c r="O317" s="14" t="n">
        <v>0.83</v>
      </c>
      <c r="P317" s="14" t="n">
        <v>0.1</v>
      </c>
      <c r="Q317" s="14" t="n">
        <v>0.1</v>
      </c>
      <c r="R317" s="14" t="n">
        <v>0</v>
      </c>
      <c r="S317" s="14" t="n">
        <v>0.05</v>
      </c>
      <c r="T317" s="14" t="n">
        <v>0</v>
      </c>
      <c r="U317" s="14" t="n">
        <v>1.95</v>
      </c>
      <c r="V317" s="14" t="n">
        <v>1.22</v>
      </c>
      <c r="W317" s="14" t="n">
        <v>0.73</v>
      </c>
      <c r="X317" s="14" t="n">
        <v>0</v>
      </c>
      <c r="Y317" s="14" t="n">
        <v>0.19</v>
      </c>
      <c r="Z317" s="14" t="n">
        <v>0.1</v>
      </c>
      <c r="AA317" s="14" t="n">
        <v>0</v>
      </c>
    </row>
    <row r="318">
      <c r="A318" t="inlineStr">
        <is>
          <t>130905</t>
        </is>
      </c>
      <c r="B318" t="inlineStr">
        <is>
          <t>LA LIBERTAD</t>
        </is>
      </c>
      <c r="C318" t="inlineStr">
        <is>
          <t>SANCHEZ CARRION</t>
        </is>
      </c>
      <c r="D318" t="inlineStr">
        <is>
          <t>MARCABAL</t>
        </is>
      </c>
      <c r="E318" t="n">
        <v>2512</v>
      </c>
      <c r="F318" s="14" t="n">
        <v>0</v>
      </c>
      <c r="G318" s="14" t="n">
        <v>86.27</v>
      </c>
      <c r="H318" s="14" t="n">
        <v>0.4</v>
      </c>
      <c r="I318" s="14" t="n">
        <v>2.39</v>
      </c>
      <c r="J318" s="14" t="n">
        <v>0</v>
      </c>
      <c r="K318" s="14" t="n">
        <v>0</v>
      </c>
      <c r="L318" s="14" t="n">
        <v>1.79</v>
      </c>
      <c r="M318" s="14" t="n">
        <v>2.59</v>
      </c>
      <c r="N318" s="14" t="n">
        <v>1.63</v>
      </c>
      <c r="O318" s="14" t="n">
        <v>1.23</v>
      </c>
      <c r="P318" s="14" t="n">
        <v>0</v>
      </c>
      <c r="Q318" s="14" t="n">
        <v>0.04</v>
      </c>
      <c r="R318" s="14" t="n">
        <v>0</v>
      </c>
      <c r="S318" s="14" t="n">
        <v>0.4</v>
      </c>
      <c r="T318" s="14" t="n">
        <v>0.08</v>
      </c>
      <c r="U318" s="14" t="n">
        <v>0.68</v>
      </c>
      <c r="V318" s="14" t="n">
        <v>1.31</v>
      </c>
      <c r="W318" s="14" t="n">
        <v>0.52</v>
      </c>
      <c r="X318" s="14" t="n">
        <v>0.08</v>
      </c>
      <c r="Y318" s="14" t="n">
        <v>0.32</v>
      </c>
      <c r="Z318" s="14" t="n">
        <v>0.28</v>
      </c>
      <c r="AA318" s="14" t="n">
        <v>0</v>
      </c>
    </row>
    <row r="319">
      <c r="A319" t="inlineStr">
        <is>
          <t>130906</t>
        </is>
      </c>
      <c r="B319" t="inlineStr">
        <is>
          <t>LA LIBERTAD</t>
        </is>
      </c>
      <c r="C319" t="inlineStr">
        <is>
          <t>SANCHEZ CARRION</t>
        </is>
      </c>
      <c r="D319" t="inlineStr">
        <is>
          <t>SANAGORAN</t>
        </is>
      </c>
      <c r="E319" t="n">
        <v>2950</v>
      </c>
      <c r="F319" s="14" t="n">
        <v>0</v>
      </c>
      <c r="G319" s="14" t="n">
        <v>91.59</v>
      </c>
      <c r="H319" s="14" t="n">
        <v>0.37</v>
      </c>
      <c r="I319" s="14" t="n">
        <v>1.19</v>
      </c>
      <c r="J319" s="14" t="n">
        <v>0.17</v>
      </c>
      <c r="K319" s="14" t="n">
        <v>0</v>
      </c>
      <c r="L319" s="14" t="n">
        <v>1.29</v>
      </c>
      <c r="M319" s="14" t="n">
        <v>0.61</v>
      </c>
      <c r="N319" s="14" t="n">
        <v>1.29</v>
      </c>
      <c r="O319" s="14" t="n">
        <v>1.36</v>
      </c>
      <c r="P319" s="14" t="n">
        <v>0.03</v>
      </c>
      <c r="Q319" s="14" t="n">
        <v>0</v>
      </c>
      <c r="R319" s="14" t="n">
        <v>0</v>
      </c>
      <c r="S319" s="14" t="n">
        <v>0.17</v>
      </c>
      <c r="T319" s="14" t="n">
        <v>0.17</v>
      </c>
      <c r="U319" s="14" t="n">
        <v>0.51</v>
      </c>
      <c r="V319" s="14" t="n">
        <v>0.34</v>
      </c>
      <c r="W319" s="14" t="n">
        <v>0.51</v>
      </c>
      <c r="X319" s="14" t="n">
        <v>0</v>
      </c>
      <c r="Y319" s="14" t="n">
        <v>0.1</v>
      </c>
      <c r="Z319" s="14" t="n">
        <v>0.31</v>
      </c>
      <c r="AA319" s="14" t="n">
        <v>0</v>
      </c>
    </row>
    <row r="320">
      <c r="A320" t="inlineStr">
        <is>
          <t>130907</t>
        </is>
      </c>
      <c r="B320" t="inlineStr">
        <is>
          <t>LA LIBERTAD</t>
        </is>
      </c>
      <c r="C320" t="inlineStr">
        <is>
          <t>SANCHEZ CARRION</t>
        </is>
      </c>
      <c r="D320" t="inlineStr">
        <is>
          <t>SARIN</t>
        </is>
      </c>
      <c r="E320" t="n">
        <v>1823</v>
      </c>
      <c r="F320" s="14" t="n">
        <v>0</v>
      </c>
      <c r="G320" s="14" t="n">
        <v>80.03</v>
      </c>
      <c r="H320" s="14" t="n">
        <v>2.19</v>
      </c>
      <c r="I320" s="14" t="n">
        <v>1.26</v>
      </c>
      <c r="J320" s="14" t="n">
        <v>0</v>
      </c>
      <c r="K320" s="14" t="n">
        <v>0</v>
      </c>
      <c r="L320" s="14" t="n">
        <v>2.69</v>
      </c>
      <c r="M320" s="14" t="n">
        <v>4.5</v>
      </c>
      <c r="N320" s="14" t="n">
        <v>1.26</v>
      </c>
      <c r="O320" s="14" t="n">
        <v>0.33</v>
      </c>
      <c r="P320" s="14" t="n">
        <v>0</v>
      </c>
      <c r="Q320" s="14" t="n">
        <v>0.11</v>
      </c>
      <c r="R320" s="14" t="n">
        <v>0</v>
      </c>
      <c r="S320" s="14" t="n">
        <v>0.11</v>
      </c>
      <c r="T320" s="14" t="n">
        <v>0.22</v>
      </c>
      <c r="U320" s="14" t="n">
        <v>2.96</v>
      </c>
      <c r="V320" s="14" t="n">
        <v>2.69</v>
      </c>
      <c r="W320" s="14" t="n">
        <v>1.26</v>
      </c>
      <c r="X320" s="14" t="n">
        <v>0</v>
      </c>
      <c r="Y320" s="14" t="n">
        <v>0.22</v>
      </c>
      <c r="Z320" s="14" t="n">
        <v>0.16</v>
      </c>
      <c r="AA320" s="14" t="n">
        <v>0</v>
      </c>
    </row>
    <row r="321">
      <c r="A321" t="inlineStr">
        <is>
          <t>130908</t>
        </is>
      </c>
      <c r="B321" t="inlineStr">
        <is>
          <t>LA LIBERTAD</t>
        </is>
      </c>
      <c r="C321" t="inlineStr">
        <is>
          <t>SANCHEZ CARRION</t>
        </is>
      </c>
      <c r="D321" t="inlineStr">
        <is>
          <t>SARTIMBAMBA</t>
        </is>
      </c>
      <c r="E321" t="n">
        <v>2787</v>
      </c>
      <c r="F321" s="14" t="n">
        <v>0</v>
      </c>
      <c r="G321" s="14" t="n">
        <v>83.42</v>
      </c>
      <c r="H321" s="14" t="n">
        <v>1.33</v>
      </c>
      <c r="I321" s="14" t="n">
        <v>1.29</v>
      </c>
      <c r="J321" s="14" t="n">
        <v>0.04</v>
      </c>
      <c r="K321" s="14" t="n">
        <v>0</v>
      </c>
      <c r="L321" s="14" t="n">
        <v>1.65</v>
      </c>
      <c r="M321" s="14" t="n">
        <v>3.16</v>
      </c>
      <c r="N321" s="14" t="n">
        <v>0.86</v>
      </c>
      <c r="O321" s="14" t="n">
        <v>0.83</v>
      </c>
      <c r="P321" s="14" t="n">
        <v>0</v>
      </c>
      <c r="Q321" s="14" t="n">
        <v>0</v>
      </c>
      <c r="R321" s="14" t="n">
        <v>0</v>
      </c>
      <c r="S321" s="14" t="n">
        <v>0.22</v>
      </c>
      <c r="T321" s="14" t="n">
        <v>0.22</v>
      </c>
      <c r="U321" s="14" t="n">
        <v>1.08</v>
      </c>
      <c r="V321" s="14" t="n">
        <v>4.56</v>
      </c>
      <c r="W321" s="14" t="n">
        <v>0.75</v>
      </c>
      <c r="X321" s="14" t="n">
        <v>0</v>
      </c>
      <c r="Y321" s="14" t="n">
        <v>0.18</v>
      </c>
      <c r="Z321" s="14" t="n">
        <v>0.43</v>
      </c>
      <c r="AA321" s="14" t="n">
        <v>0</v>
      </c>
    </row>
    <row r="322">
      <c r="A322" t="inlineStr">
        <is>
          <t>131001</t>
        </is>
      </c>
      <c r="B322" t="inlineStr">
        <is>
          <t>LA LIBERTAD</t>
        </is>
      </c>
      <c r="C322" t="inlineStr">
        <is>
          <t>SANTIAGO DE CHUCO</t>
        </is>
      </c>
      <c r="D322" t="inlineStr">
        <is>
          <t>SANTIAGO DE CHUCO</t>
        </is>
      </c>
      <c r="E322" t="n">
        <v>5035</v>
      </c>
      <c r="F322" s="14" t="n">
        <v>0</v>
      </c>
      <c r="G322" s="14" t="n">
        <v>58.99</v>
      </c>
      <c r="H322" s="14" t="n">
        <v>0.44</v>
      </c>
      <c r="I322" s="14" t="n">
        <v>2.88</v>
      </c>
      <c r="J322" s="14" t="n">
        <v>0.06</v>
      </c>
      <c r="K322" s="14" t="n">
        <v>0.06</v>
      </c>
      <c r="L322" s="14" t="n">
        <v>5.24</v>
      </c>
      <c r="M322" s="14" t="n">
        <v>7.75</v>
      </c>
      <c r="N322" s="14" t="n">
        <v>1.77</v>
      </c>
      <c r="O322" s="14" t="n">
        <v>2.3</v>
      </c>
      <c r="P322" s="14" t="n">
        <v>0.14</v>
      </c>
      <c r="Q322" s="14" t="n">
        <v>0.32</v>
      </c>
      <c r="R322" s="14" t="n">
        <v>0</v>
      </c>
      <c r="S322" s="14" t="n">
        <v>1.01</v>
      </c>
      <c r="T322" s="14" t="n">
        <v>0.68</v>
      </c>
      <c r="U322" s="14" t="n">
        <v>3.93</v>
      </c>
      <c r="V322" s="14" t="n">
        <v>10.25</v>
      </c>
      <c r="W322" s="14" t="n">
        <v>1.87</v>
      </c>
      <c r="X322" s="14" t="n">
        <v>0.22</v>
      </c>
      <c r="Y322" s="14" t="n">
        <v>1.17</v>
      </c>
      <c r="Z322" s="14" t="n">
        <v>0.93</v>
      </c>
      <c r="AA322" s="14" t="n">
        <v>0</v>
      </c>
    </row>
    <row r="323">
      <c r="A323" t="inlineStr">
        <is>
          <t>131002</t>
        </is>
      </c>
      <c r="B323" t="inlineStr">
        <is>
          <t>LA LIBERTAD</t>
        </is>
      </c>
      <c r="C323" t="inlineStr">
        <is>
          <t>SANTIAGO DE CHUCO</t>
        </is>
      </c>
      <c r="D323" t="inlineStr">
        <is>
          <t>ANGASMARCA</t>
        </is>
      </c>
      <c r="E323" t="n">
        <v>1128</v>
      </c>
      <c r="F323" s="14" t="n">
        <v>0</v>
      </c>
      <c r="G323" s="14" t="n">
        <v>51.95</v>
      </c>
      <c r="H323" s="14" t="n">
        <v>12.68</v>
      </c>
      <c r="I323" s="14" t="n">
        <v>2.04</v>
      </c>
      <c r="J323" s="14" t="n">
        <v>0</v>
      </c>
      <c r="K323" s="14" t="n">
        <v>0</v>
      </c>
      <c r="L323" s="14" t="n">
        <v>10.55</v>
      </c>
      <c r="M323" s="14" t="n">
        <v>5.94</v>
      </c>
      <c r="N323" s="14" t="n">
        <v>2.04</v>
      </c>
      <c r="O323" s="14" t="n">
        <v>2.48</v>
      </c>
      <c r="P323" s="14" t="n">
        <v>0.18</v>
      </c>
      <c r="Q323" s="14" t="n">
        <v>0</v>
      </c>
      <c r="R323" s="14" t="n">
        <v>0</v>
      </c>
      <c r="S323" s="14" t="n">
        <v>0.62</v>
      </c>
      <c r="T323" s="14" t="n">
        <v>3.1</v>
      </c>
      <c r="U323" s="14" t="n">
        <v>3.01</v>
      </c>
      <c r="V323" s="14" t="n">
        <v>3.99</v>
      </c>
      <c r="W323" s="14" t="n">
        <v>0.44</v>
      </c>
      <c r="X323" s="14" t="n">
        <v>0</v>
      </c>
      <c r="Y323" s="14" t="n">
        <v>0.62</v>
      </c>
      <c r="Z323" s="14" t="n">
        <v>0.35</v>
      </c>
      <c r="AA323" s="14" t="n">
        <v>0</v>
      </c>
    </row>
    <row r="324">
      <c r="A324" t="inlineStr">
        <is>
          <t>131003</t>
        </is>
      </c>
      <c r="B324" t="inlineStr">
        <is>
          <t>LA LIBERTAD</t>
        </is>
      </c>
      <c r="C324" t="inlineStr">
        <is>
          <t>SANTIAGO DE CHUCO</t>
        </is>
      </c>
      <c r="D324" t="inlineStr">
        <is>
          <t>CACHICADAN</t>
        </is>
      </c>
      <c r="E324" t="n">
        <v>1494</v>
      </c>
      <c r="F324" s="14" t="n">
        <v>0</v>
      </c>
      <c r="G324" s="14" t="n">
        <v>56.02</v>
      </c>
      <c r="H324" s="14" t="n">
        <v>1.81</v>
      </c>
      <c r="I324" s="14" t="n">
        <v>2.74</v>
      </c>
      <c r="J324" s="14" t="n">
        <v>0.07000000000000001</v>
      </c>
      <c r="K324" s="14" t="n">
        <v>0.13</v>
      </c>
      <c r="L324" s="14" t="n">
        <v>4.02</v>
      </c>
      <c r="M324" s="14" t="n">
        <v>6.96</v>
      </c>
      <c r="N324" s="14" t="n">
        <v>2.81</v>
      </c>
      <c r="O324" s="14" t="n">
        <v>2.34</v>
      </c>
      <c r="P324" s="14" t="n">
        <v>0</v>
      </c>
      <c r="Q324" s="14" t="n">
        <v>0.13</v>
      </c>
      <c r="R324" s="14" t="n">
        <v>0</v>
      </c>
      <c r="S324" s="14" t="n">
        <v>2.54</v>
      </c>
      <c r="T324" s="14" t="n">
        <v>0.74</v>
      </c>
      <c r="U324" s="14" t="n">
        <v>1.94</v>
      </c>
      <c r="V324" s="14" t="n">
        <v>14.39</v>
      </c>
      <c r="W324" s="14" t="n">
        <v>1.54</v>
      </c>
      <c r="X324" s="14" t="n">
        <v>0.07000000000000001</v>
      </c>
      <c r="Y324" s="14" t="n">
        <v>1.47</v>
      </c>
      <c r="Z324" s="14" t="n">
        <v>0.27</v>
      </c>
      <c r="AA324" s="14" t="n">
        <v>0</v>
      </c>
    </row>
    <row r="325">
      <c r="A325" t="inlineStr">
        <is>
          <t>131004</t>
        </is>
      </c>
      <c r="B325" t="inlineStr">
        <is>
          <t>LA LIBERTAD</t>
        </is>
      </c>
      <c r="C325" t="inlineStr">
        <is>
          <t>SANTIAGO DE CHUCO</t>
        </is>
      </c>
      <c r="D325" t="inlineStr">
        <is>
          <t>MOLLEBAMBA</t>
        </is>
      </c>
      <c r="E325" t="n">
        <v>231</v>
      </c>
      <c r="F325" s="14" t="n">
        <v>0</v>
      </c>
      <c r="G325" s="14" t="n">
        <v>59.74</v>
      </c>
      <c r="H325" s="14" t="n">
        <v>0</v>
      </c>
      <c r="I325" s="14" t="n">
        <v>2.16</v>
      </c>
      <c r="J325" s="14" t="n">
        <v>0</v>
      </c>
      <c r="K325" s="14" t="n">
        <v>0</v>
      </c>
      <c r="L325" s="14" t="n">
        <v>3.9</v>
      </c>
      <c r="M325" s="14" t="n">
        <v>5.19</v>
      </c>
      <c r="N325" s="14" t="n">
        <v>1.3</v>
      </c>
      <c r="O325" s="14" t="n">
        <v>0.87</v>
      </c>
      <c r="P325" s="14" t="n">
        <v>0</v>
      </c>
      <c r="Q325" s="14" t="n">
        <v>0</v>
      </c>
      <c r="R325" s="14" t="n">
        <v>0</v>
      </c>
      <c r="S325" s="14" t="n">
        <v>0</v>
      </c>
      <c r="T325" s="14" t="n">
        <v>2.6</v>
      </c>
      <c r="U325" s="14" t="n">
        <v>6.49</v>
      </c>
      <c r="V325" s="14" t="n">
        <v>13.85</v>
      </c>
      <c r="W325" s="14" t="n">
        <v>3.46</v>
      </c>
      <c r="X325" s="14" t="n">
        <v>0</v>
      </c>
      <c r="Y325" s="14" t="n">
        <v>0</v>
      </c>
      <c r="Z325" s="14" t="n">
        <v>0.43</v>
      </c>
      <c r="AA325" s="14" t="n">
        <v>0</v>
      </c>
    </row>
    <row r="326">
      <c r="A326" t="inlineStr">
        <is>
          <t>131005</t>
        </is>
      </c>
      <c r="B326" t="inlineStr">
        <is>
          <t>LA LIBERTAD</t>
        </is>
      </c>
      <c r="C326" t="inlineStr">
        <is>
          <t>SANTIAGO DE CHUCO</t>
        </is>
      </c>
      <c r="D326" t="inlineStr">
        <is>
          <t>MOLLEPATA</t>
        </is>
      </c>
      <c r="E326" t="n">
        <v>377</v>
      </c>
      <c r="F326" s="14" t="n">
        <v>0</v>
      </c>
      <c r="G326" s="14" t="n">
        <v>77.45</v>
      </c>
      <c r="H326" s="14" t="n">
        <v>0</v>
      </c>
      <c r="I326" s="14" t="n">
        <v>1.59</v>
      </c>
      <c r="J326" s="14" t="n">
        <v>0</v>
      </c>
      <c r="K326" s="14" t="n">
        <v>0</v>
      </c>
      <c r="L326" s="14" t="n">
        <v>1.86</v>
      </c>
      <c r="M326" s="14" t="n">
        <v>1.06</v>
      </c>
      <c r="N326" s="14" t="n">
        <v>1.59</v>
      </c>
      <c r="O326" s="14" t="n">
        <v>0</v>
      </c>
      <c r="P326" s="14" t="n">
        <v>0</v>
      </c>
      <c r="Q326" s="14" t="n">
        <v>0</v>
      </c>
      <c r="R326" s="14" t="n">
        <v>0</v>
      </c>
      <c r="S326" s="14" t="n">
        <v>0</v>
      </c>
      <c r="T326" s="14" t="n">
        <v>0.53</v>
      </c>
      <c r="U326" s="14" t="n">
        <v>1.86</v>
      </c>
      <c r="V326" s="14" t="n">
        <v>11.14</v>
      </c>
      <c r="W326" s="14" t="n">
        <v>2.65</v>
      </c>
      <c r="X326" s="14" t="n">
        <v>0</v>
      </c>
      <c r="Y326" s="14" t="n">
        <v>0</v>
      </c>
      <c r="Z326" s="14" t="n">
        <v>0.27</v>
      </c>
      <c r="AA326" s="14" t="n">
        <v>0</v>
      </c>
    </row>
    <row r="327">
      <c r="A327" t="inlineStr">
        <is>
          <t>131006</t>
        </is>
      </c>
      <c r="B327" t="inlineStr">
        <is>
          <t>LA LIBERTAD</t>
        </is>
      </c>
      <c r="C327" t="inlineStr">
        <is>
          <t>SANTIAGO DE CHUCO</t>
        </is>
      </c>
      <c r="D327" t="inlineStr">
        <is>
          <t>QUIRUVILCA</t>
        </is>
      </c>
      <c r="E327" t="n">
        <v>3921</v>
      </c>
      <c r="F327" s="14" t="n">
        <v>0</v>
      </c>
      <c r="G327" s="14" t="n">
        <v>32.67</v>
      </c>
      <c r="H327" s="14" t="n">
        <v>29.61</v>
      </c>
      <c r="I327" s="14" t="n">
        <v>2.93</v>
      </c>
      <c r="J327" s="14" t="n">
        <v>0.08</v>
      </c>
      <c r="K327" s="14" t="n">
        <v>0.41</v>
      </c>
      <c r="L327" s="14" t="n">
        <v>4.95</v>
      </c>
      <c r="M327" s="14" t="n">
        <v>7.09</v>
      </c>
      <c r="N327" s="14" t="n">
        <v>3.32</v>
      </c>
      <c r="O327" s="14" t="n">
        <v>5.53</v>
      </c>
      <c r="P327" s="14" t="n">
        <v>0.15</v>
      </c>
      <c r="Q327" s="14" t="n">
        <v>0.05</v>
      </c>
      <c r="R327" s="14" t="n">
        <v>0</v>
      </c>
      <c r="S327" s="14" t="n">
        <v>1.25</v>
      </c>
      <c r="T327" s="14" t="n">
        <v>3.57</v>
      </c>
      <c r="U327" s="14" t="n">
        <v>3.42</v>
      </c>
      <c r="V327" s="14" t="n">
        <v>1.73</v>
      </c>
      <c r="W327" s="14" t="n">
        <v>1.4</v>
      </c>
      <c r="X327" s="14" t="n">
        <v>0.08</v>
      </c>
      <c r="Y327" s="14" t="n">
        <v>1.45</v>
      </c>
      <c r="Z327" s="14" t="n">
        <v>0.31</v>
      </c>
      <c r="AA327" s="14" t="n">
        <v>0</v>
      </c>
    </row>
    <row r="328">
      <c r="A328" t="inlineStr">
        <is>
          <t>131007</t>
        </is>
      </c>
      <c r="B328" t="inlineStr">
        <is>
          <t>LA LIBERTAD</t>
        </is>
      </c>
      <c r="C328" t="inlineStr">
        <is>
          <t>SANTIAGO DE CHUCO</t>
        </is>
      </c>
      <c r="D328" t="inlineStr">
        <is>
          <t>SANTA CRUZ DE CHUCA</t>
        </is>
      </c>
      <c r="E328" t="n">
        <v>435</v>
      </c>
      <c r="F328" s="14" t="n">
        <v>0</v>
      </c>
      <c r="G328" s="14" t="n">
        <v>33.79</v>
      </c>
      <c r="H328" s="14" t="n">
        <v>0.6899999999999999</v>
      </c>
      <c r="I328" s="14" t="n">
        <v>5.75</v>
      </c>
      <c r="J328" s="14" t="n">
        <v>0</v>
      </c>
      <c r="K328" s="14" t="n">
        <v>0.46</v>
      </c>
      <c r="L328" s="14" t="n">
        <v>8.74</v>
      </c>
      <c r="M328" s="14" t="n">
        <v>16.09</v>
      </c>
      <c r="N328" s="14" t="n">
        <v>4.83</v>
      </c>
      <c r="O328" s="14" t="n">
        <v>3.22</v>
      </c>
      <c r="P328" s="14" t="n">
        <v>0</v>
      </c>
      <c r="Q328" s="14" t="n">
        <v>0.46</v>
      </c>
      <c r="R328" s="14" t="n">
        <v>0</v>
      </c>
      <c r="S328" s="14" t="n">
        <v>1.84</v>
      </c>
      <c r="T328" s="14" t="n">
        <v>2.07</v>
      </c>
      <c r="U328" s="14" t="n">
        <v>4.14</v>
      </c>
      <c r="V328" s="14" t="n">
        <v>8.970000000000001</v>
      </c>
      <c r="W328" s="14" t="n">
        <v>5.29</v>
      </c>
      <c r="X328" s="14" t="n">
        <v>0.6899999999999999</v>
      </c>
      <c r="Y328" s="14" t="n">
        <v>1.15</v>
      </c>
      <c r="Z328" s="14" t="n">
        <v>1.84</v>
      </c>
      <c r="AA328" s="14" t="n">
        <v>0</v>
      </c>
    </row>
    <row r="329">
      <c r="A329" t="inlineStr">
        <is>
          <t>131008</t>
        </is>
      </c>
      <c r="B329" t="inlineStr">
        <is>
          <t>LA LIBERTAD</t>
        </is>
      </c>
      <c r="C329" t="inlineStr">
        <is>
          <t>SANTIAGO DE CHUCO</t>
        </is>
      </c>
      <c r="D329" t="inlineStr">
        <is>
          <t>SITABAMBA</t>
        </is>
      </c>
      <c r="E329" t="n">
        <v>785</v>
      </c>
      <c r="F329" s="14" t="n">
        <v>0</v>
      </c>
      <c r="G329" s="14" t="n">
        <v>78.98</v>
      </c>
      <c r="H329" s="14" t="n">
        <v>2.68</v>
      </c>
      <c r="I329" s="14" t="n">
        <v>0.89</v>
      </c>
      <c r="J329" s="14" t="n">
        <v>0</v>
      </c>
      <c r="K329" s="14" t="n">
        <v>0</v>
      </c>
      <c r="L329" s="14" t="n">
        <v>1.27</v>
      </c>
      <c r="M329" s="14" t="n">
        <v>3.06</v>
      </c>
      <c r="N329" s="14" t="n">
        <v>1.53</v>
      </c>
      <c r="O329" s="14" t="n">
        <v>0.38</v>
      </c>
      <c r="P329" s="14" t="n">
        <v>0</v>
      </c>
      <c r="Q329" s="14" t="n">
        <v>0</v>
      </c>
      <c r="R329" s="14" t="n">
        <v>0</v>
      </c>
      <c r="S329" s="14" t="n">
        <v>0.25</v>
      </c>
      <c r="T329" s="14" t="n">
        <v>0.51</v>
      </c>
      <c r="U329" s="14" t="n">
        <v>3.57</v>
      </c>
      <c r="V329" s="14" t="n">
        <v>5.35</v>
      </c>
      <c r="W329" s="14" t="n">
        <v>1.27</v>
      </c>
      <c r="X329" s="14" t="n">
        <v>0.13</v>
      </c>
      <c r="Y329" s="14" t="n">
        <v>0</v>
      </c>
      <c r="Z329" s="14" t="n">
        <v>0.13</v>
      </c>
      <c r="AA329" s="14" t="n">
        <v>0</v>
      </c>
    </row>
    <row r="330">
      <c r="A330" t="inlineStr">
        <is>
          <t>131101</t>
        </is>
      </c>
      <c r="B330" t="inlineStr">
        <is>
          <t>LA LIBERTAD</t>
        </is>
      </c>
      <c r="C330" t="inlineStr">
        <is>
          <t>GRAN CHIMU</t>
        </is>
      </c>
      <c r="D330" t="inlineStr">
        <is>
          <t>CASCAS</t>
        </is>
      </c>
      <c r="E330" t="n">
        <v>4957</v>
      </c>
      <c r="F330" s="14" t="n">
        <v>0</v>
      </c>
      <c r="G330" s="14" t="n">
        <v>62.26</v>
      </c>
      <c r="H330" s="14" t="n">
        <v>1.17</v>
      </c>
      <c r="I330" s="14" t="n">
        <v>2.97</v>
      </c>
      <c r="J330" s="14" t="n">
        <v>0.08</v>
      </c>
      <c r="K330" s="14" t="n">
        <v>0.04</v>
      </c>
      <c r="L330" s="14" t="n">
        <v>2.88</v>
      </c>
      <c r="M330" s="14" t="n">
        <v>8.65</v>
      </c>
      <c r="N330" s="14" t="n">
        <v>3.65</v>
      </c>
      <c r="O330" s="14" t="n">
        <v>3.33</v>
      </c>
      <c r="P330" s="14" t="n">
        <v>0.12</v>
      </c>
      <c r="Q330" s="14" t="n">
        <v>0.28</v>
      </c>
      <c r="R330" s="14" t="n">
        <v>0.02</v>
      </c>
      <c r="S330" s="14" t="n">
        <v>0.75</v>
      </c>
      <c r="T330" s="14" t="n">
        <v>0.87</v>
      </c>
      <c r="U330" s="14" t="n">
        <v>4.26</v>
      </c>
      <c r="V330" s="14" t="n">
        <v>4.9</v>
      </c>
      <c r="W330" s="14" t="n">
        <v>1.41</v>
      </c>
      <c r="X330" s="14" t="n">
        <v>0.4</v>
      </c>
      <c r="Y330" s="14" t="n">
        <v>0.97</v>
      </c>
      <c r="Z330" s="14" t="n">
        <v>0.99</v>
      </c>
      <c r="AA330" s="14" t="n">
        <v>0</v>
      </c>
    </row>
    <row r="331">
      <c r="A331" t="inlineStr">
        <is>
          <t>131102</t>
        </is>
      </c>
      <c r="B331" t="inlineStr">
        <is>
          <t>LA LIBERTAD</t>
        </is>
      </c>
      <c r="C331" t="inlineStr">
        <is>
          <t>GRAN CHIMU</t>
        </is>
      </c>
      <c r="D331" t="inlineStr">
        <is>
          <t>LUCMA</t>
        </is>
      </c>
      <c r="E331" t="n">
        <v>1608</v>
      </c>
      <c r="F331" s="14" t="n">
        <v>0</v>
      </c>
      <c r="G331" s="14" t="n">
        <v>80.66</v>
      </c>
      <c r="H331" s="14" t="n">
        <v>4.91</v>
      </c>
      <c r="I331" s="14" t="n">
        <v>0.44</v>
      </c>
      <c r="J331" s="14" t="n">
        <v>0</v>
      </c>
      <c r="K331" s="14" t="n">
        <v>0</v>
      </c>
      <c r="L331" s="14" t="n">
        <v>0.75</v>
      </c>
      <c r="M331" s="14" t="n">
        <v>4.29</v>
      </c>
      <c r="N331" s="14" t="n">
        <v>0.68</v>
      </c>
      <c r="O331" s="14" t="n">
        <v>0.75</v>
      </c>
      <c r="P331" s="14" t="n">
        <v>0.06</v>
      </c>
      <c r="Q331" s="14" t="n">
        <v>0</v>
      </c>
      <c r="R331" s="14" t="n">
        <v>0</v>
      </c>
      <c r="S331" s="14" t="n">
        <v>0.25</v>
      </c>
      <c r="T331" s="14" t="n">
        <v>0.5</v>
      </c>
      <c r="U331" s="14" t="n">
        <v>4.48</v>
      </c>
      <c r="V331" s="14" t="n">
        <v>0.8100000000000001</v>
      </c>
      <c r="W331" s="14" t="n">
        <v>0.68</v>
      </c>
      <c r="X331" s="14" t="n">
        <v>0.06</v>
      </c>
      <c r="Y331" s="14" t="n">
        <v>0.62</v>
      </c>
      <c r="Z331" s="14" t="n">
        <v>0.06</v>
      </c>
      <c r="AA331" s="14" t="n">
        <v>0</v>
      </c>
    </row>
    <row r="332">
      <c r="A332" t="inlineStr">
        <is>
          <t>131103</t>
        </is>
      </c>
      <c r="B332" t="inlineStr">
        <is>
          <t>LA LIBERTAD</t>
        </is>
      </c>
      <c r="C332" t="inlineStr">
        <is>
          <t>GRAN CHIMU</t>
        </is>
      </c>
      <c r="D332" t="inlineStr">
        <is>
          <t>MARMOT</t>
        </is>
      </c>
      <c r="E332" t="n">
        <v>925</v>
      </c>
      <c r="F332" s="14" t="n">
        <v>0</v>
      </c>
      <c r="G332" s="14" t="n">
        <v>62.59</v>
      </c>
      <c r="H332" s="14" t="n">
        <v>21.19</v>
      </c>
      <c r="I332" s="14" t="n">
        <v>1.41</v>
      </c>
      <c r="J332" s="14" t="n">
        <v>0</v>
      </c>
      <c r="K332" s="14" t="n">
        <v>0</v>
      </c>
      <c r="L332" s="14" t="n">
        <v>2.16</v>
      </c>
      <c r="M332" s="14" t="n">
        <v>4</v>
      </c>
      <c r="N332" s="14" t="n">
        <v>1.08</v>
      </c>
      <c r="O332" s="14" t="n">
        <v>0.32</v>
      </c>
      <c r="P332" s="14" t="n">
        <v>0</v>
      </c>
      <c r="Q332" s="14" t="n">
        <v>0</v>
      </c>
      <c r="R332" s="14" t="n">
        <v>0</v>
      </c>
      <c r="S332" s="14" t="n">
        <v>0.76</v>
      </c>
      <c r="T332" s="14" t="n">
        <v>0.22</v>
      </c>
      <c r="U332" s="14" t="n">
        <v>2.05</v>
      </c>
      <c r="V332" s="14" t="n">
        <v>2.92</v>
      </c>
      <c r="W332" s="14" t="n">
        <v>0.76</v>
      </c>
      <c r="X332" s="14" t="n">
        <v>0</v>
      </c>
      <c r="Y332" s="14" t="n">
        <v>0.32</v>
      </c>
      <c r="Z332" s="14" t="n">
        <v>0.22</v>
      </c>
      <c r="AA332" s="14" t="n">
        <v>0</v>
      </c>
    </row>
    <row r="333">
      <c r="A333" t="inlineStr">
        <is>
          <t>131104</t>
        </is>
      </c>
      <c r="B333" t="inlineStr">
        <is>
          <t>LA LIBERTAD</t>
        </is>
      </c>
      <c r="C333" t="inlineStr">
        <is>
          <t>GRAN CHIMU</t>
        </is>
      </c>
      <c r="D333" t="inlineStr">
        <is>
          <t>SAYAPULLO</t>
        </is>
      </c>
      <c r="E333" t="n">
        <v>2037</v>
      </c>
      <c r="F333" s="14" t="n">
        <v>0</v>
      </c>
      <c r="G333" s="14" t="n">
        <v>77.37</v>
      </c>
      <c r="H333" s="14" t="n">
        <v>6.77</v>
      </c>
      <c r="I333" s="14" t="n">
        <v>1.23</v>
      </c>
      <c r="J333" s="14" t="n">
        <v>0</v>
      </c>
      <c r="K333" s="14" t="n">
        <v>0.1</v>
      </c>
      <c r="L333" s="14" t="n">
        <v>1.96</v>
      </c>
      <c r="M333" s="14" t="n">
        <v>2.95</v>
      </c>
      <c r="N333" s="14" t="n">
        <v>0.79</v>
      </c>
      <c r="O333" s="14" t="n">
        <v>1.82</v>
      </c>
      <c r="P333" s="14" t="n">
        <v>0</v>
      </c>
      <c r="Q333" s="14" t="n">
        <v>0</v>
      </c>
      <c r="R333" s="14" t="n">
        <v>0</v>
      </c>
      <c r="S333" s="14" t="n">
        <v>0.54</v>
      </c>
      <c r="T333" s="14" t="n">
        <v>0.44</v>
      </c>
      <c r="U333" s="14" t="n">
        <v>1.96</v>
      </c>
      <c r="V333" s="14" t="n">
        <v>2.5</v>
      </c>
      <c r="W333" s="14" t="n">
        <v>0.74</v>
      </c>
      <c r="X333" s="14" t="n">
        <v>0.05</v>
      </c>
      <c r="Y333" s="14" t="n">
        <v>0.39</v>
      </c>
      <c r="Z333" s="14" t="n">
        <v>0.39</v>
      </c>
      <c r="AA333" s="14" t="n">
        <v>0</v>
      </c>
    </row>
    <row r="334">
      <c r="A334" t="inlineStr">
        <is>
          <t>131201</t>
        </is>
      </c>
      <c r="B334" t="inlineStr">
        <is>
          <t>LA LIBERTAD</t>
        </is>
      </c>
      <c r="C334" t="inlineStr">
        <is>
          <t>VIRU</t>
        </is>
      </c>
      <c r="D334" t="inlineStr">
        <is>
          <t>VIRU</t>
        </is>
      </c>
      <c r="E334" t="n">
        <v>21042</v>
      </c>
      <c r="F334" s="14" t="n">
        <v>0</v>
      </c>
      <c r="G334" s="14" t="n">
        <v>56.48</v>
      </c>
      <c r="H334" s="14" t="n">
        <v>0.28</v>
      </c>
      <c r="I334" s="14" t="n">
        <v>5.89</v>
      </c>
      <c r="J334" s="14" t="n">
        <v>0.07000000000000001</v>
      </c>
      <c r="K334" s="14" t="n">
        <v>0.17</v>
      </c>
      <c r="L334" s="14" t="n">
        <v>4.9</v>
      </c>
      <c r="M334" s="14" t="n">
        <v>10.39</v>
      </c>
      <c r="N334" s="14" t="n">
        <v>6.53</v>
      </c>
      <c r="O334" s="14" t="n">
        <v>4.32</v>
      </c>
      <c r="P334" s="14" t="n">
        <v>0.26</v>
      </c>
      <c r="Q334" s="14" t="n">
        <v>0.55</v>
      </c>
      <c r="R334" s="14" t="n">
        <v>0.04</v>
      </c>
      <c r="S334" s="14" t="n">
        <v>1.74</v>
      </c>
      <c r="T334" s="14" t="n">
        <v>2.49</v>
      </c>
      <c r="U334" s="14" t="n">
        <v>1.56</v>
      </c>
      <c r="V334" s="14" t="n">
        <v>1.67</v>
      </c>
      <c r="W334" s="14" t="n">
        <v>0.63</v>
      </c>
      <c r="X334" s="14" t="n">
        <v>0.21</v>
      </c>
      <c r="Y334" s="14" t="n">
        <v>1.34</v>
      </c>
      <c r="Z334" s="14" t="n">
        <v>0.49</v>
      </c>
      <c r="AA334" s="14" t="n">
        <v>0</v>
      </c>
    </row>
    <row r="335">
      <c r="A335" t="inlineStr">
        <is>
          <t>131202</t>
        </is>
      </c>
      <c r="B335" t="inlineStr">
        <is>
          <t>LA LIBERTAD</t>
        </is>
      </c>
      <c r="C335" t="inlineStr">
        <is>
          <t>VIRU</t>
        </is>
      </c>
      <c r="D335" t="inlineStr">
        <is>
          <t>CHAO</t>
        </is>
      </c>
      <c r="E335" t="n">
        <v>13415</v>
      </c>
      <c r="F335" s="14" t="n">
        <v>0</v>
      </c>
      <c r="G335" s="14" t="n">
        <v>62.71</v>
      </c>
      <c r="H335" s="14" t="n">
        <v>0.25</v>
      </c>
      <c r="I335" s="14" t="n">
        <v>5.11</v>
      </c>
      <c r="J335" s="14" t="n">
        <v>0.03</v>
      </c>
      <c r="K335" s="14" t="n">
        <v>0.21</v>
      </c>
      <c r="L335" s="14" t="n">
        <v>4.97</v>
      </c>
      <c r="M335" s="14" t="n">
        <v>9.02</v>
      </c>
      <c r="N335" s="14" t="n">
        <v>5.49</v>
      </c>
      <c r="O335" s="14" t="n">
        <v>3.98</v>
      </c>
      <c r="P335" s="14" t="n">
        <v>0.14</v>
      </c>
      <c r="Q335" s="14" t="n">
        <v>0.09</v>
      </c>
      <c r="R335" s="14" t="n">
        <v>0.01</v>
      </c>
      <c r="S335" s="14" t="n">
        <v>1.31</v>
      </c>
      <c r="T335" s="14" t="n">
        <v>1.82</v>
      </c>
      <c r="U335" s="14" t="n">
        <v>1.62</v>
      </c>
      <c r="V335" s="14" t="n">
        <v>0.95</v>
      </c>
      <c r="W335" s="14" t="n">
        <v>0.42</v>
      </c>
      <c r="X335" s="14" t="n">
        <v>0.14</v>
      </c>
      <c r="Y335" s="14" t="n">
        <v>1.28</v>
      </c>
      <c r="Z335" s="14" t="n">
        <v>0.44</v>
      </c>
      <c r="AA335" s="14" t="n">
        <v>0</v>
      </c>
    </row>
    <row r="336">
      <c r="A336" t="inlineStr">
        <is>
          <t>131203</t>
        </is>
      </c>
      <c r="B336" t="inlineStr">
        <is>
          <t>LA LIBERTAD</t>
        </is>
      </c>
      <c r="C336" t="inlineStr">
        <is>
          <t>VIRU</t>
        </is>
      </c>
      <c r="D336" t="inlineStr">
        <is>
          <t>GUADALUPITO</t>
        </is>
      </c>
      <c r="E336" t="n">
        <v>2799</v>
      </c>
      <c r="F336" s="14" t="n">
        <v>0</v>
      </c>
      <c r="G336" s="14" t="n">
        <v>59.06</v>
      </c>
      <c r="H336" s="14" t="n">
        <v>1.39</v>
      </c>
      <c r="I336" s="14" t="n">
        <v>5.07</v>
      </c>
      <c r="J336" s="14" t="n">
        <v>0.04</v>
      </c>
      <c r="K336" s="14" t="n">
        <v>0.14</v>
      </c>
      <c r="L336" s="14" t="n">
        <v>4.29</v>
      </c>
      <c r="M336" s="14" t="n">
        <v>8.9</v>
      </c>
      <c r="N336" s="14" t="n">
        <v>7.4</v>
      </c>
      <c r="O336" s="14" t="n">
        <v>4.47</v>
      </c>
      <c r="P336" s="14" t="n">
        <v>0.11</v>
      </c>
      <c r="Q336" s="14" t="n">
        <v>0.11</v>
      </c>
      <c r="R336" s="14" t="n">
        <v>0</v>
      </c>
      <c r="S336" s="14" t="n">
        <v>0.75</v>
      </c>
      <c r="T336" s="14" t="n">
        <v>1.04</v>
      </c>
      <c r="U336" s="14" t="n">
        <v>3.14</v>
      </c>
      <c r="V336" s="14" t="n">
        <v>1.32</v>
      </c>
      <c r="W336" s="14" t="n">
        <v>0.79</v>
      </c>
      <c r="X336" s="14" t="n">
        <v>0.14</v>
      </c>
      <c r="Y336" s="14" t="n">
        <v>1.04</v>
      </c>
      <c r="Z336" s="14" t="n">
        <v>0.82</v>
      </c>
      <c r="AA336" s="14" t="n">
        <v>0</v>
      </c>
    </row>
    <row r="337">
      <c r="A337" t="inlineStr">
        <is>
          <t>140101</t>
        </is>
      </c>
      <c r="B337" t="inlineStr">
        <is>
          <t>LAMBAYEQUE</t>
        </is>
      </c>
      <c r="C337" t="inlineStr">
        <is>
          <t>CHICLAYO</t>
        </is>
      </c>
      <c r="D337" t="inlineStr">
        <is>
          <t>CHICLAYO</t>
        </is>
      </c>
      <c r="E337" t="n">
        <v>117306</v>
      </c>
      <c r="F337" s="14" t="n">
        <v>0.079</v>
      </c>
      <c r="G337" s="14" t="n">
        <v>2.37</v>
      </c>
      <c r="H337" s="14" t="n">
        <v>0.23</v>
      </c>
      <c r="I337" s="14" t="n">
        <v>6.51</v>
      </c>
      <c r="J337" s="14" t="n">
        <v>0.13</v>
      </c>
      <c r="K337" s="14" t="n">
        <v>0.35</v>
      </c>
      <c r="L337" s="14" t="n">
        <v>7.11</v>
      </c>
      <c r="M337" s="14" t="n">
        <v>25.49</v>
      </c>
      <c r="N337" s="14" t="n">
        <v>10.86</v>
      </c>
      <c r="O337" s="14" t="n">
        <v>6.46</v>
      </c>
      <c r="P337" s="14" t="n">
        <v>1.19</v>
      </c>
      <c r="Q337" s="14" t="n">
        <v>1.68</v>
      </c>
      <c r="R337" s="14" t="n">
        <v>0.28</v>
      </c>
      <c r="S337" s="14" t="n">
        <v>8.56</v>
      </c>
      <c r="T337" s="14" t="n">
        <v>3.78</v>
      </c>
      <c r="U337" s="14" t="n">
        <v>4.48</v>
      </c>
      <c r="V337" s="14" t="n">
        <v>8.9</v>
      </c>
      <c r="W337" s="14" t="n">
        <v>5.32</v>
      </c>
      <c r="X337" s="14" t="n">
        <v>1.32</v>
      </c>
      <c r="Y337" s="14" t="n">
        <v>3.35</v>
      </c>
      <c r="Z337" s="14" t="n">
        <v>1.63</v>
      </c>
      <c r="AA337" s="14" t="n">
        <v>0</v>
      </c>
    </row>
    <row r="338">
      <c r="A338" t="inlineStr">
        <is>
          <t>140102</t>
        </is>
      </c>
      <c r="B338" t="inlineStr">
        <is>
          <t>LAMBAYEQUE</t>
        </is>
      </c>
      <c r="C338" t="inlineStr">
        <is>
          <t>CHICLAYO</t>
        </is>
      </c>
      <c r="D338" t="inlineStr">
        <is>
          <t>CHONGOYAPE</t>
        </is>
      </c>
      <c r="E338" t="n">
        <v>6386</v>
      </c>
      <c r="F338" s="14" t="n">
        <v>0</v>
      </c>
      <c r="G338" s="14" t="n">
        <v>46.85</v>
      </c>
      <c r="H338" s="14" t="n">
        <v>0.23</v>
      </c>
      <c r="I338" s="14" t="n">
        <v>3.59</v>
      </c>
      <c r="J338" s="14" t="n">
        <v>0.17</v>
      </c>
      <c r="K338" s="14" t="n">
        <v>0.13</v>
      </c>
      <c r="L338" s="14" t="n">
        <v>7.02</v>
      </c>
      <c r="M338" s="14" t="n">
        <v>12.87</v>
      </c>
      <c r="N338" s="14" t="n">
        <v>7.59</v>
      </c>
      <c r="O338" s="14" t="n">
        <v>3.3</v>
      </c>
      <c r="P338" s="14" t="n">
        <v>0.3</v>
      </c>
      <c r="Q338" s="14" t="n">
        <v>0.31</v>
      </c>
      <c r="R338" s="14" t="n">
        <v>0.02</v>
      </c>
      <c r="S338" s="14" t="n">
        <v>2.15</v>
      </c>
      <c r="T338" s="14" t="n">
        <v>2.29</v>
      </c>
      <c r="U338" s="14" t="n">
        <v>4.24</v>
      </c>
      <c r="V338" s="14" t="n">
        <v>4.73</v>
      </c>
      <c r="W338" s="14" t="n">
        <v>1.44</v>
      </c>
      <c r="X338" s="14" t="n">
        <v>0.33</v>
      </c>
      <c r="Y338" s="14" t="n">
        <v>1.49</v>
      </c>
      <c r="Z338" s="14" t="n">
        <v>0.96</v>
      </c>
      <c r="AA338" s="14" t="n">
        <v>0</v>
      </c>
    </row>
    <row r="339">
      <c r="A339" t="inlineStr">
        <is>
          <t>140103</t>
        </is>
      </c>
      <c r="B339" t="inlineStr">
        <is>
          <t>LAMBAYEQUE</t>
        </is>
      </c>
      <c r="C339" t="inlineStr">
        <is>
          <t>CHICLAYO</t>
        </is>
      </c>
      <c r="D339" t="inlineStr">
        <is>
          <t>ETEN</t>
        </is>
      </c>
      <c r="E339" t="n">
        <v>4979</v>
      </c>
      <c r="F339" s="14" t="n">
        <v>0</v>
      </c>
      <c r="G339" s="14" t="n">
        <v>9.98</v>
      </c>
      <c r="H339" s="14" t="n">
        <v>0.06</v>
      </c>
      <c r="I339" s="14" t="n">
        <v>20.77</v>
      </c>
      <c r="J339" s="14" t="n">
        <v>0.02</v>
      </c>
      <c r="K339" s="14" t="n">
        <v>0.36</v>
      </c>
      <c r="L339" s="14" t="n">
        <v>17.59</v>
      </c>
      <c r="M339" s="14" t="n">
        <v>19</v>
      </c>
      <c r="N339" s="14" t="n">
        <v>8.58</v>
      </c>
      <c r="O339" s="14" t="n">
        <v>3.29</v>
      </c>
      <c r="P339" s="14" t="n">
        <v>0.5600000000000001</v>
      </c>
      <c r="Q339" s="14" t="n">
        <v>0.5</v>
      </c>
      <c r="R339" s="14" t="n">
        <v>0.02</v>
      </c>
      <c r="S339" s="14" t="n">
        <v>3.43</v>
      </c>
      <c r="T339" s="14" t="n">
        <v>1.69</v>
      </c>
      <c r="U339" s="14" t="n">
        <v>2.63</v>
      </c>
      <c r="V339" s="14" t="n">
        <v>3.33</v>
      </c>
      <c r="W339" s="14" t="n">
        <v>2.33</v>
      </c>
      <c r="X339" s="14" t="n">
        <v>1.49</v>
      </c>
      <c r="Y339" s="14" t="n">
        <v>3.55</v>
      </c>
      <c r="Z339" s="14" t="n">
        <v>0.8</v>
      </c>
      <c r="AA339" s="14" t="n">
        <v>0</v>
      </c>
    </row>
    <row r="340">
      <c r="A340" t="inlineStr">
        <is>
          <t>140104</t>
        </is>
      </c>
      <c r="B340" t="inlineStr">
        <is>
          <t>LAMBAYEQUE</t>
        </is>
      </c>
      <c r="C340" t="inlineStr">
        <is>
          <t>CHICLAYO</t>
        </is>
      </c>
      <c r="D340" t="inlineStr">
        <is>
          <t>ETEN PUERTO</t>
        </is>
      </c>
      <c r="E340" t="n">
        <v>952</v>
      </c>
      <c r="F340" s="14" t="n">
        <v>0</v>
      </c>
      <c r="G340" s="14" t="n">
        <v>12.39</v>
      </c>
      <c r="H340" s="14" t="n">
        <v>0.11</v>
      </c>
      <c r="I340" s="14" t="n">
        <v>7.25</v>
      </c>
      <c r="J340" s="14" t="n">
        <v>0</v>
      </c>
      <c r="K340" s="14" t="n">
        <v>0.42</v>
      </c>
      <c r="L340" s="14" t="n">
        <v>7.35</v>
      </c>
      <c r="M340" s="14" t="n">
        <v>16.7</v>
      </c>
      <c r="N340" s="14" t="n">
        <v>7.88</v>
      </c>
      <c r="O340" s="14" t="n">
        <v>8.82</v>
      </c>
      <c r="P340" s="14" t="n">
        <v>1.05</v>
      </c>
      <c r="Q340" s="14" t="n">
        <v>1.37</v>
      </c>
      <c r="R340" s="14" t="n">
        <v>0.32</v>
      </c>
      <c r="S340" s="14" t="n">
        <v>6.72</v>
      </c>
      <c r="T340" s="14" t="n">
        <v>6.62</v>
      </c>
      <c r="U340" s="14" t="n">
        <v>6.72</v>
      </c>
      <c r="V340" s="14" t="n">
        <v>6.41</v>
      </c>
      <c r="W340" s="14" t="n">
        <v>3.99</v>
      </c>
      <c r="X340" s="14" t="n">
        <v>1.37</v>
      </c>
      <c r="Y340" s="14" t="n">
        <v>2.1</v>
      </c>
      <c r="Z340" s="14" t="n">
        <v>2.42</v>
      </c>
      <c r="AA340" s="14" t="n">
        <v>0</v>
      </c>
    </row>
    <row r="341">
      <c r="A341" t="inlineStr">
        <is>
          <t>140105</t>
        </is>
      </c>
      <c r="B341" t="inlineStr">
        <is>
          <t>LAMBAYEQUE</t>
        </is>
      </c>
      <c r="C341" t="inlineStr">
        <is>
          <t>CHICLAYO</t>
        </is>
      </c>
      <c r="D341" t="inlineStr">
        <is>
          <t>JOSE LEONARDO ORTIZ</t>
        </is>
      </c>
      <c r="E341" t="n">
        <v>66361</v>
      </c>
      <c r="F341" s="14" t="n">
        <v>0</v>
      </c>
      <c r="G341" s="14" t="n">
        <v>3.57</v>
      </c>
      <c r="H341" s="14" t="n">
        <v>0.17</v>
      </c>
      <c r="I341" s="14" t="n">
        <v>7.95</v>
      </c>
      <c r="J341" s="14" t="n">
        <v>0.07000000000000001</v>
      </c>
      <c r="K341" s="14" t="n">
        <v>0.5600000000000001</v>
      </c>
      <c r="L341" s="14" t="n">
        <v>7.21</v>
      </c>
      <c r="M341" s="14" t="n">
        <v>32.01</v>
      </c>
      <c r="N341" s="14" t="n">
        <v>16.82</v>
      </c>
      <c r="O341" s="14" t="n">
        <v>6.49</v>
      </c>
      <c r="P341" s="14" t="n">
        <v>0.65</v>
      </c>
      <c r="Q341" s="14" t="n">
        <v>0.7</v>
      </c>
      <c r="R341" s="14" t="n">
        <v>0.12</v>
      </c>
      <c r="S341" s="14" t="n">
        <v>4.49</v>
      </c>
      <c r="T341" s="14" t="n">
        <v>2.59</v>
      </c>
      <c r="U341" s="14" t="n">
        <v>2.9</v>
      </c>
      <c r="V341" s="14" t="n">
        <v>6.05</v>
      </c>
      <c r="W341" s="14" t="n">
        <v>2.26</v>
      </c>
      <c r="X341" s="14" t="n">
        <v>0.77</v>
      </c>
      <c r="Y341" s="14" t="n">
        <v>3.17</v>
      </c>
      <c r="Z341" s="14" t="n">
        <v>1.47</v>
      </c>
      <c r="AA341" s="14" t="n">
        <v>0</v>
      </c>
    </row>
    <row r="342">
      <c r="A342" t="inlineStr">
        <is>
          <t>140106</t>
        </is>
      </c>
      <c r="B342" t="inlineStr">
        <is>
          <t>LAMBAYEQUE</t>
        </is>
      </c>
      <c r="C342" t="inlineStr">
        <is>
          <t>CHICLAYO</t>
        </is>
      </c>
      <c r="D342" t="inlineStr">
        <is>
          <t>LA VICTORIA</t>
        </is>
      </c>
      <c r="E342" t="n">
        <v>37507</v>
      </c>
      <c r="F342" s="14" t="n">
        <v>0</v>
      </c>
      <c r="G342" s="14" t="n">
        <v>4.82</v>
      </c>
      <c r="H342" s="14" t="n">
        <v>0.2</v>
      </c>
      <c r="I342" s="14" t="n">
        <v>8.17</v>
      </c>
      <c r="J342" s="14" t="n">
        <v>0.12</v>
      </c>
      <c r="K342" s="14" t="n">
        <v>0.35</v>
      </c>
      <c r="L342" s="14" t="n">
        <v>8.59</v>
      </c>
      <c r="M342" s="14" t="n">
        <v>24.54</v>
      </c>
      <c r="N342" s="14" t="n">
        <v>14.86</v>
      </c>
      <c r="O342" s="14" t="n">
        <v>6.41</v>
      </c>
      <c r="P342" s="14" t="n">
        <v>0.89</v>
      </c>
      <c r="Q342" s="14" t="n">
        <v>0.99</v>
      </c>
      <c r="R342" s="14" t="n">
        <v>0.14</v>
      </c>
      <c r="S342" s="14" t="n">
        <v>5.78</v>
      </c>
      <c r="T342" s="14" t="n">
        <v>3.78</v>
      </c>
      <c r="U342" s="14" t="n">
        <v>3.68</v>
      </c>
      <c r="V342" s="14" t="n">
        <v>7.12</v>
      </c>
      <c r="W342" s="14" t="n">
        <v>3.36</v>
      </c>
      <c r="X342" s="14" t="n">
        <v>1.13</v>
      </c>
      <c r="Y342" s="14" t="n">
        <v>3.32</v>
      </c>
      <c r="Z342" s="14" t="n">
        <v>1.75</v>
      </c>
      <c r="AA342" s="14" t="n">
        <v>0</v>
      </c>
    </row>
    <row r="343">
      <c r="A343" t="inlineStr">
        <is>
          <t>140107</t>
        </is>
      </c>
      <c r="B343" t="inlineStr">
        <is>
          <t>LAMBAYEQUE</t>
        </is>
      </c>
      <c r="C343" t="inlineStr">
        <is>
          <t>CHICLAYO</t>
        </is>
      </c>
      <c r="D343" t="inlineStr">
        <is>
          <t>LAGUNAS</t>
        </is>
      </c>
      <c r="E343" t="n">
        <v>3445</v>
      </c>
      <c r="F343" s="14" t="n">
        <v>0</v>
      </c>
      <c r="G343" s="14" t="n">
        <v>47.49</v>
      </c>
      <c r="H343" s="14" t="n">
        <v>0.29</v>
      </c>
      <c r="I343" s="14" t="n">
        <v>3.4</v>
      </c>
      <c r="J343" s="14" t="n">
        <v>0.12</v>
      </c>
      <c r="K343" s="14" t="n">
        <v>0.35</v>
      </c>
      <c r="L343" s="14" t="n">
        <v>8.27</v>
      </c>
      <c r="M343" s="14" t="n">
        <v>12.77</v>
      </c>
      <c r="N343" s="14" t="n">
        <v>8.51</v>
      </c>
      <c r="O343" s="14" t="n">
        <v>3.31</v>
      </c>
      <c r="P343" s="14" t="n">
        <v>0.29</v>
      </c>
      <c r="Q343" s="14" t="n">
        <v>0.41</v>
      </c>
      <c r="R343" s="14" t="n">
        <v>0.12</v>
      </c>
      <c r="S343" s="14" t="n">
        <v>1.74</v>
      </c>
      <c r="T343" s="14" t="n">
        <v>1.89</v>
      </c>
      <c r="U343" s="14" t="n">
        <v>3.05</v>
      </c>
      <c r="V343" s="14" t="n">
        <v>3.08</v>
      </c>
      <c r="W343" s="14" t="n">
        <v>1.39</v>
      </c>
      <c r="X343" s="14" t="n">
        <v>0.46</v>
      </c>
      <c r="Y343" s="14" t="n">
        <v>1.71</v>
      </c>
      <c r="Z343" s="14" t="n">
        <v>1.36</v>
      </c>
      <c r="AA343" s="14" t="n">
        <v>0</v>
      </c>
    </row>
    <row r="344">
      <c r="A344" t="inlineStr">
        <is>
          <t>140108</t>
        </is>
      </c>
      <c r="B344" t="inlineStr">
        <is>
          <t>LAMBAYEQUE</t>
        </is>
      </c>
      <c r="C344" t="inlineStr">
        <is>
          <t>CHICLAYO</t>
        </is>
      </c>
      <c r="D344" t="inlineStr">
        <is>
          <t>MONSEFU</t>
        </is>
      </c>
      <c r="E344" t="n">
        <v>13279</v>
      </c>
      <c r="F344" s="14" t="n">
        <v>0</v>
      </c>
      <c r="G344" s="14" t="n">
        <v>17.18</v>
      </c>
      <c r="H344" s="14" t="n">
        <v>0.07000000000000001</v>
      </c>
      <c r="I344" s="14" t="n">
        <v>13.4</v>
      </c>
      <c r="J344" s="14" t="n">
        <v>0.08</v>
      </c>
      <c r="K344" s="14" t="n">
        <v>0.14</v>
      </c>
      <c r="L344" s="14" t="n">
        <v>5.6</v>
      </c>
      <c r="M344" s="14" t="n">
        <v>25.67</v>
      </c>
      <c r="N344" s="14" t="n">
        <v>11.76</v>
      </c>
      <c r="O344" s="14" t="n">
        <v>4.93</v>
      </c>
      <c r="P344" s="14" t="n">
        <v>0.73</v>
      </c>
      <c r="Q344" s="14" t="n">
        <v>0.38</v>
      </c>
      <c r="R344" s="14" t="n">
        <v>0.05</v>
      </c>
      <c r="S344" s="14" t="n">
        <v>3.82</v>
      </c>
      <c r="T344" s="14" t="n">
        <v>1.7</v>
      </c>
      <c r="U344" s="14" t="n">
        <v>1.67</v>
      </c>
      <c r="V344" s="14" t="n">
        <v>5.27</v>
      </c>
      <c r="W344" s="14" t="n">
        <v>1.88</v>
      </c>
      <c r="X344" s="14" t="n">
        <v>1.22</v>
      </c>
      <c r="Y344" s="14" t="n">
        <v>3.31</v>
      </c>
      <c r="Z344" s="14" t="n">
        <v>1.13</v>
      </c>
      <c r="AA344" s="14" t="n">
        <v>0</v>
      </c>
    </row>
    <row r="345">
      <c r="A345" t="inlineStr">
        <is>
          <t>140109</t>
        </is>
      </c>
      <c r="B345" t="inlineStr">
        <is>
          <t>LAMBAYEQUE</t>
        </is>
      </c>
      <c r="C345" t="inlineStr">
        <is>
          <t>CHICLAYO</t>
        </is>
      </c>
      <c r="D345" t="inlineStr">
        <is>
          <t>NUEVA ARICA</t>
        </is>
      </c>
      <c r="E345" t="n">
        <v>790</v>
      </c>
      <c r="F345" s="14" t="n">
        <v>0</v>
      </c>
      <c r="G345" s="14" t="n">
        <v>60</v>
      </c>
      <c r="H345" s="14" t="n">
        <v>0.38</v>
      </c>
      <c r="I345" s="14" t="n">
        <v>2.53</v>
      </c>
      <c r="J345" s="14" t="n">
        <v>0.13</v>
      </c>
      <c r="K345" s="14" t="n">
        <v>0.51</v>
      </c>
      <c r="L345" s="14" t="n">
        <v>5.95</v>
      </c>
      <c r="M345" s="14" t="n">
        <v>6.96</v>
      </c>
      <c r="N345" s="14" t="n">
        <v>4.56</v>
      </c>
      <c r="O345" s="14" t="n">
        <v>2.53</v>
      </c>
      <c r="P345" s="14" t="n">
        <v>0.25</v>
      </c>
      <c r="Q345" s="14" t="n">
        <v>0</v>
      </c>
      <c r="R345" s="14" t="n">
        <v>0</v>
      </c>
      <c r="S345" s="14" t="n">
        <v>1.14</v>
      </c>
      <c r="T345" s="14" t="n">
        <v>0.63</v>
      </c>
      <c r="U345" s="14" t="n">
        <v>5.06</v>
      </c>
      <c r="V345" s="14" t="n">
        <v>5.32</v>
      </c>
      <c r="W345" s="14" t="n">
        <v>1.52</v>
      </c>
      <c r="X345" s="14" t="n">
        <v>0.25</v>
      </c>
      <c r="Y345" s="14" t="n">
        <v>1.01</v>
      </c>
      <c r="Z345" s="14" t="n">
        <v>1.27</v>
      </c>
      <c r="AA345" s="14" t="n">
        <v>0</v>
      </c>
    </row>
    <row r="346">
      <c r="A346" t="inlineStr">
        <is>
          <t>140110</t>
        </is>
      </c>
      <c r="B346" t="inlineStr">
        <is>
          <t>LAMBAYEQUE</t>
        </is>
      </c>
      <c r="C346" t="inlineStr">
        <is>
          <t>CHICLAYO</t>
        </is>
      </c>
      <c r="D346" t="inlineStr">
        <is>
          <t>OYOTUN</t>
        </is>
      </c>
      <c r="E346" t="n">
        <v>2940</v>
      </c>
      <c r="F346" s="14" t="n">
        <v>0</v>
      </c>
      <c r="G346" s="14" t="n">
        <v>60.75</v>
      </c>
      <c r="H346" s="14" t="n">
        <v>0.2</v>
      </c>
      <c r="I346" s="14" t="n">
        <v>2.79</v>
      </c>
      <c r="J346" s="14" t="n">
        <v>0.03</v>
      </c>
      <c r="K346" s="14" t="n">
        <v>0.14</v>
      </c>
      <c r="L346" s="14" t="n">
        <v>4.66</v>
      </c>
      <c r="M346" s="14" t="n">
        <v>10.65</v>
      </c>
      <c r="N346" s="14" t="n">
        <v>4.56</v>
      </c>
      <c r="O346" s="14" t="n">
        <v>3.06</v>
      </c>
      <c r="P346" s="14" t="n">
        <v>0.31</v>
      </c>
      <c r="Q346" s="14" t="n">
        <v>0.34</v>
      </c>
      <c r="R346" s="14" t="n">
        <v>0.03</v>
      </c>
      <c r="S346" s="14" t="n">
        <v>1.29</v>
      </c>
      <c r="T346" s="14" t="n">
        <v>1.94</v>
      </c>
      <c r="U346" s="14" t="n">
        <v>2.01</v>
      </c>
      <c r="V346" s="14" t="n">
        <v>2.45</v>
      </c>
      <c r="W346" s="14" t="n">
        <v>1.19</v>
      </c>
      <c r="X346" s="14" t="n">
        <v>0.27</v>
      </c>
      <c r="Y346" s="14" t="n">
        <v>2.31</v>
      </c>
      <c r="Z346" s="14" t="n">
        <v>1.02</v>
      </c>
      <c r="AA346" s="14" t="n">
        <v>0</v>
      </c>
    </row>
    <row r="347">
      <c r="A347" t="inlineStr">
        <is>
          <t>140111</t>
        </is>
      </c>
      <c r="B347" t="inlineStr">
        <is>
          <t>LAMBAYEQUE</t>
        </is>
      </c>
      <c r="C347" t="inlineStr">
        <is>
          <t>CHICLAYO</t>
        </is>
      </c>
      <c r="D347" t="inlineStr">
        <is>
          <t>PICSI</t>
        </is>
      </c>
      <c r="E347" t="n">
        <v>6279</v>
      </c>
      <c r="F347" s="14" t="n">
        <v>0</v>
      </c>
      <c r="G347" s="14" t="n">
        <v>13.19</v>
      </c>
      <c r="H347" s="14" t="n">
        <v>0.24</v>
      </c>
      <c r="I347" s="14" t="n">
        <v>42.4</v>
      </c>
      <c r="J347" s="14" t="n">
        <v>0.05</v>
      </c>
      <c r="K347" s="14" t="n">
        <v>0.25</v>
      </c>
      <c r="L347" s="14" t="n">
        <v>6.91</v>
      </c>
      <c r="M347" s="14" t="n">
        <v>11.37</v>
      </c>
      <c r="N347" s="14" t="n">
        <v>4.4</v>
      </c>
      <c r="O347" s="14" t="n">
        <v>5.53</v>
      </c>
      <c r="P347" s="14" t="n">
        <v>0.24</v>
      </c>
      <c r="Q347" s="14" t="n">
        <v>0.24</v>
      </c>
      <c r="R347" s="14" t="n">
        <v>0.08</v>
      </c>
      <c r="S347" s="14" t="n">
        <v>1.96</v>
      </c>
      <c r="T347" s="14" t="n">
        <v>3.06</v>
      </c>
      <c r="U347" s="14" t="n">
        <v>2.2</v>
      </c>
      <c r="V347" s="14" t="n">
        <v>2.18</v>
      </c>
      <c r="W347" s="14" t="n">
        <v>1.15</v>
      </c>
      <c r="X347" s="14" t="n">
        <v>0.49</v>
      </c>
      <c r="Y347" s="14" t="n">
        <v>3.06</v>
      </c>
      <c r="Z347" s="14" t="n">
        <v>1.02</v>
      </c>
      <c r="AA347" s="14" t="n">
        <v>0</v>
      </c>
    </row>
    <row r="348">
      <c r="A348" t="inlineStr">
        <is>
          <t>140112</t>
        </is>
      </c>
      <c r="B348" t="inlineStr">
        <is>
          <t>LAMBAYEQUE</t>
        </is>
      </c>
      <c r="C348" t="inlineStr">
        <is>
          <t>CHICLAYO</t>
        </is>
      </c>
      <c r="D348" t="inlineStr">
        <is>
          <t>PIMENTEL</t>
        </is>
      </c>
      <c r="E348" t="n">
        <v>17509</v>
      </c>
      <c r="F348" s="14" t="n">
        <v>0.08599999999999999</v>
      </c>
      <c r="G348" s="14" t="n">
        <v>7.81</v>
      </c>
      <c r="H348" s="14" t="n">
        <v>0.26</v>
      </c>
      <c r="I348" s="14" t="n">
        <v>6.84</v>
      </c>
      <c r="J348" s="14" t="n">
        <v>0.12</v>
      </c>
      <c r="K348" s="14" t="n">
        <v>0.41</v>
      </c>
      <c r="L348" s="14" t="n">
        <v>9.720000000000001</v>
      </c>
      <c r="M348" s="14" t="n">
        <v>20.37</v>
      </c>
      <c r="N348" s="14" t="n">
        <v>12.13</v>
      </c>
      <c r="O348" s="14" t="n">
        <v>6.9</v>
      </c>
      <c r="P348" s="14" t="n">
        <v>1.02</v>
      </c>
      <c r="Q348" s="14" t="n">
        <v>1.25</v>
      </c>
      <c r="R348" s="14" t="n">
        <v>0.35</v>
      </c>
      <c r="S348" s="14" t="n">
        <v>5.52</v>
      </c>
      <c r="T348" s="14" t="n">
        <v>3.94</v>
      </c>
      <c r="U348" s="14" t="n">
        <v>6.03</v>
      </c>
      <c r="V348" s="14" t="n">
        <v>7.02</v>
      </c>
      <c r="W348" s="14" t="n">
        <v>3.67</v>
      </c>
      <c r="X348" s="14" t="n">
        <v>0.87</v>
      </c>
      <c r="Y348" s="14" t="n">
        <v>2.86</v>
      </c>
      <c r="Z348" s="14" t="n">
        <v>2.92</v>
      </c>
      <c r="AA348" s="14" t="n">
        <v>0.01</v>
      </c>
    </row>
    <row r="349">
      <c r="A349" t="inlineStr">
        <is>
          <t>140113</t>
        </is>
      </c>
      <c r="B349" t="inlineStr">
        <is>
          <t>LAMBAYEQUE</t>
        </is>
      </c>
      <c r="C349" t="inlineStr">
        <is>
          <t>CHICLAYO</t>
        </is>
      </c>
      <c r="D349" t="inlineStr">
        <is>
          <t>REQUE</t>
        </is>
      </c>
      <c r="E349" t="n">
        <v>6604</v>
      </c>
      <c r="F349" s="14" t="n">
        <v>0</v>
      </c>
      <c r="G349" s="14" t="n">
        <v>20.52</v>
      </c>
      <c r="H349" s="14" t="n">
        <v>0.21</v>
      </c>
      <c r="I349" s="14" t="n">
        <v>5.81</v>
      </c>
      <c r="J349" s="14" t="n">
        <v>0.21</v>
      </c>
      <c r="K349" s="14" t="n">
        <v>0.9399999999999999</v>
      </c>
      <c r="L349" s="14" t="n">
        <v>8.81</v>
      </c>
      <c r="M349" s="14" t="n">
        <v>18.7</v>
      </c>
      <c r="N349" s="14" t="n">
        <v>12.57</v>
      </c>
      <c r="O349" s="14" t="n">
        <v>5.91</v>
      </c>
      <c r="P349" s="14" t="n">
        <v>0.83</v>
      </c>
      <c r="Q349" s="14" t="n">
        <v>0.62</v>
      </c>
      <c r="R349" s="14" t="n">
        <v>0.15</v>
      </c>
      <c r="S349" s="14" t="n">
        <v>3.5</v>
      </c>
      <c r="T349" s="14" t="n">
        <v>3.27</v>
      </c>
      <c r="U349" s="14" t="n">
        <v>4.27</v>
      </c>
      <c r="V349" s="14" t="n">
        <v>5.48</v>
      </c>
      <c r="W349" s="14" t="n">
        <v>2.6</v>
      </c>
      <c r="X349" s="14" t="n">
        <v>1.36</v>
      </c>
      <c r="Y349" s="14" t="n">
        <v>2.38</v>
      </c>
      <c r="Z349" s="14" t="n">
        <v>1.85</v>
      </c>
      <c r="AA349" s="14" t="n">
        <v>0</v>
      </c>
    </row>
    <row r="350">
      <c r="A350" t="inlineStr">
        <is>
          <t>140114</t>
        </is>
      </c>
      <c r="B350" t="inlineStr">
        <is>
          <t>LAMBAYEQUE</t>
        </is>
      </c>
      <c r="C350" t="inlineStr">
        <is>
          <t>CHICLAYO</t>
        </is>
      </c>
      <c r="D350" t="inlineStr">
        <is>
          <t>SANTA ROSA</t>
        </is>
      </c>
      <c r="E350" t="n">
        <v>3865</v>
      </c>
      <c r="F350" s="14" t="n">
        <v>4.373</v>
      </c>
      <c r="G350" s="14" t="n">
        <v>29.86</v>
      </c>
      <c r="H350" s="14" t="n">
        <v>0.1</v>
      </c>
      <c r="I350" s="14" t="n">
        <v>8.25</v>
      </c>
      <c r="J350" s="14" t="n">
        <v>0.1</v>
      </c>
      <c r="K350" s="14" t="n">
        <v>0.13</v>
      </c>
      <c r="L350" s="14" t="n">
        <v>4.89</v>
      </c>
      <c r="M350" s="14" t="n">
        <v>19.95</v>
      </c>
      <c r="N350" s="14" t="n">
        <v>13.4</v>
      </c>
      <c r="O350" s="14" t="n">
        <v>4.09</v>
      </c>
      <c r="P350" s="14" t="n">
        <v>0.31</v>
      </c>
      <c r="Q350" s="14" t="n">
        <v>0.34</v>
      </c>
      <c r="R350" s="14" t="n">
        <v>0.03</v>
      </c>
      <c r="S350" s="14" t="n">
        <v>3.93</v>
      </c>
      <c r="T350" s="14" t="n">
        <v>2.02</v>
      </c>
      <c r="U350" s="14" t="n">
        <v>2.56</v>
      </c>
      <c r="V350" s="14" t="n">
        <v>2.92</v>
      </c>
      <c r="W350" s="14" t="n">
        <v>1.47</v>
      </c>
      <c r="X350" s="14" t="n">
        <v>0.39</v>
      </c>
      <c r="Y350" s="14" t="n">
        <v>2.28</v>
      </c>
      <c r="Z350" s="14" t="n">
        <v>2.98</v>
      </c>
      <c r="AA350" s="14" t="n">
        <v>0</v>
      </c>
    </row>
    <row r="351">
      <c r="A351" t="inlineStr">
        <is>
          <t>140115</t>
        </is>
      </c>
      <c r="B351" t="inlineStr">
        <is>
          <t>LAMBAYEQUE</t>
        </is>
      </c>
      <c r="C351" t="inlineStr">
        <is>
          <t>CHICLAYO</t>
        </is>
      </c>
      <c r="D351" t="inlineStr">
        <is>
          <t>SAÑA</t>
        </is>
      </c>
      <c r="E351" t="n">
        <v>3966</v>
      </c>
      <c r="F351" s="14" t="n">
        <v>0</v>
      </c>
      <c r="G351" s="14" t="n">
        <v>40.22</v>
      </c>
      <c r="H351" s="14" t="n">
        <v>0.25</v>
      </c>
      <c r="I351" s="14" t="n">
        <v>7.03</v>
      </c>
      <c r="J351" s="14" t="n">
        <v>0.18</v>
      </c>
      <c r="K351" s="14" t="n">
        <v>0.25</v>
      </c>
      <c r="L351" s="14" t="n">
        <v>6.88</v>
      </c>
      <c r="M351" s="14" t="n">
        <v>13.92</v>
      </c>
      <c r="N351" s="14" t="n">
        <v>9.460000000000001</v>
      </c>
      <c r="O351" s="14" t="n">
        <v>3.76</v>
      </c>
      <c r="P351" s="14" t="n">
        <v>0.15</v>
      </c>
      <c r="Q351" s="14" t="n">
        <v>0.33</v>
      </c>
      <c r="R351" s="14" t="n">
        <v>0</v>
      </c>
      <c r="S351" s="14" t="n">
        <v>2.04</v>
      </c>
      <c r="T351" s="14" t="n">
        <v>3.2</v>
      </c>
      <c r="U351" s="14" t="n">
        <v>3.2</v>
      </c>
      <c r="V351" s="14" t="n">
        <v>4.11</v>
      </c>
      <c r="W351" s="14" t="n">
        <v>1.51</v>
      </c>
      <c r="X351" s="14" t="n">
        <v>0.55</v>
      </c>
      <c r="Y351" s="14" t="n">
        <v>1.84</v>
      </c>
      <c r="Z351" s="14" t="n">
        <v>1.11</v>
      </c>
      <c r="AA351" s="14" t="n">
        <v>0</v>
      </c>
    </row>
    <row r="352">
      <c r="A352" t="inlineStr">
        <is>
          <t>140116</t>
        </is>
      </c>
      <c r="B352" t="inlineStr">
        <is>
          <t>LAMBAYEQUE</t>
        </is>
      </c>
      <c r="C352" t="inlineStr">
        <is>
          <t>CHICLAYO</t>
        </is>
      </c>
      <c r="D352" t="inlineStr">
        <is>
          <t>CAYALTI</t>
        </is>
      </c>
      <c r="E352" t="n">
        <v>4939</v>
      </c>
      <c r="F352" s="14" t="n">
        <v>0</v>
      </c>
      <c r="G352" s="14" t="n">
        <v>29.07</v>
      </c>
      <c r="H352" s="14" t="n">
        <v>0.16</v>
      </c>
      <c r="I352" s="14" t="n">
        <v>7.55</v>
      </c>
      <c r="J352" s="14" t="n">
        <v>0.2</v>
      </c>
      <c r="K352" s="14" t="n">
        <v>0.26</v>
      </c>
      <c r="L352" s="14" t="n">
        <v>9.640000000000001</v>
      </c>
      <c r="M352" s="14" t="n">
        <v>17.57</v>
      </c>
      <c r="N352" s="14" t="n">
        <v>10.02</v>
      </c>
      <c r="O352" s="14" t="n">
        <v>5.73</v>
      </c>
      <c r="P352" s="14" t="n">
        <v>0.71</v>
      </c>
      <c r="Q352" s="14" t="n">
        <v>0.32</v>
      </c>
      <c r="R352" s="14" t="n">
        <v>0.04</v>
      </c>
      <c r="S352" s="14" t="n">
        <v>2.27</v>
      </c>
      <c r="T352" s="14" t="n">
        <v>3.42</v>
      </c>
      <c r="U352" s="14" t="n">
        <v>2.67</v>
      </c>
      <c r="V352" s="14" t="n">
        <v>4.43</v>
      </c>
      <c r="W352" s="14" t="n">
        <v>1.36</v>
      </c>
      <c r="X352" s="14" t="n">
        <v>0.77</v>
      </c>
      <c r="Y352" s="14" t="n">
        <v>2.92</v>
      </c>
      <c r="Z352" s="14" t="n">
        <v>0.87</v>
      </c>
      <c r="AA352" s="14" t="n">
        <v>0</v>
      </c>
    </row>
    <row r="353">
      <c r="A353" t="inlineStr">
        <is>
          <t>140117</t>
        </is>
      </c>
      <c r="B353" t="inlineStr">
        <is>
          <t>LAMBAYEQUE</t>
        </is>
      </c>
      <c r="C353" t="inlineStr">
        <is>
          <t>CHICLAYO</t>
        </is>
      </c>
      <c r="D353" t="inlineStr">
        <is>
          <t>PATAPO</t>
        </is>
      </c>
      <c r="E353" t="n">
        <v>8301</v>
      </c>
      <c r="F353" s="14" t="n">
        <v>0</v>
      </c>
      <c r="G353" s="14" t="n">
        <v>28.7</v>
      </c>
      <c r="H353" s="14" t="n">
        <v>0.82</v>
      </c>
      <c r="I353" s="14" t="n">
        <v>6.77</v>
      </c>
      <c r="J353" s="14" t="n">
        <v>0.08</v>
      </c>
      <c r="K353" s="14" t="n">
        <v>0.2</v>
      </c>
      <c r="L353" s="14" t="n">
        <v>8.07</v>
      </c>
      <c r="M353" s="14" t="n">
        <v>16.61</v>
      </c>
      <c r="N353" s="14" t="n">
        <v>12.47</v>
      </c>
      <c r="O353" s="14" t="n">
        <v>5.31</v>
      </c>
      <c r="P353" s="14" t="n">
        <v>0.4</v>
      </c>
      <c r="Q353" s="14" t="n">
        <v>0.27</v>
      </c>
      <c r="R353" s="14" t="n">
        <v>0.01</v>
      </c>
      <c r="S353" s="14" t="n">
        <v>2.37</v>
      </c>
      <c r="T353" s="14" t="n">
        <v>3.54</v>
      </c>
      <c r="U353" s="14" t="n">
        <v>3.55</v>
      </c>
      <c r="V353" s="14" t="n">
        <v>5.46</v>
      </c>
      <c r="W353" s="14" t="n">
        <v>1.54</v>
      </c>
      <c r="X353" s="14" t="n">
        <v>0.48</v>
      </c>
      <c r="Y353" s="14" t="n">
        <v>2.04</v>
      </c>
      <c r="Z353" s="14" t="n">
        <v>1.3</v>
      </c>
      <c r="AA353" s="14" t="n">
        <v>0</v>
      </c>
    </row>
    <row r="354">
      <c r="A354" t="inlineStr">
        <is>
          <t>140118</t>
        </is>
      </c>
      <c r="B354" t="inlineStr">
        <is>
          <t>LAMBAYEQUE</t>
        </is>
      </c>
      <c r="C354" t="inlineStr">
        <is>
          <t>CHICLAYO</t>
        </is>
      </c>
      <c r="D354" t="inlineStr">
        <is>
          <t>POMALCA</t>
        </is>
      </c>
      <c r="E354" t="n">
        <v>9247</v>
      </c>
      <c r="F354" s="14" t="n">
        <v>0</v>
      </c>
      <c r="G354" s="14" t="n">
        <v>12.99</v>
      </c>
      <c r="H354" s="14" t="n">
        <v>0.11</v>
      </c>
      <c r="I354" s="14" t="n">
        <v>9.880000000000001</v>
      </c>
      <c r="J354" s="14" t="n">
        <v>0.1</v>
      </c>
      <c r="K354" s="14" t="n">
        <v>0.32</v>
      </c>
      <c r="L354" s="14" t="n">
        <v>8.69</v>
      </c>
      <c r="M354" s="14" t="n">
        <v>18.72</v>
      </c>
      <c r="N354" s="14" t="n">
        <v>12.67</v>
      </c>
      <c r="O354" s="14" t="n">
        <v>5.98</v>
      </c>
      <c r="P354" s="14" t="n">
        <v>0.75</v>
      </c>
      <c r="Q354" s="14" t="n">
        <v>0.85</v>
      </c>
      <c r="R354" s="14" t="n">
        <v>0.06</v>
      </c>
      <c r="S354" s="14" t="n">
        <v>3.75</v>
      </c>
      <c r="T354" s="14" t="n">
        <v>5.87</v>
      </c>
      <c r="U354" s="14" t="n">
        <v>5.32</v>
      </c>
      <c r="V354" s="14" t="n">
        <v>6.17</v>
      </c>
      <c r="W354" s="14" t="n">
        <v>2.4</v>
      </c>
      <c r="X354" s="14" t="n">
        <v>1.01</v>
      </c>
      <c r="Y354" s="14" t="n">
        <v>2.73</v>
      </c>
      <c r="Z354" s="14" t="n">
        <v>1.61</v>
      </c>
      <c r="AA354" s="14" t="n">
        <v>0</v>
      </c>
    </row>
    <row r="355">
      <c r="A355" t="inlineStr">
        <is>
          <t>140119</t>
        </is>
      </c>
      <c r="B355" t="inlineStr">
        <is>
          <t>LAMBAYEQUE</t>
        </is>
      </c>
      <c r="C355" t="inlineStr">
        <is>
          <t>CHICLAYO</t>
        </is>
      </c>
      <c r="D355" t="inlineStr">
        <is>
          <t>PUCALA</t>
        </is>
      </c>
      <c r="E355" t="n">
        <v>3096</v>
      </c>
      <c r="F355" s="14" t="n">
        <v>0</v>
      </c>
      <c r="G355" s="14" t="n">
        <v>27.23</v>
      </c>
      <c r="H355" s="14" t="n">
        <v>0.52</v>
      </c>
      <c r="I355" s="14" t="n">
        <v>13.4</v>
      </c>
      <c r="J355" s="14" t="n">
        <v>0</v>
      </c>
      <c r="K355" s="14" t="n">
        <v>0.32</v>
      </c>
      <c r="L355" s="14" t="n">
        <v>5.39</v>
      </c>
      <c r="M355" s="14" t="n">
        <v>14.83</v>
      </c>
      <c r="N355" s="14" t="n">
        <v>9.69</v>
      </c>
      <c r="O355" s="14" t="n">
        <v>4.72</v>
      </c>
      <c r="P355" s="14" t="n">
        <v>0.29</v>
      </c>
      <c r="Q355" s="14" t="n">
        <v>0.16</v>
      </c>
      <c r="R355" s="14" t="n">
        <v>0.06</v>
      </c>
      <c r="S355" s="14" t="n">
        <v>2.62</v>
      </c>
      <c r="T355" s="14" t="n">
        <v>3.84</v>
      </c>
      <c r="U355" s="14" t="n">
        <v>4.1</v>
      </c>
      <c r="V355" s="14" t="n">
        <v>6.69</v>
      </c>
      <c r="W355" s="14" t="n">
        <v>1.81</v>
      </c>
      <c r="X355" s="14" t="n">
        <v>0.9</v>
      </c>
      <c r="Y355" s="14" t="n">
        <v>1.94</v>
      </c>
      <c r="Z355" s="14" t="n">
        <v>1.49</v>
      </c>
      <c r="AA355" s="14" t="n">
        <v>0</v>
      </c>
    </row>
    <row r="356">
      <c r="A356" t="inlineStr">
        <is>
          <t>140120</t>
        </is>
      </c>
      <c r="B356" t="inlineStr">
        <is>
          <t>LAMBAYEQUE</t>
        </is>
      </c>
      <c r="C356" t="inlineStr">
        <is>
          <t>CHICLAYO</t>
        </is>
      </c>
      <c r="D356" t="inlineStr">
        <is>
          <t>TUMAN</t>
        </is>
      </c>
      <c r="E356" t="n">
        <v>10562</v>
      </c>
      <c r="F356" s="14" t="n">
        <v>0</v>
      </c>
      <c r="G356" s="14" t="n">
        <v>22.82</v>
      </c>
      <c r="H356" s="14" t="n">
        <v>0.29</v>
      </c>
      <c r="I356" s="14" t="n">
        <v>8.76</v>
      </c>
      <c r="J356" s="14" t="n">
        <v>0.13</v>
      </c>
      <c r="K356" s="14" t="n">
        <v>0.34</v>
      </c>
      <c r="L356" s="14" t="n">
        <v>6.86</v>
      </c>
      <c r="M356" s="14" t="n">
        <v>15.41</v>
      </c>
      <c r="N356" s="14" t="n">
        <v>11.92</v>
      </c>
      <c r="O356" s="14" t="n">
        <v>4.96</v>
      </c>
      <c r="P356" s="14" t="n">
        <v>0.8</v>
      </c>
      <c r="Q356" s="14" t="n">
        <v>0.79</v>
      </c>
      <c r="R356" s="14" t="n">
        <v>0.07000000000000001</v>
      </c>
      <c r="S356" s="14" t="n">
        <v>3.4</v>
      </c>
      <c r="T356" s="14" t="n">
        <v>5.87</v>
      </c>
      <c r="U356" s="14" t="n">
        <v>4.15</v>
      </c>
      <c r="V356" s="14" t="n">
        <v>7.05</v>
      </c>
      <c r="W356" s="14" t="n">
        <v>2.13</v>
      </c>
      <c r="X356" s="14" t="n">
        <v>0.79</v>
      </c>
      <c r="Y356" s="14" t="n">
        <v>2.05</v>
      </c>
      <c r="Z356" s="14" t="n">
        <v>1.42</v>
      </c>
      <c r="AA356" s="14" t="n">
        <v>0</v>
      </c>
    </row>
    <row r="357">
      <c r="A357" t="inlineStr">
        <is>
          <t>140201</t>
        </is>
      </c>
      <c r="B357" t="inlineStr">
        <is>
          <t>LAMBAYEQUE</t>
        </is>
      </c>
      <c r="C357" t="inlineStr">
        <is>
          <t>FERREÑAFE</t>
        </is>
      </c>
      <c r="D357" t="inlineStr">
        <is>
          <t>FERREÑAFE</t>
        </is>
      </c>
      <c r="E357" t="n">
        <v>12761</v>
      </c>
      <c r="F357" s="14" t="n">
        <v>0</v>
      </c>
      <c r="G357" s="14" t="n">
        <v>15.19</v>
      </c>
      <c r="H357" s="14" t="n">
        <v>0.16</v>
      </c>
      <c r="I357" s="14" t="n">
        <v>5.76</v>
      </c>
      <c r="J357" s="14" t="n">
        <v>0.11</v>
      </c>
      <c r="K357" s="14" t="n">
        <v>0.3</v>
      </c>
      <c r="L357" s="14" t="n">
        <v>9.039999999999999</v>
      </c>
      <c r="M357" s="14" t="n">
        <v>17.37</v>
      </c>
      <c r="N357" s="14" t="n">
        <v>11.4</v>
      </c>
      <c r="O357" s="14" t="n">
        <v>4.74</v>
      </c>
      <c r="P357" s="14" t="n">
        <v>0.9</v>
      </c>
      <c r="Q357" s="14" t="n">
        <v>0.86</v>
      </c>
      <c r="R357" s="14" t="n">
        <v>0.08</v>
      </c>
      <c r="S357" s="14" t="n">
        <v>4.51</v>
      </c>
      <c r="T357" s="14" t="n">
        <v>3.63</v>
      </c>
      <c r="U357" s="14" t="n">
        <v>5.15</v>
      </c>
      <c r="V357" s="14" t="n">
        <v>10.41</v>
      </c>
      <c r="W357" s="14" t="n">
        <v>3.92</v>
      </c>
      <c r="X357" s="14" t="n">
        <v>1.11</v>
      </c>
      <c r="Y357" s="14" t="n">
        <v>3.26</v>
      </c>
      <c r="Z357" s="14" t="n">
        <v>2.08</v>
      </c>
      <c r="AA357" s="14" t="n">
        <v>0</v>
      </c>
    </row>
    <row r="358">
      <c r="A358" t="inlineStr">
        <is>
          <t>140202</t>
        </is>
      </c>
      <c r="B358" t="inlineStr">
        <is>
          <t>LAMBAYEQUE</t>
        </is>
      </c>
      <c r="C358" t="inlineStr">
        <is>
          <t>FERREÑAFE</t>
        </is>
      </c>
      <c r="D358" t="inlineStr">
        <is>
          <t>CAÑARIS</t>
        </is>
      </c>
      <c r="E358" t="n">
        <v>3016</v>
      </c>
      <c r="F358" s="14" t="n">
        <v>0</v>
      </c>
      <c r="G358" s="14" t="n">
        <v>94.93000000000001</v>
      </c>
      <c r="H358" s="14" t="n">
        <v>0</v>
      </c>
      <c r="I358" s="14" t="n">
        <v>0.6</v>
      </c>
      <c r="J358" s="14" t="n">
        <v>0</v>
      </c>
      <c r="K358" s="14" t="n">
        <v>0</v>
      </c>
      <c r="L358" s="14" t="n">
        <v>0.36</v>
      </c>
      <c r="M358" s="14" t="n">
        <v>0.53</v>
      </c>
      <c r="N358" s="14" t="n">
        <v>0.1</v>
      </c>
      <c r="O358" s="14" t="n">
        <v>0.07000000000000001</v>
      </c>
      <c r="P358" s="14" t="n">
        <v>0.03</v>
      </c>
      <c r="Q358" s="14" t="n">
        <v>0</v>
      </c>
      <c r="R358" s="14" t="n">
        <v>0</v>
      </c>
      <c r="S358" s="14" t="n">
        <v>0.43</v>
      </c>
      <c r="T358" s="14" t="n">
        <v>0</v>
      </c>
      <c r="U358" s="14" t="n">
        <v>0.33</v>
      </c>
      <c r="V358" s="14" t="n">
        <v>1.96</v>
      </c>
      <c r="W358" s="14" t="n">
        <v>0.27</v>
      </c>
      <c r="X358" s="14" t="n">
        <v>0.03</v>
      </c>
      <c r="Y358" s="14" t="n">
        <v>0.2</v>
      </c>
      <c r="Z358" s="14" t="n">
        <v>0.17</v>
      </c>
      <c r="AA358" s="14" t="n">
        <v>0</v>
      </c>
    </row>
    <row r="359">
      <c r="A359" t="inlineStr">
        <is>
          <t>140203</t>
        </is>
      </c>
      <c r="B359" t="inlineStr">
        <is>
          <t>LAMBAYEQUE</t>
        </is>
      </c>
      <c r="C359" t="inlineStr">
        <is>
          <t>FERREÑAFE</t>
        </is>
      </c>
      <c r="D359" t="inlineStr">
        <is>
          <t>INCAHUASI</t>
        </is>
      </c>
      <c r="E359" t="n">
        <v>3505</v>
      </c>
      <c r="F359" s="14" t="n">
        <v>0</v>
      </c>
      <c r="G359" s="14" t="n">
        <v>78.15000000000001</v>
      </c>
      <c r="H359" s="14" t="n">
        <v>0.26</v>
      </c>
      <c r="I359" s="14" t="n">
        <v>1.34</v>
      </c>
      <c r="J359" s="14" t="n">
        <v>0</v>
      </c>
      <c r="K359" s="14" t="n">
        <v>0.03</v>
      </c>
      <c r="L359" s="14" t="n">
        <v>1.54</v>
      </c>
      <c r="M359" s="14" t="n">
        <v>8.76</v>
      </c>
      <c r="N359" s="14" t="n">
        <v>1.54</v>
      </c>
      <c r="O359" s="14" t="n">
        <v>1.17</v>
      </c>
      <c r="P359" s="14" t="n">
        <v>0.06</v>
      </c>
      <c r="Q359" s="14" t="n">
        <v>0</v>
      </c>
      <c r="R359" s="14" t="n">
        <v>0</v>
      </c>
      <c r="S359" s="14" t="n">
        <v>0.63</v>
      </c>
      <c r="T359" s="14" t="n">
        <v>0.2</v>
      </c>
      <c r="U359" s="14" t="n">
        <v>1.43</v>
      </c>
      <c r="V359" s="14" t="n">
        <v>2.97</v>
      </c>
      <c r="W359" s="14" t="n">
        <v>1.06</v>
      </c>
      <c r="X359" s="14" t="n">
        <v>0.06</v>
      </c>
      <c r="Y359" s="14" t="n">
        <v>0.66</v>
      </c>
      <c r="Z359" s="14" t="n">
        <v>0.17</v>
      </c>
      <c r="AA359" s="14" t="n">
        <v>0</v>
      </c>
    </row>
    <row r="360">
      <c r="A360" t="inlineStr">
        <is>
          <t>140204</t>
        </is>
      </c>
      <c r="B360" t="inlineStr">
        <is>
          <t>LAMBAYEQUE</t>
        </is>
      </c>
      <c r="C360" t="inlineStr">
        <is>
          <t>FERREÑAFE</t>
        </is>
      </c>
      <c r="D360" t="inlineStr">
        <is>
          <t>MANUEL ANTONIO MESONES MURO</t>
        </is>
      </c>
      <c r="E360" t="n">
        <v>1229</v>
      </c>
      <c r="F360" s="14" t="n">
        <v>0</v>
      </c>
      <c r="G360" s="14" t="n">
        <v>56.96</v>
      </c>
      <c r="H360" s="14" t="n">
        <v>1.22</v>
      </c>
      <c r="I360" s="14" t="n">
        <v>3.58</v>
      </c>
      <c r="J360" s="14" t="n">
        <v>0</v>
      </c>
      <c r="K360" s="14" t="n">
        <v>0.08</v>
      </c>
      <c r="L360" s="14" t="n">
        <v>7.08</v>
      </c>
      <c r="M360" s="14" t="n">
        <v>8.300000000000001</v>
      </c>
      <c r="N360" s="14" t="n">
        <v>6.75</v>
      </c>
      <c r="O360" s="14" t="n">
        <v>2.44</v>
      </c>
      <c r="P360" s="14" t="n">
        <v>0</v>
      </c>
      <c r="Q360" s="14" t="n">
        <v>0.08</v>
      </c>
      <c r="R360" s="14" t="n">
        <v>0.08</v>
      </c>
      <c r="S360" s="14" t="n">
        <v>1.63</v>
      </c>
      <c r="T360" s="14" t="n">
        <v>4.8</v>
      </c>
      <c r="U360" s="14" t="n">
        <v>2.77</v>
      </c>
      <c r="V360" s="14" t="n">
        <v>1.38</v>
      </c>
      <c r="W360" s="14" t="n">
        <v>0.8100000000000001</v>
      </c>
      <c r="X360" s="14" t="n">
        <v>0.33</v>
      </c>
      <c r="Y360" s="14" t="n">
        <v>1.14</v>
      </c>
      <c r="Z360" s="14" t="n">
        <v>0.57</v>
      </c>
      <c r="AA360" s="14" t="n">
        <v>0</v>
      </c>
    </row>
    <row r="361">
      <c r="A361" t="inlineStr">
        <is>
          <t>140205</t>
        </is>
      </c>
      <c r="B361" t="inlineStr">
        <is>
          <t>LAMBAYEQUE</t>
        </is>
      </c>
      <c r="C361" t="inlineStr">
        <is>
          <t>FERREÑAFE</t>
        </is>
      </c>
      <c r="D361" t="inlineStr">
        <is>
          <t>PITIPO</t>
        </is>
      </c>
      <c r="E361" t="n">
        <v>6194</v>
      </c>
      <c r="F361" s="14" t="n">
        <v>0</v>
      </c>
      <c r="G361" s="14" t="n">
        <v>64.81999999999999</v>
      </c>
      <c r="H361" s="14" t="n">
        <v>0.05</v>
      </c>
      <c r="I361" s="14" t="n">
        <v>2.97</v>
      </c>
      <c r="J361" s="14" t="n">
        <v>0.02</v>
      </c>
      <c r="K361" s="14" t="n">
        <v>0.23</v>
      </c>
      <c r="L361" s="14" t="n">
        <v>3.58</v>
      </c>
      <c r="M361" s="14" t="n">
        <v>8.41</v>
      </c>
      <c r="N361" s="14" t="n">
        <v>6.26</v>
      </c>
      <c r="O361" s="14" t="n">
        <v>2.58</v>
      </c>
      <c r="P361" s="14" t="n">
        <v>0.1</v>
      </c>
      <c r="Q361" s="14" t="n">
        <v>0.11</v>
      </c>
      <c r="R361" s="14" t="n">
        <v>0.02</v>
      </c>
      <c r="S361" s="14" t="n">
        <v>1.11</v>
      </c>
      <c r="T361" s="14" t="n">
        <v>2.03</v>
      </c>
      <c r="U361" s="14" t="n">
        <v>2.03</v>
      </c>
      <c r="V361" s="14" t="n">
        <v>2.28</v>
      </c>
      <c r="W361" s="14" t="n">
        <v>1</v>
      </c>
      <c r="X361" s="14" t="n">
        <v>0.23</v>
      </c>
      <c r="Y361" s="14" t="n">
        <v>1.13</v>
      </c>
      <c r="Z361" s="14" t="n">
        <v>1.03</v>
      </c>
      <c r="AA361" s="14" t="n">
        <v>0</v>
      </c>
    </row>
    <row r="362">
      <c r="A362" t="inlineStr">
        <is>
          <t>140206</t>
        </is>
      </c>
      <c r="B362" t="inlineStr">
        <is>
          <t>LAMBAYEQUE</t>
        </is>
      </c>
      <c r="C362" t="inlineStr">
        <is>
          <t>FERREÑAFE</t>
        </is>
      </c>
      <c r="D362" t="inlineStr">
        <is>
          <t>PUEBLO NUEVO</t>
        </is>
      </c>
      <c r="E362" t="n">
        <v>5088</v>
      </c>
      <c r="F362" s="14" t="n">
        <v>0</v>
      </c>
      <c r="G362" s="14" t="n">
        <v>20.91</v>
      </c>
      <c r="H362" s="14" t="n">
        <v>0.14</v>
      </c>
      <c r="I362" s="14" t="n">
        <v>6.51</v>
      </c>
      <c r="J362" s="14" t="n">
        <v>0.12</v>
      </c>
      <c r="K362" s="14" t="n">
        <v>0.47</v>
      </c>
      <c r="L362" s="14" t="n">
        <v>10.16</v>
      </c>
      <c r="M362" s="14" t="n">
        <v>18.71</v>
      </c>
      <c r="N362" s="14" t="n">
        <v>13.23</v>
      </c>
      <c r="O362" s="14" t="n">
        <v>5.76</v>
      </c>
      <c r="P362" s="14" t="n">
        <v>0.47</v>
      </c>
      <c r="Q362" s="14" t="n">
        <v>0.37</v>
      </c>
      <c r="R362" s="14" t="n">
        <v>0.04</v>
      </c>
      <c r="S362" s="14" t="n">
        <v>1.97</v>
      </c>
      <c r="T362" s="14" t="n">
        <v>3.09</v>
      </c>
      <c r="U362" s="14" t="n">
        <v>4.28</v>
      </c>
      <c r="V362" s="14" t="n">
        <v>6.23</v>
      </c>
      <c r="W362" s="14" t="n">
        <v>1.73</v>
      </c>
      <c r="X362" s="14" t="n">
        <v>0.96</v>
      </c>
      <c r="Y362" s="14" t="n">
        <v>2.28</v>
      </c>
      <c r="Z362" s="14" t="n">
        <v>2.57</v>
      </c>
      <c r="AA362" s="14" t="n">
        <v>0</v>
      </c>
    </row>
    <row r="363">
      <c r="A363" t="inlineStr">
        <is>
          <t>140301</t>
        </is>
      </c>
      <c r="B363" t="inlineStr">
        <is>
          <t>LAMBAYEQUE</t>
        </is>
      </c>
      <c r="C363" t="inlineStr">
        <is>
          <t>LAMBAYEQUE</t>
        </is>
      </c>
      <c r="D363" t="inlineStr">
        <is>
          <t>LAMBAYEQUE</t>
        </is>
      </c>
      <c r="E363" t="n">
        <v>27355</v>
      </c>
      <c r="F363" s="14" t="n">
        <v>0.062</v>
      </c>
      <c r="G363" s="14" t="n">
        <v>13.64</v>
      </c>
      <c r="H363" s="14" t="n">
        <v>0.19</v>
      </c>
      <c r="I363" s="14" t="n">
        <v>7.25</v>
      </c>
      <c r="J363" s="14" t="n">
        <v>0.18</v>
      </c>
      <c r="K363" s="14" t="n">
        <v>0.3</v>
      </c>
      <c r="L363" s="14" t="n">
        <v>8.69</v>
      </c>
      <c r="M363" s="14" t="n">
        <v>17.04</v>
      </c>
      <c r="N363" s="14" t="n">
        <v>11.53</v>
      </c>
      <c r="O363" s="14" t="n">
        <v>6.27</v>
      </c>
      <c r="P363" s="14" t="n">
        <v>0.73</v>
      </c>
      <c r="Q363" s="14" t="n">
        <v>0.89</v>
      </c>
      <c r="R363" s="14" t="n">
        <v>0.11</v>
      </c>
      <c r="S363" s="14" t="n">
        <v>4.96</v>
      </c>
      <c r="T363" s="14" t="n">
        <v>3.66</v>
      </c>
      <c r="U363" s="14" t="n">
        <v>6.67</v>
      </c>
      <c r="V363" s="14" t="n">
        <v>9.109999999999999</v>
      </c>
      <c r="W363" s="14" t="n">
        <v>3.14</v>
      </c>
      <c r="X363" s="14" t="n">
        <v>1.17</v>
      </c>
      <c r="Y363" s="14" t="n">
        <v>2.52</v>
      </c>
      <c r="Z363" s="14" t="n">
        <v>1.97</v>
      </c>
      <c r="AA363" s="14" t="n">
        <v>0</v>
      </c>
    </row>
    <row r="364">
      <c r="A364" t="inlineStr">
        <is>
          <t>140302</t>
        </is>
      </c>
      <c r="B364" t="inlineStr">
        <is>
          <t>LAMBAYEQUE</t>
        </is>
      </c>
      <c r="C364" t="inlineStr">
        <is>
          <t>LAMBAYEQUE</t>
        </is>
      </c>
      <c r="D364" t="inlineStr">
        <is>
          <t>CHOCHOPE</t>
        </is>
      </c>
      <c r="E364" t="n">
        <v>386</v>
      </c>
      <c r="F364" s="14" t="n">
        <v>0</v>
      </c>
      <c r="G364" s="14" t="n">
        <v>79.27</v>
      </c>
      <c r="H364" s="14" t="n">
        <v>0</v>
      </c>
      <c r="I364" s="14" t="n">
        <v>1.04</v>
      </c>
      <c r="J364" s="14" t="n">
        <v>0</v>
      </c>
      <c r="K364" s="14" t="n">
        <v>0.26</v>
      </c>
      <c r="L364" s="14" t="n">
        <v>2.33</v>
      </c>
      <c r="M364" s="14" t="n">
        <v>3.63</v>
      </c>
      <c r="N364" s="14" t="n">
        <v>5.44</v>
      </c>
      <c r="O364" s="14" t="n">
        <v>0</v>
      </c>
      <c r="P364" s="14" t="n">
        <v>0</v>
      </c>
      <c r="Q364" s="14" t="n">
        <v>0.26</v>
      </c>
      <c r="R364" s="14" t="n">
        <v>0</v>
      </c>
      <c r="S364" s="14" t="n">
        <v>0.52</v>
      </c>
      <c r="T364" s="14" t="n">
        <v>0.52</v>
      </c>
      <c r="U364" s="14" t="n">
        <v>3.11</v>
      </c>
      <c r="V364" s="14" t="n">
        <v>2.07</v>
      </c>
      <c r="W364" s="14" t="n">
        <v>0.78</v>
      </c>
      <c r="X364" s="14" t="n">
        <v>0.26</v>
      </c>
      <c r="Y364" s="14" t="n">
        <v>0.52</v>
      </c>
      <c r="Z364" s="14" t="n">
        <v>0</v>
      </c>
      <c r="AA364" s="14" t="n">
        <v>0</v>
      </c>
    </row>
    <row r="365">
      <c r="A365" t="inlineStr">
        <is>
          <t>140303</t>
        </is>
      </c>
      <c r="B365" t="inlineStr">
        <is>
          <t>LAMBAYEQUE</t>
        </is>
      </c>
      <c r="C365" t="inlineStr">
        <is>
          <t>LAMBAYEQUE</t>
        </is>
      </c>
      <c r="D365" t="inlineStr">
        <is>
          <t>ILLIMO</t>
        </is>
      </c>
      <c r="E365" t="n">
        <v>2946</v>
      </c>
      <c r="F365" s="14" t="n">
        <v>0</v>
      </c>
      <c r="G365" s="14" t="n">
        <v>43.92</v>
      </c>
      <c r="H365" s="14" t="n">
        <v>0.2</v>
      </c>
      <c r="I365" s="14" t="n">
        <v>6.42</v>
      </c>
      <c r="J365" s="14" t="n">
        <v>0.1</v>
      </c>
      <c r="K365" s="14" t="n">
        <v>0.27</v>
      </c>
      <c r="L365" s="14" t="n">
        <v>6.01</v>
      </c>
      <c r="M365" s="14" t="n">
        <v>12.93</v>
      </c>
      <c r="N365" s="14" t="n">
        <v>9.16</v>
      </c>
      <c r="O365" s="14" t="n">
        <v>2.92</v>
      </c>
      <c r="P365" s="14" t="n">
        <v>0.51</v>
      </c>
      <c r="Q365" s="14" t="n">
        <v>0.31</v>
      </c>
      <c r="R365" s="14" t="n">
        <v>0</v>
      </c>
      <c r="S365" s="14" t="n">
        <v>2.04</v>
      </c>
      <c r="T365" s="14" t="n">
        <v>2.14</v>
      </c>
      <c r="U365" s="14" t="n">
        <v>3.39</v>
      </c>
      <c r="V365" s="14" t="n">
        <v>5.43</v>
      </c>
      <c r="W365" s="14" t="n">
        <v>1.83</v>
      </c>
      <c r="X365" s="14" t="n">
        <v>0.58</v>
      </c>
      <c r="Y365" s="14" t="n">
        <v>1.15</v>
      </c>
      <c r="Z365" s="14" t="n">
        <v>0.68</v>
      </c>
      <c r="AA365" s="14" t="n">
        <v>0</v>
      </c>
    </row>
    <row r="366">
      <c r="A366" t="inlineStr">
        <is>
          <t>140304</t>
        </is>
      </c>
      <c r="B366" t="inlineStr">
        <is>
          <t>LAMBAYEQUE</t>
        </is>
      </c>
      <c r="C366" t="inlineStr">
        <is>
          <t>LAMBAYEQUE</t>
        </is>
      </c>
      <c r="D366" t="inlineStr">
        <is>
          <t>JAYANCA</t>
        </is>
      </c>
      <c r="E366" t="n">
        <v>5661</v>
      </c>
      <c r="F366" s="14" t="n">
        <v>0</v>
      </c>
      <c r="G366" s="14" t="n">
        <v>48.44</v>
      </c>
      <c r="H366" s="14" t="n">
        <v>0.09</v>
      </c>
      <c r="I366" s="14" t="n">
        <v>6.94</v>
      </c>
      <c r="J366" s="14" t="n">
        <v>0.09</v>
      </c>
      <c r="K366" s="14" t="n">
        <v>0.19</v>
      </c>
      <c r="L366" s="14" t="n">
        <v>8.18</v>
      </c>
      <c r="M366" s="14" t="n">
        <v>9.33</v>
      </c>
      <c r="N366" s="14" t="n">
        <v>6.94</v>
      </c>
      <c r="O366" s="14" t="n">
        <v>3.39</v>
      </c>
      <c r="P366" s="14" t="n">
        <v>0.3</v>
      </c>
      <c r="Q366" s="14" t="n">
        <v>0.23</v>
      </c>
      <c r="R366" s="14" t="n">
        <v>0.02</v>
      </c>
      <c r="S366" s="14" t="n">
        <v>2.93</v>
      </c>
      <c r="T366" s="14" t="n">
        <v>3.9</v>
      </c>
      <c r="U366" s="14" t="n">
        <v>1.4</v>
      </c>
      <c r="V366" s="14" t="n">
        <v>3.67</v>
      </c>
      <c r="W366" s="14" t="n">
        <v>1.13</v>
      </c>
      <c r="X366" s="14" t="n">
        <v>0.62</v>
      </c>
      <c r="Y366" s="14" t="n">
        <v>1.89</v>
      </c>
      <c r="Z366" s="14" t="n">
        <v>0.32</v>
      </c>
      <c r="AA366" s="14" t="n">
        <v>0</v>
      </c>
    </row>
    <row r="367">
      <c r="A367" t="inlineStr">
        <is>
          <t>140305</t>
        </is>
      </c>
      <c r="B367" t="inlineStr">
        <is>
          <t>LAMBAYEQUE</t>
        </is>
      </c>
      <c r="C367" t="inlineStr">
        <is>
          <t>LAMBAYEQUE</t>
        </is>
      </c>
      <c r="D367" t="inlineStr">
        <is>
          <t>MOCHUMI</t>
        </is>
      </c>
      <c r="E367" t="n">
        <v>5735</v>
      </c>
      <c r="F367" s="14" t="n">
        <v>0</v>
      </c>
      <c r="G367" s="14" t="n">
        <v>51.09</v>
      </c>
      <c r="H367" s="14" t="n">
        <v>0.14</v>
      </c>
      <c r="I367" s="14" t="n">
        <v>5.6</v>
      </c>
      <c r="J367" s="14" t="n">
        <v>0.05</v>
      </c>
      <c r="K367" s="14" t="n">
        <v>0.33</v>
      </c>
      <c r="L367" s="14" t="n">
        <v>7.1</v>
      </c>
      <c r="M367" s="14" t="n">
        <v>11.93</v>
      </c>
      <c r="N367" s="14" t="n">
        <v>6.63</v>
      </c>
      <c r="O367" s="14" t="n">
        <v>2.74</v>
      </c>
      <c r="P367" s="14" t="n">
        <v>0.33</v>
      </c>
      <c r="Q367" s="14" t="n">
        <v>0.23</v>
      </c>
      <c r="R367" s="14" t="n">
        <v>0.05</v>
      </c>
      <c r="S367" s="14" t="n">
        <v>1.59</v>
      </c>
      <c r="T367" s="14" t="n">
        <v>1.95</v>
      </c>
      <c r="U367" s="14" t="n">
        <v>2.53</v>
      </c>
      <c r="V367" s="14" t="n">
        <v>2.96</v>
      </c>
      <c r="W367" s="14" t="n">
        <v>1.24</v>
      </c>
      <c r="X367" s="14" t="n">
        <v>0.37</v>
      </c>
      <c r="Y367" s="14" t="n">
        <v>1.67</v>
      </c>
      <c r="Z367" s="14" t="n">
        <v>1.48</v>
      </c>
      <c r="AA367" s="14" t="n">
        <v>0</v>
      </c>
    </row>
    <row r="368">
      <c r="A368" t="inlineStr">
        <is>
          <t>140306</t>
        </is>
      </c>
      <c r="B368" t="inlineStr">
        <is>
          <t>LAMBAYEQUE</t>
        </is>
      </c>
      <c r="C368" t="inlineStr">
        <is>
          <t>LAMBAYEQUE</t>
        </is>
      </c>
      <c r="D368" t="inlineStr">
        <is>
          <t>MORROPE</t>
        </is>
      </c>
      <c r="E368" t="n">
        <v>12463</v>
      </c>
      <c r="F368" s="14" t="n">
        <v>0</v>
      </c>
      <c r="G368" s="14" t="n">
        <v>67.81999999999999</v>
      </c>
      <c r="H368" s="14" t="n">
        <v>0.62</v>
      </c>
      <c r="I368" s="14" t="n">
        <v>5.46</v>
      </c>
      <c r="J368" s="14" t="n">
        <v>0.06</v>
      </c>
      <c r="K368" s="14" t="n">
        <v>0.04</v>
      </c>
      <c r="L368" s="14" t="n">
        <v>3.18</v>
      </c>
      <c r="M368" s="14" t="n">
        <v>7.63</v>
      </c>
      <c r="N368" s="14" t="n">
        <v>5.99</v>
      </c>
      <c r="O368" s="14" t="n">
        <v>1.59</v>
      </c>
      <c r="P368" s="14" t="n">
        <v>0.17</v>
      </c>
      <c r="Q368" s="14" t="n">
        <v>0.09</v>
      </c>
      <c r="R368" s="14" t="n">
        <v>0</v>
      </c>
      <c r="S368" s="14" t="n">
        <v>0.92</v>
      </c>
      <c r="T368" s="14" t="n">
        <v>0.66</v>
      </c>
      <c r="U368" s="14" t="n">
        <v>1.03</v>
      </c>
      <c r="V368" s="14" t="n">
        <v>1.39</v>
      </c>
      <c r="W368" s="14" t="n">
        <v>0.58</v>
      </c>
      <c r="X368" s="14" t="n">
        <v>0.25</v>
      </c>
      <c r="Y368" s="14" t="n">
        <v>1.36</v>
      </c>
      <c r="Z368" s="14" t="n">
        <v>1.16</v>
      </c>
      <c r="AA368" s="14" t="n">
        <v>0</v>
      </c>
    </row>
    <row r="369">
      <c r="A369" t="inlineStr">
        <is>
          <t>140307</t>
        </is>
      </c>
      <c r="B369" t="inlineStr">
        <is>
          <t>LAMBAYEQUE</t>
        </is>
      </c>
      <c r="C369" t="inlineStr">
        <is>
          <t>LAMBAYEQUE</t>
        </is>
      </c>
      <c r="D369" t="inlineStr">
        <is>
          <t>MOTUPE</t>
        </is>
      </c>
      <c r="E369" t="n">
        <v>10201</v>
      </c>
      <c r="F369" s="14" t="n">
        <v>0</v>
      </c>
      <c r="G369" s="14" t="n">
        <v>41.15</v>
      </c>
      <c r="H369" s="14" t="n">
        <v>0.11</v>
      </c>
      <c r="I369" s="14" t="n">
        <v>8.9</v>
      </c>
      <c r="J369" s="14" t="n">
        <v>0.1</v>
      </c>
      <c r="K369" s="14" t="n">
        <v>0.17</v>
      </c>
      <c r="L369" s="14" t="n">
        <v>6.78</v>
      </c>
      <c r="M369" s="14" t="n">
        <v>14.39</v>
      </c>
      <c r="N369" s="14" t="n">
        <v>9.02</v>
      </c>
      <c r="O369" s="14" t="n">
        <v>3.98</v>
      </c>
      <c r="P369" s="14" t="n">
        <v>0.37</v>
      </c>
      <c r="Q369" s="14" t="n">
        <v>0.55</v>
      </c>
      <c r="R369" s="14" t="n">
        <v>0.05</v>
      </c>
      <c r="S369" s="14" t="n">
        <v>2.38</v>
      </c>
      <c r="T369" s="14" t="n">
        <v>2.75</v>
      </c>
      <c r="U369" s="14" t="n">
        <v>1.84</v>
      </c>
      <c r="V369" s="14" t="n">
        <v>3.53</v>
      </c>
      <c r="W369" s="14" t="n">
        <v>0.93</v>
      </c>
      <c r="X369" s="14" t="n">
        <v>0.61</v>
      </c>
      <c r="Y369" s="14" t="n">
        <v>1.65</v>
      </c>
      <c r="Z369" s="14" t="n">
        <v>0.74</v>
      </c>
      <c r="AA369" s="14" t="n">
        <v>0</v>
      </c>
    </row>
    <row r="370">
      <c r="A370" t="inlineStr">
        <is>
          <t>140308</t>
        </is>
      </c>
      <c r="B370" t="inlineStr">
        <is>
          <t>LAMBAYEQUE</t>
        </is>
      </c>
      <c r="C370" t="inlineStr">
        <is>
          <t>LAMBAYEQUE</t>
        </is>
      </c>
      <c r="D370" t="inlineStr">
        <is>
          <t>OLMOS</t>
        </is>
      </c>
      <c r="E370" t="n">
        <v>16411</v>
      </c>
      <c r="F370" s="14" t="n">
        <v>0</v>
      </c>
      <c r="G370" s="14" t="n">
        <v>52.2</v>
      </c>
      <c r="H370" s="14" t="n">
        <v>0.3</v>
      </c>
      <c r="I370" s="14" t="n">
        <v>4.13</v>
      </c>
      <c r="J370" s="14" t="n">
        <v>0.12</v>
      </c>
      <c r="K370" s="14" t="n">
        <v>0.13</v>
      </c>
      <c r="L370" s="14" t="n">
        <v>8.609999999999999</v>
      </c>
      <c r="M370" s="14" t="n">
        <v>10.99</v>
      </c>
      <c r="N370" s="14" t="n">
        <v>7.67</v>
      </c>
      <c r="O370" s="14" t="n">
        <v>3.31</v>
      </c>
      <c r="P370" s="14" t="n">
        <v>0.3</v>
      </c>
      <c r="Q370" s="14" t="n">
        <v>0.34</v>
      </c>
      <c r="R370" s="14" t="n">
        <v>0.01</v>
      </c>
      <c r="S370" s="14" t="n">
        <v>2.1</v>
      </c>
      <c r="T370" s="14" t="n">
        <v>2.44</v>
      </c>
      <c r="U370" s="14" t="n">
        <v>1.6</v>
      </c>
      <c r="V370" s="14" t="n">
        <v>2.56</v>
      </c>
      <c r="W370" s="14" t="n">
        <v>0.72</v>
      </c>
      <c r="X370" s="14" t="n">
        <v>0.38</v>
      </c>
      <c r="Y370" s="14" t="n">
        <v>1.52</v>
      </c>
      <c r="Z370" s="14" t="n">
        <v>0.58</v>
      </c>
      <c r="AA370" s="14" t="n">
        <v>0</v>
      </c>
    </row>
    <row r="371">
      <c r="A371" t="inlineStr">
        <is>
          <t>140309</t>
        </is>
      </c>
      <c r="B371" t="inlineStr">
        <is>
          <t>LAMBAYEQUE</t>
        </is>
      </c>
      <c r="C371" t="inlineStr">
        <is>
          <t>LAMBAYEQUE</t>
        </is>
      </c>
      <c r="D371" t="inlineStr">
        <is>
          <t>PACORA</t>
        </is>
      </c>
      <c r="E371" t="n">
        <v>2613</v>
      </c>
      <c r="F371" s="14" t="n">
        <v>0</v>
      </c>
      <c r="G371" s="14" t="n">
        <v>56.87</v>
      </c>
      <c r="H371" s="14" t="n">
        <v>0.08</v>
      </c>
      <c r="I371" s="14" t="n">
        <v>5.43</v>
      </c>
      <c r="J371" s="14" t="n">
        <v>0.08</v>
      </c>
      <c r="K371" s="14" t="n">
        <v>0.27</v>
      </c>
      <c r="L371" s="14" t="n">
        <v>5.86</v>
      </c>
      <c r="M371" s="14" t="n">
        <v>8.92</v>
      </c>
      <c r="N371" s="14" t="n">
        <v>4.29</v>
      </c>
      <c r="O371" s="14" t="n">
        <v>1.88</v>
      </c>
      <c r="P371" s="14" t="n">
        <v>0.42</v>
      </c>
      <c r="Q371" s="14" t="n">
        <v>0.15</v>
      </c>
      <c r="R371" s="14" t="n">
        <v>0</v>
      </c>
      <c r="S371" s="14" t="n">
        <v>1.68</v>
      </c>
      <c r="T371" s="14" t="n">
        <v>1.26</v>
      </c>
      <c r="U371" s="14" t="n">
        <v>3.06</v>
      </c>
      <c r="V371" s="14" t="n">
        <v>5.01</v>
      </c>
      <c r="W371" s="14" t="n">
        <v>1.57</v>
      </c>
      <c r="X371" s="14" t="n">
        <v>0.42</v>
      </c>
      <c r="Y371" s="14" t="n">
        <v>1.84</v>
      </c>
      <c r="Z371" s="14" t="n">
        <v>0.92</v>
      </c>
      <c r="AA371" s="14" t="n">
        <v>0</v>
      </c>
    </row>
    <row r="372">
      <c r="A372" t="inlineStr">
        <is>
          <t>140310</t>
        </is>
      </c>
      <c r="B372" t="inlineStr">
        <is>
          <t>LAMBAYEQUE</t>
        </is>
      </c>
      <c r="C372" t="inlineStr">
        <is>
          <t>LAMBAYEQUE</t>
        </is>
      </c>
      <c r="D372" t="inlineStr">
        <is>
          <t>SALAS</t>
        </is>
      </c>
      <c r="E372" t="n">
        <v>3768</v>
      </c>
      <c r="F372" s="14" t="n">
        <v>0</v>
      </c>
      <c r="G372" s="14" t="n">
        <v>76.67</v>
      </c>
      <c r="H372" s="14" t="n">
        <v>0.03</v>
      </c>
      <c r="I372" s="14" t="n">
        <v>1.88</v>
      </c>
      <c r="J372" s="14" t="n">
        <v>0</v>
      </c>
      <c r="K372" s="14" t="n">
        <v>0.03</v>
      </c>
      <c r="L372" s="14" t="n">
        <v>2.44</v>
      </c>
      <c r="M372" s="14" t="n">
        <v>6</v>
      </c>
      <c r="N372" s="14" t="n">
        <v>3.48</v>
      </c>
      <c r="O372" s="14" t="n">
        <v>1.67</v>
      </c>
      <c r="P372" s="14" t="n">
        <v>0.03</v>
      </c>
      <c r="Q372" s="14" t="n">
        <v>0.05</v>
      </c>
      <c r="R372" s="14" t="n">
        <v>0</v>
      </c>
      <c r="S372" s="14" t="n">
        <v>0.48</v>
      </c>
      <c r="T372" s="14" t="n">
        <v>0.74</v>
      </c>
      <c r="U372" s="14" t="n">
        <v>2.81</v>
      </c>
      <c r="V372" s="14" t="n">
        <v>1.75</v>
      </c>
      <c r="W372" s="14" t="n">
        <v>0.98</v>
      </c>
      <c r="X372" s="14" t="n">
        <v>0.13</v>
      </c>
      <c r="Y372" s="14" t="n">
        <v>0.5</v>
      </c>
      <c r="Z372" s="14" t="n">
        <v>0.32</v>
      </c>
      <c r="AA372" s="14" t="n">
        <v>0</v>
      </c>
    </row>
    <row r="373">
      <c r="A373" t="inlineStr">
        <is>
          <t>140311</t>
        </is>
      </c>
      <c r="B373" t="inlineStr">
        <is>
          <t>LAMBAYEQUE</t>
        </is>
      </c>
      <c r="C373" t="inlineStr">
        <is>
          <t>LAMBAYEQUE</t>
        </is>
      </c>
      <c r="D373" t="inlineStr">
        <is>
          <t>SAN JOSE</t>
        </is>
      </c>
      <c r="E373" t="n">
        <v>4704</v>
      </c>
      <c r="F373" s="14" t="n">
        <v>0.829</v>
      </c>
      <c r="G373" s="14" t="n">
        <v>30.53</v>
      </c>
      <c r="H373" s="14" t="n">
        <v>0.19</v>
      </c>
      <c r="I373" s="14" t="n">
        <v>11.59</v>
      </c>
      <c r="J373" s="14" t="n">
        <v>0.11</v>
      </c>
      <c r="K373" s="14" t="n">
        <v>0.28</v>
      </c>
      <c r="L373" s="14" t="n">
        <v>6.42</v>
      </c>
      <c r="M373" s="14" t="n">
        <v>17.09</v>
      </c>
      <c r="N373" s="14" t="n">
        <v>11.61</v>
      </c>
      <c r="O373" s="14" t="n">
        <v>4.46</v>
      </c>
      <c r="P373" s="14" t="n">
        <v>0.55</v>
      </c>
      <c r="Q373" s="14" t="n">
        <v>0.28</v>
      </c>
      <c r="R373" s="14" t="n">
        <v>0.02</v>
      </c>
      <c r="S373" s="14" t="n">
        <v>2.3</v>
      </c>
      <c r="T373" s="14" t="n">
        <v>2.19</v>
      </c>
      <c r="U373" s="14" t="n">
        <v>3.08</v>
      </c>
      <c r="V373" s="14" t="n">
        <v>3.91</v>
      </c>
      <c r="W373" s="14" t="n">
        <v>1.13</v>
      </c>
      <c r="X373" s="14" t="n">
        <v>0.49</v>
      </c>
      <c r="Y373" s="14" t="n">
        <v>2.36</v>
      </c>
      <c r="Z373" s="14" t="n">
        <v>1.42</v>
      </c>
      <c r="AA373" s="14" t="n">
        <v>0</v>
      </c>
    </row>
    <row r="374">
      <c r="A374" t="inlineStr">
        <is>
          <t>140312</t>
        </is>
      </c>
      <c r="B374" t="inlineStr">
        <is>
          <t>LAMBAYEQUE</t>
        </is>
      </c>
      <c r="C374" t="inlineStr">
        <is>
          <t>LAMBAYEQUE</t>
        </is>
      </c>
      <c r="D374" t="inlineStr">
        <is>
          <t>TUCUME</t>
        </is>
      </c>
      <c r="E374" t="n">
        <v>6905</v>
      </c>
      <c r="F374" s="14" t="n">
        <v>0</v>
      </c>
      <c r="G374" s="14" t="n">
        <v>47.56</v>
      </c>
      <c r="H374" s="14" t="n">
        <v>0.2</v>
      </c>
      <c r="I374" s="14" t="n">
        <v>10.56</v>
      </c>
      <c r="J374" s="14" t="n">
        <v>0.07000000000000001</v>
      </c>
      <c r="K374" s="14" t="n">
        <v>0.13</v>
      </c>
      <c r="L374" s="14" t="n">
        <v>4.55</v>
      </c>
      <c r="M374" s="14" t="n">
        <v>12.79</v>
      </c>
      <c r="N374" s="14" t="n">
        <v>8.75</v>
      </c>
      <c r="O374" s="14" t="n">
        <v>2.66</v>
      </c>
      <c r="P374" s="14" t="n">
        <v>0.3</v>
      </c>
      <c r="Q374" s="14" t="n">
        <v>0.19</v>
      </c>
      <c r="R374" s="14" t="n">
        <v>0</v>
      </c>
      <c r="S374" s="14" t="n">
        <v>1.09</v>
      </c>
      <c r="T374" s="14" t="n">
        <v>1.17</v>
      </c>
      <c r="U374" s="14" t="n">
        <v>3.08</v>
      </c>
      <c r="V374" s="14" t="n">
        <v>3.07</v>
      </c>
      <c r="W374" s="14" t="n">
        <v>1.03</v>
      </c>
      <c r="X374" s="14" t="n">
        <v>0.77</v>
      </c>
      <c r="Y374" s="14" t="n">
        <v>1.2</v>
      </c>
      <c r="Z374" s="14" t="n">
        <v>0.83</v>
      </c>
      <c r="AA374" s="14" t="n">
        <v>0</v>
      </c>
    </row>
    <row r="375">
      <c r="A375" t="inlineStr">
        <is>
          <t>150101</t>
        </is>
      </c>
      <c r="B375" t="inlineStr">
        <is>
          <t>LIMA</t>
        </is>
      </c>
      <c r="C375" t="inlineStr">
        <is>
          <t>LIMA</t>
        </is>
      </c>
      <c r="D375" t="inlineStr">
        <is>
          <t>LIMA</t>
        </is>
      </c>
      <c r="E375" t="n">
        <v>133929</v>
      </c>
      <c r="F375" s="14" t="n">
        <v>0.169</v>
      </c>
      <c r="G375" s="14" t="n">
        <v>0.49</v>
      </c>
      <c r="H375" s="14" t="n">
        <v>0.33</v>
      </c>
      <c r="I375" s="14" t="n">
        <v>9.390000000000001</v>
      </c>
      <c r="J375" s="14" t="n">
        <v>0.13</v>
      </c>
      <c r="K375" s="14" t="n">
        <v>0.51</v>
      </c>
      <c r="L375" s="14" t="n">
        <v>4.35</v>
      </c>
      <c r="M375" s="14" t="n">
        <v>27.55</v>
      </c>
      <c r="N375" s="14" t="n">
        <v>6.95</v>
      </c>
      <c r="O375" s="14" t="n">
        <v>6.21</v>
      </c>
      <c r="P375" s="14" t="n">
        <v>2.31</v>
      </c>
      <c r="Q375" s="14" t="n">
        <v>1.76</v>
      </c>
      <c r="R375" s="14" t="n">
        <v>0.36</v>
      </c>
      <c r="S375" s="14" t="n">
        <v>11.91</v>
      </c>
      <c r="T375" s="14" t="n">
        <v>5.46</v>
      </c>
      <c r="U375" s="14" t="n">
        <v>4.06</v>
      </c>
      <c r="V375" s="14" t="n">
        <v>6.21</v>
      </c>
      <c r="W375" s="14" t="n">
        <v>4.73</v>
      </c>
      <c r="X375" s="14" t="n">
        <v>1.67</v>
      </c>
      <c r="Y375" s="14" t="n">
        <v>4.19</v>
      </c>
      <c r="Z375" s="14" t="n">
        <v>1.4</v>
      </c>
      <c r="AA375" s="14" t="n">
        <v>0.01</v>
      </c>
    </row>
    <row r="376">
      <c r="A376" t="inlineStr">
        <is>
          <t>150102</t>
        </is>
      </c>
      <c r="B376" t="inlineStr">
        <is>
          <t>LIMA</t>
        </is>
      </c>
      <c r="C376" t="inlineStr">
        <is>
          <t>LIMA</t>
        </is>
      </c>
      <c r="D376" t="inlineStr">
        <is>
          <t>ANCON</t>
        </is>
      </c>
      <c r="E376" t="n">
        <v>28666</v>
      </c>
      <c r="F376" s="14" t="n">
        <v>0</v>
      </c>
      <c r="G376" s="14" t="n">
        <v>2.1</v>
      </c>
      <c r="H376" s="14" t="n">
        <v>0.21</v>
      </c>
      <c r="I376" s="14" t="n">
        <v>15.84</v>
      </c>
      <c r="J376" s="14" t="n">
        <v>0.09</v>
      </c>
      <c r="K376" s="14" t="n">
        <v>0.38</v>
      </c>
      <c r="L376" s="14" t="n">
        <v>11.14</v>
      </c>
      <c r="M376" s="14" t="n">
        <v>23.08</v>
      </c>
      <c r="N376" s="14" t="n">
        <v>11.34</v>
      </c>
      <c r="O376" s="14" t="n">
        <v>7.75</v>
      </c>
      <c r="P376" s="14" t="n">
        <v>0.95</v>
      </c>
      <c r="Q376" s="14" t="n">
        <v>0.49</v>
      </c>
      <c r="R376" s="14" t="n">
        <v>0.13</v>
      </c>
      <c r="S376" s="14" t="n">
        <v>4.47</v>
      </c>
      <c r="T376" s="14" t="n">
        <v>4.49</v>
      </c>
      <c r="U376" s="14" t="n">
        <v>4.26</v>
      </c>
      <c r="V376" s="14" t="n">
        <v>3.59</v>
      </c>
      <c r="W376" s="14" t="n">
        <v>2.01</v>
      </c>
      <c r="X376" s="14" t="n">
        <v>0.8</v>
      </c>
      <c r="Y376" s="14" t="n">
        <v>4.24</v>
      </c>
      <c r="Z376" s="14" t="n">
        <v>2.64</v>
      </c>
      <c r="AA376" s="14" t="n">
        <v>0</v>
      </c>
    </row>
    <row r="377">
      <c r="A377" t="inlineStr">
        <is>
          <t>150103</t>
        </is>
      </c>
      <c r="B377" t="inlineStr">
        <is>
          <t>LIMA</t>
        </is>
      </c>
      <c r="C377" t="inlineStr">
        <is>
          <t>LIMA</t>
        </is>
      </c>
      <c r="D377" t="inlineStr">
        <is>
          <t>ATE</t>
        </is>
      </c>
      <c r="E377" t="n">
        <v>284219</v>
      </c>
      <c r="F377" s="14" t="n">
        <v>0</v>
      </c>
      <c r="G377" s="14" t="n">
        <v>0.96</v>
      </c>
      <c r="H377" s="14" t="n">
        <v>0.41</v>
      </c>
      <c r="I377" s="14" t="n">
        <v>14.05</v>
      </c>
      <c r="J377" s="14" t="n">
        <v>0.12</v>
      </c>
      <c r="K377" s="14" t="n">
        <v>0.36</v>
      </c>
      <c r="L377" s="14" t="n">
        <v>7.78</v>
      </c>
      <c r="M377" s="14" t="n">
        <v>26.56</v>
      </c>
      <c r="N377" s="14" t="n">
        <v>12.53</v>
      </c>
      <c r="O377" s="14" t="n">
        <v>6.21</v>
      </c>
      <c r="P377" s="14" t="n">
        <v>1.45</v>
      </c>
      <c r="Q377" s="14" t="n">
        <v>0.98</v>
      </c>
      <c r="R377" s="14" t="n">
        <v>0.21</v>
      </c>
      <c r="S377" s="14" t="n">
        <v>7.21</v>
      </c>
      <c r="T377" s="14" t="n">
        <v>4.63</v>
      </c>
      <c r="U377" s="14" t="n">
        <v>2.33</v>
      </c>
      <c r="V377" s="14" t="n">
        <v>4.66</v>
      </c>
      <c r="W377" s="14" t="n">
        <v>2.97</v>
      </c>
      <c r="X377" s="14" t="n">
        <v>1.08</v>
      </c>
      <c r="Y377" s="14" t="n">
        <v>3.55</v>
      </c>
      <c r="Z377" s="14" t="n">
        <v>1.96</v>
      </c>
      <c r="AA377" s="14" t="n">
        <v>0</v>
      </c>
    </row>
    <row r="378">
      <c r="A378" t="inlineStr">
        <is>
          <t>150104</t>
        </is>
      </c>
      <c r="B378" t="inlineStr">
        <is>
          <t>LIMA</t>
        </is>
      </c>
      <c r="C378" t="inlineStr">
        <is>
          <t>LIMA</t>
        </is>
      </c>
      <c r="D378" t="inlineStr">
        <is>
          <t>BARRANCO</t>
        </is>
      </c>
      <c r="E378" t="n">
        <v>18679</v>
      </c>
      <c r="F378" s="14" t="n">
        <v>0</v>
      </c>
      <c r="G378" s="14" t="n">
        <v>0.49</v>
      </c>
      <c r="H378" s="14" t="n">
        <v>0.36</v>
      </c>
      <c r="I378" s="14" t="n">
        <v>6.02</v>
      </c>
      <c r="J378" s="14" t="n">
        <v>0.16</v>
      </c>
      <c r="K378" s="14" t="n">
        <v>0.17</v>
      </c>
      <c r="L378" s="14" t="n">
        <v>3.95</v>
      </c>
      <c r="M378" s="14" t="n">
        <v>17.57</v>
      </c>
      <c r="N378" s="14" t="n">
        <v>5.11</v>
      </c>
      <c r="O378" s="14" t="n">
        <v>6.9</v>
      </c>
      <c r="P378" s="14" t="n">
        <v>3.74</v>
      </c>
      <c r="Q378" s="14" t="n">
        <v>2.78</v>
      </c>
      <c r="R378" s="14" t="n">
        <v>0.97</v>
      </c>
      <c r="S378" s="14" t="n">
        <v>18.36</v>
      </c>
      <c r="T378" s="14" t="n">
        <v>5.4</v>
      </c>
      <c r="U378" s="14" t="n">
        <v>4.36</v>
      </c>
      <c r="V378" s="14" t="n">
        <v>8.369999999999999</v>
      </c>
      <c r="W378" s="14" t="n">
        <v>4.85</v>
      </c>
      <c r="X378" s="14" t="n">
        <v>4.08</v>
      </c>
      <c r="Y378" s="14" t="n">
        <v>4.06</v>
      </c>
      <c r="Z378" s="14" t="n">
        <v>2.17</v>
      </c>
      <c r="AA378" s="14" t="n">
        <v>0.13</v>
      </c>
    </row>
    <row r="379">
      <c r="A379" t="inlineStr">
        <is>
          <t>150105</t>
        </is>
      </c>
      <c r="B379" t="inlineStr">
        <is>
          <t>LIMA</t>
        </is>
      </c>
      <c r="C379" t="inlineStr">
        <is>
          <t>LIMA</t>
        </is>
      </c>
      <c r="D379" t="inlineStr">
        <is>
          <t>BREÑA</t>
        </is>
      </c>
      <c r="E379" t="n">
        <v>43777</v>
      </c>
      <c r="F379" s="14" t="n">
        <v>0.016</v>
      </c>
      <c r="G379" s="14" t="n">
        <v>0.62</v>
      </c>
      <c r="H379" s="14" t="n">
        <v>0.35</v>
      </c>
      <c r="I379" s="14" t="n">
        <v>8.08</v>
      </c>
      <c r="J379" s="14" t="n">
        <v>0.12</v>
      </c>
      <c r="K379" s="14" t="n">
        <v>0.22</v>
      </c>
      <c r="L379" s="14" t="n">
        <v>3.68</v>
      </c>
      <c r="M379" s="14" t="n">
        <v>22.64</v>
      </c>
      <c r="N379" s="14" t="n">
        <v>6.56</v>
      </c>
      <c r="O379" s="14" t="n">
        <v>6.46</v>
      </c>
      <c r="P379" s="14" t="n">
        <v>2.61</v>
      </c>
      <c r="Q379" s="14" t="n">
        <v>1.95</v>
      </c>
      <c r="R379" s="14" t="n">
        <v>0.43</v>
      </c>
      <c r="S379" s="14" t="n">
        <v>13.93</v>
      </c>
      <c r="T379" s="14" t="n">
        <v>5.65</v>
      </c>
      <c r="U379" s="14" t="n">
        <v>5.13</v>
      </c>
      <c r="V379" s="14" t="n">
        <v>6.88</v>
      </c>
      <c r="W379" s="14" t="n">
        <v>6.87</v>
      </c>
      <c r="X379" s="14" t="n">
        <v>1.97</v>
      </c>
      <c r="Y379" s="14" t="n">
        <v>4.4</v>
      </c>
      <c r="Z379" s="14" t="n">
        <v>1.44</v>
      </c>
      <c r="AA379" s="14" t="n">
        <v>0.01</v>
      </c>
    </row>
    <row r="380">
      <c r="A380" t="inlineStr">
        <is>
          <t>150106</t>
        </is>
      </c>
      <c r="B380" t="inlineStr">
        <is>
          <t>LIMA</t>
        </is>
      </c>
      <c r="C380" t="inlineStr">
        <is>
          <t>LIMA</t>
        </is>
      </c>
      <c r="D380" t="inlineStr">
        <is>
          <t>CARABAYLLO</t>
        </is>
      </c>
      <c r="E380" t="n">
        <v>147016</v>
      </c>
      <c r="F380" s="14" t="n">
        <v>0</v>
      </c>
      <c r="G380" s="14" t="n">
        <v>2.6</v>
      </c>
      <c r="H380" s="14" t="n">
        <v>0.4</v>
      </c>
      <c r="I380" s="14" t="n">
        <v>12.64</v>
      </c>
      <c r="J380" s="14" t="n">
        <v>0.13</v>
      </c>
      <c r="K380" s="14" t="n">
        <v>0.51</v>
      </c>
      <c r="L380" s="14" t="n">
        <v>10.52</v>
      </c>
      <c r="M380" s="14" t="n">
        <v>24.28</v>
      </c>
      <c r="N380" s="14" t="n">
        <v>12.51</v>
      </c>
      <c r="O380" s="14" t="n">
        <v>6.15</v>
      </c>
      <c r="P380" s="14" t="n">
        <v>1.17</v>
      </c>
      <c r="Q380" s="14" t="n">
        <v>0.74</v>
      </c>
      <c r="R380" s="14" t="n">
        <v>0.22</v>
      </c>
      <c r="S380" s="14" t="n">
        <v>5.68</v>
      </c>
      <c r="T380" s="14" t="n">
        <v>4.43</v>
      </c>
      <c r="U380" s="14" t="n">
        <v>3.38</v>
      </c>
      <c r="V380" s="14" t="n">
        <v>4.55</v>
      </c>
      <c r="W380" s="14" t="n">
        <v>2.8</v>
      </c>
      <c r="X380" s="14" t="n">
        <v>1.03</v>
      </c>
      <c r="Y380" s="14" t="n">
        <v>3.76</v>
      </c>
      <c r="Z380" s="14" t="n">
        <v>2.51</v>
      </c>
      <c r="AA380" s="14" t="n">
        <v>0</v>
      </c>
    </row>
    <row r="381">
      <c r="A381" t="inlineStr">
        <is>
          <t>150107</t>
        </is>
      </c>
      <c r="B381" t="inlineStr">
        <is>
          <t>LIMA</t>
        </is>
      </c>
      <c r="C381" t="inlineStr">
        <is>
          <t>LIMA</t>
        </is>
      </c>
      <c r="D381" t="inlineStr">
        <is>
          <t>CHACLACAYO</t>
        </is>
      </c>
      <c r="E381" t="n">
        <v>20080</v>
      </c>
      <c r="F381" s="14" t="n">
        <v>0</v>
      </c>
      <c r="G381" s="14" t="n">
        <v>1.02</v>
      </c>
      <c r="H381" s="14" t="n">
        <v>0.48</v>
      </c>
      <c r="I381" s="14" t="n">
        <v>9.74</v>
      </c>
      <c r="J381" s="14" t="n">
        <v>0.21</v>
      </c>
      <c r="K381" s="14" t="n">
        <v>0.18</v>
      </c>
      <c r="L381" s="14" t="n">
        <v>8.699999999999999</v>
      </c>
      <c r="M381" s="14" t="n">
        <v>19.73</v>
      </c>
      <c r="N381" s="14" t="n">
        <v>10.16</v>
      </c>
      <c r="O381" s="14" t="n">
        <v>5.65</v>
      </c>
      <c r="P381" s="14" t="n">
        <v>1.6</v>
      </c>
      <c r="Q381" s="14" t="n">
        <v>1.29</v>
      </c>
      <c r="R381" s="14" t="n">
        <v>0.35</v>
      </c>
      <c r="S381" s="14" t="n">
        <v>9.199999999999999</v>
      </c>
      <c r="T381" s="14" t="n">
        <v>5.46</v>
      </c>
      <c r="U381" s="14" t="n">
        <v>3.82</v>
      </c>
      <c r="V381" s="14" t="n">
        <v>8.869999999999999</v>
      </c>
      <c r="W381" s="14" t="n">
        <v>4.69</v>
      </c>
      <c r="X381" s="14" t="n">
        <v>1.66</v>
      </c>
      <c r="Y381" s="14" t="n">
        <v>4.31</v>
      </c>
      <c r="Z381" s="14" t="n">
        <v>2.87</v>
      </c>
      <c r="AA381" s="14" t="n">
        <v>0</v>
      </c>
    </row>
    <row r="382">
      <c r="A382" t="inlineStr">
        <is>
          <t>150108</t>
        </is>
      </c>
      <c r="B382" t="inlineStr">
        <is>
          <t>LIMA</t>
        </is>
      </c>
      <c r="C382" t="inlineStr">
        <is>
          <t>LIMA</t>
        </is>
      </c>
      <c r="D382" t="inlineStr">
        <is>
          <t>CHORRILLOS</t>
        </is>
      </c>
      <c r="E382" t="n">
        <v>154231</v>
      </c>
      <c r="F382" s="14" t="n">
        <v>0.013</v>
      </c>
      <c r="G382" s="14" t="n">
        <v>0.85</v>
      </c>
      <c r="H382" s="14" t="n">
        <v>0.34</v>
      </c>
      <c r="I382" s="14" t="n">
        <v>9.59</v>
      </c>
      <c r="J382" s="14" t="n">
        <v>0.12</v>
      </c>
      <c r="K382" s="14" t="n">
        <v>0.42</v>
      </c>
      <c r="L382" s="14" t="n">
        <v>7.24</v>
      </c>
      <c r="M382" s="14" t="n">
        <v>21.8</v>
      </c>
      <c r="N382" s="14" t="n">
        <v>9.720000000000001</v>
      </c>
      <c r="O382" s="14" t="n">
        <v>6.86</v>
      </c>
      <c r="P382" s="14" t="n">
        <v>1.87</v>
      </c>
      <c r="Q382" s="14" t="n">
        <v>1.63</v>
      </c>
      <c r="R382" s="14" t="n">
        <v>0.35</v>
      </c>
      <c r="S382" s="14" t="n">
        <v>10.2</v>
      </c>
      <c r="T382" s="14" t="n">
        <v>5.95</v>
      </c>
      <c r="U382" s="14" t="n">
        <v>4.79</v>
      </c>
      <c r="V382" s="14" t="n">
        <v>5.64</v>
      </c>
      <c r="W382" s="14" t="n">
        <v>3.8</v>
      </c>
      <c r="X382" s="14" t="n">
        <v>1.76</v>
      </c>
      <c r="Y382" s="14" t="n">
        <v>4.29</v>
      </c>
      <c r="Z382" s="14" t="n">
        <v>2.77</v>
      </c>
      <c r="AA382" s="14" t="n">
        <v>0.01</v>
      </c>
    </row>
    <row r="383">
      <c r="A383" t="inlineStr">
        <is>
          <t>150109</t>
        </is>
      </c>
      <c r="B383" t="inlineStr">
        <is>
          <t>LIMA</t>
        </is>
      </c>
      <c r="C383" t="inlineStr">
        <is>
          <t>LIMA</t>
        </is>
      </c>
      <c r="D383" t="inlineStr">
        <is>
          <t>CIENEGUILLA</t>
        </is>
      </c>
      <c r="E383" t="n">
        <v>16243</v>
      </c>
      <c r="F383" s="14" t="n">
        <v>0</v>
      </c>
      <c r="G383" s="14" t="n">
        <v>3.3</v>
      </c>
      <c r="H383" s="14" t="n">
        <v>0.26</v>
      </c>
      <c r="I383" s="14" t="n">
        <v>7.97</v>
      </c>
      <c r="J383" s="14" t="n">
        <v>0.07000000000000001</v>
      </c>
      <c r="K383" s="14" t="n">
        <v>0.57</v>
      </c>
      <c r="L383" s="14" t="n">
        <v>13.01</v>
      </c>
      <c r="M383" s="14" t="n">
        <v>18.96</v>
      </c>
      <c r="N383" s="14" t="n">
        <v>11.26</v>
      </c>
      <c r="O383" s="14" t="n">
        <v>9.25</v>
      </c>
      <c r="P383" s="14" t="n">
        <v>0.91</v>
      </c>
      <c r="Q383" s="14" t="n">
        <v>0.54</v>
      </c>
      <c r="R383" s="14" t="n">
        <v>0.47</v>
      </c>
      <c r="S383" s="14" t="n">
        <v>5.97</v>
      </c>
      <c r="T383" s="14" t="n">
        <v>7.45</v>
      </c>
      <c r="U383" s="14" t="n">
        <v>2.83</v>
      </c>
      <c r="V383" s="14" t="n">
        <v>3.68</v>
      </c>
      <c r="W383" s="14" t="n">
        <v>2.33</v>
      </c>
      <c r="X383" s="14" t="n">
        <v>1.3</v>
      </c>
      <c r="Y383" s="14" t="n">
        <v>3.85</v>
      </c>
      <c r="Z383" s="14" t="n">
        <v>6.02</v>
      </c>
      <c r="AA383" s="14" t="n">
        <v>0</v>
      </c>
    </row>
    <row r="384">
      <c r="A384" t="inlineStr">
        <is>
          <t>150110</t>
        </is>
      </c>
      <c r="B384" t="inlineStr">
        <is>
          <t>LIMA</t>
        </is>
      </c>
      <c r="C384" t="inlineStr">
        <is>
          <t>LIMA</t>
        </is>
      </c>
      <c r="D384" t="inlineStr">
        <is>
          <t>COMAS</t>
        </is>
      </c>
      <c r="E384" t="n">
        <v>238588</v>
      </c>
      <c r="F384" s="14" t="n">
        <v>0.005</v>
      </c>
      <c r="G384" s="14" t="n">
        <v>0.63</v>
      </c>
      <c r="H384" s="14" t="n">
        <v>0.28</v>
      </c>
      <c r="I384" s="14" t="n">
        <v>12.04</v>
      </c>
      <c r="J384" s="14" t="n">
        <v>0.13</v>
      </c>
      <c r="K384" s="14" t="n">
        <v>0.34</v>
      </c>
      <c r="L384" s="14" t="n">
        <v>7.81</v>
      </c>
      <c r="M384" s="14" t="n">
        <v>24.57</v>
      </c>
      <c r="N384" s="14" t="n">
        <v>11.36</v>
      </c>
      <c r="O384" s="14" t="n">
        <v>5.75</v>
      </c>
      <c r="P384" s="14" t="n">
        <v>1.68</v>
      </c>
      <c r="Q384" s="14" t="n">
        <v>1.11</v>
      </c>
      <c r="R384" s="14" t="n">
        <v>0.19</v>
      </c>
      <c r="S384" s="14" t="n">
        <v>8.300000000000001</v>
      </c>
      <c r="T384" s="14" t="n">
        <v>5.16</v>
      </c>
      <c r="U384" s="14" t="n">
        <v>3.69</v>
      </c>
      <c r="V384" s="14" t="n">
        <v>6.01</v>
      </c>
      <c r="W384" s="14" t="n">
        <v>3.68</v>
      </c>
      <c r="X384" s="14" t="n">
        <v>1.43</v>
      </c>
      <c r="Y384" s="14" t="n">
        <v>3.7</v>
      </c>
      <c r="Z384" s="14" t="n">
        <v>2.13</v>
      </c>
      <c r="AA384" s="14" t="n">
        <v>0.01</v>
      </c>
    </row>
    <row r="385">
      <c r="A385" t="inlineStr">
        <is>
          <t>150111</t>
        </is>
      </c>
      <c r="B385" t="inlineStr">
        <is>
          <t>LIMA</t>
        </is>
      </c>
      <c r="C385" t="inlineStr">
        <is>
          <t>LIMA</t>
        </is>
      </c>
      <c r="D385" t="inlineStr">
        <is>
          <t>EL AGUSTINO</t>
        </is>
      </c>
      <c r="E385" t="n">
        <v>97480</v>
      </c>
      <c r="F385" s="14" t="n">
        <v>0.018</v>
      </c>
      <c r="G385" s="14" t="n">
        <v>0.62</v>
      </c>
      <c r="H385" s="14" t="n">
        <v>0.18</v>
      </c>
      <c r="I385" s="14" t="n">
        <v>13.47</v>
      </c>
      <c r="J385" s="14" t="n">
        <v>0.09</v>
      </c>
      <c r="K385" s="14" t="n">
        <v>0.78</v>
      </c>
      <c r="L385" s="14" t="n">
        <v>6.54</v>
      </c>
      <c r="M385" s="14" t="n">
        <v>29.98</v>
      </c>
      <c r="N385" s="14" t="n">
        <v>10.16</v>
      </c>
      <c r="O385" s="14" t="n">
        <v>6.5</v>
      </c>
      <c r="P385" s="14" t="n">
        <v>1.48</v>
      </c>
      <c r="Q385" s="14" t="n">
        <v>0.97</v>
      </c>
      <c r="R385" s="14" t="n">
        <v>0.16</v>
      </c>
      <c r="S385" s="14" t="n">
        <v>6.84</v>
      </c>
      <c r="T385" s="14" t="n">
        <v>5.04</v>
      </c>
      <c r="U385" s="14" t="n">
        <v>3.05</v>
      </c>
      <c r="V385" s="14" t="n">
        <v>4.52</v>
      </c>
      <c r="W385" s="14" t="n">
        <v>3.4</v>
      </c>
      <c r="X385" s="14" t="n">
        <v>1.17</v>
      </c>
      <c r="Y385" s="14" t="n">
        <v>3.48</v>
      </c>
      <c r="Z385" s="14" t="n">
        <v>1.58</v>
      </c>
      <c r="AA385" s="14" t="n">
        <v>0</v>
      </c>
    </row>
    <row r="386">
      <c r="A386" t="inlineStr">
        <is>
          <t>150112</t>
        </is>
      </c>
      <c r="B386" t="inlineStr">
        <is>
          <t>LIMA</t>
        </is>
      </c>
      <c r="C386" t="inlineStr">
        <is>
          <t>LIMA</t>
        </is>
      </c>
      <c r="D386" t="inlineStr">
        <is>
          <t>INDEPENDENCIA</t>
        </is>
      </c>
      <c r="E386" t="n">
        <v>97032</v>
      </c>
      <c r="F386" s="14" t="n">
        <v>0</v>
      </c>
      <c r="G386" s="14" t="n">
        <v>0.49</v>
      </c>
      <c r="H386" s="14" t="n">
        <v>0.2</v>
      </c>
      <c r="I386" s="14" t="n">
        <v>12</v>
      </c>
      <c r="J386" s="14" t="n">
        <v>0.1</v>
      </c>
      <c r="K386" s="14" t="n">
        <v>0.35</v>
      </c>
      <c r="L386" s="14" t="n">
        <v>7.93</v>
      </c>
      <c r="M386" s="14" t="n">
        <v>25.93</v>
      </c>
      <c r="N386" s="14" t="n">
        <v>11.07</v>
      </c>
      <c r="O386" s="14" t="n">
        <v>6.67</v>
      </c>
      <c r="P386" s="14" t="n">
        <v>1.48</v>
      </c>
      <c r="Q386" s="14" t="n">
        <v>1.06</v>
      </c>
      <c r="R386" s="14" t="n">
        <v>0.17</v>
      </c>
      <c r="S386" s="14" t="n">
        <v>7.46</v>
      </c>
      <c r="T386" s="14" t="n">
        <v>5.99</v>
      </c>
      <c r="U386" s="14" t="n">
        <v>3.34</v>
      </c>
      <c r="V386" s="14" t="n">
        <v>4.98</v>
      </c>
      <c r="W386" s="14" t="n">
        <v>3.21</v>
      </c>
      <c r="X386" s="14" t="n">
        <v>1.27</v>
      </c>
      <c r="Y386" s="14" t="n">
        <v>3.96</v>
      </c>
      <c r="Z386" s="14" t="n">
        <v>2.32</v>
      </c>
      <c r="AA386" s="14" t="n">
        <v>0.01</v>
      </c>
    </row>
    <row r="387">
      <c r="A387" t="inlineStr">
        <is>
          <t>150113</t>
        </is>
      </c>
      <c r="B387" t="inlineStr">
        <is>
          <t>LIMA</t>
        </is>
      </c>
      <c r="C387" t="inlineStr">
        <is>
          <t>LIMA</t>
        </is>
      </c>
      <c r="D387" t="inlineStr">
        <is>
          <t>JESUS MARIA</t>
        </is>
      </c>
      <c r="E387" t="n">
        <v>39788</v>
      </c>
      <c r="F387" s="14" t="n">
        <v>0.096</v>
      </c>
      <c r="G387" s="14" t="n">
        <v>0.47</v>
      </c>
      <c r="H387" s="14" t="n">
        <v>0.68</v>
      </c>
      <c r="I387" s="14" t="n">
        <v>4.91</v>
      </c>
      <c r="J387" s="14" t="n">
        <v>0.21</v>
      </c>
      <c r="K387" s="14" t="n">
        <v>0.09</v>
      </c>
      <c r="L387" s="14" t="n">
        <v>2.62</v>
      </c>
      <c r="M387" s="14" t="n">
        <v>17.43</v>
      </c>
      <c r="N387" s="14" t="n">
        <v>4.03</v>
      </c>
      <c r="O387" s="14" t="n">
        <v>4.81</v>
      </c>
      <c r="P387" s="14" t="n">
        <v>3.68</v>
      </c>
      <c r="Q387" s="14" t="n">
        <v>3.2</v>
      </c>
      <c r="R387" s="14" t="n">
        <v>0.83</v>
      </c>
      <c r="S387" s="14" t="n">
        <v>18.4</v>
      </c>
      <c r="T387" s="14" t="n">
        <v>3.6</v>
      </c>
      <c r="U387" s="14" t="n">
        <v>7.15</v>
      </c>
      <c r="V387" s="14" t="n">
        <v>8.26</v>
      </c>
      <c r="W387" s="14" t="n">
        <v>12.37</v>
      </c>
      <c r="X387" s="14" t="n">
        <v>2.3</v>
      </c>
      <c r="Y387" s="14" t="n">
        <v>3.21</v>
      </c>
      <c r="Z387" s="14" t="n">
        <v>1.68</v>
      </c>
      <c r="AA387" s="14" t="n">
        <v>0.08</v>
      </c>
    </row>
    <row r="388">
      <c r="A388" t="inlineStr">
        <is>
          <t>150114</t>
        </is>
      </c>
      <c r="B388" t="inlineStr">
        <is>
          <t>LIMA</t>
        </is>
      </c>
      <c r="C388" t="inlineStr">
        <is>
          <t>LIMA</t>
        </is>
      </c>
      <c r="D388" t="inlineStr">
        <is>
          <t>LA MOLINA</t>
        </is>
      </c>
      <c r="E388" t="n">
        <v>70619</v>
      </c>
      <c r="F388" s="14" t="n">
        <v>0.3</v>
      </c>
      <c r="G388" s="14" t="n">
        <v>0.88</v>
      </c>
      <c r="H388" s="14" t="n">
        <v>1.31</v>
      </c>
      <c r="I388" s="14" t="n">
        <v>6.43</v>
      </c>
      <c r="J388" s="14" t="n">
        <v>0.23</v>
      </c>
      <c r="K388" s="14" t="n">
        <v>0.17</v>
      </c>
      <c r="L388" s="14" t="n">
        <v>4.33</v>
      </c>
      <c r="M388" s="14" t="n">
        <v>17.21</v>
      </c>
      <c r="N388" s="14" t="n">
        <v>4.95</v>
      </c>
      <c r="O388" s="14" t="n">
        <v>3.77</v>
      </c>
      <c r="P388" s="14" t="n">
        <v>3.62</v>
      </c>
      <c r="Q388" s="14" t="n">
        <v>3.51</v>
      </c>
      <c r="R388" s="14" t="n">
        <v>1.37</v>
      </c>
      <c r="S388" s="14" t="n">
        <v>20.63</v>
      </c>
      <c r="T388" s="14" t="n">
        <v>3.8</v>
      </c>
      <c r="U388" s="14" t="n">
        <v>4.31</v>
      </c>
      <c r="V388" s="14" t="n">
        <v>8.279999999999999</v>
      </c>
      <c r="W388" s="14" t="n">
        <v>6.95</v>
      </c>
      <c r="X388" s="14" t="n">
        <v>1.95</v>
      </c>
      <c r="Y388" s="14" t="n">
        <v>2.89</v>
      </c>
      <c r="Z388" s="14" t="n">
        <v>3.31</v>
      </c>
      <c r="AA388" s="14" t="n">
        <v>0.09</v>
      </c>
    </row>
    <row r="389">
      <c r="A389" t="inlineStr">
        <is>
          <t>150115</t>
        </is>
      </c>
      <c r="B389" t="inlineStr">
        <is>
          <t>LIMA</t>
        </is>
      </c>
      <c r="C389" t="inlineStr">
        <is>
          <t>LIMA</t>
        </is>
      </c>
      <c r="D389" t="inlineStr">
        <is>
          <t>LA VICTORIA</t>
        </is>
      </c>
      <c r="E389" t="n">
        <v>88769</v>
      </c>
      <c r="F389" s="14" t="n">
        <v>0.023</v>
      </c>
      <c r="G389" s="14" t="n">
        <v>0.57</v>
      </c>
      <c r="H389" s="14" t="n">
        <v>0.23</v>
      </c>
      <c r="I389" s="14" t="n">
        <v>13.5</v>
      </c>
      <c r="J389" s="14" t="n">
        <v>0.07000000000000001</v>
      </c>
      <c r="K389" s="14" t="n">
        <v>0.36</v>
      </c>
      <c r="L389" s="14" t="n">
        <v>3.74</v>
      </c>
      <c r="M389" s="14" t="n">
        <v>31.68</v>
      </c>
      <c r="N389" s="14" t="n">
        <v>7.99</v>
      </c>
      <c r="O389" s="14" t="n">
        <v>7.7</v>
      </c>
      <c r="P389" s="14" t="n">
        <v>1.85</v>
      </c>
      <c r="Q389" s="14" t="n">
        <v>1.37</v>
      </c>
      <c r="R389" s="14" t="n">
        <v>0.28</v>
      </c>
      <c r="S389" s="14" t="n">
        <v>9.51</v>
      </c>
      <c r="T389" s="14" t="n">
        <v>4.76</v>
      </c>
      <c r="U389" s="14" t="n">
        <v>2.79</v>
      </c>
      <c r="V389" s="14" t="n">
        <v>4.15</v>
      </c>
      <c r="W389" s="14" t="n">
        <v>3.23</v>
      </c>
      <c r="X389" s="14" t="n">
        <v>1.28</v>
      </c>
      <c r="Y389" s="14" t="n">
        <v>3.44</v>
      </c>
      <c r="Z389" s="14" t="n">
        <v>1.46</v>
      </c>
      <c r="AA389" s="14" t="n">
        <v>0.01</v>
      </c>
    </row>
    <row r="390">
      <c r="A390" t="inlineStr">
        <is>
          <t>150116</t>
        </is>
      </c>
      <c r="B390" t="inlineStr">
        <is>
          <t>LIMA</t>
        </is>
      </c>
      <c r="C390" t="inlineStr">
        <is>
          <t>LIMA</t>
        </is>
      </c>
      <c r="D390" t="inlineStr">
        <is>
          <t>LINCE</t>
        </is>
      </c>
      <c r="E390" t="n">
        <v>29310</v>
      </c>
      <c r="F390" s="14" t="n">
        <v>0</v>
      </c>
      <c r="G390" s="14" t="n">
        <v>0.48</v>
      </c>
      <c r="H390" s="14" t="n">
        <v>0.52</v>
      </c>
      <c r="I390" s="14" t="n">
        <v>6.04</v>
      </c>
      <c r="J390" s="14" t="n">
        <v>0.17</v>
      </c>
      <c r="K390" s="14" t="n">
        <v>0.11</v>
      </c>
      <c r="L390" s="14" t="n">
        <v>3.11</v>
      </c>
      <c r="M390" s="14" t="n">
        <v>20</v>
      </c>
      <c r="N390" s="14" t="n">
        <v>4.82</v>
      </c>
      <c r="O390" s="14" t="n">
        <v>6.86</v>
      </c>
      <c r="P390" s="14" t="n">
        <v>4.03</v>
      </c>
      <c r="Q390" s="14" t="n">
        <v>3.14</v>
      </c>
      <c r="R390" s="14" t="n">
        <v>0.85</v>
      </c>
      <c r="S390" s="14" t="n">
        <v>17.41</v>
      </c>
      <c r="T390" s="14" t="n">
        <v>4.41</v>
      </c>
      <c r="U390" s="14" t="n">
        <v>4.97</v>
      </c>
      <c r="V390" s="14" t="n">
        <v>6.79</v>
      </c>
      <c r="W390" s="14" t="n">
        <v>8</v>
      </c>
      <c r="X390" s="14" t="n">
        <v>2.21</v>
      </c>
      <c r="Y390" s="14" t="n">
        <v>4.3</v>
      </c>
      <c r="Z390" s="14" t="n">
        <v>1.69</v>
      </c>
      <c r="AA390" s="14" t="n">
        <v>0.08</v>
      </c>
    </row>
    <row r="391">
      <c r="A391" t="inlineStr">
        <is>
          <t>150117</t>
        </is>
      </c>
      <c r="B391" t="inlineStr">
        <is>
          <t>LIMA</t>
        </is>
      </c>
      <c r="C391" t="inlineStr">
        <is>
          <t>LIMA</t>
        </is>
      </c>
      <c r="D391" t="inlineStr">
        <is>
          <t>LOS OLIVOS</t>
        </is>
      </c>
      <c r="E391" t="n">
        <v>158985</v>
      </c>
      <c r="F391" s="14" t="n">
        <v>0</v>
      </c>
      <c r="G391" s="14" t="n">
        <v>0.6</v>
      </c>
      <c r="H391" s="14" t="n">
        <v>0.44</v>
      </c>
      <c r="I391" s="14" t="n">
        <v>10.45</v>
      </c>
      <c r="J391" s="14" t="n">
        <v>0.14</v>
      </c>
      <c r="K391" s="14" t="n">
        <v>0.27</v>
      </c>
      <c r="L391" s="14" t="n">
        <v>6.26</v>
      </c>
      <c r="M391" s="14" t="n">
        <v>24.14</v>
      </c>
      <c r="N391" s="14" t="n">
        <v>8.73</v>
      </c>
      <c r="O391" s="14" t="n">
        <v>6.19</v>
      </c>
      <c r="P391" s="14" t="n">
        <v>2.38</v>
      </c>
      <c r="Q391" s="14" t="n">
        <v>1.65</v>
      </c>
      <c r="R391" s="14" t="n">
        <v>0.32</v>
      </c>
      <c r="S391" s="14" t="n">
        <v>11.41</v>
      </c>
      <c r="T391" s="14" t="n">
        <v>4.87</v>
      </c>
      <c r="U391" s="14" t="n">
        <v>3.7</v>
      </c>
      <c r="V391" s="14" t="n">
        <v>6.36</v>
      </c>
      <c r="W391" s="14" t="n">
        <v>4.83</v>
      </c>
      <c r="X391" s="14" t="n">
        <v>1.57</v>
      </c>
      <c r="Y391" s="14" t="n">
        <v>3.68</v>
      </c>
      <c r="Z391" s="14" t="n">
        <v>2.01</v>
      </c>
      <c r="AA391" s="14" t="n">
        <v>0.01</v>
      </c>
    </row>
    <row r="392">
      <c r="A392" t="inlineStr">
        <is>
          <t>150118</t>
        </is>
      </c>
      <c r="B392" t="inlineStr">
        <is>
          <t>LIMA</t>
        </is>
      </c>
      <c r="C392" t="inlineStr">
        <is>
          <t>LIMA</t>
        </is>
      </c>
      <c r="D392" t="inlineStr">
        <is>
          <t>LURIGANCHO</t>
        </is>
      </c>
      <c r="E392" t="n">
        <v>108836</v>
      </c>
      <c r="F392" s="14" t="n">
        <v>0</v>
      </c>
      <c r="G392" s="14" t="n">
        <v>2.58</v>
      </c>
      <c r="H392" s="14" t="n">
        <v>0.51</v>
      </c>
      <c r="I392" s="14" t="n">
        <v>13.32</v>
      </c>
      <c r="J392" s="14" t="n">
        <v>0.13</v>
      </c>
      <c r="K392" s="14" t="n">
        <v>0.83</v>
      </c>
      <c r="L392" s="14" t="n">
        <v>10.21</v>
      </c>
      <c r="M392" s="14" t="n">
        <v>21.47</v>
      </c>
      <c r="N392" s="14" t="n">
        <v>13.23</v>
      </c>
      <c r="O392" s="14" t="n">
        <v>6.84</v>
      </c>
      <c r="P392" s="14" t="n">
        <v>1.1</v>
      </c>
      <c r="Q392" s="14" t="n">
        <v>0.75</v>
      </c>
      <c r="R392" s="14" t="n">
        <v>0.17</v>
      </c>
      <c r="S392" s="14" t="n">
        <v>5.78</v>
      </c>
      <c r="T392" s="14" t="n">
        <v>4.95</v>
      </c>
      <c r="U392" s="14" t="n">
        <v>2.29</v>
      </c>
      <c r="V392" s="14" t="n">
        <v>6.24</v>
      </c>
      <c r="W392" s="14" t="n">
        <v>2.78</v>
      </c>
      <c r="X392" s="14" t="n">
        <v>1.06</v>
      </c>
      <c r="Y392" s="14" t="n">
        <v>3.44</v>
      </c>
      <c r="Z392" s="14" t="n">
        <v>2.31</v>
      </c>
      <c r="AA392" s="14" t="n">
        <v>0</v>
      </c>
    </row>
    <row r="393">
      <c r="A393" t="inlineStr">
        <is>
          <t>150119</t>
        </is>
      </c>
      <c r="B393" t="inlineStr">
        <is>
          <t>LIMA</t>
        </is>
      </c>
      <c r="C393" t="inlineStr">
        <is>
          <t>LIMA</t>
        </is>
      </c>
      <c r="D393" t="inlineStr">
        <is>
          <t>LURIN</t>
        </is>
      </c>
      <c r="E393" t="n">
        <v>42432</v>
      </c>
      <c r="F393" s="14" t="n">
        <v>0</v>
      </c>
      <c r="G393" s="14" t="n">
        <v>4.52</v>
      </c>
      <c r="H393" s="14" t="n">
        <v>0.26</v>
      </c>
      <c r="I393" s="14" t="n">
        <v>14.31</v>
      </c>
      <c r="J393" s="14" t="n">
        <v>0.1</v>
      </c>
      <c r="K393" s="14" t="n">
        <v>0.36</v>
      </c>
      <c r="L393" s="14" t="n">
        <v>10.15</v>
      </c>
      <c r="M393" s="14" t="n">
        <v>21.04</v>
      </c>
      <c r="N393" s="14" t="n">
        <v>12.43</v>
      </c>
      <c r="O393" s="14" t="n">
        <v>7.63</v>
      </c>
      <c r="P393" s="14" t="n">
        <v>1</v>
      </c>
      <c r="Q393" s="14" t="n">
        <v>0.72</v>
      </c>
      <c r="R393" s="14" t="n">
        <v>0.21</v>
      </c>
      <c r="S393" s="14" t="n">
        <v>5.74</v>
      </c>
      <c r="T393" s="14" t="n">
        <v>5.68</v>
      </c>
      <c r="U393" s="14" t="n">
        <v>3.08</v>
      </c>
      <c r="V393" s="14" t="n">
        <v>4.35</v>
      </c>
      <c r="W393" s="14" t="n">
        <v>2.12</v>
      </c>
      <c r="X393" s="14" t="n">
        <v>1.03</v>
      </c>
      <c r="Y393" s="14" t="n">
        <v>3.18</v>
      </c>
      <c r="Z393" s="14" t="n">
        <v>2.07</v>
      </c>
      <c r="AA393" s="14" t="n">
        <v>0</v>
      </c>
    </row>
    <row r="394">
      <c r="A394" t="inlineStr">
        <is>
          <t>150120</t>
        </is>
      </c>
      <c r="B394" t="inlineStr">
        <is>
          <t>LIMA</t>
        </is>
      </c>
      <c r="C394" t="inlineStr">
        <is>
          <t>LIMA</t>
        </is>
      </c>
      <c r="D394" t="inlineStr">
        <is>
          <t>MAGDALENA DEL MAR</t>
        </is>
      </c>
      <c r="E394" t="n">
        <v>31860</v>
      </c>
      <c r="F394" s="14" t="n">
        <v>0.417</v>
      </c>
      <c r="G394" s="14" t="n">
        <v>0.72</v>
      </c>
      <c r="H394" s="14" t="n">
        <v>0.6899999999999999</v>
      </c>
      <c r="I394" s="14" t="n">
        <v>5.35</v>
      </c>
      <c r="J394" s="14" t="n">
        <v>0.21</v>
      </c>
      <c r="K394" s="14" t="n">
        <v>0.15</v>
      </c>
      <c r="L394" s="14" t="n">
        <v>3.37</v>
      </c>
      <c r="M394" s="14" t="n">
        <v>18</v>
      </c>
      <c r="N394" s="14" t="n">
        <v>5.25</v>
      </c>
      <c r="O394" s="14" t="n">
        <v>4.89</v>
      </c>
      <c r="P394" s="14" t="n">
        <v>4.29</v>
      </c>
      <c r="Q394" s="14" t="n">
        <v>3.78</v>
      </c>
      <c r="R394" s="14" t="n">
        <v>1.06</v>
      </c>
      <c r="S394" s="14" t="n">
        <v>18.96</v>
      </c>
      <c r="T394" s="14" t="n">
        <v>4.14</v>
      </c>
      <c r="U394" s="14" t="n">
        <v>5.77</v>
      </c>
      <c r="V394" s="14" t="n">
        <v>7.95</v>
      </c>
      <c r="W394" s="14" t="n">
        <v>7.59</v>
      </c>
      <c r="X394" s="14" t="n">
        <v>2.36</v>
      </c>
      <c r="Y394" s="14" t="n">
        <v>3.59</v>
      </c>
      <c r="Z394" s="14" t="n">
        <v>1.78</v>
      </c>
      <c r="AA394" s="14" t="n">
        <v>0.09</v>
      </c>
    </row>
    <row r="395">
      <c r="A395" t="inlineStr">
        <is>
          <t>150121</t>
        </is>
      </c>
      <c r="B395" t="inlineStr">
        <is>
          <t>LIMA</t>
        </is>
      </c>
      <c r="C395" t="inlineStr">
        <is>
          <t>LIMA</t>
        </is>
      </c>
      <c r="D395" t="inlineStr">
        <is>
          <t>MAGDALENA VIEJA</t>
        </is>
      </c>
      <c r="E395" t="n">
        <v>42908</v>
      </c>
      <c r="F395" s="14" t="n">
        <v>0</v>
      </c>
      <c r="G395" s="14" t="n">
        <v>0.49</v>
      </c>
      <c r="H395" s="14" t="n">
        <v>0.73</v>
      </c>
      <c r="I395" s="14" t="n">
        <v>5.39</v>
      </c>
      <c r="J395" s="14" t="n">
        <v>0.18</v>
      </c>
      <c r="K395" s="14" t="n">
        <v>0.15</v>
      </c>
      <c r="L395" s="14" t="n">
        <v>2.91</v>
      </c>
      <c r="M395" s="14" t="n">
        <v>17.5</v>
      </c>
      <c r="N395" s="14" t="n">
        <v>4.77</v>
      </c>
      <c r="O395" s="14" t="n">
        <v>4.77</v>
      </c>
      <c r="P395" s="14" t="n">
        <v>3.95</v>
      </c>
      <c r="Q395" s="14" t="n">
        <v>3.37</v>
      </c>
      <c r="R395" s="14" t="n">
        <v>0.91</v>
      </c>
      <c r="S395" s="14" t="n">
        <v>19.55</v>
      </c>
      <c r="T395" s="14" t="n">
        <v>3.66</v>
      </c>
      <c r="U395" s="14" t="n">
        <v>6.13</v>
      </c>
      <c r="V395" s="14" t="n">
        <v>8.81</v>
      </c>
      <c r="W395" s="14" t="n">
        <v>9.59</v>
      </c>
      <c r="X395" s="14" t="n">
        <v>2.15</v>
      </c>
      <c r="Y395" s="14" t="n">
        <v>3.22</v>
      </c>
      <c r="Z395" s="14" t="n">
        <v>1.72</v>
      </c>
      <c r="AA395" s="14" t="n">
        <v>0.06</v>
      </c>
    </row>
    <row r="396">
      <c r="A396" t="inlineStr">
        <is>
          <t>150122</t>
        </is>
      </c>
      <c r="B396" t="inlineStr">
        <is>
          <t>LIMA</t>
        </is>
      </c>
      <c r="C396" t="inlineStr">
        <is>
          <t>LIMA</t>
        </is>
      </c>
      <c r="D396" t="inlineStr">
        <is>
          <t>MIRAFLORES</t>
        </is>
      </c>
      <c r="E396" t="n">
        <v>55502</v>
      </c>
      <c r="F396" s="14" t="n">
        <v>0.151</v>
      </c>
      <c r="G396" s="14" t="n">
        <v>0.74</v>
      </c>
      <c r="H396" s="14" t="n">
        <v>1.03</v>
      </c>
      <c r="I396" s="14" t="n">
        <v>5.03</v>
      </c>
      <c r="J396" s="14" t="n">
        <v>0.28</v>
      </c>
      <c r="K396" s="14" t="n">
        <v>0.11</v>
      </c>
      <c r="L396" s="14" t="n">
        <v>3.15</v>
      </c>
      <c r="M396" s="14" t="n">
        <v>14.95</v>
      </c>
      <c r="N396" s="14" t="n">
        <v>3.3</v>
      </c>
      <c r="O396" s="14" t="n">
        <v>4.28</v>
      </c>
      <c r="P396" s="14" t="n">
        <v>4.56</v>
      </c>
      <c r="Q396" s="14" t="n">
        <v>4.29</v>
      </c>
      <c r="R396" s="14" t="n">
        <v>1.99</v>
      </c>
      <c r="S396" s="14" t="n">
        <v>24.94</v>
      </c>
      <c r="T396" s="14" t="n">
        <v>3.7</v>
      </c>
      <c r="U396" s="14" t="n">
        <v>3.44</v>
      </c>
      <c r="V396" s="14" t="n">
        <v>7.69</v>
      </c>
      <c r="W396" s="14" t="n">
        <v>6.59</v>
      </c>
      <c r="X396" s="14" t="n">
        <v>3.55</v>
      </c>
      <c r="Y396" s="14" t="n">
        <v>2.95</v>
      </c>
      <c r="Z396" s="14" t="n">
        <v>3.04</v>
      </c>
      <c r="AA396" s="14" t="n">
        <v>0.39</v>
      </c>
    </row>
    <row r="397">
      <c r="A397" t="inlineStr">
        <is>
          <t>150123</t>
        </is>
      </c>
      <c r="B397" t="inlineStr">
        <is>
          <t>LIMA</t>
        </is>
      </c>
      <c r="C397" t="inlineStr">
        <is>
          <t>LIMA</t>
        </is>
      </c>
      <c r="D397" t="inlineStr">
        <is>
          <t>PACHACAMAC</t>
        </is>
      </c>
      <c r="E397" t="n">
        <v>50126</v>
      </c>
      <c r="F397" s="14" t="n">
        <v>0</v>
      </c>
      <c r="G397" s="14" t="n">
        <v>3.49</v>
      </c>
      <c r="H397" s="14" t="n">
        <v>0.24</v>
      </c>
      <c r="I397" s="14" t="n">
        <v>10.28</v>
      </c>
      <c r="J397" s="14" t="n">
        <v>0.05</v>
      </c>
      <c r="K397" s="14" t="n">
        <v>0.35</v>
      </c>
      <c r="L397" s="14" t="n">
        <v>13.94</v>
      </c>
      <c r="M397" s="14" t="n">
        <v>20.44</v>
      </c>
      <c r="N397" s="14" t="n">
        <v>11.43</v>
      </c>
      <c r="O397" s="14" t="n">
        <v>6.7</v>
      </c>
      <c r="P397" s="14" t="n">
        <v>0.76</v>
      </c>
      <c r="Q397" s="14" t="n">
        <v>0.67</v>
      </c>
      <c r="R397" s="14" t="n">
        <v>0.2</v>
      </c>
      <c r="S397" s="14" t="n">
        <v>4.93</v>
      </c>
      <c r="T397" s="14" t="n">
        <v>7.67</v>
      </c>
      <c r="U397" s="14" t="n">
        <v>1.87</v>
      </c>
      <c r="V397" s="14" t="n">
        <v>3.81</v>
      </c>
      <c r="W397" s="14" t="n">
        <v>1.76</v>
      </c>
      <c r="X397" s="14" t="n">
        <v>0.89</v>
      </c>
      <c r="Y397" s="14" t="n">
        <v>4.02</v>
      </c>
      <c r="Z397" s="14" t="n">
        <v>6.5</v>
      </c>
      <c r="AA397" s="14" t="n">
        <v>0</v>
      </c>
    </row>
    <row r="398">
      <c r="A398" t="inlineStr">
        <is>
          <t>150124</t>
        </is>
      </c>
      <c r="B398" t="inlineStr">
        <is>
          <t>LIMA</t>
        </is>
      </c>
      <c r="C398" t="inlineStr">
        <is>
          <t>LIMA</t>
        </is>
      </c>
      <c r="D398" t="inlineStr">
        <is>
          <t>PUCUSANA</t>
        </is>
      </c>
      <c r="E398" t="n">
        <v>6685</v>
      </c>
      <c r="F398" s="14" t="n">
        <v>0</v>
      </c>
      <c r="G398" s="14" t="n">
        <v>12.4</v>
      </c>
      <c r="H398" s="14" t="n">
        <v>0.19</v>
      </c>
      <c r="I398" s="14" t="n">
        <v>6.99</v>
      </c>
      <c r="J398" s="14" t="n">
        <v>0.13</v>
      </c>
      <c r="K398" s="14" t="n">
        <v>0.27</v>
      </c>
      <c r="L398" s="14" t="n">
        <v>11.23</v>
      </c>
      <c r="M398" s="14" t="n">
        <v>21.14</v>
      </c>
      <c r="N398" s="14" t="n">
        <v>11.71</v>
      </c>
      <c r="O398" s="14" t="n">
        <v>8.57</v>
      </c>
      <c r="P398" s="14" t="n">
        <v>0.6</v>
      </c>
      <c r="Q398" s="14" t="n">
        <v>0.4</v>
      </c>
      <c r="R398" s="14" t="n">
        <v>0.12</v>
      </c>
      <c r="S398" s="14" t="n">
        <v>4.02</v>
      </c>
      <c r="T398" s="14" t="n">
        <v>5.61</v>
      </c>
      <c r="U398" s="14" t="n">
        <v>4.5</v>
      </c>
      <c r="V398" s="14" t="n">
        <v>3.56</v>
      </c>
      <c r="W398" s="14" t="n">
        <v>1.2</v>
      </c>
      <c r="X398" s="14" t="n">
        <v>1.23</v>
      </c>
      <c r="Y398" s="14" t="n">
        <v>3.93</v>
      </c>
      <c r="Z398" s="14" t="n">
        <v>2.18</v>
      </c>
      <c r="AA398" s="14" t="n">
        <v>0</v>
      </c>
    </row>
    <row r="399">
      <c r="A399" t="inlineStr">
        <is>
          <t>150125</t>
        </is>
      </c>
      <c r="B399" t="inlineStr">
        <is>
          <t>LIMA</t>
        </is>
      </c>
      <c r="C399" t="inlineStr">
        <is>
          <t>LIMA</t>
        </is>
      </c>
      <c r="D399" t="inlineStr">
        <is>
          <t>PUENTE PIEDRA</t>
        </is>
      </c>
      <c r="E399" t="n">
        <v>147304</v>
      </c>
      <c r="F399" s="14" t="n">
        <v>0.023</v>
      </c>
      <c r="G399" s="14" t="n">
        <v>1.43</v>
      </c>
      <c r="H399" s="14" t="n">
        <v>0.25</v>
      </c>
      <c r="I399" s="14" t="n">
        <v>15</v>
      </c>
      <c r="J399" s="14" t="n">
        <v>0.13</v>
      </c>
      <c r="K399" s="14" t="n">
        <v>0.53</v>
      </c>
      <c r="L399" s="14" t="n">
        <v>10.91</v>
      </c>
      <c r="M399" s="14" t="n">
        <v>25.52</v>
      </c>
      <c r="N399" s="14" t="n">
        <v>11.4</v>
      </c>
      <c r="O399" s="14" t="n">
        <v>6.41</v>
      </c>
      <c r="P399" s="14" t="n">
        <v>1.07</v>
      </c>
      <c r="Q399" s="14" t="n">
        <v>0.73</v>
      </c>
      <c r="R399" s="14" t="n">
        <v>0.14</v>
      </c>
      <c r="S399" s="14" t="n">
        <v>5.68</v>
      </c>
      <c r="T399" s="14" t="n">
        <v>4.25</v>
      </c>
      <c r="U399" s="14" t="n">
        <v>2.88</v>
      </c>
      <c r="V399" s="14" t="n">
        <v>3.92</v>
      </c>
      <c r="W399" s="14" t="n">
        <v>2.27</v>
      </c>
      <c r="X399" s="14" t="n">
        <v>1.05</v>
      </c>
      <c r="Y399" s="14" t="n">
        <v>3.37</v>
      </c>
      <c r="Z399" s="14" t="n">
        <v>3.07</v>
      </c>
      <c r="AA399" s="14" t="n">
        <v>0</v>
      </c>
    </row>
    <row r="400">
      <c r="A400" t="inlineStr">
        <is>
          <t>150126</t>
        </is>
      </c>
      <c r="B400" t="inlineStr">
        <is>
          <t>LIMA</t>
        </is>
      </c>
      <c r="C400" t="inlineStr">
        <is>
          <t>LIMA</t>
        </is>
      </c>
      <c r="D400" t="inlineStr">
        <is>
          <t>PUNTA HERMOSA</t>
        </is>
      </c>
      <c r="E400" t="n">
        <v>8042</v>
      </c>
      <c r="F400" s="14" t="n">
        <v>0</v>
      </c>
      <c r="G400" s="14" t="n">
        <v>6.93</v>
      </c>
      <c r="H400" s="14" t="n">
        <v>0.35</v>
      </c>
      <c r="I400" s="14" t="n">
        <v>9.289999999999999</v>
      </c>
      <c r="J400" s="14" t="n">
        <v>0.05</v>
      </c>
      <c r="K400" s="14" t="n">
        <v>0.44</v>
      </c>
      <c r="L400" s="14" t="n">
        <v>11.88</v>
      </c>
      <c r="M400" s="14" t="n">
        <v>22</v>
      </c>
      <c r="N400" s="14" t="n">
        <v>10.62</v>
      </c>
      <c r="O400" s="14" t="n">
        <v>7.21</v>
      </c>
      <c r="P400" s="14" t="n">
        <v>1.12</v>
      </c>
      <c r="Q400" s="14" t="n">
        <v>0.68</v>
      </c>
      <c r="R400" s="14" t="n">
        <v>0.47</v>
      </c>
      <c r="S400" s="14" t="n">
        <v>8.44</v>
      </c>
      <c r="T400" s="14" t="n">
        <v>5.51</v>
      </c>
      <c r="U400" s="14" t="n">
        <v>3.12</v>
      </c>
      <c r="V400" s="14" t="n">
        <v>3.27</v>
      </c>
      <c r="W400" s="14" t="n">
        <v>1.55</v>
      </c>
      <c r="X400" s="14" t="n">
        <v>0.99</v>
      </c>
      <c r="Y400" s="14" t="n">
        <v>3.31</v>
      </c>
      <c r="Z400" s="14" t="n">
        <v>2.77</v>
      </c>
      <c r="AA400" s="14" t="n">
        <v>0</v>
      </c>
    </row>
    <row r="401">
      <c r="A401" t="inlineStr">
        <is>
          <t>150127</t>
        </is>
      </c>
      <c r="B401" t="inlineStr">
        <is>
          <t>LIMA</t>
        </is>
      </c>
      <c r="C401" t="inlineStr">
        <is>
          <t>LIMA</t>
        </is>
      </c>
      <c r="D401" t="inlineStr">
        <is>
          <t>PUNTA NEGRA</t>
        </is>
      </c>
      <c r="E401" t="n">
        <v>3437</v>
      </c>
      <c r="F401" s="14" t="n">
        <v>0</v>
      </c>
      <c r="G401" s="14" t="n">
        <v>2.3</v>
      </c>
      <c r="H401" s="14" t="n">
        <v>0.23</v>
      </c>
      <c r="I401" s="14" t="n">
        <v>7.94</v>
      </c>
      <c r="J401" s="14" t="n">
        <v>0.03</v>
      </c>
      <c r="K401" s="14" t="n">
        <v>0.26</v>
      </c>
      <c r="L401" s="14" t="n">
        <v>12.95</v>
      </c>
      <c r="M401" s="14" t="n">
        <v>19.81</v>
      </c>
      <c r="N401" s="14" t="n">
        <v>10.71</v>
      </c>
      <c r="O401" s="14" t="n">
        <v>6.75</v>
      </c>
      <c r="P401" s="14" t="n">
        <v>1.31</v>
      </c>
      <c r="Q401" s="14" t="n">
        <v>0.96</v>
      </c>
      <c r="R401" s="14" t="n">
        <v>0.47</v>
      </c>
      <c r="S401" s="14" t="n">
        <v>8.32</v>
      </c>
      <c r="T401" s="14" t="n">
        <v>8.23</v>
      </c>
      <c r="U401" s="14" t="n">
        <v>5.5</v>
      </c>
      <c r="V401" s="14" t="n">
        <v>5.09</v>
      </c>
      <c r="W401" s="14" t="n">
        <v>2.47</v>
      </c>
      <c r="X401" s="14" t="n">
        <v>1.37</v>
      </c>
      <c r="Y401" s="14" t="n">
        <v>2.97</v>
      </c>
      <c r="Z401" s="14" t="n">
        <v>2.33</v>
      </c>
      <c r="AA401" s="14" t="n">
        <v>0</v>
      </c>
    </row>
    <row r="402">
      <c r="A402" t="inlineStr">
        <is>
          <t>150128</t>
        </is>
      </c>
      <c r="B402" t="inlineStr">
        <is>
          <t>LIMA</t>
        </is>
      </c>
      <c r="C402" t="inlineStr">
        <is>
          <t>LIMA</t>
        </is>
      </c>
      <c r="D402" t="inlineStr">
        <is>
          <t>RIMAC</t>
        </is>
      </c>
      <c r="E402" t="n">
        <v>83091</v>
      </c>
      <c r="F402" s="14" t="n">
        <v>0.024</v>
      </c>
      <c r="G402" s="14" t="n">
        <v>0.54</v>
      </c>
      <c r="H402" s="14" t="n">
        <v>0.18</v>
      </c>
      <c r="I402" s="14" t="n">
        <v>11.11</v>
      </c>
      <c r="J402" s="14" t="n">
        <v>0.09</v>
      </c>
      <c r="K402" s="14" t="n">
        <v>0.25</v>
      </c>
      <c r="L402" s="14" t="n">
        <v>5.89</v>
      </c>
      <c r="M402" s="14" t="n">
        <v>26.05</v>
      </c>
      <c r="N402" s="14" t="n">
        <v>8.800000000000001</v>
      </c>
      <c r="O402" s="14" t="n">
        <v>6.19</v>
      </c>
      <c r="P402" s="14" t="n">
        <v>2.04</v>
      </c>
      <c r="Q402" s="14" t="n">
        <v>1.5</v>
      </c>
      <c r="R402" s="14" t="n">
        <v>0.19</v>
      </c>
      <c r="S402" s="14" t="n">
        <v>10.07</v>
      </c>
      <c r="T402" s="14" t="n">
        <v>6.73</v>
      </c>
      <c r="U402" s="14" t="n">
        <v>4.26</v>
      </c>
      <c r="V402" s="14" t="n">
        <v>4.94</v>
      </c>
      <c r="W402" s="14" t="n">
        <v>3.6</v>
      </c>
      <c r="X402" s="14" t="n">
        <v>1.72</v>
      </c>
      <c r="Y402" s="14" t="n">
        <v>4.16</v>
      </c>
      <c r="Z402" s="14" t="n">
        <v>1.69</v>
      </c>
      <c r="AA402" s="14" t="n">
        <v>0.01</v>
      </c>
    </row>
    <row r="403">
      <c r="A403" t="inlineStr">
        <is>
          <t>150129</t>
        </is>
      </c>
      <c r="B403" t="inlineStr">
        <is>
          <t>LIMA</t>
        </is>
      </c>
      <c r="C403" t="inlineStr">
        <is>
          <t>LIMA</t>
        </is>
      </c>
      <c r="D403" t="inlineStr">
        <is>
          <t>SAN BARTOLO</t>
        </is>
      </c>
      <c r="E403" t="n">
        <v>3745</v>
      </c>
      <c r="F403" s="14" t="n">
        <v>4.486</v>
      </c>
      <c r="G403" s="14" t="n">
        <v>5.87</v>
      </c>
      <c r="H403" s="14" t="n">
        <v>0.24</v>
      </c>
      <c r="I403" s="14" t="n">
        <v>6.17</v>
      </c>
      <c r="J403" s="14" t="n">
        <v>0.11</v>
      </c>
      <c r="K403" s="14" t="n">
        <v>0.24</v>
      </c>
      <c r="L403" s="14" t="n">
        <v>8.76</v>
      </c>
      <c r="M403" s="14" t="n">
        <v>18.69</v>
      </c>
      <c r="N403" s="14" t="n">
        <v>11.51</v>
      </c>
      <c r="O403" s="14" t="n">
        <v>9.210000000000001</v>
      </c>
      <c r="P403" s="14" t="n">
        <v>1.04</v>
      </c>
      <c r="Q403" s="14" t="n">
        <v>1.07</v>
      </c>
      <c r="R403" s="14" t="n">
        <v>0.5600000000000001</v>
      </c>
      <c r="S403" s="14" t="n">
        <v>8.44</v>
      </c>
      <c r="T403" s="14" t="n">
        <v>8.06</v>
      </c>
      <c r="U403" s="14" t="n">
        <v>6.28</v>
      </c>
      <c r="V403" s="14" t="n">
        <v>4.17</v>
      </c>
      <c r="W403" s="14" t="n">
        <v>2.22</v>
      </c>
      <c r="X403" s="14" t="n">
        <v>2.06</v>
      </c>
      <c r="Y403" s="14" t="n">
        <v>3.07</v>
      </c>
      <c r="Z403" s="14" t="n">
        <v>2.24</v>
      </c>
      <c r="AA403" s="14" t="n">
        <v>0</v>
      </c>
    </row>
    <row r="404">
      <c r="A404" t="inlineStr">
        <is>
          <t>150130</t>
        </is>
      </c>
      <c r="B404" t="inlineStr">
        <is>
          <t>LIMA</t>
        </is>
      </c>
      <c r="C404" t="inlineStr">
        <is>
          <t>LIMA</t>
        </is>
      </c>
      <c r="D404" t="inlineStr">
        <is>
          <t>SAN BORJA</t>
        </is>
      </c>
      <c r="E404" t="n">
        <v>58904</v>
      </c>
      <c r="F404" s="14" t="n">
        <v>0.136</v>
      </c>
      <c r="G404" s="14" t="n">
        <v>0.75</v>
      </c>
      <c r="H404" s="14" t="n">
        <v>1.21</v>
      </c>
      <c r="I404" s="14" t="n">
        <v>5.72</v>
      </c>
      <c r="J404" s="14" t="n">
        <v>0.32</v>
      </c>
      <c r="K404" s="14" t="n">
        <v>0.12</v>
      </c>
      <c r="L404" s="14" t="n">
        <v>3.4</v>
      </c>
      <c r="M404" s="14" t="n">
        <v>17.24</v>
      </c>
      <c r="N404" s="14" t="n">
        <v>4.25</v>
      </c>
      <c r="O404" s="14" t="n">
        <v>3.82</v>
      </c>
      <c r="P404" s="14" t="n">
        <v>4.46</v>
      </c>
      <c r="Q404" s="14" t="n">
        <v>4.4</v>
      </c>
      <c r="R404" s="14" t="n">
        <v>1.5</v>
      </c>
      <c r="S404" s="14" t="n">
        <v>21.49</v>
      </c>
      <c r="T404" s="14" t="n">
        <v>3.43</v>
      </c>
      <c r="U404" s="14" t="n">
        <v>5.26</v>
      </c>
      <c r="V404" s="14" t="n">
        <v>7.34</v>
      </c>
      <c r="W404" s="14" t="n">
        <v>8.08</v>
      </c>
      <c r="X404" s="14" t="n">
        <v>2</v>
      </c>
      <c r="Y404" s="14" t="n">
        <v>2.58</v>
      </c>
      <c r="Z404" s="14" t="n">
        <v>2.55</v>
      </c>
      <c r="AA404" s="14" t="n">
        <v>0.09</v>
      </c>
    </row>
    <row r="405">
      <c r="A405" t="inlineStr">
        <is>
          <t>150131</t>
        </is>
      </c>
      <c r="B405" t="inlineStr">
        <is>
          <t>LIMA</t>
        </is>
      </c>
      <c r="C405" t="inlineStr">
        <is>
          <t>LIMA</t>
        </is>
      </c>
      <c r="D405" t="inlineStr">
        <is>
          <t>SAN ISIDRO</t>
        </is>
      </c>
      <c r="E405" t="n">
        <v>32024</v>
      </c>
      <c r="F405" s="14" t="n">
        <v>0</v>
      </c>
      <c r="G405" s="14" t="n">
        <v>0.9399999999999999</v>
      </c>
      <c r="H405" s="14" t="n">
        <v>1.31</v>
      </c>
      <c r="I405" s="14" t="n">
        <v>5.09</v>
      </c>
      <c r="J405" s="14" t="n">
        <v>0.36</v>
      </c>
      <c r="K405" s="14" t="n">
        <v>0.11</v>
      </c>
      <c r="L405" s="14" t="n">
        <v>2.79</v>
      </c>
      <c r="M405" s="14" t="n">
        <v>14.12</v>
      </c>
      <c r="N405" s="14" t="n">
        <v>2.89</v>
      </c>
      <c r="O405" s="14" t="n">
        <v>3.37</v>
      </c>
      <c r="P405" s="14" t="n">
        <v>3.79</v>
      </c>
      <c r="Q405" s="14" t="n">
        <v>4.67</v>
      </c>
      <c r="R405" s="14" t="n">
        <v>2.24</v>
      </c>
      <c r="S405" s="14" t="n">
        <v>26.72</v>
      </c>
      <c r="T405" s="14" t="n">
        <v>3.29</v>
      </c>
      <c r="U405" s="14" t="n">
        <v>3.12</v>
      </c>
      <c r="V405" s="14" t="n">
        <v>6.62</v>
      </c>
      <c r="W405" s="14" t="n">
        <v>7.2</v>
      </c>
      <c r="X405" s="14" t="n">
        <v>2.72</v>
      </c>
      <c r="Y405" s="14" t="n">
        <v>2.35</v>
      </c>
      <c r="Z405" s="14" t="n">
        <v>5.9</v>
      </c>
      <c r="AA405" s="14" t="n">
        <v>0.42</v>
      </c>
    </row>
    <row r="406">
      <c r="A406" t="inlineStr">
        <is>
          <t>150132</t>
        </is>
      </c>
      <c r="B406" t="inlineStr">
        <is>
          <t>LIMA</t>
        </is>
      </c>
      <c r="C406" t="inlineStr">
        <is>
          <t>LIMA</t>
        </is>
      </c>
      <c r="D406" t="inlineStr">
        <is>
          <t>SAN JUAN DE LURIGANCHO</t>
        </is>
      </c>
      <c r="E406" t="n">
        <v>496298</v>
      </c>
      <c r="F406" s="14" t="n">
        <v>0</v>
      </c>
      <c r="G406" s="14" t="n">
        <v>0.6899999999999999</v>
      </c>
      <c r="H406" s="14" t="n">
        <v>0.29</v>
      </c>
      <c r="I406" s="14" t="n">
        <v>15.99</v>
      </c>
      <c r="J406" s="14" t="n">
        <v>0.09</v>
      </c>
      <c r="K406" s="14" t="n">
        <v>0.36</v>
      </c>
      <c r="L406" s="14" t="n">
        <v>7.95</v>
      </c>
      <c r="M406" s="14" t="n">
        <v>26.39</v>
      </c>
      <c r="N406" s="14" t="n">
        <v>10.18</v>
      </c>
      <c r="O406" s="14" t="n">
        <v>6.67</v>
      </c>
      <c r="P406" s="14" t="n">
        <v>1.28</v>
      </c>
      <c r="Q406" s="14" t="n">
        <v>1</v>
      </c>
      <c r="R406" s="14" t="n">
        <v>0.13</v>
      </c>
      <c r="S406" s="14" t="n">
        <v>7.27</v>
      </c>
      <c r="T406" s="14" t="n">
        <v>4.82</v>
      </c>
      <c r="U406" s="14" t="n">
        <v>2.47</v>
      </c>
      <c r="V406" s="14" t="n">
        <v>4.37</v>
      </c>
      <c r="W406" s="14" t="n">
        <v>2.83</v>
      </c>
      <c r="X406" s="14" t="n">
        <v>1.07</v>
      </c>
      <c r="Y406" s="14" t="n">
        <v>3.86</v>
      </c>
      <c r="Z406" s="14" t="n">
        <v>2.3</v>
      </c>
      <c r="AA406" s="14" t="n">
        <v>0</v>
      </c>
    </row>
    <row r="407">
      <c r="A407" t="inlineStr">
        <is>
          <t>150133</t>
        </is>
      </c>
      <c r="B407" t="inlineStr">
        <is>
          <t>LIMA</t>
        </is>
      </c>
      <c r="C407" t="inlineStr">
        <is>
          <t>LIMA</t>
        </is>
      </c>
      <c r="D407" t="inlineStr">
        <is>
          <t>SAN JUAN DE MIRAFLORES</t>
        </is>
      </c>
      <c r="E407" t="n">
        <v>175389</v>
      </c>
      <c r="F407" s="14" t="n">
        <v>0</v>
      </c>
      <c r="G407" s="14" t="n">
        <v>0.61</v>
      </c>
      <c r="H407" s="14" t="n">
        <v>0.21</v>
      </c>
      <c r="I407" s="14" t="n">
        <v>9.07</v>
      </c>
      <c r="J407" s="14" t="n">
        <v>0.15</v>
      </c>
      <c r="K407" s="14" t="n">
        <v>0.33</v>
      </c>
      <c r="L407" s="14" t="n">
        <v>9.31</v>
      </c>
      <c r="M407" s="14" t="n">
        <v>24.63</v>
      </c>
      <c r="N407" s="14" t="n">
        <v>10.36</v>
      </c>
      <c r="O407" s="14" t="n">
        <v>6.76</v>
      </c>
      <c r="P407" s="14" t="n">
        <v>1.76</v>
      </c>
      <c r="Q407" s="14" t="n">
        <v>1.33</v>
      </c>
      <c r="R407" s="14" t="n">
        <v>0.21</v>
      </c>
      <c r="S407" s="14" t="n">
        <v>7.93</v>
      </c>
      <c r="T407" s="14" t="n">
        <v>6.53</v>
      </c>
      <c r="U407" s="14" t="n">
        <v>3.02</v>
      </c>
      <c r="V407" s="14" t="n">
        <v>5.16</v>
      </c>
      <c r="W407" s="14" t="n">
        <v>3.46</v>
      </c>
      <c r="X407" s="14" t="n">
        <v>1.38</v>
      </c>
      <c r="Y407" s="14" t="n">
        <v>4.43</v>
      </c>
      <c r="Z407" s="14" t="n">
        <v>3.39</v>
      </c>
      <c r="AA407" s="14" t="n">
        <v>0.01</v>
      </c>
    </row>
    <row r="408">
      <c r="A408" t="inlineStr">
        <is>
          <t>150134</t>
        </is>
      </c>
      <c r="B408" t="inlineStr">
        <is>
          <t>LIMA</t>
        </is>
      </c>
      <c r="C408" t="inlineStr">
        <is>
          <t>LIMA</t>
        </is>
      </c>
      <c r="D408" t="inlineStr">
        <is>
          <t>SAN LUIS</t>
        </is>
      </c>
      <c r="E408" t="n">
        <v>27358</v>
      </c>
      <c r="F408" s="14" t="n">
        <v>0.157</v>
      </c>
      <c r="G408" s="14" t="n">
        <v>0.75</v>
      </c>
      <c r="H408" s="14" t="n">
        <v>0.43</v>
      </c>
      <c r="I408" s="14" t="n">
        <v>9.630000000000001</v>
      </c>
      <c r="J408" s="14" t="n">
        <v>0.15</v>
      </c>
      <c r="K408" s="14" t="n">
        <v>0.19</v>
      </c>
      <c r="L408" s="14" t="n">
        <v>3.35</v>
      </c>
      <c r="M408" s="14" t="n">
        <v>28.28</v>
      </c>
      <c r="N408" s="14" t="n">
        <v>7.34</v>
      </c>
      <c r="O408" s="14" t="n">
        <v>7.77</v>
      </c>
      <c r="P408" s="14" t="n">
        <v>2.47</v>
      </c>
      <c r="Q408" s="14" t="n">
        <v>1.87</v>
      </c>
      <c r="R408" s="14" t="n">
        <v>0.55</v>
      </c>
      <c r="S408" s="14" t="n">
        <v>11.74</v>
      </c>
      <c r="T408" s="14" t="n">
        <v>3.67</v>
      </c>
      <c r="U408" s="14" t="n">
        <v>4.17</v>
      </c>
      <c r="V408" s="14" t="n">
        <v>6.21</v>
      </c>
      <c r="W408" s="14" t="n">
        <v>4.57</v>
      </c>
      <c r="X408" s="14" t="n">
        <v>1.83</v>
      </c>
      <c r="Y408" s="14" t="n">
        <v>3.34</v>
      </c>
      <c r="Z408" s="14" t="n">
        <v>1.66</v>
      </c>
      <c r="AA408" s="14" t="n">
        <v>0.02</v>
      </c>
    </row>
    <row r="409">
      <c r="A409" t="inlineStr">
        <is>
          <t>150135</t>
        </is>
      </c>
      <c r="B409" t="inlineStr">
        <is>
          <t>LIMA</t>
        </is>
      </c>
      <c r="C409" t="inlineStr">
        <is>
          <t>LIMA</t>
        </is>
      </c>
      <c r="D409" t="inlineStr">
        <is>
          <t>SAN MARTIN DE PORRES</t>
        </is>
      </c>
      <c r="E409" t="n">
        <v>311960</v>
      </c>
      <c r="F409" s="14" t="n">
        <v>0.061</v>
      </c>
      <c r="G409" s="14" t="n">
        <v>0.67</v>
      </c>
      <c r="H409" s="14" t="n">
        <v>0.31</v>
      </c>
      <c r="I409" s="14" t="n">
        <v>10.72</v>
      </c>
      <c r="J409" s="14" t="n">
        <v>0.11</v>
      </c>
      <c r="K409" s="14" t="n">
        <v>0.32</v>
      </c>
      <c r="L409" s="14" t="n">
        <v>6.6</v>
      </c>
      <c r="M409" s="14" t="n">
        <v>23.97</v>
      </c>
      <c r="N409" s="14" t="n">
        <v>10.35</v>
      </c>
      <c r="O409" s="14" t="n">
        <v>6.16</v>
      </c>
      <c r="P409" s="14" t="n">
        <v>2.05</v>
      </c>
      <c r="Q409" s="14" t="n">
        <v>1.34</v>
      </c>
      <c r="R409" s="14" t="n">
        <v>0.25</v>
      </c>
      <c r="S409" s="14" t="n">
        <v>10.3</v>
      </c>
      <c r="T409" s="14" t="n">
        <v>5.45</v>
      </c>
      <c r="U409" s="14" t="n">
        <v>3.7</v>
      </c>
      <c r="V409" s="14" t="n">
        <v>5.84</v>
      </c>
      <c r="W409" s="14" t="n">
        <v>4.38</v>
      </c>
      <c r="X409" s="14" t="n">
        <v>1.43</v>
      </c>
      <c r="Y409" s="14" t="n">
        <v>4.01</v>
      </c>
      <c r="Z409" s="14" t="n">
        <v>2.05</v>
      </c>
      <c r="AA409" s="14" t="n">
        <v>0.01</v>
      </c>
    </row>
    <row r="410">
      <c r="A410" t="inlineStr">
        <is>
          <t>150136</t>
        </is>
      </c>
      <c r="B410" t="inlineStr">
        <is>
          <t>LIMA</t>
        </is>
      </c>
      <c r="C410" t="inlineStr">
        <is>
          <t>LIMA</t>
        </is>
      </c>
      <c r="D410" t="inlineStr">
        <is>
          <t>SAN MIGUEL</t>
        </is>
      </c>
      <c r="E410" t="n">
        <v>79156</v>
      </c>
      <c r="F410" s="14" t="n">
        <v>0.437</v>
      </c>
      <c r="G410" s="14" t="n">
        <v>0.5</v>
      </c>
      <c r="H410" s="14" t="n">
        <v>0.65</v>
      </c>
      <c r="I410" s="14" t="n">
        <v>6.21</v>
      </c>
      <c r="J410" s="14" t="n">
        <v>0.21</v>
      </c>
      <c r="K410" s="14" t="n">
        <v>0.17</v>
      </c>
      <c r="L410" s="14" t="n">
        <v>3.66</v>
      </c>
      <c r="M410" s="14" t="n">
        <v>19.02</v>
      </c>
      <c r="N410" s="14" t="n">
        <v>7.04</v>
      </c>
      <c r="O410" s="14" t="n">
        <v>5.13</v>
      </c>
      <c r="P410" s="14" t="n">
        <v>3.82</v>
      </c>
      <c r="Q410" s="14" t="n">
        <v>3.38</v>
      </c>
      <c r="R410" s="14" t="n">
        <v>0.88</v>
      </c>
      <c r="S410" s="14" t="n">
        <v>17.49</v>
      </c>
      <c r="T410" s="14" t="n">
        <v>4.66</v>
      </c>
      <c r="U410" s="14" t="n">
        <v>5.32</v>
      </c>
      <c r="V410" s="14" t="n">
        <v>7.48</v>
      </c>
      <c r="W410" s="14" t="n">
        <v>7.09</v>
      </c>
      <c r="X410" s="14" t="n">
        <v>2.23</v>
      </c>
      <c r="Y410" s="14" t="n">
        <v>3.41</v>
      </c>
      <c r="Z410" s="14" t="n">
        <v>1.62</v>
      </c>
      <c r="AA410" s="14" t="n">
        <v>0.04</v>
      </c>
    </row>
    <row r="411">
      <c r="A411" t="inlineStr">
        <is>
          <t>150137</t>
        </is>
      </c>
      <c r="B411" t="inlineStr">
        <is>
          <t>LIMA</t>
        </is>
      </c>
      <c r="C411" t="inlineStr">
        <is>
          <t>LIMA</t>
        </is>
      </c>
      <c r="D411" t="inlineStr">
        <is>
          <t>SANTA ANITA</t>
        </is>
      </c>
      <c r="E411" t="n">
        <v>98703</v>
      </c>
      <c r="F411" s="14" t="n">
        <v>0</v>
      </c>
      <c r="G411" s="14" t="n">
        <v>0.6899999999999999</v>
      </c>
      <c r="H411" s="14" t="n">
        <v>0.33</v>
      </c>
      <c r="I411" s="14" t="n">
        <v>13.68</v>
      </c>
      <c r="J411" s="14" t="n">
        <v>0.11</v>
      </c>
      <c r="K411" s="14" t="n">
        <v>0.42</v>
      </c>
      <c r="L411" s="14" t="n">
        <v>6.24</v>
      </c>
      <c r="M411" s="14" t="n">
        <v>27.11</v>
      </c>
      <c r="N411" s="14" t="n">
        <v>11.91</v>
      </c>
      <c r="O411" s="14" t="n">
        <v>6.46</v>
      </c>
      <c r="P411" s="14" t="n">
        <v>1.65</v>
      </c>
      <c r="Q411" s="14" t="n">
        <v>1.09</v>
      </c>
      <c r="R411" s="14" t="n">
        <v>0.24</v>
      </c>
      <c r="S411" s="14" t="n">
        <v>8.02</v>
      </c>
      <c r="T411" s="14" t="n">
        <v>4.85</v>
      </c>
      <c r="U411" s="14" t="n">
        <v>2.6</v>
      </c>
      <c r="V411" s="14" t="n">
        <v>4.83</v>
      </c>
      <c r="W411" s="14" t="n">
        <v>3.34</v>
      </c>
      <c r="X411" s="14" t="n">
        <v>1.13</v>
      </c>
      <c r="Y411" s="14" t="n">
        <v>3.39</v>
      </c>
      <c r="Z411" s="14" t="n">
        <v>1.91</v>
      </c>
      <c r="AA411" s="14" t="n">
        <v>0</v>
      </c>
    </row>
    <row r="412">
      <c r="A412" t="inlineStr">
        <is>
          <t>150138</t>
        </is>
      </c>
      <c r="B412" t="inlineStr">
        <is>
          <t>LIMA</t>
        </is>
      </c>
      <c r="C412" t="inlineStr">
        <is>
          <t>LIMA</t>
        </is>
      </c>
      <c r="D412" t="inlineStr">
        <is>
          <t>SANTA MARIA DEL MAR</t>
        </is>
      </c>
      <c r="E412" t="n">
        <v>526</v>
      </c>
      <c r="F412" s="14" t="n">
        <v>0</v>
      </c>
      <c r="G412" s="14" t="n">
        <v>1.9</v>
      </c>
      <c r="H412" s="14" t="n">
        <v>0.38</v>
      </c>
      <c r="I412" s="14" t="n">
        <v>7.03</v>
      </c>
      <c r="J412" s="14" t="n">
        <v>0</v>
      </c>
      <c r="K412" s="14" t="n">
        <v>0</v>
      </c>
      <c r="L412" s="14" t="n">
        <v>9.890000000000001</v>
      </c>
      <c r="M412" s="14" t="n">
        <v>13.88</v>
      </c>
      <c r="N412" s="14" t="n">
        <v>8.94</v>
      </c>
      <c r="O412" s="14" t="n">
        <v>8.94</v>
      </c>
      <c r="P412" s="14" t="n">
        <v>1.33</v>
      </c>
      <c r="Q412" s="14" t="n">
        <v>1.9</v>
      </c>
      <c r="R412" s="14" t="n">
        <v>0.57</v>
      </c>
      <c r="S412" s="14" t="n">
        <v>7.22</v>
      </c>
      <c r="T412" s="14" t="n">
        <v>11.03</v>
      </c>
      <c r="U412" s="14" t="n">
        <v>8.75</v>
      </c>
      <c r="V412" s="14" t="n">
        <v>3.42</v>
      </c>
      <c r="W412" s="14" t="n">
        <v>1.9</v>
      </c>
      <c r="X412" s="14" t="n">
        <v>3.04</v>
      </c>
      <c r="Y412" s="14" t="n">
        <v>7.03</v>
      </c>
      <c r="Z412" s="14" t="n">
        <v>2.66</v>
      </c>
      <c r="AA412" s="14" t="n">
        <v>0.19</v>
      </c>
    </row>
    <row r="413">
      <c r="A413" t="inlineStr">
        <is>
          <t>150139</t>
        </is>
      </c>
      <c r="B413" t="inlineStr">
        <is>
          <t>LIMA</t>
        </is>
      </c>
      <c r="C413" t="inlineStr">
        <is>
          <t>LIMA</t>
        </is>
      </c>
      <c r="D413" t="inlineStr">
        <is>
          <t>SANTA ROSA</t>
        </is>
      </c>
      <c r="E413" t="n">
        <v>12103</v>
      </c>
      <c r="F413" s="14" t="n">
        <v>0</v>
      </c>
      <c r="G413" s="14" t="n">
        <v>1.77</v>
      </c>
      <c r="H413" s="14" t="n">
        <v>0.26</v>
      </c>
      <c r="I413" s="14" t="n">
        <v>12.96</v>
      </c>
      <c r="J413" s="14" t="n">
        <v>0.13</v>
      </c>
      <c r="K413" s="14" t="n">
        <v>0.36</v>
      </c>
      <c r="L413" s="14" t="n">
        <v>12.62</v>
      </c>
      <c r="M413" s="14" t="n">
        <v>23.61</v>
      </c>
      <c r="N413" s="14" t="n">
        <v>12.34</v>
      </c>
      <c r="O413" s="14" t="n">
        <v>6.54</v>
      </c>
      <c r="P413" s="14" t="n">
        <v>0.96</v>
      </c>
      <c r="Q413" s="14" t="n">
        <v>0.68</v>
      </c>
      <c r="R413" s="14" t="n">
        <v>0.12</v>
      </c>
      <c r="S413" s="14" t="n">
        <v>4.74</v>
      </c>
      <c r="T413" s="14" t="n">
        <v>4.41</v>
      </c>
      <c r="U413" s="14" t="n">
        <v>4.21</v>
      </c>
      <c r="V413" s="14" t="n">
        <v>4.05</v>
      </c>
      <c r="W413" s="14" t="n">
        <v>2.42</v>
      </c>
      <c r="X413" s="14" t="n">
        <v>0.8100000000000001</v>
      </c>
      <c r="Y413" s="14" t="n">
        <v>3.85</v>
      </c>
      <c r="Z413" s="14" t="n">
        <v>3.16</v>
      </c>
      <c r="AA413" s="14" t="n">
        <v>0</v>
      </c>
    </row>
    <row r="414">
      <c r="A414" t="inlineStr">
        <is>
          <t>150140</t>
        </is>
      </c>
      <c r="B414" t="inlineStr">
        <is>
          <t>LIMA</t>
        </is>
      </c>
      <c r="C414" t="inlineStr">
        <is>
          <t>LIMA</t>
        </is>
      </c>
      <c r="D414" t="inlineStr">
        <is>
          <t>SANTIAGO DE SURCO</t>
        </is>
      </c>
      <c r="E414" t="n">
        <v>168418</v>
      </c>
      <c r="F414" s="14" t="n">
        <v>0.038</v>
      </c>
      <c r="G414" s="14" t="n">
        <v>0.7</v>
      </c>
      <c r="H414" s="14" t="n">
        <v>0.93</v>
      </c>
      <c r="I414" s="14" t="n">
        <v>6.27</v>
      </c>
      <c r="J414" s="14" t="n">
        <v>0.25</v>
      </c>
      <c r="K414" s="14" t="n">
        <v>0.18</v>
      </c>
      <c r="L414" s="14" t="n">
        <v>4.01</v>
      </c>
      <c r="M414" s="14" t="n">
        <v>18.58</v>
      </c>
      <c r="N414" s="14" t="n">
        <v>5.26</v>
      </c>
      <c r="O414" s="14" t="n">
        <v>4.62</v>
      </c>
      <c r="P414" s="14" t="n">
        <v>3.93</v>
      </c>
      <c r="Q414" s="14" t="n">
        <v>3.76</v>
      </c>
      <c r="R414" s="14" t="n">
        <v>1.27</v>
      </c>
      <c r="S414" s="14" t="n">
        <v>19.47</v>
      </c>
      <c r="T414" s="14" t="n">
        <v>3.67</v>
      </c>
      <c r="U414" s="14" t="n">
        <v>5.3</v>
      </c>
      <c r="V414" s="14" t="n">
        <v>7.43</v>
      </c>
      <c r="W414" s="14" t="n">
        <v>6.35</v>
      </c>
      <c r="X414" s="14" t="n">
        <v>2.23</v>
      </c>
      <c r="Y414" s="14" t="n">
        <v>3.2</v>
      </c>
      <c r="Z414" s="14" t="n">
        <v>2.49</v>
      </c>
      <c r="AA414" s="14" t="n">
        <v>0.09</v>
      </c>
    </row>
    <row r="415">
      <c r="A415" t="inlineStr">
        <is>
          <t>150141</t>
        </is>
      </c>
      <c r="B415" t="inlineStr">
        <is>
          <t>LIMA</t>
        </is>
      </c>
      <c r="C415" t="inlineStr">
        <is>
          <t>LIMA</t>
        </is>
      </c>
      <c r="D415" t="inlineStr">
        <is>
          <t>SURQUILLO</t>
        </is>
      </c>
      <c r="E415" t="n">
        <v>48316</v>
      </c>
      <c r="F415" s="14" t="n">
        <v>0</v>
      </c>
      <c r="G415" s="14" t="n">
        <v>0.57</v>
      </c>
      <c r="H415" s="14" t="n">
        <v>0.52</v>
      </c>
      <c r="I415" s="14" t="n">
        <v>5.97</v>
      </c>
      <c r="J415" s="14" t="n">
        <v>0.2</v>
      </c>
      <c r="K415" s="14" t="n">
        <v>0.16</v>
      </c>
      <c r="L415" s="14" t="n">
        <v>4.06</v>
      </c>
      <c r="M415" s="14" t="n">
        <v>21.56</v>
      </c>
      <c r="N415" s="14" t="n">
        <v>5.46</v>
      </c>
      <c r="O415" s="14" t="n">
        <v>6.39</v>
      </c>
      <c r="P415" s="14" t="n">
        <v>3.9</v>
      </c>
      <c r="Q415" s="14" t="n">
        <v>3.47</v>
      </c>
      <c r="R415" s="14" t="n">
        <v>0.78</v>
      </c>
      <c r="S415" s="14" t="n">
        <v>17.46</v>
      </c>
      <c r="T415" s="14" t="n">
        <v>4.99</v>
      </c>
      <c r="U415" s="14" t="n">
        <v>4.82</v>
      </c>
      <c r="V415" s="14" t="n">
        <v>6.33</v>
      </c>
      <c r="W415" s="14" t="n">
        <v>5.63</v>
      </c>
      <c r="X415" s="14" t="n">
        <v>2</v>
      </c>
      <c r="Y415" s="14" t="n">
        <v>4.06</v>
      </c>
      <c r="Z415" s="14" t="n">
        <v>1.64</v>
      </c>
      <c r="AA415" s="14" t="n">
        <v>0.04</v>
      </c>
    </row>
    <row r="416">
      <c r="A416" t="inlineStr">
        <is>
          <t>150142</t>
        </is>
      </c>
      <c r="B416" t="inlineStr">
        <is>
          <t>LIMA</t>
        </is>
      </c>
      <c r="C416" t="inlineStr">
        <is>
          <t>LIMA</t>
        </is>
      </c>
      <c r="D416" t="inlineStr">
        <is>
          <t>VILLA EL SALVADOR</t>
        </is>
      </c>
      <c r="E416" t="n">
        <v>188202</v>
      </c>
      <c r="F416" s="14" t="n">
        <v>0</v>
      </c>
      <c r="G416" s="14" t="n">
        <v>0.79</v>
      </c>
      <c r="H416" s="14" t="n">
        <v>0.26</v>
      </c>
      <c r="I416" s="14" t="n">
        <v>11.91</v>
      </c>
      <c r="J416" s="14" t="n">
        <v>0.14</v>
      </c>
      <c r="K416" s="14" t="n">
        <v>0.42</v>
      </c>
      <c r="L416" s="14" t="n">
        <v>9.300000000000001</v>
      </c>
      <c r="M416" s="14" t="n">
        <v>25.31</v>
      </c>
      <c r="N416" s="14" t="n">
        <v>11.75</v>
      </c>
      <c r="O416" s="14" t="n">
        <v>6.58</v>
      </c>
      <c r="P416" s="14" t="n">
        <v>1.37</v>
      </c>
      <c r="Q416" s="14" t="n">
        <v>1.02</v>
      </c>
      <c r="R416" s="14" t="n">
        <v>0.15</v>
      </c>
      <c r="S416" s="14" t="n">
        <v>6.75</v>
      </c>
      <c r="T416" s="14" t="n">
        <v>6.01</v>
      </c>
      <c r="U416" s="14" t="n">
        <v>2.25</v>
      </c>
      <c r="V416" s="14" t="n">
        <v>4.93</v>
      </c>
      <c r="W416" s="14" t="n">
        <v>2.67</v>
      </c>
      <c r="X416" s="14" t="n">
        <v>1.16</v>
      </c>
      <c r="Y416" s="14" t="n">
        <v>4.32</v>
      </c>
      <c r="Z416" s="14" t="n">
        <v>2.92</v>
      </c>
      <c r="AA416" s="14" t="n">
        <v>0</v>
      </c>
    </row>
    <row r="417">
      <c r="A417" t="inlineStr">
        <is>
          <t>150143</t>
        </is>
      </c>
      <c r="B417" t="inlineStr">
        <is>
          <t>LIMA</t>
        </is>
      </c>
      <c r="C417" t="inlineStr">
        <is>
          <t>LIMA</t>
        </is>
      </c>
      <c r="D417" t="inlineStr">
        <is>
          <t>VILLA MARIA DEL TRIUNFO</t>
        </is>
      </c>
      <c r="E417" t="n">
        <v>188719</v>
      </c>
      <c r="F417" s="14" t="n">
        <v>0</v>
      </c>
      <c r="G417" s="14" t="n">
        <v>0.72</v>
      </c>
      <c r="H417" s="14" t="n">
        <v>0.23</v>
      </c>
      <c r="I417" s="14" t="n">
        <v>10.82</v>
      </c>
      <c r="J417" s="14" t="n">
        <v>0.12</v>
      </c>
      <c r="K417" s="14" t="n">
        <v>0.31</v>
      </c>
      <c r="L417" s="14" t="n">
        <v>10.99</v>
      </c>
      <c r="M417" s="14" t="n">
        <v>23.12</v>
      </c>
      <c r="N417" s="14" t="n">
        <v>11.8</v>
      </c>
      <c r="O417" s="14" t="n">
        <v>6.75</v>
      </c>
      <c r="P417" s="14" t="n">
        <v>1.16</v>
      </c>
      <c r="Q417" s="14" t="n">
        <v>1.02</v>
      </c>
      <c r="R417" s="14" t="n">
        <v>0.17</v>
      </c>
      <c r="S417" s="14" t="n">
        <v>6.7</v>
      </c>
      <c r="T417" s="14" t="n">
        <v>6.71</v>
      </c>
      <c r="U417" s="14" t="n">
        <v>2.16</v>
      </c>
      <c r="V417" s="14" t="n">
        <v>4.68</v>
      </c>
      <c r="W417" s="14" t="n">
        <v>2.87</v>
      </c>
      <c r="X417" s="14" t="n">
        <v>1.11</v>
      </c>
      <c r="Y417" s="14" t="n">
        <v>4.2</v>
      </c>
      <c r="Z417" s="14" t="n">
        <v>4.35</v>
      </c>
      <c r="AA417" s="14" t="n">
        <v>0.01</v>
      </c>
    </row>
    <row r="418">
      <c r="A418" t="inlineStr">
        <is>
          <t>150201</t>
        </is>
      </c>
      <c r="B418" t="inlineStr">
        <is>
          <t>LIMA</t>
        </is>
      </c>
      <c r="C418" t="inlineStr">
        <is>
          <t>BARRANCA</t>
        </is>
      </c>
      <c r="D418" t="inlineStr">
        <is>
          <t>BARRANCA</t>
        </is>
      </c>
      <c r="E418" t="n">
        <v>29743</v>
      </c>
      <c r="F418" s="14" t="n">
        <v>0</v>
      </c>
      <c r="G418" s="14" t="n">
        <v>19.65</v>
      </c>
      <c r="H418" s="14" t="n">
        <v>0.31</v>
      </c>
      <c r="I418" s="14" t="n">
        <v>4.94</v>
      </c>
      <c r="J418" s="14" t="n">
        <v>0.06</v>
      </c>
      <c r="K418" s="14" t="n">
        <v>0.26</v>
      </c>
      <c r="L418" s="14" t="n">
        <v>6.68</v>
      </c>
      <c r="M418" s="14" t="n">
        <v>23.58</v>
      </c>
      <c r="N418" s="14" t="n">
        <v>11.62</v>
      </c>
      <c r="O418" s="14" t="n">
        <v>7.27</v>
      </c>
      <c r="P418" s="14" t="n">
        <v>0.72</v>
      </c>
      <c r="Q418" s="14" t="n">
        <v>1.15</v>
      </c>
      <c r="R418" s="14" t="n">
        <v>0.14</v>
      </c>
      <c r="S418" s="14" t="n">
        <v>5.07</v>
      </c>
      <c r="T418" s="14" t="n">
        <v>2.51</v>
      </c>
      <c r="U418" s="14" t="n">
        <v>2.59</v>
      </c>
      <c r="V418" s="14" t="n">
        <v>6.27</v>
      </c>
      <c r="W418" s="14" t="n">
        <v>2.76</v>
      </c>
      <c r="X418" s="14" t="n">
        <v>1.08</v>
      </c>
      <c r="Y418" s="14" t="n">
        <v>2.42</v>
      </c>
      <c r="Z418" s="14" t="n">
        <v>0.92</v>
      </c>
      <c r="AA418" s="14" t="n">
        <v>0</v>
      </c>
    </row>
    <row r="419">
      <c r="A419" t="inlineStr">
        <is>
          <t>150202</t>
        </is>
      </c>
      <c r="B419" t="inlineStr">
        <is>
          <t>LIMA</t>
        </is>
      </c>
      <c r="C419" t="inlineStr">
        <is>
          <t>BARRANCA</t>
        </is>
      </c>
      <c r="D419" t="inlineStr">
        <is>
          <t>PARAMONGA</t>
        </is>
      </c>
      <c r="E419" t="n">
        <v>8262</v>
      </c>
      <c r="F419" s="14" t="n">
        <v>0</v>
      </c>
      <c r="G419" s="14" t="n">
        <v>18.77</v>
      </c>
      <c r="H419" s="14" t="n">
        <v>0.59</v>
      </c>
      <c r="I419" s="14" t="n">
        <v>13.62</v>
      </c>
      <c r="J419" s="14" t="n">
        <v>0.11</v>
      </c>
      <c r="K419" s="14" t="n">
        <v>0.33</v>
      </c>
      <c r="L419" s="14" t="n">
        <v>6.92</v>
      </c>
      <c r="M419" s="14" t="n">
        <v>18.18</v>
      </c>
      <c r="N419" s="14" t="n">
        <v>10.24</v>
      </c>
      <c r="O419" s="14" t="n">
        <v>6.79</v>
      </c>
      <c r="P419" s="14" t="n">
        <v>0.62</v>
      </c>
      <c r="Q419" s="14" t="n">
        <v>0.47</v>
      </c>
      <c r="R419" s="14" t="n">
        <v>0.01</v>
      </c>
      <c r="S419" s="14" t="n">
        <v>3.56</v>
      </c>
      <c r="T419" s="14" t="n">
        <v>4.04</v>
      </c>
      <c r="U419" s="14" t="n">
        <v>2.59</v>
      </c>
      <c r="V419" s="14" t="n">
        <v>5.88</v>
      </c>
      <c r="W419" s="14" t="n">
        <v>2.24</v>
      </c>
      <c r="X419" s="14" t="n">
        <v>1.04</v>
      </c>
      <c r="Y419" s="14" t="n">
        <v>2.61</v>
      </c>
      <c r="Z419" s="14" t="n">
        <v>1.38</v>
      </c>
      <c r="AA419" s="14" t="n">
        <v>0</v>
      </c>
    </row>
    <row r="420">
      <c r="A420" t="inlineStr">
        <is>
          <t>150203</t>
        </is>
      </c>
      <c r="B420" t="inlineStr">
        <is>
          <t>LIMA</t>
        </is>
      </c>
      <c r="C420" t="inlineStr">
        <is>
          <t>BARRANCA</t>
        </is>
      </c>
      <c r="D420" t="inlineStr">
        <is>
          <t>PATIVILCA</t>
        </is>
      </c>
      <c r="E420" t="n">
        <v>6859</v>
      </c>
      <c r="F420" s="14" t="n">
        <v>0</v>
      </c>
      <c r="G420" s="14" t="n">
        <v>34.61</v>
      </c>
      <c r="H420" s="14" t="n">
        <v>0.26</v>
      </c>
      <c r="I420" s="14" t="n">
        <v>5.23</v>
      </c>
      <c r="J420" s="14" t="n">
        <v>0.07000000000000001</v>
      </c>
      <c r="K420" s="14" t="n">
        <v>0.36</v>
      </c>
      <c r="L420" s="14" t="n">
        <v>6.78</v>
      </c>
      <c r="M420" s="14" t="n">
        <v>16.52</v>
      </c>
      <c r="N420" s="14" t="n">
        <v>10.6</v>
      </c>
      <c r="O420" s="14" t="n">
        <v>7.19</v>
      </c>
      <c r="P420" s="14" t="n">
        <v>0.7</v>
      </c>
      <c r="Q420" s="14" t="n">
        <v>0.52</v>
      </c>
      <c r="R420" s="14" t="n">
        <v>0.01</v>
      </c>
      <c r="S420" s="14" t="n">
        <v>2.1</v>
      </c>
      <c r="T420" s="14" t="n">
        <v>2.11</v>
      </c>
      <c r="U420" s="14" t="n">
        <v>3.59</v>
      </c>
      <c r="V420" s="14" t="n">
        <v>4.33</v>
      </c>
      <c r="W420" s="14" t="n">
        <v>1.5</v>
      </c>
      <c r="X420" s="14" t="n">
        <v>0.73</v>
      </c>
      <c r="Y420" s="14" t="n">
        <v>1.59</v>
      </c>
      <c r="Z420" s="14" t="n">
        <v>1.18</v>
      </c>
      <c r="AA420" s="14" t="n">
        <v>0</v>
      </c>
    </row>
    <row r="421">
      <c r="A421" t="inlineStr">
        <is>
          <t>150204</t>
        </is>
      </c>
      <c r="B421" t="inlineStr">
        <is>
          <t>LIMA</t>
        </is>
      </c>
      <c r="C421" t="inlineStr">
        <is>
          <t>BARRANCA</t>
        </is>
      </c>
      <c r="D421" t="inlineStr">
        <is>
          <t>SUPE</t>
        </is>
      </c>
      <c r="E421" t="n">
        <v>10030</v>
      </c>
      <c r="F421" s="14" t="n">
        <v>0</v>
      </c>
      <c r="G421" s="14" t="n">
        <v>44.95</v>
      </c>
      <c r="H421" s="14" t="n">
        <v>1.25</v>
      </c>
      <c r="I421" s="14" t="n">
        <v>4.77</v>
      </c>
      <c r="J421" s="14" t="n">
        <v>0.05</v>
      </c>
      <c r="K421" s="14" t="n">
        <v>0.37</v>
      </c>
      <c r="L421" s="14" t="n">
        <v>6.49</v>
      </c>
      <c r="M421" s="14" t="n">
        <v>13.42</v>
      </c>
      <c r="N421" s="14" t="n">
        <v>7.9</v>
      </c>
      <c r="O421" s="14" t="n">
        <v>5.15</v>
      </c>
      <c r="P421" s="14" t="n">
        <v>0.34</v>
      </c>
      <c r="Q421" s="14" t="n">
        <v>0.33</v>
      </c>
      <c r="R421" s="14" t="n">
        <v>0.04</v>
      </c>
      <c r="S421" s="14" t="n">
        <v>2.32</v>
      </c>
      <c r="T421" s="14" t="n">
        <v>1.66</v>
      </c>
      <c r="U421" s="14" t="n">
        <v>3.16</v>
      </c>
      <c r="V421" s="14" t="n">
        <v>3.69</v>
      </c>
      <c r="W421" s="14" t="n">
        <v>1.54</v>
      </c>
      <c r="X421" s="14" t="n">
        <v>0.64</v>
      </c>
      <c r="Y421" s="14" t="n">
        <v>1.27</v>
      </c>
      <c r="Z421" s="14" t="n">
        <v>0.6899999999999999</v>
      </c>
      <c r="AA421" s="14" t="n">
        <v>0</v>
      </c>
    </row>
    <row r="422">
      <c r="A422" t="inlineStr">
        <is>
          <t>150205</t>
        </is>
      </c>
      <c r="B422" t="inlineStr">
        <is>
          <t>LIMA</t>
        </is>
      </c>
      <c r="C422" t="inlineStr">
        <is>
          <t>BARRANCA</t>
        </is>
      </c>
      <c r="D422" t="inlineStr">
        <is>
          <t>SUPE PUERTO</t>
        </is>
      </c>
      <c r="E422" t="n">
        <v>5027</v>
      </c>
      <c r="F422" s="14" t="n">
        <v>1.552</v>
      </c>
      <c r="G422" s="14" t="n">
        <v>24.33</v>
      </c>
      <c r="H422" s="14" t="n">
        <v>0.38</v>
      </c>
      <c r="I422" s="14" t="n">
        <v>7.94</v>
      </c>
      <c r="J422" s="14" t="n">
        <v>0.06</v>
      </c>
      <c r="K422" s="14" t="n">
        <v>0.26</v>
      </c>
      <c r="L422" s="14" t="n">
        <v>6.92</v>
      </c>
      <c r="M422" s="14" t="n">
        <v>19.26</v>
      </c>
      <c r="N422" s="14" t="n">
        <v>11.76</v>
      </c>
      <c r="O422" s="14" t="n">
        <v>6.07</v>
      </c>
      <c r="P422" s="14" t="n">
        <v>0.5600000000000001</v>
      </c>
      <c r="Q422" s="14" t="n">
        <v>0.6</v>
      </c>
      <c r="R422" s="14" t="n">
        <v>0.16</v>
      </c>
      <c r="S422" s="14" t="n">
        <v>3.98</v>
      </c>
      <c r="T422" s="14" t="n">
        <v>3.3</v>
      </c>
      <c r="U422" s="14" t="n">
        <v>3.18</v>
      </c>
      <c r="V422" s="14" t="n">
        <v>4.73</v>
      </c>
      <c r="W422" s="14" t="n">
        <v>2.11</v>
      </c>
      <c r="X422" s="14" t="n">
        <v>1.15</v>
      </c>
      <c r="Y422" s="14" t="n">
        <v>2.05</v>
      </c>
      <c r="Z422" s="14" t="n">
        <v>1.21</v>
      </c>
      <c r="AA422" s="14" t="n">
        <v>0</v>
      </c>
    </row>
    <row r="423">
      <c r="A423" t="inlineStr">
        <is>
          <t>150301</t>
        </is>
      </c>
      <c r="B423" t="inlineStr">
        <is>
          <t>LIMA</t>
        </is>
      </c>
      <c r="C423" t="inlineStr">
        <is>
          <t>CAJATAMBO</t>
        </is>
      </c>
      <c r="D423" t="inlineStr">
        <is>
          <t>CAJATAMBO</t>
        </is>
      </c>
      <c r="E423" t="n">
        <v>851</v>
      </c>
      <c r="F423" s="14" t="n">
        <v>0</v>
      </c>
      <c r="G423" s="14" t="n">
        <v>49.59</v>
      </c>
      <c r="H423" s="14" t="n">
        <v>0.35</v>
      </c>
      <c r="I423" s="14" t="n">
        <v>3.29</v>
      </c>
      <c r="J423" s="14" t="n">
        <v>0.12</v>
      </c>
      <c r="K423" s="14" t="n">
        <v>0</v>
      </c>
      <c r="L423" s="14" t="n">
        <v>7.52</v>
      </c>
      <c r="M423" s="14" t="n">
        <v>10.58</v>
      </c>
      <c r="N423" s="14" t="n">
        <v>1.53</v>
      </c>
      <c r="O423" s="14" t="n">
        <v>4.82</v>
      </c>
      <c r="P423" s="14" t="n">
        <v>0</v>
      </c>
      <c r="Q423" s="14" t="n">
        <v>0</v>
      </c>
      <c r="R423" s="14" t="n">
        <v>0</v>
      </c>
      <c r="S423" s="14" t="n">
        <v>4</v>
      </c>
      <c r="T423" s="14" t="n">
        <v>1.88</v>
      </c>
      <c r="U423" s="14" t="n">
        <v>5.41</v>
      </c>
      <c r="V423" s="14" t="n">
        <v>7.99</v>
      </c>
      <c r="W423" s="14" t="n">
        <v>1.29</v>
      </c>
      <c r="X423" s="14" t="n">
        <v>0</v>
      </c>
      <c r="Y423" s="14" t="n">
        <v>1.18</v>
      </c>
      <c r="Z423" s="14" t="n">
        <v>0.47</v>
      </c>
      <c r="AA423" s="14" t="n">
        <v>0</v>
      </c>
    </row>
    <row r="424">
      <c r="A424" t="inlineStr">
        <is>
          <t>150302</t>
        </is>
      </c>
      <c r="B424" t="inlineStr">
        <is>
          <t>LIMA</t>
        </is>
      </c>
      <c r="C424" t="inlineStr">
        <is>
          <t>CAJATAMBO</t>
        </is>
      </c>
      <c r="D424" t="inlineStr">
        <is>
          <t>COPA</t>
        </is>
      </c>
      <c r="E424" t="n">
        <v>220</v>
      </c>
      <c r="F424" s="14" t="n">
        <v>0</v>
      </c>
      <c r="G424" s="14" t="n">
        <v>81.36</v>
      </c>
      <c r="H424" s="14" t="n">
        <v>0</v>
      </c>
      <c r="I424" s="14" t="n">
        <v>0</v>
      </c>
      <c r="J424" s="14" t="n">
        <v>0</v>
      </c>
      <c r="K424" s="14" t="n">
        <v>0</v>
      </c>
      <c r="L424" s="14" t="n">
        <v>0.45</v>
      </c>
      <c r="M424" s="14" t="n">
        <v>5.91</v>
      </c>
      <c r="N424" s="14" t="n">
        <v>0</v>
      </c>
      <c r="O424" s="14" t="n">
        <v>0.45</v>
      </c>
      <c r="P424" s="14" t="n">
        <v>0</v>
      </c>
      <c r="Q424" s="14" t="n">
        <v>0</v>
      </c>
      <c r="R424" s="14" t="n">
        <v>0</v>
      </c>
      <c r="S424" s="14" t="n">
        <v>0.91</v>
      </c>
      <c r="T424" s="14" t="n">
        <v>0</v>
      </c>
      <c r="U424" s="14" t="n">
        <v>2.27</v>
      </c>
      <c r="V424" s="14" t="n">
        <v>7.73</v>
      </c>
      <c r="W424" s="14" t="n">
        <v>0.45</v>
      </c>
      <c r="X424" s="14" t="n">
        <v>0</v>
      </c>
      <c r="Y424" s="14" t="n">
        <v>0.45</v>
      </c>
      <c r="Z424" s="14" t="n">
        <v>0</v>
      </c>
      <c r="AA424" s="14" t="n">
        <v>0</v>
      </c>
    </row>
    <row r="425">
      <c r="A425" t="inlineStr">
        <is>
          <t>150303</t>
        </is>
      </c>
      <c r="B425" t="inlineStr">
        <is>
          <t>LIMA</t>
        </is>
      </c>
      <c r="C425" t="inlineStr">
        <is>
          <t>CAJATAMBO</t>
        </is>
      </c>
      <c r="D425" t="inlineStr">
        <is>
          <t>GORGOR</t>
        </is>
      </c>
      <c r="E425" t="n">
        <v>607</v>
      </c>
      <c r="F425" s="14" t="n">
        <v>0</v>
      </c>
      <c r="G425" s="14" t="n">
        <v>71.66</v>
      </c>
      <c r="H425" s="14" t="n">
        <v>0.16</v>
      </c>
      <c r="I425" s="14" t="n">
        <v>2.14</v>
      </c>
      <c r="J425" s="14" t="n">
        <v>0</v>
      </c>
      <c r="K425" s="14" t="n">
        <v>0</v>
      </c>
      <c r="L425" s="14" t="n">
        <v>1.98</v>
      </c>
      <c r="M425" s="14" t="n">
        <v>7.41</v>
      </c>
      <c r="N425" s="14" t="n">
        <v>0.66</v>
      </c>
      <c r="O425" s="14" t="n">
        <v>2.64</v>
      </c>
      <c r="P425" s="14" t="n">
        <v>0</v>
      </c>
      <c r="Q425" s="14" t="n">
        <v>0</v>
      </c>
      <c r="R425" s="14" t="n">
        <v>0</v>
      </c>
      <c r="S425" s="14" t="n">
        <v>1.15</v>
      </c>
      <c r="T425" s="14" t="n">
        <v>0.16</v>
      </c>
      <c r="U425" s="14" t="n">
        <v>1.81</v>
      </c>
      <c r="V425" s="14" t="n">
        <v>7.25</v>
      </c>
      <c r="W425" s="14" t="n">
        <v>0.16</v>
      </c>
      <c r="X425" s="14" t="n">
        <v>0</v>
      </c>
      <c r="Y425" s="14" t="n">
        <v>1.48</v>
      </c>
      <c r="Z425" s="14" t="n">
        <v>1.32</v>
      </c>
      <c r="AA425" s="14" t="n">
        <v>0</v>
      </c>
    </row>
    <row r="426">
      <c r="A426" t="inlineStr">
        <is>
          <t>150304</t>
        </is>
      </c>
      <c r="B426" t="inlineStr">
        <is>
          <t>LIMA</t>
        </is>
      </c>
      <c r="C426" t="inlineStr">
        <is>
          <t>CAJATAMBO</t>
        </is>
      </c>
      <c r="D426" t="inlineStr">
        <is>
          <t>HUANCAPON</t>
        </is>
      </c>
      <c r="E426" t="n">
        <v>266</v>
      </c>
      <c r="F426" s="14" t="n">
        <v>0</v>
      </c>
      <c r="G426" s="14" t="n">
        <v>63.53</v>
      </c>
      <c r="H426" s="14" t="n">
        <v>1.88</v>
      </c>
      <c r="I426" s="14" t="n">
        <v>2.63</v>
      </c>
      <c r="J426" s="14" t="n">
        <v>0</v>
      </c>
      <c r="K426" s="14" t="n">
        <v>0</v>
      </c>
      <c r="L426" s="14" t="n">
        <v>1.88</v>
      </c>
      <c r="M426" s="14" t="n">
        <v>8.65</v>
      </c>
      <c r="N426" s="14" t="n">
        <v>1.13</v>
      </c>
      <c r="O426" s="14" t="n">
        <v>1.5</v>
      </c>
      <c r="P426" s="14" t="n">
        <v>0</v>
      </c>
      <c r="Q426" s="14" t="n">
        <v>0</v>
      </c>
      <c r="R426" s="14" t="n">
        <v>0</v>
      </c>
      <c r="S426" s="14" t="n">
        <v>3.38</v>
      </c>
      <c r="T426" s="14" t="n">
        <v>0.38</v>
      </c>
      <c r="U426" s="14" t="n">
        <v>2.26</v>
      </c>
      <c r="V426" s="14" t="n">
        <v>9.77</v>
      </c>
      <c r="W426" s="14" t="n">
        <v>1.5</v>
      </c>
      <c r="X426" s="14" t="n">
        <v>0</v>
      </c>
      <c r="Y426" s="14" t="n">
        <v>1.5</v>
      </c>
      <c r="Z426" s="14" t="n">
        <v>0</v>
      </c>
      <c r="AA426" s="14" t="n">
        <v>0</v>
      </c>
    </row>
    <row r="427">
      <c r="A427" t="inlineStr">
        <is>
          <t>150305</t>
        </is>
      </c>
      <c r="B427" t="inlineStr">
        <is>
          <t>LIMA</t>
        </is>
      </c>
      <c r="C427" t="inlineStr">
        <is>
          <t>CAJATAMBO</t>
        </is>
      </c>
      <c r="D427" t="inlineStr">
        <is>
          <t>MANAS</t>
        </is>
      </c>
      <c r="E427" t="n">
        <v>435</v>
      </c>
      <c r="F427" s="14" t="n">
        <v>0</v>
      </c>
      <c r="G427" s="14" t="n">
        <v>58.85</v>
      </c>
      <c r="H427" s="14" t="n">
        <v>0.23</v>
      </c>
      <c r="I427" s="14" t="n">
        <v>1.61</v>
      </c>
      <c r="J427" s="14" t="n">
        <v>0.6899999999999999</v>
      </c>
      <c r="K427" s="14" t="n">
        <v>0.6899999999999999</v>
      </c>
      <c r="L427" s="14" t="n">
        <v>5.98</v>
      </c>
      <c r="M427" s="14" t="n">
        <v>8.74</v>
      </c>
      <c r="N427" s="14" t="n">
        <v>1.61</v>
      </c>
      <c r="O427" s="14" t="n">
        <v>2.07</v>
      </c>
      <c r="P427" s="14" t="n">
        <v>0</v>
      </c>
      <c r="Q427" s="14" t="n">
        <v>0</v>
      </c>
      <c r="R427" s="14" t="n">
        <v>0</v>
      </c>
      <c r="S427" s="14" t="n">
        <v>2.07</v>
      </c>
      <c r="T427" s="14" t="n">
        <v>1.38</v>
      </c>
      <c r="U427" s="14" t="n">
        <v>7.36</v>
      </c>
      <c r="V427" s="14" t="n">
        <v>5.06</v>
      </c>
      <c r="W427" s="14" t="n">
        <v>1.84</v>
      </c>
      <c r="X427" s="14" t="n">
        <v>0</v>
      </c>
      <c r="Y427" s="14" t="n">
        <v>1.38</v>
      </c>
      <c r="Z427" s="14" t="n">
        <v>0.46</v>
      </c>
      <c r="AA427" s="14" t="n">
        <v>0</v>
      </c>
    </row>
    <row r="428">
      <c r="A428" t="inlineStr">
        <is>
          <t>150401</t>
        </is>
      </c>
      <c r="B428" t="inlineStr">
        <is>
          <t>LIMA</t>
        </is>
      </c>
      <c r="C428" t="inlineStr">
        <is>
          <t>CANTA</t>
        </is>
      </c>
      <c r="D428" t="inlineStr">
        <is>
          <t>CANTA</t>
        </is>
      </c>
      <c r="E428" t="n">
        <v>1249</v>
      </c>
      <c r="F428" s="14" t="n">
        <v>0</v>
      </c>
      <c r="G428" s="14" t="n">
        <v>34.99</v>
      </c>
      <c r="H428" s="14" t="n">
        <v>0.24</v>
      </c>
      <c r="I428" s="14" t="n">
        <v>4</v>
      </c>
      <c r="J428" s="14" t="n">
        <v>0.16</v>
      </c>
      <c r="K428" s="14" t="n">
        <v>0</v>
      </c>
      <c r="L428" s="14" t="n">
        <v>7.77</v>
      </c>
      <c r="M428" s="14" t="n">
        <v>13.21</v>
      </c>
      <c r="N428" s="14" t="n">
        <v>7.21</v>
      </c>
      <c r="O428" s="14" t="n">
        <v>11.05</v>
      </c>
      <c r="P428" s="14" t="n">
        <v>0.32</v>
      </c>
      <c r="Q428" s="14" t="n">
        <v>0.4</v>
      </c>
      <c r="R428" s="14" t="n">
        <v>0.08</v>
      </c>
      <c r="S428" s="14" t="n">
        <v>2.96</v>
      </c>
      <c r="T428" s="14" t="n">
        <v>2.32</v>
      </c>
      <c r="U428" s="14" t="n">
        <v>4.96</v>
      </c>
      <c r="V428" s="14" t="n">
        <v>4.96</v>
      </c>
      <c r="W428" s="14" t="n">
        <v>2.16</v>
      </c>
      <c r="X428" s="14" t="n">
        <v>0.72</v>
      </c>
      <c r="Y428" s="14" t="n">
        <v>1.92</v>
      </c>
      <c r="Z428" s="14" t="n">
        <v>0.5600000000000001</v>
      </c>
      <c r="AA428" s="14" t="n">
        <v>0</v>
      </c>
    </row>
    <row r="429">
      <c r="A429" t="inlineStr">
        <is>
          <t>150402</t>
        </is>
      </c>
      <c r="B429" t="inlineStr">
        <is>
          <t>LIMA</t>
        </is>
      </c>
      <c r="C429" t="inlineStr">
        <is>
          <t>CANTA</t>
        </is>
      </c>
      <c r="D429" t="inlineStr">
        <is>
          <t>ARAHUAY</t>
        </is>
      </c>
      <c r="E429" t="n">
        <v>325</v>
      </c>
      <c r="F429" s="14" t="n">
        <v>0</v>
      </c>
      <c r="G429" s="14" t="n">
        <v>85.23</v>
      </c>
      <c r="H429" s="14" t="n">
        <v>0</v>
      </c>
      <c r="I429" s="14" t="n">
        <v>0.62</v>
      </c>
      <c r="J429" s="14" t="n">
        <v>0</v>
      </c>
      <c r="K429" s="14" t="n">
        <v>0</v>
      </c>
      <c r="L429" s="14" t="n">
        <v>0.31</v>
      </c>
      <c r="M429" s="14" t="n">
        <v>3.38</v>
      </c>
      <c r="N429" s="14" t="n">
        <v>1.85</v>
      </c>
      <c r="O429" s="14" t="n">
        <v>2.77</v>
      </c>
      <c r="P429" s="14" t="n">
        <v>0</v>
      </c>
      <c r="Q429" s="14" t="n">
        <v>0</v>
      </c>
      <c r="R429" s="14" t="n">
        <v>0</v>
      </c>
      <c r="S429" s="14" t="n">
        <v>0.62</v>
      </c>
      <c r="T429" s="14" t="n">
        <v>0</v>
      </c>
      <c r="U429" s="14" t="n">
        <v>1.54</v>
      </c>
      <c r="V429" s="14" t="n">
        <v>2.77</v>
      </c>
      <c r="W429" s="14" t="n">
        <v>0.92</v>
      </c>
      <c r="X429" s="14" t="n">
        <v>0</v>
      </c>
      <c r="Y429" s="14" t="n">
        <v>0</v>
      </c>
      <c r="Z429" s="14" t="n">
        <v>0</v>
      </c>
      <c r="AA429" s="14" t="n">
        <v>0</v>
      </c>
    </row>
    <row r="430">
      <c r="A430" t="inlineStr">
        <is>
          <t>150403</t>
        </is>
      </c>
      <c r="B430" t="inlineStr">
        <is>
          <t>LIMA</t>
        </is>
      </c>
      <c r="C430" t="inlineStr">
        <is>
          <t>CANTA</t>
        </is>
      </c>
      <c r="D430" t="inlineStr">
        <is>
          <t>HUAMANTANGA</t>
        </is>
      </c>
      <c r="E430" t="n">
        <v>346</v>
      </c>
      <c r="F430" s="14" t="n">
        <v>0</v>
      </c>
      <c r="G430" s="14" t="n">
        <v>65.90000000000001</v>
      </c>
      <c r="H430" s="14" t="n">
        <v>0</v>
      </c>
      <c r="I430" s="14" t="n">
        <v>3.18</v>
      </c>
      <c r="J430" s="14" t="n">
        <v>0</v>
      </c>
      <c r="K430" s="14" t="n">
        <v>0</v>
      </c>
      <c r="L430" s="14" t="n">
        <v>3.47</v>
      </c>
      <c r="M430" s="14" t="n">
        <v>11.85</v>
      </c>
      <c r="N430" s="14" t="n">
        <v>4.91</v>
      </c>
      <c r="O430" s="14" t="n">
        <v>1.73</v>
      </c>
      <c r="P430" s="14" t="n">
        <v>0</v>
      </c>
      <c r="Q430" s="14" t="n">
        <v>0</v>
      </c>
      <c r="R430" s="14" t="n">
        <v>0</v>
      </c>
      <c r="S430" s="14" t="n">
        <v>2.6</v>
      </c>
      <c r="T430" s="14" t="n">
        <v>0.87</v>
      </c>
      <c r="U430" s="14" t="n">
        <v>2.31</v>
      </c>
      <c r="V430" s="14" t="n">
        <v>1.16</v>
      </c>
      <c r="W430" s="14" t="n">
        <v>0.29</v>
      </c>
      <c r="X430" s="14" t="n">
        <v>0.29</v>
      </c>
      <c r="Y430" s="14" t="n">
        <v>1.45</v>
      </c>
      <c r="Z430" s="14" t="n">
        <v>0</v>
      </c>
      <c r="AA430" s="14" t="n">
        <v>0</v>
      </c>
    </row>
    <row r="431">
      <c r="A431" t="inlineStr">
        <is>
          <t>150404</t>
        </is>
      </c>
      <c r="B431" t="inlineStr">
        <is>
          <t>LIMA</t>
        </is>
      </c>
      <c r="C431" t="inlineStr">
        <is>
          <t>CANTA</t>
        </is>
      </c>
      <c r="D431" t="inlineStr">
        <is>
          <t>HUAROS</t>
        </is>
      </c>
      <c r="E431" t="n">
        <v>298</v>
      </c>
      <c r="F431" s="14" t="n">
        <v>0</v>
      </c>
      <c r="G431" s="14" t="n">
        <v>62.08</v>
      </c>
      <c r="H431" s="14" t="n">
        <v>0</v>
      </c>
      <c r="I431" s="14" t="n">
        <v>0.34</v>
      </c>
      <c r="J431" s="14" t="n">
        <v>0.34</v>
      </c>
      <c r="K431" s="14" t="n">
        <v>0</v>
      </c>
      <c r="L431" s="14" t="n">
        <v>6.04</v>
      </c>
      <c r="M431" s="14" t="n">
        <v>6.38</v>
      </c>
      <c r="N431" s="14" t="n">
        <v>7.05</v>
      </c>
      <c r="O431" s="14" t="n">
        <v>3.02</v>
      </c>
      <c r="P431" s="14" t="n">
        <v>0</v>
      </c>
      <c r="Q431" s="14" t="n">
        <v>0</v>
      </c>
      <c r="R431" s="14" t="n">
        <v>0</v>
      </c>
      <c r="S431" s="14" t="n">
        <v>1.34</v>
      </c>
      <c r="T431" s="14" t="n">
        <v>2.01</v>
      </c>
      <c r="U431" s="14" t="n">
        <v>4.7</v>
      </c>
      <c r="V431" s="14" t="n">
        <v>4.36</v>
      </c>
      <c r="W431" s="14" t="n">
        <v>1.34</v>
      </c>
      <c r="X431" s="14" t="n">
        <v>0</v>
      </c>
      <c r="Y431" s="14" t="n">
        <v>1.01</v>
      </c>
      <c r="Z431" s="14" t="n">
        <v>0</v>
      </c>
      <c r="AA431" s="14" t="n">
        <v>0</v>
      </c>
    </row>
    <row r="432">
      <c r="A432" t="inlineStr">
        <is>
          <t>150405</t>
        </is>
      </c>
      <c r="B432" t="inlineStr">
        <is>
          <t>LIMA</t>
        </is>
      </c>
      <c r="C432" t="inlineStr">
        <is>
          <t>CANTA</t>
        </is>
      </c>
      <c r="D432" t="inlineStr">
        <is>
          <t>LACHAQUI</t>
        </is>
      </c>
      <c r="E432" t="n">
        <v>513</v>
      </c>
      <c r="F432" s="14" t="n">
        <v>0</v>
      </c>
      <c r="G432" s="14" t="n">
        <v>72.51000000000001</v>
      </c>
      <c r="H432" s="14" t="n">
        <v>0.19</v>
      </c>
      <c r="I432" s="14" t="n">
        <v>1.75</v>
      </c>
      <c r="J432" s="14" t="n">
        <v>0</v>
      </c>
      <c r="K432" s="14" t="n">
        <v>0</v>
      </c>
      <c r="L432" s="14" t="n">
        <v>1.95</v>
      </c>
      <c r="M432" s="14" t="n">
        <v>8.380000000000001</v>
      </c>
      <c r="N432" s="14" t="n">
        <v>3.51</v>
      </c>
      <c r="O432" s="14" t="n">
        <v>1.95</v>
      </c>
      <c r="P432" s="14" t="n">
        <v>0.19</v>
      </c>
      <c r="Q432" s="14" t="n">
        <v>0</v>
      </c>
      <c r="R432" s="14" t="n">
        <v>0</v>
      </c>
      <c r="S432" s="14" t="n">
        <v>1.36</v>
      </c>
      <c r="T432" s="14" t="n">
        <v>0.19</v>
      </c>
      <c r="U432" s="14" t="n">
        <v>0.97</v>
      </c>
      <c r="V432" s="14" t="n">
        <v>3.12</v>
      </c>
      <c r="W432" s="14" t="n">
        <v>0.78</v>
      </c>
      <c r="X432" s="14" t="n">
        <v>0.58</v>
      </c>
      <c r="Y432" s="14" t="n">
        <v>2.53</v>
      </c>
      <c r="Z432" s="14" t="n">
        <v>0</v>
      </c>
      <c r="AA432" s="14" t="n">
        <v>0</v>
      </c>
    </row>
    <row r="433">
      <c r="A433" t="inlineStr">
        <is>
          <t>150406</t>
        </is>
      </c>
      <c r="B433" t="inlineStr">
        <is>
          <t>LIMA</t>
        </is>
      </c>
      <c r="C433" t="inlineStr">
        <is>
          <t>CANTA</t>
        </is>
      </c>
      <c r="D433" t="inlineStr">
        <is>
          <t>SAN BUENAVENTURA</t>
        </is>
      </c>
      <c r="E433" t="n">
        <v>246</v>
      </c>
      <c r="F433" s="14" t="n">
        <v>0</v>
      </c>
      <c r="G433" s="14" t="n">
        <v>61.38</v>
      </c>
      <c r="H433" s="14" t="n">
        <v>0.41</v>
      </c>
      <c r="I433" s="14" t="n">
        <v>4.47</v>
      </c>
      <c r="J433" s="14" t="n">
        <v>0</v>
      </c>
      <c r="K433" s="14" t="n">
        <v>0</v>
      </c>
      <c r="L433" s="14" t="n">
        <v>2.44</v>
      </c>
      <c r="M433" s="14" t="n">
        <v>6.1</v>
      </c>
      <c r="N433" s="14" t="n">
        <v>7.32</v>
      </c>
      <c r="O433" s="14" t="n">
        <v>8.94</v>
      </c>
      <c r="P433" s="14" t="n">
        <v>0</v>
      </c>
      <c r="Q433" s="14" t="n">
        <v>0</v>
      </c>
      <c r="R433" s="14" t="n">
        <v>0</v>
      </c>
      <c r="S433" s="14" t="n">
        <v>0.41</v>
      </c>
      <c r="T433" s="14" t="n">
        <v>0.41</v>
      </c>
      <c r="U433" s="14" t="n">
        <v>0.8100000000000001</v>
      </c>
      <c r="V433" s="14" t="n">
        <v>4.88</v>
      </c>
      <c r="W433" s="14" t="n">
        <v>1.63</v>
      </c>
      <c r="X433" s="14" t="n">
        <v>0</v>
      </c>
      <c r="Y433" s="14" t="n">
        <v>0</v>
      </c>
      <c r="Z433" s="14" t="n">
        <v>0.8100000000000001</v>
      </c>
      <c r="AA433" s="14" t="n">
        <v>0</v>
      </c>
    </row>
    <row r="434">
      <c r="A434" t="inlineStr">
        <is>
          <t>150407</t>
        </is>
      </c>
      <c r="B434" t="inlineStr">
        <is>
          <t>LIMA</t>
        </is>
      </c>
      <c r="C434" t="inlineStr">
        <is>
          <t>CANTA</t>
        </is>
      </c>
      <c r="D434" t="inlineStr">
        <is>
          <t>SANTA ROSA DE QUIVES</t>
        </is>
      </c>
      <c r="E434" t="n">
        <v>2537</v>
      </c>
      <c r="F434" s="14" t="n">
        <v>0</v>
      </c>
      <c r="G434" s="14" t="n">
        <v>54.63</v>
      </c>
      <c r="H434" s="14" t="n">
        <v>0.39</v>
      </c>
      <c r="I434" s="14" t="n">
        <v>2.09</v>
      </c>
      <c r="J434" s="14" t="n">
        <v>0.04</v>
      </c>
      <c r="K434" s="14" t="n">
        <v>0.16</v>
      </c>
      <c r="L434" s="14" t="n">
        <v>7.53</v>
      </c>
      <c r="M434" s="14" t="n">
        <v>11.82</v>
      </c>
      <c r="N434" s="14" t="n">
        <v>5.28</v>
      </c>
      <c r="O434" s="14" t="n">
        <v>5.68</v>
      </c>
      <c r="P434" s="14" t="n">
        <v>0.28</v>
      </c>
      <c r="Q434" s="14" t="n">
        <v>0.2</v>
      </c>
      <c r="R434" s="14" t="n">
        <v>0.08</v>
      </c>
      <c r="S434" s="14" t="n">
        <v>1.46</v>
      </c>
      <c r="T434" s="14" t="n">
        <v>2.96</v>
      </c>
      <c r="U434" s="14" t="n">
        <v>2.09</v>
      </c>
      <c r="V434" s="14" t="n">
        <v>1.93</v>
      </c>
      <c r="W434" s="14" t="n">
        <v>0.87</v>
      </c>
      <c r="X434" s="14" t="n">
        <v>0.51</v>
      </c>
      <c r="Y434" s="14" t="n">
        <v>1.58</v>
      </c>
      <c r="Z434" s="14" t="n">
        <v>0.43</v>
      </c>
      <c r="AA434" s="14" t="n">
        <v>0</v>
      </c>
    </row>
    <row r="435">
      <c r="A435" t="inlineStr">
        <is>
          <t>150501</t>
        </is>
      </c>
      <c r="B435" t="inlineStr">
        <is>
          <t>LIMA</t>
        </is>
      </c>
      <c r="C435" t="inlineStr">
        <is>
          <t>CAÑETE</t>
        </is>
      </c>
      <c r="D435" t="inlineStr">
        <is>
          <t>SAN VICENTE DE CAÑETE</t>
        </is>
      </c>
      <c r="E435" t="n">
        <v>25097</v>
      </c>
      <c r="F435" s="14" t="n">
        <v>0</v>
      </c>
      <c r="G435" s="14" t="n">
        <v>22.37</v>
      </c>
      <c r="H435" s="14" t="n">
        <v>0.45</v>
      </c>
      <c r="I435" s="14" t="n">
        <v>5.17</v>
      </c>
      <c r="J435" s="14" t="n">
        <v>0.29</v>
      </c>
      <c r="K435" s="14" t="n">
        <v>0.33</v>
      </c>
      <c r="L435" s="14" t="n">
        <v>7.77</v>
      </c>
      <c r="M435" s="14" t="n">
        <v>19.19</v>
      </c>
      <c r="N435" s="14" t="n">
        <v>8.359999999999999</v>
      </c>
      <c r="O435" s="14" t="n">
        <v>6.59</v>
      </c>
      <c r="P435" s="14" t="n">
        <v>0.86</v>
      </c>
      <c r="Q435" s="14" t="n">
        <v>1.15</v>
      </c>
      <c r="R435" s="14" t="n">
        <v>0.23</v>
      </c>
      <c r="S435" s="14" t="n">
        <v>5.57</v>
      </c>
      <c r="T435" s="14" t="n">
        <v>3.51</v>
      </c>
      <c r="U435" s="14" t="n">
        <v>3.33</v>
      </c>
      <c r="V435" s="14" t="n">
        <v>6.79</v>
      </c>
      <c r="W435" s="14" t="n">
        <v>3.73</v>
      </c>
      <c r="X435" s="14" t="n">
        <v>0.73</v>
      </c>
      <c r="Y435" s="14" t="n">
        <v>2.2</v>
      </c>
      <c r="Z435" s="14" t="n">
        <v>1.36</v>
      </c>
      <c r="AA435" s="14" t="n">
        <v>0</v>
      </c>
    </row>
    <row r="436">
      <c r="A436" t="inlineStr">
        <is>
          <t>150502</t>
        </is>
      </c>
      <c r="B436" t="inlineStr">
        <is>
          <t>LIMA</t>
        </is>
      </c>
      <c r="C436" t="inlineStr">
        <is>
          <t>CAÑETE</t>
        </is>
      </c>
      <c r="D436" t="inlineStr">
        <is>
          <t>ASIA</t>
        </is>
      </c>
      <c r="E436" t="n">
        <v>4026</v>
      </c>
      <c r="F436" s="14" t="n">
        <v>0</v>
      </c>
      <c r="G436" s="14" t="n">
        <v>14.61</v>
      </c>
      <c r="H436" s="14" t="n">
        <v>0.27</v>
      </c>
      <c r="I436" s="14" t="n">
        <v>4.07</v>
      </c>
      <c r="J436" s="14" t="n">
        <v>0.07000000000000001</v>
      </c>
      <c r="K436" s="14" t="n">
        <v>0.3</v>
      </c>
      <c r="L436" s="14" t="n">
        <v>17.66</v>
      </c>
      <c r="M436" s="14" t="n">
        <v>13.29</v>
      </c>
      <c r="N436" s="14" t="n">
        <v>7.05</v>
      </c>
      <c r="O436" s="14" t="n">
        <v>6.78</v>
      </c>
      <c r="P436" s="14" t="n">
        <v>0.52</v>
      </c>
      <c r="Q436" s="14" t="n">
        <v>0.35</v>
      </c>
      <c r="R436" s="14" t="n">
        <v>0.35</v>
      </c>
      <c r="S436" s="14" t="n">
        <v>3.15</v>
      </c>
      <c r="T436" s="14" t="n">
        <v>13.36</v>
      </c>
      <c r="U436" s="14" t="n">
        <v>5.86</v>
      </c>
      <c r="V436" s="14" t="n">
        <v>2.56</v>
      </c>
      <c r="W436" s="14" t="n">
        <v>1.07</v>
      </c>
      <c r="X436" s="14" t="n">
        <v>1.37</v>
      </c>
      <c r="Y436" s="14" t="n">
        <v>4.32</v>
      </c>
      <c r="Z436" s="14" t="n">
        <v>2.98</v>
      </c>
      <c r="AA436" s="14" t="n">
        <v>0</v>
      </c>
    </row>
    <row r="437">
      <c r="A437" t="inlineStr">
        <is>
          <t>150503</t>
        </is>
      </c>
      <c r="B437" t="inlineStr">
        <is>
          <t>LIMA</t>
        </is>
      </c>
      <c r="C437" t="inlineStr">
        <is>
          <t>CAÑETE</t>
        </is>
      </c>
      <c r="D437" t="inlineStr">
        <is>
          <t>CALANGO</t>
        </is>
      </c>
      <c r="E437" t="n">
        <v>1119</v>
      </c>
      <c r="F437" s="14" t="n">
        <v>0</v>
      </c>
      <c r="G437" s="14" t="n">
        <v>56.39</v>
      </c>
      <c r="H437" s="14" t="n">
        <v>0.36</v>
      </c>
      <c r="I437" s="14" t="n">
        <v>2.59</v>
      </c>
      <c r="J437" s="14" t="n">
        <v>0.09</v>
      </c>
      <c r="K437" s="14" t="n">
        <v>0.09</v>
      </c>
      <c r="L437" s="14" t="n">
        <v>7.15</v>
      </c>
      <c r="M437" s="14" t="n">
        <v>8.94</v>
      </c>
      <c r="N437" s="14" t="n">
        <v>5.36</v>
      </c>
      <c r="O437" s="14" t="n">
        <v>5.63</v>
      </c>
      <c r="P437" s="14" t="n">
        <v>0.09</v>
      </c>
      <c r="Q437" s="14" t="n">
        <v>0.27</v>
      </c>
      <c r="R437" s="14" t="n">
        <v>0.09</v>
      </c>
      <c r="S437" s="14" t="n">
        <v>1.61</v>
      </c>
      <c r="T437" s="14" t="n">
        <v>2.06</v>
      </c>
      <c r="U437" s="14" t="n">
        <v>2.14</v>
      </c>
      <c r="V437" s="14" t="n">
        <v>3.04</v>
      </c>
      <c r="W437" s="14" t="n">
        <v>1.25</v>
      </c>
      <c r="X437" s="14" t="n">
        <v>0.45</v>
      </c>
      <c r="Y437" s="14" t="n">
        <v>0.89</v>
      </c>
      <c r="Z437" s="14" t="n">
        <v>1.52</v>
      </c>
      <c r="AA437" s="14" t="n">
        <v>0</v>
      </c>
    </row>
    <row r="438">
      <c r="A438" t="inlineStr">
        <is>
          <t>150504</t>
        </is>
      </c>
      <c r="B438" t="inlineStr">
        <is>
          <t>LIMA</t>
        </is>
      </c>
      <c r="C438" t="inlineStr">
        <is>
          <t>CAÑETE</t>
        </is>
      </c>
      <c r="D438" t="inlineStr">
        <is>
          <t>CERRO AZUL</t>
        </is>
      </c>
      <c r="E438" t="n">
        <v>3527</v>
      </c>
      <c r="F438" s="14" t="n">
        <v>0</v>
      </c>
      <c r="G438" s="14" t="n">
        <v>22.68</v>
      </c>
      <c r="H438" s="14" t="n">
        <v>0.34</v>
      </c>
      <c r="I438" s="14" t="n">
        <v>4.22</v>
      </c>
      <c r="J438" s="14" t="n">
        <v>0.03</v>
      </c>
      <c r="K438" s="14" t="n">
        <v>0.2</v>
      </c>
      <c r="L438" s="14" t="n">
        <v>14.01</v>
      </c>
      <c r="M438" s="14" t="n">
        <v>15.45</v>
      </c>
      <c r="N438" s="14" t="n">
        <v>7.06</v>
      </c>
      <c r="O438" s="14" t="n">
        <v>9.039999999999999</v>
      </c>
      <c r="P438" s="14" t="n">
        <v>0.4</v>
      </c>
      <c r="Q438" s="14" t="n">
        <v>0.4</v>
      </c>
      <c r="R438" s="14" t="n">
        <v>0.09</v>
      </c>
      <c r="S438" s="14" t="n">
        <v>3.88</v>
      </c>
      <c r="T438" s="14" t="n">
        <v>6.15</v>
      </c>
      <c r="U438" s="14" t="n">
        <v>5.87</v>
      </c>
      <c r="V438" s="14" t="n">
        <v>3.52</v>
      </c>
      <c r="W438" s="14" t="n">
        <v>1.79</v>
      </c>
      <c r="X438" s="14" t="n">
        <v>0.77</v>
      </c>
      <c r="Y438" s="14" t="n">
        <v>2.86</v>
      </c>
      <c r="Z438" s="14" t="n">
        <v>1.25</v>
      </c>
      <c r="AA438" s="14" t="n">
        <v>0</v>
      </c>
    </row>
    <row r="439">
      <c r="A439" t="inlineStr">
        <is>
          <t>150505</t>
        </is>
      </c>
      <c r="B439" t="inlineStr">
        <is>
          <t>LIMA</t>
        </is>
      </c>
      <c r="C439" t="inlineStr">
        <is>
          <t>CAÑETE</t>
        </is>
      </c>
      <c r="D439" t="inlineStr">
        <is>
          <t>CHILCA</t>
        </is>
      </c>
      <c r="E439" t="n">
        <v>9721</v>
      </c>
      <c r="F439" s="14" t="n">
        <v>0</v>
      </c>
      <c r="G439" s="14" t="n">
        <v>12.11</v>
      </c>
      <c r="H439" s="14" t="n">
        <v>0.5600000000000001</v>
      </c>
      <c r="I439" s="14" t="n">
        <v>7.6</v>
      </c>
      <c r="J439" s="14" t="n">
        <v>0.35</v>
      </c>
      <c r="K439" s="14" t="n">
        <v>0.47</v>
      </c>
      <c r="L439" s="14" t="n">
        <v>13.88</v>
      </c>
      <c r="M439" s="14" t="n">
        <v>17.95</v>
      </c>
      <c r="N439" s="14" t="n">
        <v>12.85</v>
      </c>
      <c r="O439" s="14" t="n">
        <v>7.86</v>
      </c>
      <c r="P439" s="14" t="n">
        <v>0.6</v>
      </c>
      <c r="Q439" s="14" t="n">
        <v>0.48</v>
      </c>
      <c r="R439" s="14" t="n">
        <v>0.15</v>
      </c>
      <c r="S439" s="14" t="n">
        <v>3.31</v>
      </c>
      <c r="T439" s="14" t="n">
        <v>7.28</v>
      </c>
      <c r="U439" s="14" t="n">
        <v>3.58</v>
      </c>
      <c r="V439" s="14" t="n">
        <v>4.41</v>
      </c>
      <c r="W439" s="14" t="n">
        <v>1.7</v>
      </c>
      <c r="X439" s="14" t="n">
        <v>0.86</v>
      </c>
      <c r="Y439" s="14" t="n">
        <v>2.11</v>
      </c>
      <c r="Z439" s="14" t="n">
        <v>1.88</v>
      </c>
      <c r="AA439" s="14" t="n">
        <v>0</v>
      </c>
    </row>
    <row r="440">
      <c r="A440" t="inlineStr">
        <is>
          <t>150506</t>
        </is>
      </c>
      <c r="B440" t="inlineStr">
        <is>
          <t>LIMA</t>
        </is>
      </c>
      <c r="C440" t="inlineStr">
        <is>
          <t>CAÑETE</t>
        </is>
      </c>
      <c r="D440" t="inlineStr">
        <is>
          <t>COAYLLO</t>
        </is>
      </c>
      <c r="E440" t="n">
        <v>572</v>
      </c>
      <c r="F440" s="14" t="n">
        <v>0</v>
      </c>
      <c r="G440" s="14" t="n">
        <v>59.44</v>
      </c>
      <c r="H440" s="14" t="n">
        <v>0.35</v>
      </c>
      <c r="I440" s="14" t="n">
        <v>6.29</v>
      </c>
      <c r="J440" s="14" t="n">
        <v>0</v>
      </c>
      <c r="K440" s="14" t="n">
        <v>1.05</v>
      </c>
      <c r="L440" s="14" t="n">
        <v>4.2</v>
      </c>
      <c r="M440" s="14" t="n">
        <v>6.29</v>
      </c>
      <c r="N440" s="14" t="n">
        <v>4.2</v>
      </c>
      <c r="O440" s="14" t="n">
        <v>3.85</v>
      </c>
      <c r="P440" s="14" t="n">
        <v>0</v>
      </c>
      <c r="Q440" s="14" t="n">
        <v>0.17</v>
      </c>
      <c r="R440" s="14" t="n">
        <v>0</v>
      </c>
      <c r="S440" s="14" t="n">
        <v>2.62</v>
      </c>
      <c r="T440" s="14" t="n">
        <v>3.32</v>
      </c>
      <c r="U440" s="14" t="n">
        <v>3.85</v>
      </c>
      <c r="V440" s="14" t="n">
        <v>1.4</v>
      </c>
      <c r="W440" s="14" t="n">
        <v>1.05</v>
      </c>
      <c r="X440" s="14" t="n">
        <v>0.35</v>
      </c>
      <c r="Y440" s="14" t="n">
        <v>0.87</v>
      </c>
      <c r="Z440" s="14" t="n">
        <v>0.7</v>
      </c>
      <c r="AA440" s="14" t="n">
        <v>0</v>
      </c>
    </row>
    <row r="441">
      <c r="A441" t="inlineStr">
        <is>
          <t>150507</t>
        </is>
      </c>
      <c r="B441" t="inlineStr">
        <is>
          <t>LIMA</t>
        </is>
      </c>
      <c r="C441" t="inlineStr">
        <is>
          <t>CA├æETE</t>
        </is>
      </c>
      <c r="D441" t="inlineStr">
        <is>
          <t>IMPERIAL</t>
        </is>
      </c>
      <c r="E441" t="n">
        <v>17326</v>
      </c>
      <c r="F441" s="14" t="n">
        <v>0</v>
      </c>
      <c r="G441" s="14" t="n">
        <v>23.69</v>
      </c>
      <c r="H441" s="14" t="n">
        <v>0.21</v>
      </c>
      <c r="I441" s="14" t="n">
        <v>5.96</v>
      </c>
      <c r="J441" s="14" t="n">
        <v>0.09</v>
      </c>
      <c r="K441" s="14" t="n">
        <v>0.22</v>
      </c>
      <c r="L441" s="14" t="n">
        <v>5.85</v>
      </c>
      <c r="M441" s="14" t="n">
        <v>22</v>
      </c>
      <c r="N441" s="14" t="n">
        <v>10.62</v>
      </c>
      <c r="O441" s="14" t="n">
        <v>6.87</v>
      </c>
      <c r="P441" s="14" t="n">
        <v>0.7</v>
      </c>
      <c r="Q441" s="14" t="n">
        <v>0.78</v>
      </c>
      <c r="R441" s="14" t="n">
        <v>0.09</v>
      </c>
      <c r="S441" s="14" t="n">
        <v>3.08</v>
      </c>
      <c r="T441" s="14" t="n">
        <v>3.07</v>
      </c>
      <c r="U441" s="14" t="n">
        <v>3.25</v>
      </c>
      <c r="V441" s="14" t="n">
        <v>7.17</v>
      </c>
      <c r="W441" s="14" t="n">
        <v>2.25</v>
      </c>
      <c r="X441" s="14" t="n">
        <v>0.8100000000000001</v>
      </c>
      <c r="Y441" s="14" t="n">
        <v>2.04</v>
      </c>
      <c r="Z441" s="14" t="n">
        <v>1.23</v>
      </c>
      <c r="AA441" s="14" t="n">
        <v>0</v>
      </c>
    </row>
    <row r="442">
      <c r="A442" t="inlineStr">
        <is>
          <t>150508</t>
        </is>
      </c>
      <c r="B442" t="inlineStr">
        <is>
          <t>LIMA</t>
        </is>
      </c>
      <c r="C442" t="inlineStr">
        <is>
          <t>CAÑETE</t>
        </is>
      </c>
      <c r="D442" t="inlineStr">
        <is>
          <t>LUNAHUANA</t>
        </is>
      </c>
      <c r="E442" t="n">
        <v>2167</v>
      </c>
      <c r="F442" s="14" t="n">
        <v>0</v>
      </c>
      <c r="G442" s="14" t="n">
        <v>29.03</v>
      </c>
      <c r="H442" s="14" t="n">
        <v>0.37</v>
      </c>
      <c r="I442" s="14" t="n">
        <v>4.01</v>
      </c>
      <c r="J442" s="14" t="n">
        <v>0.14</v>
      </c>
      <c r="K442" s="14" t="n">
        <v>0.23</v>
      </c>
      <c r="L442" s="14" t="n">
        <v>7.66</v>
      </c>
      <c r="M442" s="14" t="n">
        <v>14.91</v>
      </c>
      <c r="N442" s="14" t="n">
        <v>6.55</v>
      </c>
      <c r="O442" s="14" t="n">
        <v>12.92</v>
      </c>
      <c r="P442" s="14" t="n">
        <v>0.88</v>
      </c>
      <c r="Q442" s="14" t="n">
        <v>0.6899999999999999</v>
      </c>
      <c r="R442" s="14" t="n">
        <v>0.05</v>
      </c>
      <c r="S442" s="14" t="n">
        <v>3.55</v>
      </c>
      <c r="T442" s="14" t="n">
        <v>6.88</v>
      </c>
      <c r="U442" s="14" t="n">
        <v>2.68</v>
      </c>
      <c r="V442" s="14" t="n">
        <v>3.09</v>
      </c>
      <c r="W442" s="14" t="n">
        <v>2.35</v>
      </c>
      <c r="X442" s="14" t="n">
        <v>0.78</v>
      </c>
      <c r="Y442" s="14" t="n">
        <v>2.54</v>
      </c>
      <c r="Z442" s="14" t="n">
        <v>0.6899999999999999</v>
      </c>
      <c r="AA442" s="14" t="n">
        <v>0</v>
      </c>
    </row>
    <row r="443">
      <c r="A443" t="inlineStr">
        <is>
          <t>150509</t>
        </is>
      </c>
      <c r="B443" t="inlineStr">
        <is>
          <t>LIMA</t>
        </is>
      </c>
      <c r="C443" t="inlineStr">
        <is>
          <t>CAÑETE</t>
        </is>
      </c>
      <c r="D443" t="inlineStr">
        <is>
          <t>MALA</t>
        </is>
      </c>
      <c r="E443" t="n">
        <v>14357</v>
      </c>
      <c r="F443" s="14" t="n">
        <v>0</v>
      </c>
      <c r="G443" s="14" t="n">
        <v>11.01</v>
      </c>
      <c r="H443" s="14" t="n">
        <v>5.21</v>
      </c>
      <c r="I443" s="14" t="n">
        <v>4.52</v>
      </c>
      <c r="J443" s="14" t="n">
        <v>0.1</v>
      </c>
      <c r="K443" s="14" t="n">
        <v>0.24</v>
      </c>
      <c r="L443" s="14" t="n">
        <v>12.2</v>
      </c>
      <c r="M443" s="14" t="n">
        <v>19.7</v>
      </c>
      <c r="N443" s="14" t="n">
        <v>11.04</v>
      </c>
      <c r="O443" s="14" t="n">
        <v>7.73</v>
      </c>
      <c r="P443" s="14" t="n">
        <v>0.68</v>
      </c>
      <c r="Q443" s="14" t="n">
        <v>0.82</v>
      </c>
      <c r="R443" s="14" t="n">
        <v>0.1</v>
      </c>
      <c r="S443" s="14" t="n">
        <v>4.07</v>
      </c>
      <c r="T443" s="14" t="n">
        <v>7.49</v>
      </c>
      <c r="U443" s="14" t="n">
        <v>2.62</v>
      </c>
      <c r="V443" s="14" t="n">
        <v>4.46</v>
      </c>
      <c r="W443" s="14" t="n">
        <v>2.06</v>
      </c>
      <c r="X443" s="14" t="n">
        <v>0.91</v>
      </c>
      <c r="Y443" s="14" t="n">
        <v>2.54</v>
      </c>
      <c r="Z443" s="14" t="n">
        <v>2.48</v>
      </c>
      <c r="AA443" s="14" t="n">
        <v>0</v>
      </c>
    </row>
    <row r="444">
      <c r="A444" t="inlineStr">
        <is>
          <t>150510</t>
        </is>
      </c>
      <c r="B444" t="inlineStr">
        <is>
          <t>LIMA</t>
        </is>
      </c>
      <c r="C444" t="inlineStr">
        <is>
          <t>CAÑETE</t>
        </is>
      </c>
      <c r="D444" t="inlineStr">
        <is>
          <t>NUEVO IMPERIAL</t>
        </is>
      </c>
      <c r="E444" t="n">
        <v>11418</v>
      </c>
      <c r="F444" s="14" t="n">
        <v>0</v>
      </c>
      <c r="G444" s="14" t="n">
        <v>39.61</v>
      </c>
      <c r="H444" s="14" t="n">
        <v>0.17</v>
      </c>
      <c r="I444" s="14" t="n">
        <v>9.710000000000001</v>
      </c>
      <c r="J444" s="14" t="n">
        <v>0.09</v>
      </c>
      <c r="K444" s="14" t="n">
        <v>0.2</v>
      </c>
      <c r="L444" s="14" t="n">
        <v>5.93</v>
      </c>
      <c r="M444" s="14" t="n">
        <v>12.8</v>
      </c>
      <c r="N444" s="14" t="n">
        <v>8.51</v>
      </c>
      <c r="O444" s="14" t="n">
        <v>6.23</v>
      </c>
      <c r="P444" s="14" t="n">
        <v>0.41</v>
      </c>
      <c r="Q444" s="14" t="n">
        <v>0.33</v>
      </c>
      <c r="R444" s="14" t="n">
        <v>0.04</v>
      </c>
      <c r="S444" s="14" t="n">
        <v>2.19</v>
      </c>
      <c r="T444" s="14" t="n">
        <v>2.01</v>
      </c>
      <c r="U444" s="14" t="n">
        <v>2.29</v>
      </c>
      <c r="V444" s="14" t="n">
        <v>4.62</v>
      </c>
      <c r="W444" s="14" t="n">
        <v>1.86</v>
      </c>
      <c r="X444" s="14" t="n">
        <v>0.5</v>
      </c>
      <c r="Y444" s="14" t="n">
        <v>1.75</v>
      </c>
      <c r="Z444" s="14" t="n">
        <v>0.74</v>
      </c>
      <c r="AA444" s="14" t="n">
        <v>0</v>
      </c>
    </row>
    <row r="445">
      <c r="A445" t="inlineStr">
        <is>
          <t>150511</t>
        </is>
      </c>
      <c r="B445" t="inlineStr">
        <is>
          <t>LIMA</t>
        </is>
      </c>
      <c r="C445" t="inlineStr">
        <is>
          <t>CAÑETE</t>
        </is>
      </c>
      <c r="D445" t="inlineStr">
        <is>
          <t>PACARAN</t>
        </is>
      </c>
      <c r="E445" t="n">
        <v>802</v>
      </c>
      <c r="F445" s="14" t="n">
        <v>0</v>
      </c>
      <c r="G445" s="14" t="n">
        <v>41.77</v>
      </c>
      <c r="H445" s="14" t="n">
        <v>0.25</v>
      </c>
      <c r="I445" s="14" t="n">
        <v>1.75</v>
      </c>
      <c r="J445" s="14" t="n">
        <v>0</v>
      </c>
      <c r="K445" s="14" t="n">
        <v>0.12</v>
      </c>
      <c r="L445" s="14" t="n">
        <v>5.86</v>
      </c>
      <c r="M445" s="14" t="n">
        <v>17.21</v>
      </c>
      <c r="N445" s="14" t="n">
        <v>4.49</v>
      </c>
      <c r="O445" s="14" t="n">
        <v>10.6</v>
      </c>
      <c r="P445" s="14" t="n">
        <v>0.25</v>
      </c>
      <c r="Q445" s="14" t="n">
        <v>0.25</v>
      </c>
      <c r="R445" s="14" t="n">
        <v>0.12</v>
      </c>
      <c r="S445" s="14" t="n">
        <v>2.24</v>
      </c>
      <c r="T445" s="14" t="n">
        <v>1.37</v>
      </c>
      <c r="U445" s="14" t="n">
        <v>3.99</v>
      </c>
      <c r="V445" s="14" t="n">
        <v>3.74</v>
      </c>
      <c r="W445" s="14" t="n">
        <v>3.24</v>
      </c>
      <c r="X445" s="14" t="n">
        <v>0.62</v>
      </c>
      <c r="Y445" s="14" t="n">
        <v>1.25</v>
      </c>
      <c r="Z445" s="14" t="n">
        <v>0.87</v>
      </c>
      <c r="AA445" s="14" t="n">
        <v>0</v>
      </c>
    </row>
    <row r="446">
      <c r="A446" t="inlineStr">
        <is>
          <t>150512</t>
        </is>
      </c>
      <c r="B446" t="inlineStr">
        <is>
          <t>LIMA</t>
        </is>
      </c>
      <c r="C446" t="inlineStr">
        <is>
          <t>CAÑETE</t>
        </is>
      </c>
      <c r="D446" t="inlineStr">
        <is>
          <t>QUILMANA</t>
        </is>
      </c>
      <c r="E446" t="n">
        <v>6664</v>
      </c>
      <c r="F446" s="14" t="n">
        <v>0</v>
      </c>
      <c r="G446" s="14" t="n">
        <v>41.42</v>
      </c>
      <c r="H446" s="14" t="n">
        <v>0.18</v>
      </c>
      <c r="I446" s="14" t="n">
        <v>5.19</v>
      </c>
      <c r="J446" s="14" t="n">
        <v>0.02</v>
      </c>
      <c r="K446" s="14" t="n">
        <v>0.27</v>
      </c>
      <c r="L446" s="14" t="n">
        <v>8.119999999999999</v>
      </c>
      <c r="M446" s="14" t="n">
        <v>14.02</v>
      </c>
      <c r="N446" s="14" t="n">
        <v>7.79</v>
      </c>
      <c r="O446" s="14" t="n">
        <v>4.19</v>
      </c>
      <c r="P446" s="14" t="n">
        <v>0.29</v>
      </c>
      <c r="Q446" s="14" t="n">
        <v>0.41</v>
      </c>
      <c r="R446" s="14" t="n">
        <v>0.06</v>
      </c>
      <c r="S446" s="14" t="n">
        <v>3.05</v>
      </c>
      <c r="T446" s="14" t="n">
        <v>3.39</v>
      </c>
      <c r="U446" s="14" t="n">
        <v>2.45</v>
      </c>
      <c r="V446" s="14" t="n">
        <v>4.34</v>
      </c>
      <c r="W446" s="14" t="n">
        <v>1.5</v>
      </c>
      <c r="X446" s="14" t="n">
        <v>0.45</v>
      </c>
      <c r="Y446" s="14" t="n">
        <v>2.06</v>
      </c>
      <c r="Z446" s="14" t="n">
        <v>0.84</v>
      </c>
      <c r="AA446" s="14" t="n">
        <v>0</v>
      </c>
    </row>
    <row r="447">
      <c r="A447" t="inlineStr">
        <is>
          <t>150513</t>
        </is>
      </c>
      <c r="B447" t="inlineStr">
        <is>
          <t>LIMA</t>
        </is>
      </c>
      <c r="C447" t="inlineStr">
        <is>
          <t>CAÑETE</t>
        </is>
      </c>
      <c r="D447" t="inlineStr">
        <is>
          <t>SAN ANTONIO</t>
        </is>
      </c>
      <c r="E447" t="n">
        <v>1970</v>
      </c>
      <c r="F447" s="14" t="n">
        <v>0</v>
      </c>
      <c r="G447" s="14" t="n">
        <v>12.74</v>
      </c>
      <c r="H447" s="14" t="n">
        <v>1.27</v>
      </c>
      <c r="I447" s="14" t="n">
        <v>4.47</v>
      </c>
      <c r="J447" s="14" t="n">
        <v>0.15</v>
      </c>
      <c r="K447" s="14" t="n">
        <v>0.2</v>
      </c>
      <c r="L447" s="14" t="n">
        <v>11.37</v>
      </c>
      <c r="M447" s="14" t="n">
        <v>13.4</v>
      </c>
      <c r="N447" s="14" t="n">
        <v>7.06</v>
      </c>
      <c r="O447" s="14" t="n">
        <v>8.07</v>
      </c>
      <c r="P447" s="14" t="n">
        <v>0.76</v>
      </c>
      <c r="Q447" s="14" t="n">
        <v>1.07</v>
      </c>
      <c r="R447" s="14" t="n">
        <v>0.15</v>
      </c>
      <c r="S447" s="14" t="n">
        <v>5.23</v>
      </c>
      <c r="T447" s="14" t="n">
        <v>10.46</v>
      </c>
      <c r="U447" s="14" t="n">
        <v>7.56</v>
      </c>
      <c r="V447" s="14" t="n">
        <v>7.31</v>
      </c>
      <c r="W447" s="14" t="n">
        <v>4.26</v>
      </c>
      <c r="X447" s="14" t="n">
        <v>1.02</v>
      </c>
      <c r="Y447" s="14" t="n">
        <v>1.32</v>
      </c>
      <c r="Z447" s="14" t="n">
        <v>2.13</v>
      </c>
      <c r="AA447" s="14" t="n">
        <v>0</v>
      </c>
    </row>
    <row r="448">
      <c r="A448" t="inlineStr">
        <is>
          <t>150514</t>
        </is>
      </c>
      <c r="B448" t="inlineStr">
        <is>
          <t>LIMA</t>
        </is>
      </c>
      <c r="C448" t="inlineStr">
        <is>
          <t>CAÑETE</t>
        </is>
      </c>
      <c r="D448" t="inlineStr">
        <is>
          <t>SAN LUIS</t>
        </is>
      </c>
      <c r="E448" t="n">
        <v>5888</v>
      </c>
      <c r="F448" s="14" t="n">
        <v>0</v>
      </c>
      <c r="G448" s="14" t="n">
        <v>36.53</v>
      </c>
      <c r="H448" s="14" t="n">
        <v>0.14</v>
      </c>
      <c r="I448" s="14" t="n">
        <v>4.19</v>
      </c>
      <c r="J448" s="14" t="n">
        <v>0.07000000000000001</v>
      </c>
      <c r="K448" s="14" t="n">
        <v>0.14</v>
      </c>
      <c r="L448" s="14" t="n">
        <v>8.779999999999999</v>
      </c>
      <c r="M448" s="14" t="n">
        <v>12.99</v>
      </c>
      <c r="N448" s="14" t="n">
        <v>8.800000000000001</v>
      </c>
      <c r="O448" s="14" t="n">
        <v>5.1</v>
      </c>
      <c r="P448" s="14" t="n">
        <v>0.5600000000000001</v>
      </c>
      <c r="Q448" s="14" t="n">
        <v>0.53</v>
      </c>
      <c r="R448" s="14" t="n">
        <v>0.15</v>
      </c>
      <c r="S448" s="14" t="n">
        <v>3.21</v>
      </c>
      <c r="T448" s="14" t="n">
        <v>5.59</v>
      </c>
      <c r="U448" s="14" t="n">
        <v>2.46</v>
      </c>
      <c r="V448" s="14" t="n">
        <v>4.01</v>
      </c>
      <c r="W448" s="14" t="n">
        <v>2</v>
      </c>
      <c r="X448" s="14" t="n">
        <v>0.93</v>
      </c>
      <c r="Y448" s="14" t="n">
        <v>2.09</v>
      </c>
      <c r="Z448" s="14" t="n">
        <v>1.73</v>
      </c>
      <c r="AA448" s="14" t="n">
        <v>0</v>
      </c>
    </row>
    <row r="449">
      <c r="A449" t="inlineStr">
        <is>
          <t>150515</t>
        </is>
      </c>
      <c r="B449" t="inlineStr">
        <is>
          <t>LIMA</t>
        </is>
      </c>
      <c r="C449" t="inlineStr">
        <is>
          <t>CAÑETE</t>
        </is>
      </c>
      <c r="D449" t="inlineStr">
        <is>
          <t>SANTA CRUZ DE FLORES</t>
        </is>
      </c>
      <c r="E449" t="n">
        <v>1578</v>
      </c>
      <c r="F449" s="14" t="n">
        <v>0</v>
      </c>
      <c r="G449" s="14" t="n">
        <v>25.29</v>
      </c>
      <c r="H449" s="14" t="n">
        <v>0.44</v>
      </c>
      <c r="I449" s="14" t="n">
        <v>3.99</v>
      </c>
      <c r="J449" s="14" t="n">
        <v>0.13</v>
      </c>
      <c r="K449" s="14" t="n">
        <v>0.19</v>
      </c>
      <c r="L449" s="14" t="n">
        <v>12.17</v>
      </c>
      <c r="M449" s="14" t="n">
        <v>16.29</v>
      </c>
      <c r="N449" s="14" t="n">
        <v>4.06</v>
      </c>
      <c r="O449" s="14" t="n">
        <v>9.06</v>
      </c>
      <c r="P449" s="14" t="n">
        <v>0.63</v>
      </c>
      <c r="Q449" s="14" t="n">
        <v>0.38</v>
      </c>
      <c r="R449" s="14" t="n">
        <v>0.06</v>
      </c>
      <c r="S449" s="14" t="n">
        <v>3.61</v>
      </c>
      <c r="T449" s="14" t="n">
        <v>9.630000000000001</v>
      </c>
      <c r="U449" s="14" t="n">
        <v>2.66</v>
      </c>
      <c r="V449" s="14" t="n">
        <v>3.8</v>
      </c>
      <c r="W449" s="14" t="n">
        <v>2.03</v>
      </c>
      <c r="X449" s="14" t="n">
        <v>0.76</v>
      </c>
      <c r="Y449" s="14" t="n">
        <v>2.22</v>
      </c>
      <c r="Z449" s="14" t="n">
        <v>2.6</v>
      </c>
      <c r="AA449" s="14" t="n">
        <v>0</v>
      </c>
    </row>
    <row r="450">
      <c r="A450" t="inlineStr">
        <is>
          <t>150516</t>
        </is>
      </c>
      <c r="B450" t="inlineStr">
        <is>
          <t>LIMA</t>
        </is>
      </c>
      <c r="C450" t="inlineStr">
        <is>
          <t>CAÑETE</t>
        </is>
      </c>
      <c r="D450" t="inlineStr">
        <is>
          <t>ZUÑIGA</t>
        </is>
      </c>
      <c r="E450" t="n">
        <v>595</v>
      </c>
      <c r="F450" s="14" t="n">
        <v>0</v>
      </c>
      <c r="G450" s="14" t="n">
        <v>45.38</v>
      </c>
      <c r="H450" s="14" t="n">
        <v>0.17</v>
      </c>
      <c r="I450" s="14" t="n">
        <v>1.18</v>
      </c>
      <c r="J450" s="14" t="n">
        <v>10.76</v>
      </c>
      <c r="K450" s="14" t="n">
        <v>0</v>
      </c>
      <c r="L450" s="14" t="n">
        <v>8.57</v>
      </c>
      <c r="M450" s="14" t="n">
        <v>11.26</v>
      </c>
      <c r="N450" s="14" t="n">
        <v>4.03</v>
      </c>
      <c r="O450" s="14" t="n">
        <v>6.39</v>
      </c>
      <c r="P450" s="14" t="n">
        <v>0.17</v>
      </c>
      <c r="Q450" s="14" t="n">
        <v>0</v>
      </c>
      <c r="R450" s="14" t="n">
        <v>0</v>
      </c>
      <c r="S450" s="14" t="n">
        <v>0.34</v>
      </c>
      <c r="T450" s="14" t="n">
        <v>1.18</v>
      </c>
      <c r="U450" s="14" t="n">
        <v>5.21</v>
      </c>
      <c r="V450" s="14" t="n">
        <v>3.53</v>
      </c>
      <c r="W450" s="14" t="n">
        <v>1.34</v>
      </c>
      <c r="X450" s="14" t="n">
        <v>0</v>
      </c>
      <c r="Y450" s="14" t="n">
        <v>0</v>
      </c>
      <c r="Z450" s="14" t="n">
        <v>0.5</v>
      </c>
      <c r="AA450" s="14" t="n">
        <v>0</v>
      </c>
    </row>
    <row r="451">
      <c r="A451" t="inlineStr">
        <is>
          <t>150601</t>
        </is>
      </c>
      <c r="B451" t="inlineStr">
        <is>
          <t>LIMA</t>
        </is>
      </c>
      <c r="C451" t="inlineStr">
        <is>
          <t>HUARAL</t>
        </is>
      </c>
      <c r="D451" t="inlineStr">
        <is>
          <t>HUARAL</t>
        </is>
      </c>
      <c r="E451" t="n">
        <v>44380</v>
      </c>
      <c r="F451" s="14" t="n">
        <v>0</v>
      </c>
      <c r="G451" s="14" t="n">
        <v>22.55</v>
      </c>
      <c r="H451" s="14" t="n">
        <v>0.55</v>
      </c>
      <c r="I451" s="14" t="n">
        <v>6.26</v>
      </c>
      <c r="J451" s="14" t="n">
        <v>0.1</v>
      </c>
      <c r="K451" s="14" t="n">
        <v>0.28</v>
      </c>
      <c r="L451" s="14" t="n">
        <v>6</v>
      </c>
      <c r="M451" s="14" t="n">
        <v>21.13</v>
      </c>
      <c r="N451" s="14" t="n">
        <v>13.06</v>
      </c>
      <c r="O451" s="14" t="n">
        <v>6.77</v>
      </c>
      <c r="P451" s="14" t="n">
        <v>0.63</v>
      </c>
      <c r="Q451" s="14" t="n">
        <v>0.96</v>
      </c>
      <c r="R451" s="14" t="n">
        <v>0.13</v>
      </c>
      <c r="S451" s="14" t="n">
        <v>3.55</v>
      </c>
      <c r="T451" s="14" t="n">
        <v>2.65</v>
      </c>
      <c r="U451" s="14" t="n">
        <v>2.54</v>
      </c>
      <c r="V451" s="14" t="n">
        <v>5.85</v>
      </c>
      <c r="W451" s="14" t="n">
        <v>2.63</v>
      </c>
      <c r="X451" s="14" t="n">
        <v>0.99</v>
      </c>
      <c r="Y451" s="14" t="n">
        <v>2.26</v>
      </c>
      <c r="Z451" s="14" t="n">
        <v>1.09</v>
      </c>
      <c r="AA451" s="14" t="n">
        <v>0</v>
      </c>
    </row>
    <row r="452">
      <c r="A452" t="inlineStr">
        <is>
          <t>150602</t>
        </is>
      </c>
      <c r="B452" t="inlineStr">
        <is>
          <t>LIMA</t>
        </is>
      </c>
      <c r="C452" t="inlineStr">
        <is>
          <t>HUARAL</t>
        </is>
      </c>
      <c r="D452" t="inlineStr">
        <is>
          <t>ATAVILLOS ALTO</t>
        </is>
      </c>
      <c r="E452" t="n">
        <v>383</v>
      </c>
      <c r="F452" s="14" t="n">
        <v>0</v>
      </c>
      <c r="G452" s="14" t="n">
        <v>67.36</v>
      </c>
      <c r="H452" s="14" t="n">
        <v>0.52</v>
      </c>
      <c r="I452" s="14" t="n">
        <v>2.35</v>
      </c>
      <c r="J452" s="14" t="n">
        <v>2.09</v>
      </c>
      <c r="K452" s="14" t="n">
        <v>0</v>
      </c>
      <c r="L452" s="14" t="n">
        <v>4.7</v>
      </c>
      <c r="M452" s="14" t="n">
        <v>5.22</v>
      </c>
      <c r="N452" s="14" t="n">
        <v>2.35</v>
      </c>
      <c r="O452" s="14" t="n">
        <v>1.83</v>
      </c>
      <c r="P452" s="14" t="n">
        <v>0</v>
      </c>
      <c r="Q452" s="14" t="n">
        <v>0</v>
      </c>
      <c r="R452" s="14" t="n">
        <v>0</v>
      </c>
      <c r="S452" s="14" t="n">
        <v>3.92</v>
      </c>
      <c r="T452" s="14" t="n">
        <v>1.83</v>
      </c>
      <c r="U452" s="14" t="n">
        <v>2.35</v>
      </c>
      <c r="V452" s="14" t="n">
        <v>2.35</v>
      </c>
      <c r="W452" s="14" t="n">
        <v>1.83</v>
      </c>
      <c r="X452" s="14" t="n">
        <v>0.26</v>
      </c>
      <c r="Y452" s="14" t="n">
        <v>1.04</v>
      </c>
      <c r="Z452" s="14" t="n">
        <v>0</v>
      </c>
      <c r="AA452" s="14" t="n">
        <v>0</v>
      </c>
    </row>
    <row r="453">
      <c r="A453" t="inlineStr">
        <is>
          <t>150603</t>
        </is>
      </c>
      <c r="B453" t="inlineStr">
        <is>
          <t>LIMA</t>
        </is>
      </c>
      <c r="C453" t="inlineStr">
        <is>
          <t>HUARAL</t>
        </is>
      </c>
      <c r="D453" t="inlineStr">
        <is>
          <t>ATAVILLOS BAJO</t>
        </is>
      </c>
      <c r="E453" t="n">
        <v>520</v>
      </c>
      <c r="F453" s="14" t="n">
        <v>0</v>
      </c>
      <c r="G453" s="14" t="n">
        <v>76.73</v>
      </c>
      <c r="H453" s="14" t="n">
        <v>0</v>
      </c>
      <c r="I453" s="14" t="n">
        <v>0.19</v>
      </c>
      <c r="J453" s="14" t="n">
        <v>0</v>
      </c>
      <c r="K453" s="14" t="n">
        <v>0</v>
      </c>
      <c r="L453" s="14" t="n">
        <v>5.58</v>
      </c>
      <c r="M453" s="14" t="n">
        <v>4.62</v>
      </c>
      <c r="N453" s="14" t="n">
        <v>3.08</v>
      </c>
      <c r="O453" s="14" t="n">
        <v>2.69</v>
      </c>
      <c r="P453" s="14" t="n">
        <v>0</v>
      </c>
      <c r="Q453" s="14" t="n">
        <v>0</v>
      </c>
      <c r="R453" s="14" t="n">
        <v>0</v>
      </c>
      <c r="S453" s="14" t="n">
        <v>0.58</v>
      </c>
      <c r="T453" s="14" t="n">
        <v>0.38</v>
      </c>
      <c r="U453" s="14" t="n">
        <v>2.5</v>
      </c>
      <c r="V453" s="14" t="n">
        <v>1.92</v>
      </c>
      <c r="W453" s="14" t="n">
        <v>1.54</v>
      </c>
      <c r="X453" s="14" t="n">
        <v>0.19</v>
      </c>
      <c r="Y453" s="14" t="n">
        <v>0</v>
      </c>
      <c r="Z453" s="14" t="n">
        <v>0</v>
      </c>
      <c r="AA453" s="14" t="n">
        <v>0</v>
      </c>
    </row>
    <row r="454">
      <c r="A454" t="inlineStr">
        <is>
          <t>150604</t>
        </is>
      </c>
      <c r="B454" t="inlineStr">
        <is>
          <t>LIMA</t>
        </is>
      </c>
      <c r="C454" t="inlineStr">
        <is>
          <t>HUARAL</t>
        </is>
      </c>
      <c r="D454" t="inlineStr">
        <is>
          <t>AUCALLAMA</t>
        </is>
      </c>
      <c r="E454" t="n">
        <v>7551</v>
      </c>
      <c r="F454" s="14" t="n">
        <v>0</v>
      </c>
      <c r="G454" s="14" t="n">
        <v>57.57</v>
      </c>
      <c r="H454" s="14" t="n">
        <v>0.19</v>
      </c>
      <c r="I454" s="14" t="n">
        <v>4.6</v>
      </c>
      <c r="J454" s="14" t="n">
        <v>0.04</v>
      </c>
      <c r="K454" s="14" t="n">
        <v>0.05</v>
      </c>
      <c r="L454" s="14" t="n">
        <v>4.22</v>
      </c>
      <c r="M454" s="14" t="n">
        <v>9.75</v>
      </c>
      <c r="N454" s="14" t="n">
        <v>7.22</v>
      </c>
      <c r="O454" s="14" t="n">
        <v>4.52</v>
      </c>
      <c r="P454" s="14" t="n">
        <v>0.28</v>
      </c>
      <c r="Q454" s="14" t="n">
        <v>0.19</v>
      </c>
      <c r="R454" s="14" t="n">
        <v>0.03</v>
      </c>
      <c r="S454" s="14" t="n">
        <v>1.18</v>
      </c>
      <c r="T454" s="14" t="n">
        <v>1.76</v>
      </c>
      <c r="U454" s="14" t="n">
        <v>2.22</v>
      </c>
      <c r="V454" s="14" t="n">
        <v>2.13</v>
      </c>
      <c r="W454" s="14" t="n">
        <v>1.54</v>
      </c>
      <c r="X454" s="14" t="n">
        <v>0.28</v>
      </c>
      <c r="Y454" s="14" t="n">
        <v>1.21</v>
      </c>
      <c r="Z454" s="14" t="n">
        <v>1.05</v>
      </c>
      <c r="AA454" s="14" t="n">
        <v>0</v>
      </c>
    </row>
    <row r="455">
      <c r="A455" t="inlineStr">
        <is>
          <t>150605</t>
        </is>
      </c>
      <c r="B455" t="inlineStr">
        <is>
          <t>LIMA</t>
        </is>
      </c>
      <c r="C455" t="inlineStr">
        <is>
          <t>HUARAL</t>
        </is>
      </c>
      <c r="D455" t="inlineStr">
        <is>
          <t>CHANCAY</t>
        </is>
      </c>
      <c r="E455" t="n">
        <v>22888</v>
      </c>
      <c r="F455" s="14" t="n">
        <v>0.175</v>
      </c>
      <c r="G455" s="14" t="n">
        <v>23.75</v>
      </c>
      <c r="H455" s="14" t="n">
        <v>0.6</v>
      </c>
      <c r="I455" s="14" t="n">
        <v>9.16</v>
      </c>
      <c r="J455" s="14" t="n">
        <v>0.02</v>
      </c>
      <c r="K455" s="14" t="n">
        <v>0.31</v>
      </c>
      <c r="L455" s="14" t="n">
        <v>7.43</v>
      </c>
      <c r="M455" s="14" t="n">
        <v>17.7</v>
      </c>
      <c r="N455" s="14" t="n">
        <v>10.67</v>
      </c>
      <c r="O455" s="14" t="n">
        <v>7.08</v>
      </c>
      <c r="P455" s="14" t="n">
        <v>0.66</v>
      </c>
      <c r="Q455" s="14" t="n">
        <v>0.68</v>
      </c>
      <c r="R455" s="14" t="n">
        <v>0.1</v>
      </c>
      <c r="S455" s="14" t="n">
        <v>3.32</v>
      </c>
      <c r="T455" s="14" t="n">
        <v>3.62</v>
      </c>
      <c r="U455" s="14" t="n">
        <v>3.07</v>
      </c>
      <c r="V455" s="14" t="n">
        <v>4.64</v>
      </c>
      <c r="W455" s="14" t="n">
        <v>2.57</v>
      </c>
      <c r="X455" s="14" t="n">
        <v>0.89</v>
      </c>
      <c r="Y455" s="14" t="n">
        <v>2.32</v>
      </c>
      <c r="Z455" s="14" t="n">
        <v>1.39</v>
      </c>
      <c r="AA455" s="14" t="n">
        <v>0</v>
      </c>
    </row>
    <row r="456">
      <c r="A456" t="inlineStr">
        <is>
          <t>150606</t>
        </is>
      </c>
      <c r="B456" t="inlineStr">
        <is>
          <t>LIMA</t>
        </is>
      </c>
      <c r="C456" t="inlineStr">
        <is>
          <t>HUARAL</t>
        </is>
      </c>
      <c r="D456" t="inlineStr">
        <is>
          <t>IHUARI</t>
        </is>
      </c>
      <c r="E456" t="n">
        <v>1035</v>
      </c>
      <c r="F456" s="14" t="n">
        <v>0</v>
      </c>
      <c r="G456" s="14" t="n">
        <v>87.54000000000001</v>
      </c>
      <c r="H456" s="14" t="n">
        <v>0.1</v>
      </c>
      <c r="I456" s="14" t="n">
        <v>0.29</v>
      </c>
      <c r="J456" s="14" t="n">
        <v>0</v>
      </c>
      <c r="K456" s="14" t="n">
        <v>0.1</v>
      </c>
      <c r="L456" s="14" t="n">
        <v>0.87</v>
      </c>
      <c r="M456" s="14" t="n">
        <v>4.93</v>
      </c>
      <c r="N456" s="14" t="n">
        <v>1.64</v>
      </c>
      <c r="O456" s="14" t="n">
        <v>1.74</v>
      </c>
      <c r="P456" s="14" t="n">
        <v>0</v>
      </c>
      <c r="Q456" s="14" t="n">
        <v>0</v>
      </c>
      <c r="R456" s="14" t="n">
        <v>0</v>
      </c>
      <c r="S456" s="14" t="n">
        <v>0.1</v>
      </c>
      <c r="T456" s="14" t="n">
        <v>0.58</v>
      </c>
      <c r="U456" s="14" t="n">
        <v>0.48</v>
      </c>
      <c r="V456" s="14" t="n">
        <v>0.58</v>
      </c>
      <c r="W456" s="14" t="n">
        <v>0.97</v>
      </c>
      <c r="X456" s="14" t="n">
        <v>0</v>
      </c>
      <c r="Y456" s="14" t="n">
        <v>0.1</v>
      </c>
      <c r="Z456" s="14" t="n">
        <v>0</v>
      </c>
      <c r="AA456" s="14" t="n">
        <v>0</v>
      </c>
    </row>
    <row r="457">
      <c r="A457" t="inlineStr">
        <is>
          <t>150607</t>
        </is>
      </c>
      <c r="B457" t="inlineStr">
        <is>
          <t>LIMA</t>
        </is>
      </c>
      <c r="C457" t="inlineStr">
        <is>
          <t>HUARAL</t>
        </is>
      </c>
      <c r="D457" t="inlineStr">
        <is>
          <t>LAMPIAN</t>
        </is>
      </c>
      <c r="E457" t="n">
        <v>169</v>
      </c>
      <c r="F457" s="14" t="n">
        <v>0</v>
      </c>
      <c r="G457" s="14" t="n">
        <v>76.92</v>
      </c>
      <c r="H457" s="14" t="n">
        <v>0</v>
      </c>
      <c r="I457" s="14" t="n">
        <v>0</v>
      </c>
      <c r="J457" s="14" t="n">
        <v>0</v>
      </c>
      <c r="K457" s="14" t="n">
        <v>0</v>
      </c>
      <c r="L457" s="14" t="n">
        <v>0</v>
      </c>
      <c r="M457" s="14" t="n">
        <v>5.33</v>
      </c>
      <c r="N457" s="14" t="n">
        <v>4.14</v>
      </c>
      <c r="O457" s="14" t="n">
        <v>1.78</v>
      </c>
      <c r="P457" s="14" t="n">
        <v>0</v>
      </c>
      <c r="Q457" s="14" t="n">
        <v>0</v>
      </c>
      <c r="R457" s="14" t="n">
        <v>0</v>
      </c>
      <c r="S457" s="14" t="n">
        <v>1.18</v>
      </c>
      <c r="T457" s="14" t="n">
        <v>2.37</v>
      </c>
      <c r="U457" s="14" t="n">
        <v>2.37</v>
      </c>
      <c r="V457" s="14" t="n">
        <v>2.96</v>
      </c>
      <c r="W457" s="14" t="n">
        <v>1.78</v>
      </c>
      <c r="X457" s="14" t="n">
        <v>0</v>
      </c>
      <c r="Y457" s="14" t="n">
        <v>0</v>
      </c>
      <c r="Z457" s="14" t="n">
        <v>1.18</v>
      </c>
      <c r="AA457" s="14" t="n">
        <v>0</v>
      </c>
    </row>
    <row r="458">
      <c r="A458" t="inlineStr">
        <is>
          <t>150608</t>
        </is>
      </c>
      <c r="B458" t="inlineStr">
        <is>
          <t>LIMA</t>
        </is>
      </c>
      <c r="C458" t="inlineStr">
        <is>
          <t>HUARAL</t>
        </is>
      </c>
      <c r="D458" t="inlineStr">
        <is>
          <t>PACARAOS</t>
        </is>
      </c>
      <c r="E458" t="n">
        <v>377</v>
      </c>
      <c r="F458" s="14" t="n">
        <v>0</v>
      </c>
      <c r="G458" s="14" t="n">
        <v>50.4</v>
      </c>
      <c r="H458" s="14" t="n">
        <v>0.53</v>
      </c>
      <c r="I458" s="14" t="n">
        <v>5.84</v>
      </c>
      <c r="J458" s="14" t="n">
        <v>0.8</v>
      </c>
      <c r="K458" s="14" t="n">
        <v>0.53</v>
      </c>
      <c r="L458" s="14" t="n">
        <v>6.63</v>
      </c>
      <c r="M458" s="14" t="n">
        <v>7.16</v>
      </c>
      <c r="N458" s="14" t="n">
        <v>3.98</v>
      </c>
      <c r="O458" s="14" t="n">
        <v>3.71</v>
      </c>
      <c r="P458" s="14" t="n">
        <v>0</v>
      </c>
      <c r="Q458" s="14" t="n">
        <v>0</v>
      </c>
      <c r="R458" s="14" t="n">
        <v>0</v>
      </c>
      <c r="S458" s="14" t="n">
        <v>1.86</v>
      </c>
      <c r="T458" s="14" t="n">
        <v>0.8</v>
      </c>
      <c r="U458" s="14" t="n">
        <v>6.37</v>
      </c>
      <c r="V458" s="14" t="n">
        <v>3.98</v>
      </c>
      <c r="W458" s="14" t="n">
        <v>2.39</v>
      </c>
      <c r="X458" s="14" t="n">
        <v>1.06</v>
      </c>
      <c r="Y458" s="14" t="n">
        <v>3.18</v>
      </c>
      <c r="Z458" s="14" t="n">
        <v>0.8</v>
      </c>
      <c r="AA458" s="14" t="n">
        <v>0</v>
      </c>
    </row>
    <row r="459">
      <c r="A459" t="inlineStr">
        <is>
          <t>150609</t>
        </is>
      </c>
      <c r="B459" t="inlineStr">
        <is>
          <t>LIMA</t>
        </is>
      </c>
      <c r="C459" t="inlineStr">
        <is>
          <t>HUARAL</t>
        </is>
      </c>
      <c r="D459" t="inlineStr">
        <is>
          <t>SAN MIGUEL DE ACOS</t>
        </is>
      </c>
      <c r="E459" t="n">
        <v>414</v>
      </c>
      <c r="F459" s="14" t="n">
        <v>0</v>
      </c>
      <c r="G459" s="14" t="n">
        <v>46.62</v>
      </c>
      <c r="H459" s="14" t="n">
        <v>0.72</v>
      </c>
      <c r="I459" s="14" t="n">
        <v>3.86</v>
      </c>
      <c r="J459" s="14" t="n">
        <v>2.9</v>
      </c>
      <c r="K459" s="14" t="n">
        <v>0.24</v>
      </c>
      <c r="L459" s="14" t="n">
        <v>11.35</v>
      </c>
      <c r="M459" s="14" t="n">
        <v>9.18</v>
      </c>
      <c r="N459" s="14" t="n">
        <v>5.8</v>
      </c>
      <c r="O459" s="14" t="n">
        <v>6.04</v>
      </c>
      <c r="P459" s="14" t="n">
        <v>0</v>
      </c>
      <c r="Q459" s="14" t="n">
        <v>0</v>
      </c>
      <c r="R459" s="14" t="n">
        <v>0</v>
      </c>
      <c r="S459" s="14" t="n">
        <v>3.62</v>
      </c>
      <c r="T459" s="14" t="n">
        <v>2.66</v>
      </c>
      <c r="U459" s="14" t="n">
        <v>3.38</v>
      </c>
      <c r="V459" s="14" t="n">
        <v>1.45</v>
      </c>
      <c r="W459" s="14" t="n">
        <v>1.21</v>
      </c>
      <c r="X459" s="14" t="n">
        <v>0</v>
      </c>
      <c r="Y459" s="14" t="n">
        <v>0.72</v>
      </c>
      <c r="Z459" s="14" t="n">
        <v>0.24</v>
      </c>
      <c r="AA459" s="14" t="n">
        <v>0</v>
      </c>
    </row>
    <row r="460">
      <c r="A460" t="inlineStr">
        <is>
          <t>150610</t>
        </is>
      </c>
      <c r="B460" t="inlineStr">
        <is>
          <t>LIMA</t>
        </is>
      </c>
      <c r="C460" t="inlineStr">
        <is>
          <t>HUARAL</t>
        </is>
      </c>
      <c r="D460" t="inlineStr">
        <is>
          <t>SANTA CRUZ DE ANDAMARCA</t>
        </is>
      </c>
      <c r="E460" t="n">
        <v>577</v>
      </c>
      <c r="F460" s="14" t="n">
        <v>0</v>
      </c>
      <c r="G460" s="14" t="n">
        <v>32.41</v>
      </c>
      <c r="H460" s="14" t="n">
        <v>10.4</v>
      </c>
      <c r="I460" s="14" t="n">
        <v>5.03</v>
      </c>
      <c r="J460" s="14" t="n">
        <v>1.21</v>
      </c>
      <c r="K460" s="14" t="n">
        <v>0.6899999999999999</v>
      </c>
      <c r="L460" s="14" t="n">
        <v>8.15</v>
      </c>
      <c r="M460" s="14" t="n">
        <v>11.96</v>
      </c>
      <c r="N460" s="14" t="n">
        <v>8.49</v>
      </c>
      <c r="O460" s="14" t="n">
        <v>3.64</v>
      </c>
      <c r="P460" s="14" t="n">
        <v>0.35</v>
      </c>
      <c r="Q460" s="14" t="n">
        <v>0.35</v>
      </c>
      <c r="R460" s="14" t="n">
        <v>0</v>
      </c>
      <c r="S460" s="14" t="n">
        <v>5.2</v>
      </c>
      <c r="T460" s="14" t="n">
        <v>8.67</v>
      </c>
      <c r="U460" s="14" t="n">
        <v>0.17</v>
      </c>
      <c r="V460" s="14" t="n">
        <v>1.56</v>
      </c>
      <c r="W460" s="14" t="n">
        <v>1.21</v>
      </c>
      <c r="X460" s="14" t="n">
        <v>0</v>
      </c>
      <c r="Y460" s="14" t="n">
        <v>0.17</v>
      </c>
      <c r="Z460" s="14" t="n">
        <v>0.35</v>
      </c>
      <c r="AA460" s="14" t="n">
        <v>0</v>
      </c>
    </row>
    <row r="461">
      <c r="A461" t="inlineStr">
        <is>
          <t>150611</t>
        </is>
      </c>
      <c r="B461" t="inlineStr">
        <is>
          <t>LIMA</t>
        </is>
      </c>
      <c r="C461" t="inlineStr">
        <is>
          <t>HUARAL</t>
        </is>
      </c>
      <c r="D461" t="inlineStr">
        <is>
          <t>SUMBILCA</t>
        </is>
      </c>
      <c r="E461" t="n">
        <v>410</v>
      </c>
      <c r="F461" s="14" t="n">
        <v>0</v>
      </c>
      <c r="G461" s="14" t="n">
        <v>82.2</v>
      </c>
      <c r="H461" s="14" t="n">
        <v>0.49</v>
      </c>
      <c r="I461" s="14" t="n">
        <v>1.22</v>
      </c>
      <c r="J461" s="14" t="n">
        <v>0</v>
      </c>
      <c r="K461" s="14" t="n">
        <v>0</v>
      </c>
      <c r="L461" s="14" t="n">
        <v>3.9</v>
      </c>
      <c r="M461" s="14" t="n">
        <v>4.63</v>
      </c>
      <c r="N461" s="14" t="n">
        <v>1.71</v>
      </c>
      <c r="O461" s="14" t="n">
        <v>0.24</v>
      </c>
      <c r="P461" s="14" t="n">
        <v>0</v>
      </c>
      <c r="Q461" s="14" t="n">
        <v>0</v>
      </c>
      <c r="R461" s="14" t="n">
        <v>0</v>
      </c>
      <c r="S461" s="14" t="n">
        <v>0.24</v>
      </c>
      <c r="T461" s="14" t="n">
        <v>0.24</v>
      </c>
      <c r="U461" s="14" t="n">
        <v>0.73</v>
      </c>
      <c r="V461" s="14" t="n">
        <v>2.44</v>
      </c>
      <c r="W461" s="14" t="n">
        <v>1.22</v>
      </c>
      <c r="X461" s="14" t="n">
        <v>0.24</v>
      </c>
      <c r="Y461" s="14" t="n">
        <v>0.49</v>
      </c>
      <c r="Z461" s="14" t="n">
        <v>0</v>
      </c>
      <c r="AA461" s="14" t="n">
        <v>0</v>
      </c>
    </row>
    <row r="462">
      <c r="A462" t="inlineStr">
        <is>
          <t>150612</t>
        </is>
      </c>
      <c r="B462" t="inlineStr">
        <is>
          <t>LIMA</t>
        </is>
      </c>
      <c r="C462" t="inlineStr">
        <is>
          <t>HUARAL</t>
        </is>
      </c>
      <c r="D462" t="inlineStr">
        <is>
          <t>VEINTISIETE DE NOVIEMBRE</t>
        </is>
      </c>
      <c r="E462" t="n">
        <v>206</v>
      </c>
      <c r="F462" s="14" t="n">
        <v>0</v>
      </c>
      <c r="G462" s="14" t="n">
        <v>77.18000000000001</v>
      </c>
      <c r="H462" s="14" t="n">
        <v>0</v>
      </c>
      <c r="I462" s="14" t="n">
        <v>0</v>
      </c>
      <c r="J462" s="14" t="n">
        <v>0</v>
      </c>
      <c r="K462" s="14" t="n">
        <v>0</v>
      </c>
      <c r="L462" s="14" t="n">
        <v>4.37</v>
      </c>
      <c r="M462" s="14" t="n">
        <v>4.37</v>
      </c>
      <c r="N462" s="14" t="n">
        <v>1.94</v>
      </c>
      <c r="O462" s="14" t="n">
        <v>0.49</v>
      </c>
      <c r="P462" s="14" t="n">
        <v>0</v>
      </c>
      <c r="Q462" s="14" t="n">
        <v>0.97</v>
      </c>
      <c r="R462" s="14" t="n">
        <v>0</v>
      </c>
      <c r="S462" s="14" t="n">
        <v>3.4</v>
      </c>
      <c r="T462" s="14" t="n">
        <v>0</v>
      </c>
      <c r="U462" s="14" t="n">
        <v>2.43</v>
      </c>
      <c r="V462" s="14" t="n">
        <v>1.46</v>
      </c>
      <c r="W462" s="14" t="n">
        <v>1.46</v>
      </c>
      <c r="X462" s="14" t="n">
        <v>0</v>
      </c>
      <c r="Y462" s="14" t="n">
        <v>1.94</v>
      </c>
      <c r="Z462" s="14" t="n">
        <v>0</v>
      </c>
      <c r="AA462" s="14" t="n">
        <v>0</v>
      </c>
    </row>
    <row r="463">
      <c r="A463" t="inlineStr">
        <is>
          <t>150701</t>
        </is>
      </c>
      <c r="B463" t="inlineStr">
        <is>
          <t>LIMA</t>
        </is>
      </c>
      <c r="C463" t="inlineStr">
        <is>
          <t>HUAROCHIRI</t>
        </is>
      </c>
      <c r="D463" t="inlineStr">
        <is>
          <t>MATUCANA</t>
        </is>
      </c>
      <c r="E463" t="n">
        <v>1703</v>
      </c>
      <c r="F463" s="14" t="n">
        <v>0</v>
      </c>
      <c r="G463" s="14" t="n">
        <v>28.07</v>
      </c>
      <c r="H463" s="14" t="n">
        <v>1.76</v>
      </c>
      <c r="I463" s="14" t="n">
        <v>3.35</v>
      </c>
      <c r="J463" s="14" t="n">
        <v>0.06</v>
      </c>
      <c r="K463" s="14" t="n">
        <v>0.35</v>
      </c>
      <c r="L463" s="14" t="n">
        <v>9.51</v>
      </c>
      <c r="M463" s="14" t="n">
        <v>14.8</v>
      </c>
      <c r="N463" s="14" t="n">
        <v>9.859999999999999</v>
      </c>
      <c r="O463" s="14" t="n">
        <v>7.75</v>
      </c>
      <c r="P463" s="14" t="n">
        <v>0.23</v>
      </c>
      <c r="Q463" s="14" t="n">
        <v>0.06</v>
      </c>
      <c r="R463" s="14" t="n">
        <v>0.06</v>
      </c>
      <c r="S463" s="14" t="n">
        <v>3.58</v>
      </c>
      <c r="T463" s="14" t="n">
        <v>4.11</v>
      </c>
      <c r="U463" s="14" t="n">
        <v>7.16</v>
      </c>
      <c r="V463" s="14" t="n">
        <v>4.82</v>
      </c>
      <c r="W463" s="14" t="n">
        <v>1.82</v>
      </c>
      <c r="X463" s="14" t="n">
        <v>0.47</v>
      </c>
      <c r="Y463" s="14" t="n">
        <v>1.76</v>
      </c>
      <c r="Z463" s="14" t="n">
        <v>0.41</v>
      </c>
      <c r="AA463" s="14" t="n">
        <v>0</v>
      </c>
    </row>
    <row r="464">
      <c r="A464" t="inlineStr">
        <is>
          <t>150702</t>
        </is>
      </c>
      <c r="B464" t="inlineStr">
        <is>
          <t>LIMA</t>
        </is>
      </c>
      <c r="C464" t="inlineStr">
        <is>
          <t>HUAROCHIRI</t>
        </is>
      </c>
      <c r="D464" t="inlineStr">
        <is>
          <t>ANTIOQUIA</t>
        </is>
      </c>
      <c r="E464" t="n">
        <v>606</v>
      </c>
      <c r="F464" s="14" t="n">
        <v>0</v>
      </c>
      <c r="G464" s="14" t="n">
        <v>58.09</v>
      </c>
      <c r="H464" s="14" t="n">
        <v>3.63</v>
      </c>
      <c r="I464" s="14" t="n">
        <v>2.81</v>
      </c>
      <c r="J464" s="14" t="n">
        <v>0</v>
      </c>
      <c r="K464" s="14" t="n">
        <v>0</v>
      </c>
      <c r="L464" s="14" t="n">
        <v>6.93</v>
      </c>
      <c r="M464" s="14" t="n">
        <v>8.09</v>
      </c>
      <c r="N464" s="14" t="n">
        <v>3.8</v>
      </c>
      <c r="O464" s="14" t="n">
        <v>5.61</v>
      </c>
      <c r="P464" s="14" t="n">
        <v>0</v>
      </c>
      <c r="Q464" s="14" t="n">
        <v>0</v>
      </c>
      <c r="R464" s="14" t="n">
        <v>0</v>
      </c>
      <c r="S464" s="14" t="n">
        <v>1.16</v>
      </c>
      <c r="T464" s="14" t="n">
        <v>3.14</v>
      </c>
      <c r="U464" s="14" t="n">
        <v>1.16</v>
      </c>
      <c r="V464" s="14" t="n">
        <v>1.32</v>
      </c>
      <c r="W464" s="14" t="n">
        <v>0.83</v>
      </c>
      <c r="X464" s="14" t="n">
        <v>0.5</v>
      </c>
      <c r="Y464" s="14" t="n">
        <v>1.65</v>
      </c>
      <c r="Z464" s="14" t="n">
        <v>1.32</v>
      </c>
      <c r="AA464" s="14" t="n">
        <v>0</v>
      </c>
    </row>
    <row r="465">
      <c r="A465" t="inlineStr">
        <is>
          <t>150703</t>
        </is>
      </c>
      <c r="B465" t="inlineStr">
        <is>
          <t>LIMA</t>
        </is>
      </c>
      <c r="C465" t="inlineStr">
        <is>
          <t>HUAROCHIRI</t>
        </is>
      </c>
      <c r="D465" t="inlineStr">
        <is>
          <t>CALLAHUANCA</t>
        </is>
      </c>
      <c r="E465" t="n">
        <v>412</v>
      </c>
      <c r="F465" s="14" t="n">
        <v>0</v>
      </c>
      <c r="G465" s="14" t="n">
        <v>44.66</v>
      </c>
      <c r="H465" s="14" t="n">
        <v>0.73</v>
      </c>
      <c r="I465" s="14" t="n">
        <v>3.88</v>
      </c>
      <c r="J465" s="14" t="n">
        <v>0.97</v>
      </c>
      <c r="K465" s="14" t="n">
        <v>0.49</v>
      </c>
      <c r="L465" s="14" t="n">
        <v>7.52</v>
      </c>
      <c r="M465" s="14" t="n">
        <v>8.98</v>
      </c>
      <c r="N465" s="14" t="n">
        <v>5.83</v>
      </c>
      <c r="O465" s="14" t="n">
        <v>7.52</v>
      </c>
      <c r="P465" s="14" t="n">
        <v>0.73</v>
      </c>
      <c r="Q465" s="14" t="n">
        <v>0</v>
      </c>
      <c r="R465" s="14" t="n">
        <v>0</v>
      </c>
      <c r="S465" s="14" t="n">
        <v>0.97</v>
      </c>
      <c r="T465" s="14" t="n">
        <v>2.43</v>
      </c>
      <c r="U465" s="14" t="n">
        <v>7.77</v>
      </c>
      <c r="V465" s="14" t="n">
        <v>2.43</v>
      </c>
      <c r="W465" s="14" t="n">
        <v>2.43</v>
      </c>
      <c r="X465" s="14" t="n">
        <v>1.21</v>
      </c>
      <c r="Y465" s="14" t="n">
        <v>0.73</v>
      </c>
      <c r="Z465" s="14" t="n">
        <v>0.73</v>
      </c>
      <c r="AA465" s="14" t="n">
        <v>0</v>
      </c>
    </row>
    <row r="466">
      <c r="A466" t="inlineStr">
        <is>
          <t>150704</t>
        </is>
      </c>
      <c r="B466" t="inlineStr">
        <is>
          <t>LIMA</t>
        </is>
      </c>
      <c r="C466" t="inlineStr">
        <is>
          <t>HUAROCHIRI</t>
        </is>
      </c>
      <c r="D466" t="inlineStr">
        <is>
          <t>CARAMPOMA</t>
        </is>
      </c>
      <c r="E466" t="n">
        <v>172</v>
      </c>
      <c r="F466" s="14" t="n">
        <v>0</v>
      </c>
      <c r="G466" s="14" t="n">
        <v>60.47</v>
      </c>
      <c r="H466" s="14" t="n">
        <v>0</v>
      </c>
      <c r="I466" s="14" t="n">
        <v>3.49</v>
      </c>
      <c r="J466" s="14" t="n">
        <v>1.16</v>
      </c>
      <c r="K466" s="14" t="n">
        <v>0.58</v>
      </c>
      <c r="L466" s="14" t="n">
        <v>9.300000000000001</v>
      </c>
      <c r="M466" s="14" t="n">
        <v>8.720000000000001</v>
      </c>
      <c r="N466" s="14" t="n">
        <v>5.23</v>
      </c>
      <c r="O466" s="14" t="n">
        <v>2.33</v>
      </c>
      <c r="P466" s="14" t="n">
        <v>0</v>
      </c>
      <c r="Q466" s="14" t="n">
        <v>0</v>
      </c>
      <c r="R466" s="14" t="n">
        <v>0</v>
      </c>
      <c r="S466" s="14" t="n">
        <v>1.16</v>
      </c>
      <c r="T466" s="14" t="n">
        <v>0.58</v>
      </c>
      <c r="U466" s="14" t="n">
        <v>4.07</v>
      </c>
      <c r="V466" s="14" t="n">
        <v>1.74</v>
      </c>
      <c r="W466" s="14" t="n">
        <v>0</v>
      </c>
      <c r="X466" s="14" t="n">
        <v>0</v>
      </c>
      <c r="Y466" s="14" t="n">
        <v>0.58</v>
      </c>
      <c r="Z466" s="14" t="n">
        <v>0.58</v>
      </c>
      <c r="AA466" s="14" t="n">
        <v>0</v>
      </c>
    </row>
    <row r="467">
      <c r="A467" t="inlineStr">
        <is>
          <t>150705</t>
        </is>
      </c>
      <c r="B467" t="inlineStr">
        <is>
          <t>LIMA</t>
        </is>
      </c>
      <c r="C467" t="inlineStr">
        <is>
          <t>HUAROCHIRI</t>
        </is>
      </c>
      <c r="D467" t="inlineStr">
        <is>
          <t>CHICLA</t>
        </is>
      </c>
      <c r="E467" t="n">
        <v>2190</v>
      </c>
      <c r="F467" s="14" t="n">
        <v>0</v>
      </c>
      <c r="G467" s="14" t="n">
        <v>3.7</v>
      </c>
      <c r="H467" s="14" t="n">
        <v>71</v>
      </c>
      <c r="I467" s="14" t="n">
        <v>1.92</v>
      </c>
      <c r="J467" s="14" t="n">
        <v>0</v>
      </c>
      <c r="K467" s="14" t="n">
        <v>0.05</v>
      </c>
      <c r="L467" s="14" t="n">
        <v>2.69</v>
      </c>
      <c r="M467" s="14" t="n">
        <v>5.11</v>
      </c>
      <c r="N467" s="14" t="n">
        <v>3.38</v>
      </c>
      <c r="O467" s="14" t="n">
        <v>4.06</v>
      </c>
      <c r="P467" s="14" t="n">
        <v>0.09</v>
      </c>
      <c r="Q467" s="14" t="n">
        <v>0</v>
      </c>
      <c r="R467" s="14" t="n">
        <v>0</v>
      </c>
      <c r="S467" s="14" t="n">
        <v>0.73</v>
      </c>
      <c r="T467" s="14" t="n">
        <v>3.56</v>
      </c>
      <c r="U467" s="14" t="n">
        <v>1.46</v>
      </c>
      <c r="V467" s="14" t="n">
        <v>0.5</v>
      </c>
      <c r="W467" s="14" t="n">
        <v>0.82</v>
      </c>
      <c r="X467" s="14" t="n">
        <v>0</v>
      </c>
      <c r="Y467" s="14" t="n">
        <v>0.59</v>
      </c>
      <c r="Z467" s="14" t="n">
        <v>0.32</v>
      </c>
      <c r="AA467" s="14" t="n">
        <v>0</v>
      </c>
    </row>
    <row r="468">
      <c r="A468" t="inlineStr">
        <is>
          <t>150706</t>
        </is>
      </c>
      <c r="B468" t="inlineStr">
        <is>
          <t>LIMA</t>
        </is>
      </c>
      <c r="C468" t="inlineStr">
        <is>
          <t>HUAROCHIRI</t>
        </is>
      </c>
      <c r="D468" t="inlineStr">
        <is>
          <t>CUENCA</t>
        </is>
      </c>
      <c r="E468" t="n">
        <v>231</v>
      </c>
      <c r="F468" s="14" t="n">
        <v>0</v>
      </c>
      <c r="G468" s="14" t="n">
        <v>67.09999999999999</v>
      </c>
      <c r="H468" s="14" t="n">
        <v>1.3</v>
      </c>
      <c r="I468" s="14" t="n">
        <v>0.43</v>
      </c>
      <c r="J468" s="14" t="n">
        <v>0</v>
      </c>
      <c r="K468" s="14" t="n">
        <v>0</v>
      </c>
      <c r="L468" s="14" t="n">
        <v>3.46</v>
      </c>
      <c r="M468" s="14" t="n">
        <v>15.58</v>
      </c>
      <c r="N468" s="14" t="n">
        <v>3.03</v>
      </c>
      <c r="O468" s="14" t="n">
        <v>0.87</v>
      </c>
      <c r="P468" s="14" t="n">
        <v>0</v>
      </c>
      <c r="Q468" s="14" t="n">
        <v>0</v>
      </c>
      <c r="R468" s="14" t="n">
        <v>0</v>
      </c>
      <c r="S468" s="14" t="n">
        <v>1.3</v>
      </c>
      <c r="T468" s="14" t="n">
        <v>0.87</v>
      </c>
      <c r="U468" s="14" t="n">
        <v>1.73</v>
      </c>
      <c r="V468" s="14" t="n">
        <v>2.16</v>
      </c>
      <c r="W468" s="14" t="n">
        <v>1.73</v>
      </c>
      <c r="X468" s="14" t="n">
        <v>0</v>
      </c>
      <c r="Y468" s="14" t="n">
        <v>0</v>
      </c>
      <c r="Z468" s="14" t="n">
        <v>0.43</v>
      </c>
      <c r="AA468" s="14" t="n">
        <v>0</v>
      </c>
    </row>
    <row r="469">
      <c r="A469" t="inlineStr">
        <is>
          <t>150707</t>
        </is>
      </c>
      <c r="B469" t="inlineStr">
        <is>
          <t>LIMA</t>
        </is>
      </c>
      <c r="C469" t="inlineStr">
        <is>
          <t>HUAROCHIRI</t>
        </is>
      </c>
      <c r="D469" t="inlineStr">
        <is>
          <t>HUACHUPAMPA</t>
        </is>
      </c>
      <c r="E469" t="n">
        <v>333</v>
      </c>
      <c r="F469" s="14" t="n">
        <v>0</v>
      </c>
      <c r="G469" s="14" t="n">
        <v>52.85</v>
      </c>
      <c r="H469" s="14" t="n">
        <v>3</v>
      </c>
      <c r="I469" s="14" t="n">
        <v>4.2</v>
      </c>
      <c r="J469" s="14" t="n">
        <v>0.9</v>
      </c>
      <c r="K469" s="14" t="n">
        <v>0.6</v>
      </c>
      <c r="L469" s="14" t="n">
        <v>10.21</v>
      </c>
      <c r="M469" s="14" t="n">
        <v>8.710000000000001</v>
      </c>
      <c r="N469" s="14" t="n">
        <v>4.8</v>
      </c>
      <c r="O469" s="14" t="n">
        <v>1.8</v>
      </c>
      <c r="P469" s="14" t="n">
        <v>0.3</v>
      </c>
      <c r="Q469" s="14" t="n">
        <v>0.3</v>
      </c>
      <c r="R469" s="14" t="n">
        <v>0</v>
      </c>
      <c r="S469" s="14" t="n">
        <v>1.8</v>
      </c>
      <c r="T469" s="14" t="n">
        <v>0.3</v>
      </c>
      <c r="U469" s="14" t="n">
        <v>1.5</v>
      </c>
      <c r="V469" s="14" t="n">
        <v>6.01</v>
      </c>
      <c r="W469" s="14" t="n">
        <v>0.9</v>
      </c>
      <c r="X469" s="14" t="n">
        <v>0</v>
      </c>
      <c r="Y469" s="14" t="n">
        <v>1.2</v>
      </c>
      <c r="Z469" s="14" t="n">
        <v>0.6</v>
      </c>
      <c r="AA469" s="14" t="n">
        <v>0</v>
      </c>
    </row>
    <row r="470">
      <c r="A470" t="inlineStr">
        <is>
          <t>150708</t>
        </is>
      </c>
      <c r="B470" t="inlineStr">
        <is>
          <t>LIMA</t>
        </is>
      </c>
      <c r="C470" t="inlineStr">
        <is>
          <t>HUAROCHIRI</t>
        </is>
      </c>
      <c r="D470" t="inlineStr">
        <is>
          <t>HUANZA</t>
        </is>
      </c>
      <c r="E470" t="n">
        <v>478</v>
      </c>
      <c r="F470" s="14" t="n">
        <v>0</v>
      </c>
      <c r="G470" s="14" t="n">
        <v>20.29</v>
      </c>
      <c r="H470" s="14" t="n">
        <v>1.05</v>
      </c>
      <c r="I470" s="14" t="n">
        <v>6.9</v>
      </c>
      <c r="J470" s="14" t="n">
        <v>11.92</v>
      </c>
      <c r="K470" s="14" t="n">
        <v>0.21</v>
      </c>
      <c r="L470" s="14" t="n">
        <v>26.78</v>
      </c>
      <c r="M470" s="14" t="n">
        <v>9.41</v>
      </c>
      <c r="N470" s="14" t="n">
        <v>7.32</v>
      </c>
      <c r="O470" s="14" t="n">
        <v>3.14</v>
      </c>
      <c r="P470" s="14" t="n">
        <v>0</v>
      </c>
      <c r="Q470" s="14" t="n">
        <v>0</v>
      </c>
      <c r="R470" s="14" t="n">
        <v>0</v>
      </c>
      <c r="S470" s="14" t="n">
        <v>1.88</v>
      </c>
      <c r="T470" s="14" t="n">
        <v>1.88</v>
      </c>
      <c r="U470" s="14" t="n">
        <v>4.81</v>
      </c>
      <c r="V470" s="14" t="n">
        <v>1.26</v>
      </c>
      <c r="W470" s="14" t="n">
        <v>2.09</v>
      </c>
      <c r="X470" s="14" t="n">
        <v>0</v>
      </c>
      <c r="Y470" s="14" t="n">
        <v>0.42</v>
      </c>
      <c r="Z470" s="14" t="n">
        <v>0.63</v>
      </c>
      <c r="AA470" s="14" t="n">
        <v>0</v>
      </c>
    </row>
    <row r="471">
      <c r="A471" t="inlineStr">
        <is>
          <t>150709</t>
        </is>
      </c>
      <c r="B471" t="inlineStr">
        <is>
          <t>LIMA</t>
        </is>
      </c>
      <c r="C471" t="inlineStr">
        <is>
          <t>HUAROCHIRI</t>
        </is>
      </c>
      <c r="D471" t="inlineStr">
        <is>
          <t>HUAROCHIRI</t>
        </is>
      </c>
      <c r="E471" t="n">
        <v>593</v>
      </c>
      <c r="F471" s="14" t="n">
        <v>0</v>
      </c>
      <c r="G471" s="14" t="n">
        <v>60.2</v>
      </c>
      <c r="H471" s="14" t="n">
        <v>0.34</v>
      </c>
      <c r="I471" s="14" t="n">
        <v>1.85</v>
      </c>
      <c r="J471" s="14" t="n">
        <v>0</v>
      </c>
      <c r="K471" s="14" t="n">
        <v>0.17</v>
      </c>
      <c r="L471" s="14" t="n">
        <v>6.75</v>
      </c>
      <c r="M471" s="14" t="n">
        <v>15.68</v>
      </c>
      <c r="N471" s="14" t="n">
        <v>1.69</v>
      </c>
      <c r="O471" s="14" t="n">
        <v>2.53</v>
      </c>
      <c r="P471" s="14" t="n">
        <v>0</v>
      </c>
      <c r="Q471" s="14" t="n">
        <v>0</v>
      </c>
      <c r="R471" s="14" t="n">
        <v>0</v>
      </c>
      <c r="S471" s="14" t="n">
        <v>0.67</v>
      </c>
      <c r="T471" s="14" t="n">
        <v>0.84</v>
      </c>
      <c r="U471" s="14" t="n">
        <v>3.2</v>
      </c>
      <c r="V471" s="14" t="n">
        <v>3.88</v>
      </c>
      <c r="W471" s="14" t="n">
        <v>1.18</v>
      </c>
      <c r="X471" s="14" t="n">
        <v>0</v>
      </c>
      <c r="Y471" s="14" t="n">
        <v>0.34</v>
      </c>
      <c r="Z471" s="14" t="n">
        <v>0.67</v>
      </c>
      <c r="AA471" s="14" t="n">
        <v>0</v>
      </c>
    </row>
    <row r="472">
      <c r="A472" t="inlineStr">
        <is>
          <t>150710</t>
        </is>
      </c>
      <c r="B472" t="inlineStr">
        <is>
          <t>LIMA</t>
        </is>
      </c>
      <c r="C472" t="inlineStr">
        <is>
          <t>HUAROCHIRI</t>
        </is>
      </c>
      <c r="D472" t="inlineStr">
        <is>
          <t>LAHUAYTAMBO</t>
        </is>
      </c>
      <c r="E472" t="n">
        <v>333</v>
      </c>
      <c r="F472" s="14" t="n">
        <v>0</v>
      </c>
      <c r="G472" s="14" t="n">
        <v>91.29000000000001</v>
      </c>
      <c r="H472" s="14" t="n">
        <v>0</v>
      </c>
      <c r="I472" s="14" t="n">
        <v>0.3</v>
      </c>
      <c r="J472" s="14" t="n">
        <v>0</v>
      </c>
      <c r="K472" s="14" t="n">
        <v>0</v>
      </c>
      <c r="L472" s="14" t="n">
        <v>1.2</v>
      </c>
      <c r="M472" s="14" t="n">
        <v>1.8</v>
      </c>
      <c r="N472" s="14" t="n">
        <v>0.6</v>
      </c>
      <c r="O472" s="14" t="n">
        <v>1.2</v>
      </c>
      <c r="P472" s="14" t="n">
        <v>0</v>
      </c>
      <c r="Q472" s="14" t="n">
        <v>0</v>
      </c>
      <c r="R472" s="14" t="n">
        <v>0</v>
      </c>
      <c r="S472" s="14" t="n">
        <v>0.3</v>
      </c>
      <c r="T472" s="14" t="n">
        <v>0</v>
      </c>
      <c r="U472" s="14" t="n">
        <v>0.9</v>
      </c>
      <c r="V472" s="14" t="n">
        <v>1.2</v>
      </c>
      <c r="W472" s="14" t="n">
        <v>0.6</v>
      </c>
      <c r="X472" s="14" t="n">
        <v>0</v>
      </c>
      <c r="Y472" s="14" t="n">
        <v>0.3</v>
      </c>
      <c r="Z472" s="14" t="n">
        <v>0.3</v>
      </c>
      <c r="AA472" s="14" t="n">
        <v>0</v>
      </c>
    </row>
    <row r="473">
      <c r="A473" t="inlineStr">
        <is>
          <t>150711</t>
        </is>
      </c>
      <c r="B473" t="inlineStr">
        <is>
          <t>LIMA</t>
        </is>
      </c>
      <c r="C473" t="inlineStr">
        <is>
          <t>HUAROCHIRI</t>
        </is>
      </c>
      <c r="D473" t="inlineStr">
        <is>
          <t>LANGA</t>
        </is>
      </c>
      <c r="E473" t="n">
        <v>391</v>
      </c>
      <c r="F473" s="14" t="n">
        <v>0</v>
      </c>
      <c r="G473" s="14" t="n">
        <v>70.84</v>
      </c>
      <c r="H473" s="14" t="n">
        <v>1.28</v>
      </c>
      <c r="I473" s="14" t="n">
        <v>0.51</v>
      </c>
      <c r="J473" s="14" t="n">
        <v>0</v>
      </c>
      <c r="K473" s="14" t="n">
        <v>0</v>
      </c>
      <c r="L473" s="14" t="n">
        <v>5.88</v>
      </c>
      <c r="M473" s="14" t="n">
        <v>11.51</v>
      </c>
      <c r="N473" s="14" t="n">
        <v>1.53</v>
      </c>
      <c r="O473" s="14" t="n">
        <v>2.3</v>
      </c>
      <c r="P473" s="14" t="n">
        <v>0</v>
      </c>
      <c r="Q473" s="14" t="n">
        <v>0</v>
      </c>
      <c r="R473" s="14" t="n">
        <v>0</v>
      </c>
      <c r="S473" s="14" t="n">
        <v>0.26</v>
      </c>
      <c r="T473" s="14" t="n">
        <v>0</v>
      </c>
      <c r="U473" s="14" t="n">
        <v>1.28</v>
      </c>
      <c r="V473" s="14" t="n">
        <v>2.3</v>
      </c>
      <c r="W473" s="14" t="n">
        <v>2.05</v>
      </c>
      <c r="X473" s="14" t="n">
        <v>0.26</v>
      </c>
      <c r="Y473" s="14" t="n">
        <v>0</v>
      </c>
      <c r="Z473" s="14" t="n">
        <v>0</v>
      </c>
      <c r="AA473" s="14" t="n">
        <v>0</v>
      </c>
    </row>
    <row r="474">
      <c r="A474" t="inlineStr">
        <is>
          <t>150712</t>
        </is>
      </c>
      <c r="B474" t="inlineStr">
        <is>
          <t>LIMA</t>
        </is>
      </c>
      <c r="C474" t="inlineStr">
        <is>
          <t>HUAROCHIRI</t>
        </is>
      </c>
      <c r="D474" t="inlineStr">
        <is>
          <t>LARAOS</t>
        </is>
      </c>
      <c r="E474" t="n">
        <v>380</v>
      </c>
      <c r="F474" s="14" t="n">
        <v>0</v>
      </c>
      <c r="G474" s="14" t="n">
        <v>53.42</v>
      </c>
      <c r="H474" s="14" t="n">
        <v>0.26</v>
      </c>
      <c r="I474" s="14" t="n">
        <v>2.63</v>
      </c>
      <c r="J474" s="14" t="n">
        <v>0</v>
      </c>
      <c r="K474" s="14" t="n">
        <v>0</v>
      </c>
      <c r="L474" s="14" t="n">
        <v>4.47</v>
      </c>
      <c r="M474" s="14" t="n">
        <v>18.42</v>
      </c>
      <c r="N474" s="14" t="n">
        <v>6.05</v>
      </c>
      <c r="O474" s="14" t="n">
        <v>1.58</v>
      </c>
      <c r="P474" s="14" t="n">
        <v>0.26</v>
      </c>
      <c r="Q474" s="14" t="n">
        <v>0</v>
      </c>
      <c r="R474" s="14" t="n">
        <v>0</v>
      </c>
      <c r="S474" s="14" t="n">
        <v>2.37</v>
      </c>
      <c r="T474" s="14" t="n">
        <v>0.79</v>
      </c>
      <c r="U474" s="14" t="n">
        <v>1.58</v>
      </c>
      <c r="V474" s="14" t="n">
        <v>3.95</v>
      </c>
      <c r="W474" s="14" t="n">
        <v>1.58</v>
      </c>
      <c r="X474" s="14" t="n">
        <v>0.26</v>
      </c>
      <c r="Y474" s="14" t="n">
        <v>2.11</v>
      </c>
      <c r="Z474" s="14" t="n">
        <v>0.26</v>
      </c>
      <c r="AA474" s="14" t="n">
        <v>0</v>
      </c>
    </row>
    <row r="475">
      <c r="A475" t="inlineStr">
        <is>
          <t>150713</t>
        </is>
      </c>
      <c r="B475" t="inlineStr">
        <is>
          <t>LIMA</t>
        </is>
      </c>
      <c r="C475" t="inlineStr">
        <is>
          <t>HUAROCHIRI</t>
        </is>
      </c>
      <c r="D475" t="inlineStr">
        <is>
          <t>MARIATANA</t>
        </is>
      </c>
      <c r="E475" t="n">
        <v>612</v>
      </c>
      <c r="F475" s="14" t="n">
        <v>0</v>
      </c>
      <c r="G475" s="14" t="n">
        <v>89.54000000000001</v>
      </c>
      <c r="H475" s="14" t="n">
        <v>0</v>
      </c>
      <c r="I475" s="14" t="n">
        <v>0.49</v>
      </c>
      <c r="J475" s="14" t="n">
        <v>0</v>
      </c>
      <c r="K475" s="14" t="n">
        <v>0</v>
      </c>
      <c r="L475" s="14" t="n">
        <v>2.78</v>
      </c>
      <c r="M475" s="14" t="n">
        <v>3.43</v>
      </c>
      <c r="N475" s="14" t="n">
        <v>0.16</v>
      </c>
      <c r="O475" s="14" t="n">
        <v>0.49</v>
      </c>
      <c r="P475" s="14" t="n">
        <v>0</v>
      </c>
      <c r="Q475" s="14" t="n">
        <v>0</v>
      </c>
      <c r="R475" s="14" t="n">
        <v>0</v>
      </c>
      <c r="S475" s="14" t="n">
        <v>0.65</v>
      </c>
      <c r="T475" s="14" t="n">
        <v>0.16</v>
      </c>
      <c r="U475" s="14" t="n">
        <v>0.65</v>
      </c>
      <c r="V475" s="14" t="n">
        <v>0.49</v>
      </c>
      <c r="W475" s="14" t="n">
        <v>0.65</v>
      </c>
      <c r="X475" s="14" t="n">
        <v>0</v>
      </c>
      <c r="Y475" s="14" t="n">
        <v>0.16</v>
      </c>
      <c r="Z475" s="14" t="n">
        <v>0.33</v>
      </c>
      <c r="AA475" s="14" t="n">
        <v>0</v>
      </c>
    </row>
    <row r="476">
      <c r="A476" t="inlineStr">
        <is>
          <t>150714</t>
        </is>
      </c>
      <c r="B476" t="inlineStr">
        <is>
          <t>LIMA</t>
        </is>
      </c>
      <c r="C476" t="inlineStr">
        <is>
          <t>HUAROCHIRI</t>
        </is>
      </c>
      <c r="D476" t="inlineStr">
        <is>
          <t>RICARDO PALMA</t>
        </is>
      </c>
      <c r="E476" t="n">
        <v>2695</v>
      </c>
      <c r="F476" s="14" t="n">
        <v>0</v>
      </c>
      <c r="G476" s="14" t="n">
        <v>2.71</v>
      </c>
      <c r="H476" s="14" t="n">
        <v>0.67</v>
      </c>
      <c r="I476" s="14" t="n">
        <v>6.53</v>
      </c>
      <c r="J476" s="14" t="n">
        <v>0.11</v>
      </c>
      <c r="K476" s="14" t="n">
        <v>0.07000000000000001</v>
      </c>
      <c r="L476" s="14" t="n">
        <v>9.279999999999999</v>
      </c>
      <c r="M476" s="14" t="n">
        <v>21.41</v>
      </c>
      <c r="N476" s="14" t="n">
        <v>15.36</v>
      </c>
      <c r="O476" s="14" t="n">
        <v>9.5</v>
      </c>
      <c r="P476" s="14" t="n">
        <v>0.78</v>
      </c>
      <c r="Q476" s="14" t="n">
        <v>0.63</v>
      </c>
      <c r="R476" s="14" t="n">
        <v>0.15</v>
      </c>
      <c r="S476" s="14" t="n">
        <v>4.12</v>
      </c>
      <c r="T476" s="14" t="n">
        <v>4.64</v>
      </c>
      <c r="U476" s="14" t="n">
        <v>4.38</v>
      </c>
      <c r="V476" s="14" t="n">
        <v>9.02</v>
      </c>
      <c r="W476" s="14" t="n">
        <v>3.38</v>
      </c>
      <c r="X476" s="14" t="n">
        <v>1.63</v>
      </c>
      <c r="Y476" s="14" t="n">
        <v>3.38</v>
      </c>
      <c r="Z476" s="14" t="n">
        <v>2.26</v>
      </c>
      <c r="AA476" s="14" t="n">
        <v>0</v>
      </c>
    </row>
    <row r="477">
      <c r="A477" t="inlineStr">
        <is>
          <t>150715</t>
        </is>
      </c>
      <c r="B477" t="inlineStr">
        <is>
          <t>LIMA</t>
        </is>
      </c>
      <c r="C477" t="inlineStr">
        <is>
          <t>HUAROCHIRI</t>
        </is>
      </c>
      <c r="D477" t="inlineStr">
        <is>
          <t>SAN ANDRES DE TUPICOCHA</t>
        </is>
      </c>
      <c r="E477" t="n">
        <v>726</v>
      </c>
      <c r="F477" s="14" t="n">
        <v>0</v>
      </c>
      <c r="G477" s="14" t="n">
        <v>89.53</v>
      </c>
      <c r="H477" s="14" t="n">
        <v>0.14</v>
      </c>
      <c r="I477" s="14" t="n">
        <v>0.28</v>
      </c>
      <c r="J477" s="14" t="n">
        <v>0</v>
      </c>
      <c r="K477" s="14" t="n">
        <v>0</v>
      </c>
      <c r="L477" s="14" t="n">
        <v>0.28</v>
      </c>
      <c r="M477" s="14" t="n">
        <v>3.99</v>
      </c>
      <c r="N477" s="14" t="n">
        <v>1.1</v>
      </c>
      <c r="O477" s="14" t="n">
        <v>1.65</v>
      </c>
      <c r="P477" s="14" t="n">
        <v>0</v>
      </c>
      <c r="Q477" s="14" t="n">
        <v>0</v>
      </c>
      <c r="R477" s="14" t="n">
        <v>0</v>
      </c>
      <c r="S477" s="14" t="n">
        <v>0.6899999999999999</v>
      </c>
      <c r="T477" s="14" t="n">
        <v>0.28</v>
      </c>
      <c r="U477" s="14" t="n">
        <v>0.55</v>
      </c>
      <c r="V477" s="14" t="n">
        <v>0.6899999999999999</v>
      </c>
      <c r="W477" s="14" t="n">
        <v>0.14</v>
      </c>
      <c r="X477" s="14" t="n">
        <v>0</v>
      </c>
      <c r="Y477" s="14" t="n">
        <v>0.41</v>
      </c>
      <c r="Z477" s="14" t="n">
        <v>0.28</v>
      </c>
      <c r="AA477" s="14" t="n">
        <v>0</v>
      </c>
    </row>
    <row r="478">
      <c r="A478" t="inlineStr">
        <is>
          <t>150716</t>
        </is>
      </c>
      <c r="B478" t="inlineStr">
        <is>
          <t>LIMA</t>
        </is>
      </c>
      <c r="C478" t="inlineStr">
        <is>
          <t>HUAROCHIRI</t>
        </is>
      </c>
      <c r="D478" t="inlineStr">
        <is>
          <t>SAN ANTONIO</t>
        </is>
      </c>
      <c r="E478" t="n">
        <v>675</v>
      </c>
      <c r="F478" s="14" t="n">
        <v>0</v>
      </c>
      <c r="G478" s="14" t="n">
        <v>32</v>
      </c>
      <c r="H478" s="14" t="n">
        <v>22.37</v>
      </c>
      <c r="I478" s="14" t="n">
        <v>1.19</v>
      </c>
      <c r="J478" s="14" t="n">
        <v>0</v>
      </c>
      <c r="K478" s="14" t="n">
        <v>28.3</v>
      </c>
      <c r="L478" s="14" t="n">
        <v>2.52</v>
      </c>
      <c r="M478" s="14" t="n">
        <v>4</v>
      </c>
      <c r="N478" s="14" t="n">
        <v>1.48</v>
      </c>
      <c r="O478" s="14" t="n">
        <v>1.93</v>
      </c>
      <c r="P478" s="14" t="n">
        <v>0.15</v>
      </c>
      <c r="Q478" s="14" t="n">
        <v>0</v>
      </c>
      <c r="R478" s="14" t="n">
        <v>0</v>
      </c>
      <c r="S478" s="14" t="n">
        <v>0.44</v>
      </c>
      <c r="T478" s="14" t="n">
        <v>3.7</v>
      </c>
      <c r="U478" s="14" t="n">
        <v>0.74</v>
      </c>
      <c r="V478" s="14" t="n">
        <v>0.3</v>
      </c>
      <c r="W478" s="14" t="n">
        <v>0.3</v>
      </c>
      <c r="X478" s="14" t="n">
        <v>0</v>
      </c>
      <c r="Y478" s="14" t="n">
        <v>0.44</v>
      </c>
      <c r="Z478" s="14" t="n">
        <v>0.15</v>
      </c>
      <c r="AA478" s="14" t="n">
        <v>0</v>
      </c>
    </row>
    <row r="479">
      <c r="A479" t="inlineStr">
        <is>
          <t>150717</t>
        </is>
      </c>
      <c r="B479" t="inlineStr">
        <is>
          <t>LIMA</t>
        </is>
      </c>
      <c r="C479" t="inlineStr">
        <is>
          <t>HUAROCHIRI</t>
        </is>
      </c>
      <c r="D479" t="inlineStr">
        <is>
          <t>SAN BARTOLOME</t>
        </is>
      </c>
      <c r="E479" t="n">
        <v>569</v>
      </c>
      <c r="F479" s="14" t="n">
        <v>0</v>
      </c>
      <c r="G479" s="14" t="n">
        <v>44.46</v>
      </c>
      <c r="H479" s="14" t="n">
        <v>0.53</v>
      </c>
      <c r="I479" s="14" t="n">
        <v>3.87</v>
      </c>
      <c r="J479" s="14" t="n">
        <v>0.18</v>
      </c>
      <c r="K479" s="14" t="n">
        <v>0.18</v>
      </c>
      <c r="L479" s="14" t="n">
        <v>6.15</v>
      </c>
      <c r="M479" s="14" t="n">
        <v>13.53</v>
      </c>
      <c r="N479" s="14" t="n">
        <v>9.140000000000001</v>
      </c>
      <c r="O479" s="14" t="n">
        <v>3.69</v>
      </c>
      <c r="P479" s="14" t="n">
        <v>0.35</v>
      </c>
      <c r="Q479" s="14" t="n">
        <v>0</v>
      </c>
      <c r="R479" s="14" t="n">
        <v>0</v>
      </c>
      <c r="S479" s="14" t="n">
        <v>1.41</v>
      </c>
      <c r="T479" s="14" t="n">
        <v>2.81</v>
      </c>
      <c r="U479" s="14" t="n">
        <v>4.39</v>
      </c>
      <c r="V479" s="14" t="n">
        <v>5.1</v>
      </c>
      <c r="W479" s="14" t="n">
        <v>1.23</v>
      </c>
      <c r="X479" s="14" t="n">
        <v>0.35</v>
      </c>
      <c r="Y479" s="14" t="n">
        <v>1.76</v>
      </c>
      <c r="Z479" s="14" t="n">
        <v>0.88</v>
      </c>
      <c r="AA479" s="14" t="n">
        <v>0</v>
      </c>
    </row>
    <row r="480">
      <c r="A480" t="inlineStr">
        <is>
          <t>150718</t>
        </is>
      </c>
      <c r="B480" t="inlineStr">
        <is>
          <t>LIMA</t>
        </is>
      </c>
      <c r="C480" t="inlineStr">
        <is>
          <t>HUAROCHIRI</t>
        </is>
      </c>
      <c r="D480" t="inlineStr">
        <is>
          <t>SAN DAMIAN</t>
        </is>
      </c>
      <c r="E480" t="n">
        <v>574</v>
      </c>
      <c r="F480" s="14" t="n">
        <v>0</v>
      </c>
      <c r="G480" s="14" t="n">
        <v>78.40000000000001</v>
      </c>
      <c r="H480" s="14" t="n">
        <v>1.22</v>
      </c>
      <c r="I480" s="14" t="n">
        <v>1.74</v>
      </c>
      <c r="J480" s="14" t="n">
        <v>0</v>
      </c>
      <c r="K480" s="14" t="n">
        <v>0</v>
      </c>
      <c r="L480" s="14" t="n">
        <v>1.74</v>
      </c>
      <c r="M480" s="14" t="n">
        <v>6.1</v>
      </c>
      <c r="N480" s="14" t="n">
        <v>1.05</v>
      </c>
      <c r="O480" s="14" t="n">
        <v>1.22</v>
      </c>
      <c r="P480" s="14" t="n">
        <v>0</v>
      </c>
      <c r="Q480" s="14" t="n">
        <v>0</v>
      </c>
      <c r="R480" s="14" t="n">
        <v>0</v>
      </c>
      <c r="S480" s="14" t="n">
        <v>0.17</v>
      </c>
      <c r="T480" s="14" t="n">
        <v>0.17</v>
      </c>
      <c r="U480" s="14" t="n">
        <v>2.09</v>
      </c>
      <c r="V480" s="14" t="n">
        <v>2.61</v>
      </c>
      <c r="W480" s="14" t="n">
        <v>0.7</v>
      </c>
      <c r="X480" s="14" t="n">
        <v>0.35</v>
      </c>
      <c r="Y480" s="14" t="n">
        <v>2.26</v>
      </c>
      <c r="Z480" s="14" t="n">
        <v>0.17</v>
      </c>
      <c r="AA480" s="14" t="n">
        <v>0</v>
      </c>
    </row>
    <row r="481">
      <c r="A481" t="inlineStr">
        <is>
          <t>150719</t>
        </is>
      </c>
      <c r="B481" t="inlineStr">
        <is>
          <t>LIMA</t>
        </is>
      </c>
      <c r="C481" t="inlineStr">
        <is>
          <t>HUAROCHIRI</t>
        </is>
      </c>
      <c r="D481" t="inlineStr">
        <is>
          <t>SAN JUAN DE IRIS</t>
        </is>
      </c>
      <c r="E481" t="n">
        <v>355</v>
      </c>
      <c r="F481" s="14" t="n">
        <v>0</v>
      </c>
      <c r="G481" s="14" t="n">
        <v>44.79</v>
      </c>
      <c r="H481" s="14" t="n">
        <v>1.69</v>
      </c>
      <c r="I481" s="14" t="n">
        <v>4.79</v>
      </c>
      <c r="J481" s="14" t="n">
        <v>0</v>
      </c>
      <c r="K481" s="14" t="n">
        <v>0</v>
      </c>
      <c r="L481" s="14" t="n">
        <v>10.7</v>
      </c>
      <c r="M481" s="14" t="n">
        <v>12.11</v>
      </c>
      <c r="N481" s="14" t="n">
        <v>7.04</v>
      </c>
      <c r="O481" s="14" t="n">
        <v>1.69</v>
      </c>
      <c r="P481" s="14" t="n">
        <v>0</v>
      </c>
      <c r="Q481" s="14" t="n">
        <v>0.28</v>
      </c>
      <c r="R481" s="14" t="n">
        <v>0</v>
      </c>
      <c r="S481" s="14" t="n">
        <v>4.79</v>
      </c>
      <c r="T481" s="14" t="n">
        <v>1.97</v>
      </c>
      <c r="U481" s="14" t="n">
        <v>2.54</v>
      </c>
      <c r="V481" s="14" t="n">
        <v>3.38</v>
      </c>
      <c r="W481" s="14" t="n">
        <v>1.97</v>
      </c>
      <c r="X481" s="14" t="n">
        <v>0</v>
      </c>
      <c r="Y481" s="14" t="n">
        <v>1.97</v>
      </c>
      <c r="Z481" s="14" t="n">
        <v>0.28</v>
      </c>
      <c r="AA481" s="14" t="n">
        <v>0</v>
      </c>
    </row>
    <row r="482">
      <c r="A482" t="inlineStr">
        <is>
          <t>150720</t>
        </is>
      </c>
      <c r="B482" t="inlineStr">
        <is>
          <t>LIMA</t>
        </is>
      </c>
      <c r="C482" t="inlineStr">
        <is>
          <t>HUAROCHIRI</t>
        </is>
      </c>
      <c r="D482" t="inlineStr">
        <is>
          <t>SAN JUAN DE TANTARANCHE</t>
        </is>
      </c>
      <c r="E482" t="n">
        <v>176</v>
      </c>
      <c r="F482" s="14" t="n">
        <v>0</v>
      </c>
      <c r="G482" s="14" t="n">
        <v>81.81999999999999</v>
      </c>
      <c r="H482" s="14" t="n">
        <v>0.57</v>
      </c>
      <c r="I482" s="14" t="n">
        <v>1.7</v>
      </c>
      <c r="J482" s="14" t="n">
        <v>0</v>
      </c>
      <c r="K482" s="14" t="n">
        <v>0</v>
      </c>
      <c r="L482" s="14" t="n">
        <v>2.27</v>
      </c>
      <c r="M482" s="14" t="n">
        <v>5.11</v>
      </c>
      <c r="N482" s="14" t="n">
        <v>1.14</v>
      </c>
      <c r="O482" s="14" t="n">
        <v>2.27</v>
      </c>
      <c r="P482" s="14" t="n">
        <v>0</v>
      </c>
      <c r="Q482" s="14" t="n">
        <v>0</v>
      </c>
      <c r="R482" s="14" t="n">
        <v>0</v>
      </c>
      <c r="S482" s="14" t="n">
        <v>2.27</v>
      </c>
      <c r="T482" s="14" t="n">
        <v>0.57</v>
      </c>
      <c r="U482" s="14" t="n">
        <v>0.57</v>
      </c>
      <c r="V482" s="14" t="n">
        <v>1.14</v>
      </c>
      <c r="W482" s="14" t="n">
        <v>0</v>
      </c>
      <c r="X482" s="14" t="n">
        <v>0.57</v>
      </c>
      <c r="Y482" s="14" t="n">
        <v>0</v>
      </c>
      <c r="Z482" s="14" t="n">
        <v>0</v>
      </c>
      <c r="AA482" s="14" t="n">
        <v>0</v>
      </c>
    </row>
    <row r="483">
      <c r="A483" t="inlineStr">
        <is>
          <t>150721</t>
        </is>
      </c>
      <c r="B483" t="inlineStr">
        <is>
          <t>LIMA</t>
        </is>
      </c>
      <c r="C483" t="inlineStr">
        <is>
          <t>HUAROCHIRI</t>
        </is>
      </c>
      <c r="D483" t="inlineStr">
        <is>
          <t>SAN LORENZO DE QUINTI</t>
        </is>
      </c>
      <c r="E483" t="n">
        <v>658</v>
      </c>
      <c r="F483" s="14" t="n">
        <v>0</v>
      </c>
      <c r="G483" s="14" t="n">
        <v>73.09999999999999</v>
      </c>
      <c r="H483" s="14" t="n">
        <v>0.3</v>
      </c>
      <c r="I483" s="14" t="n">
        <v>3.34</v>
      </c>
      <c r="J483" s="14" t="n">
        <v>0</v>
      </c>
      <c r="K483" s="14" t="n">
        <v>0</v>
      </c>
      <c r="L483" s="14" t="n">
        <v>2.28</v>
      </c>
      <c r="M483" s="14" t="n">
        <v>9.27</v>
      </c>
      <c r="N483" s="14" t="n">
        <v>1.52</v>
      </c>
      <c r="O483" s="14" t="n">
        <v>1.98</v>
      </c>
      <c r="P483" s="14" t="n">
        <v>0</v>
      </c>
      <c r="Q483" s="14" t="n">
        <v>0</v>
      </c>
      <c r="R483" s="14" t="n">
        <v>0</v>
      </c>
      <c r="S483" s="14" t="n">
        <v>1.06</v>
      </c>
      <c r="T483" s="14" t="n">
        <v>0</v>
      </c>
      <c r="U483" s="14" t="n">
        <v>2.13</v>
      </c>
      <c r="V483" s="14" t="n">
        <v>3.19</v>
      </c>
      <c r="W483" s="14" t="n">
        <v>0.91</v>
      </c>
      <c r="X483" s="14" t="n">
        <v>0.3</v>
      </c>
      <c r="Y483" s="14" t="n">
        <v>0.46</v>
      </c>
      <c r="Z483" s="14" t="n">
        <v>0.15</v>
      </c>
      <c r="AA483" s="14" t="n">
        <v>0</v>
      </c>
    </row>
    <row r="484">
      <c r="A484" t="inlineStr">
        <is>
          <t>150722</t>
        </is>
      </c>
      <c r="B484" t="inlineStr">
        <is>
          <t>LIMA</t>
        </is>
      </c>
      <c r="C484" t="inlineStr">
        <is>
          <t>HUAROCHIRI</t>
        </is>
      </c>
      <c r="D484" t="inlineStr">
        <is>
          <t>SAN MATEO</t>
        </is>
      </c>
      <c r="E484" t="n">
        <v>1778</v>
      </c>
      <c r="F484" s="14" t="n">
        <v>0</v>
      </c>
      <c r="G484" s="14" t="n">
        <v>19.91</v>
      </c>
      <c r="H484" s="14" t="n">
        <v>6.41</v>
      </c>
      <c r="I484" s="14" t="n">
        <v>5.46</v>
      </c>
      <c r="J484" s="14" t="n">
        <v>0.45</v>
      </c>
      <c r="K484" s="14" t="n">
        <v>0.22</v>
      </c>
      <c r="L484" s="14" t="n">
        <v>15.24</v>
      </c>
      <c r="M484" s="14" t="n">
        <v>17.27</v>
      </c>
      <c r="N484" s="14" t="n">
        <v>9.220000000000001</v>
      </c>
      <c r="O484" s="14" t="n">
        <v>7.14</v>
      </c>
      <c r="P484" s="14" t="n">
        <v>0.28</v>
      </c>
      <c r="Q484" s="14" t="n">
        <v>0.11</v>
      </c>
      <c r="R484" s="14" t="n">
        <v>0</v>
      </c>
      <c r="S484" s="14" t="n">
        <v>3.26</v>
      </c>
      <c r="T484" s="14" t="n">
        <v>3.71</v>
      </c>
      <c r="U484" s="14" t="n">
        <v>3.94</v>
      </c>
      <c r="V484" s="14" t="n">
        <v>2.64</v>
      </c>
      <c r="W484" s="14" t="n">
        <v>0.73</v>
      </c>
      <c r="X484" s="14" t="n">
        <v>0.22</v>
      </c>
      <c r="Y484" s="14" t="n">
        <v>3.49</v>
      </c>
      <c r="Z484" s="14" t="n">
        <v>0.28</v>
      </c>
      <c r="AA484" s="14" t="n">
        <v>0</v>
      </c>
    </row>
    <row r="485">
      <c r="A485" t="inlineStr">
        <is>
          <t>150723</t>
        </is>
      </c>
      <c r="B485" t="inlineStr">
        <is>
          <t>LIMA</t>
        </is>
      </c>
      <c r="C485" t="inlineStr">
        <is>
          <t>HUAROCHIRI</t>
        </is>
      </c>
      <c r="D485" t="inlineStr">
        <is>
          <t>SAN MATEO DE OTAO</t>
        </is>
      </c>
      <c r="E485" t="n">
        <v>678</v>
      </c>
      <c r="F485" s="14" t="n">
        <v>0</v>
      </c>
      <c r="G485" s="14" t="n">
        <v>82.15000000000001</v>
      </c>
      <c r="H485" s="14" t="n">
        <v>0.15</v>
      </c>
      <c r="I485" s="14" t="n">
        <v>1.77</v>
      </c>
      <c r="J485" s="14" t="n">
        <v>0</v>
      </c>
      <c r="K485" s="14" t="n">
        <v>0</v>
      </c>
      <c r="L485" s="14" t="n">
        <v>0.59</v>
      </c>
      <c r="M485" s="14" t="n">
        <v>2.51</v>
      </c>
      <c r="N485" s="14" t="n">
        <v>2.8</v>
      </c>
      <c r="O485" s="14" t="n">
        <v>2.65</v>
      </c>
      <c r="P485" s="14" t="n">
        <v>0</v>
      </c>
      <c r="Q485" s="14" t="n">
        <v>0</v>
      </c>
      <c r="R485" s="14" t="n">
        <v>0</v>
      </c>
      <c r="S485" s="14" t="n">
        <v>0.59</v>
      </c>
      <c r="T485" s="14" t="n">
        <v>0.44</v>
      </c>
      <c r="U485" s="14" t="n">
        <v>2.36</v>
      </c>
      <c r="V485" s="14" t="n">
        <v>1.92</v>
      </c>
      <c r="W485" s="14" t="n">
        <v>0.88</v>
      </c>
      <c r="X485" s="14" t="n">
        <v>0.59</v>
      </c>
      <c r="Y485" s="14" t="n">
        <v>0.44</v>
      </c>
      <c r="Z485" s="14" t="n">
        <v>0.15</v>
      </c>
      <c r="AA485" s="14" t="n">
        <v>0</v>
      </c>
    </row>
    <row r="486">
      <c r="A486" t="inlineStr">
        <is>
          <t>150724</t>
        </is>
      </c>
      <c r="B486" t="inlineStr">
        <is>
          <t>LIMA</t>
        </is>
      </c>
      <c r="C486" t="inlineStr">
        <is>
          <t>HUAROCHIRI</t>
        </is>
      </c>
      <c r="D486" t="inlineStr">
        <is>
          <t>SAN PEDRO DE CASTA</t>
        </is>
      </c>
      <c r="E486" t="n">
        <v>502</v>
      </c>
      <c r="F486" s="14" t="n">
        <v>0</v>
      </c>
      <c r="G486" s="14" t="n">
        <v>63.55</v>
      </c>
      <c r="H486" s="14" t="n">
        <v>0.8</v>
      </c>
      <c r="I486" s="14" t="n">
        <v>1.99</v>
      </c>
      <c r="J486" s="14" t="n">
        <v>0.6</v>
      </c>
      <c r="K486" s="14" t="n">
        <v>0</v>
      </c>
      <c r="L486" s="14" t="n">
        <v>1.59</v>
      </c>
      <c r="M486" s="14" t="n">
        <v>10.76</v>
      </c>
      <c r="N486" s="14" t="n">
        <v>1.79</v>
      </c>
      <c r="O486" s="14" t="n">
        <v>5.38</v>
      </c>
      <c r="P486" s="14" t="n">
        <v>0</v>
      </c>
      <c r="Q486" s="14" t="n">
        <v>0</v>
      </c>
      <c r="R486" s="14" t="n">
        <v>0</v>
      </c>
      <c r="S486" s="14" t="n">
        <v>4.78</v>
      </c>
      <c r="T486" s="14" t="n">
        <v>2.19</v>
      </c>
      <c r="U486" s="14" t="n">
        <v>1.59</v>
      </c>
      <c r="V486" s="14" t="n">
        <v>3.98</v>
      </c>
      <c r="W486" s="14" t="n">
        <v>0.4</v>
      </c>
      <c r="X486" s="14" t="n">
        <v>0.2</v>
      </c>
      <c r="Y486" s="14" t="n">
        <v>0.4</v>
      </c>
      <c r="Z486" s="14" t="n">
        <v>0</v>
      </c>
      <c r="AA486" s="14" t="n">
        <v>0</v>
      </c>
    </row>
    <row r="487">
      <c r="A487" t="inlineStr">
        <is>
          <t>150725</t>
        </is>
      </c>
      <c r="B487" t="inlineStr">
        <is>
          <t>LIMA</t>
        </is>
      </c>
      <c r="C487" t="inlineStr">
        <is>
          <t>HUAROCHIRI</t>
        </is>
      </c>
      <c r="D487" t="inlineStr">
        <is>
          <t>SAN PEDRO DE HUANCAYRE</t>
        </is>
      </c>
      <c r="E487" t="n">
        <v>121</v>
      </c>
      <c r="F487" s="14" t="n">
        <v>0</v>
      </c>
      <c r="G487" s="14" t="n">
        <v>82.64</v>
      </c>
      <c r="H487" s="14" t="n">
        <v>0</v>
      </c>
      <c r="I487" s="14" t="n">
        <v>4.96</v>
      </c>
      <c r="J487" s="14" t="n">
        <v>0</v>
      </c>
      <c r="K487" s="14" t="n">
        <v>0</v>
      </c>
      <c r="L487" s="14" t="n">
        <v>2.48</v>
      </c>
      <c r="M487" s="14" t="n">
        <v>4.13</v>
      </c>
      <c r="N487" s="14" t="n">
        <v>0</v>
      </c>
      <c r="O487" s="14" t="n">
        <v>0</v>
      </c>
      <c r="P487" s="14" t="n">
        <v>0</v>
      </c>
      <c r="Q487" s="14" t="n">
        <v>0</v>
      </c>
      <c r="R487" s="14" t="n">
        <v>0</v>
      </c>
      <c r="S487" s="14" t="n">
        <v>0</v>
      </c>
      <c r="T487" s="14" t="n">
        <v>0</v>
      </c>
      <c r="U487" s="14" t="n">
        <v>4.96</v>
      </c>
      <c r="V487" s="14" t="n">
        <v>0.83</v>
      </c>
      <c r="W487" s="14" t="n">
        <v>0</v>
      </c>
      <c r="X487" s="14" t="n">
        <v>0</v>
      </c>
      <c r="Y487" s="14" t="n">
        <v>0</v>
      </c>
      <c r="Z487" s="14" t="n">
        <v>0</v>
      </c>
      <c r="AA487" s="14" t="n">
        <v>0</v>
      </c>
    </row>
    <row r="488">
      <c r="A488" t="inlineStr">
        <is>
          <t>150726</t>
        </is>
      </c>
      <c r="B488" t="inlineStr">
        <is>
          <t>LIMA</t>
        </is>
      </c>
      <c r="C488" t="inlineStr">
        <is>
          <t>HUAROCHIRI</t>
        </is>
      </c>
      <c r="D488" t="inlineStr">
        <is>
          <t>SANGALLAYA</t>
        </is>
      </c>
      <c r="E488" t="n">
        <v>337</v>
      </c>
      <c r="F488" s="14" t="n">
        <v>0</v>
      </c>
      <c r="G488" s="14" t="n">
        <v>79.81999999999999</v>
      </c>
      <c r="H488" s="14" t="n">
        <v>0</v>
      </c>
      <c r="I488" s="14" t="n">
        <v>0.89</v>
      </c>
      <c r="J488" s="14" t="n">
        <v>0</v>
      </c>
      <c r="K488" s="14" t="n">
        <v>0</v>
      </c>
      <c r="L488" s="14" t="n">
        <v>4.15</v>
      </c>
      <c r="M488" s="14" t="n">
        <v>4.45</v>
      </c>
      <c r="N488" s="14" t="n">
        <v>1.19</v>
      </c>
      <c r="O488" s="14" t="n">
        <v>2.08</v>
      </c>
      <c r="P488" s="14" t="n">
        <v>0</v>
      </c>
      <c r="Q488" s="14" t="n">
        <v>0</v>
      </c>
      <c r="R488" s="14" t="n">
        <v>0</v>
      </c>
      <c r="S488" s="14" t="n">
        <v>0.89</v>
      </c>
      <c r="T488" s="14" t="n">
        <v>0.3</v>
      </c>
      <c r="U488" s="14" t="n">
        <v>2.08</v>
      </c>
      <c r="V488" s="14" t="n">
        <v>2.08</v>
      </c>
      <c r="W488" s="14" t="n">
        <v>1.78</v>
      </c>
      <c r="X488" s="14" t="n">
        <v>0</v>
      </c>
      <c r="Y488" s="14" t="n">
        <v>0</v>
      </c>
      <c r="Z488" s="14" t="n">
        <v>0.3</v>
      </c>
      <c r="AA488" s="14" t="n">
        <v>0</v>
      </c>
    </row>
    <row r="489">
      <c r="A489" t="inlineStr">
        <is>
          <t>150727</t>
        </is>
      </c>
      <c r="B489" t="inlineStr">
        <is>
          <t>LIMA</t>
        </is>
      </c>
      <c r="C489" t="inlineStr">
        <is>
          <t>HUAROCHIRI</t>
        </is>
      </c>
      <c r="D489" t="inlineStr">
        <is>
          <t>SANTA CRUZ DE COCACHACRA</t>
        </is>
      </c>
      <c r="E489" t="n">
        <v>1239</v>
      </c>
      <c r="F489" s="14" t="n">
        <v>0</v>
      </c>
      <c r="G489" s="14" t="n">
        <v>9.6</v>
      </c>
      <c r="H489" s="14" t="n">
        <v>3.39</v>
      </c>
      <c r="I489" s="14" t="n">
        <v>4.12</v>
      </c>
      <c r="J489" s="14" t="n">
        <v>0.08</v>
      </c>
      <c r="K489" s="14" t="n">
        <v>0.16</v>
      </c>
      <c r="L489" s="14" t="n">
        <v>10.41</v>
      </c>
      <c r="M489" s="14" t="n">
        <v>22.6</v>
      </c>
      <c r="N489" s="14" t="n">
        <v>18.64</v>
      </c>
      <c r="O489" s="14" t="n">
        <v>9.69</v>
      </c>
      <c r="P489" s="14" t="n">
        <v>0.73</v>
      </c>
      <c r="Q489" s="14" t="n">
        <v>0.48</v>
      </c>
      <c r="R489" s="14" t="n">
        <v>0</v>
      </c>
      <c r="S489" s="14" t="n">
        <v>2.58</v>
      </c>
      <c r="T489" s="14" t="n">
        <v>4.36</v>
      </c>
      <c r="U489" s="14" t="n">
        <v>3.79</v>
      </c>
      <c r="V489" s="14" t="n">
        <v>3.79</v>
      </c>
      <c r="W489" s="14" t="n">
        <v>2.02</v>
      </c>
      <c r="X489" s="14" t="n">
        <v>1.53</v>
      </c>
      <c r="Y489" s="14" t="n">
        <v>0.8100000000000001</v>
      </c>
      <c r="Z489" s="14" t="n">
        <v>1.21</v>
      </c>
      <c r="AA489" s="14" t="n">
        <v>0</v>
      </c>
    </row>
    <row r="490">
      <c r="A490" t="inlineStr">
        <is>
          <t>150728</t>
        </is>
      </c>
      <c r="B490" t="inlineStr">
        <is>
          <t>LIMA</t>
        </is>
      </c>
      <c r="C490" t="inlineStr">
        <is>
          <t>HUAROCHIRI</t>
        </is>
      </c>
      <c r="D490" t="inlineStr">
        <is>
          <t>SANTA EULALIA</t>
        </is>
      </c>
      <c r="E490" t="n">
        <v>5597</v>
      </c>
      <c r="F490" s="14" t="n">
        <v>0</v>
      </c>
      <c r="G490" s="14" t="n">
        <v>6.66</v>
      </c>
      <c r="H490" s="14" t="n">
        <v>0.79</v>
      </c>
      <c r="I490" s="14" t="n">
        <v>7.5</v>
      </c>
      <c r="J490" s="14" t="n">
        <v>0.27</v>
      </c>
      <c r="K490" s="14" t="n">
        <v>0.25</v>
      </c>
      <c r="L490" s="14" t="n">
        <v>12.52</v>
      </c>
      <c r="M490" s="14" t="n">
        <v>17.06</v>
      </c>
      <c r="N490" s="14" t="n">
        <v>14.58</v>
      </c>
      <c r="O490" s="14" t="n">
        <v>7.47</v>
      </c>
      <c r="P490" s="14" t="n">
        <v>1.11</v>
      </c>
      <c r="Q490" s="14" t="n">
        <v>0.91</v>
      </c>
      <c r="R490" s="14" t="n">
        <v>0.09</v>
      </c>
      <c r="S490" s="14" t="n">
        <v>5.45</v>
      </c>
      <c r="T490" s="14" t="n">
        <v>3.86</v>
      </c>
      <c r="U490" s="14" t="n">
        <v>4</v>
      </c>
      <c r="V490" s="14" t="n">
        <v>7.18</v>
      </c>
      <c r="W490" s="14" t="n">
        <v>3.29</v>
      </c>
      <c r="X490" s="14" t="n">
        <v>1.25</v>
      </c>
      <c r="Y490" s="14" t="n">
        <v>3.43</v>
      </c>
      <c r="Z490" s="14" t="n">
        <v>2.3</v>
      </c>
      <c r="AA490" s="14" t="n">
        <v>0.02</v>
      </c>
    </row>
    <row r="491">
      <c r="A491" t="inlineStr">
        <is>
          <t>150729</t>
        </is>
      </c>
      <c r="B491" t="inlineStr">
        <is>
          <t>LIMA</t>
        </is>
      </c>
      <c r="C491" t="inlineStr">
        <is>
          <t>HUAROCHIRI</t>
        </is>
      </c>
      <c r="D491" t="inlineStr">
        <is>
          <t>SANTIAGO DE ANCHUCAYA</t>
        </is>
      </c>
      <c r="E491" t="n">
        <v>176</v>
      </c>
      <c r="F491" s="14" t="n">
        <v>0</v>
      </c>
      <c r="G491" s="14" t="n">
        <v>76.7</v>
      </c>
      <c r="H491" s="14" t="n">
        <v>0</v>
      </c>
      <c r="I491" s="14" t="n">
        <v>2.27</v>
      </c>
      <c r="J491" s="14" t="n">
        <v>0</v>
      </c>
      <c r="K491" s="14" t="n">
        <v>0</v>
      </c>
      <c r="L491" s="14" t="n">
        <v>2.27</v>
      </c>
      <c r="M491" s="14" t="n">
        <v>6.82</v>
      </c>
      <c r="N491" s="14" t="n">
        <v>1.14</v>
      </c>
      <c r="O491" s="14" t="n">
        <v>2.27</v>
      </c>
      <c r="P491" s="14" t="n">
        <v>0</v>
      </c>
      <c r="Q491" s="14" t="n">
        <v>0</v>
      </c>
      <c r="R491" s="14" t="n">
        <v>0</v>
      </c>
      <c r="S491" s="14" t="n">
        <v>0.57</v>
      </c>
      <c r="T491" s="14" t="n">
        <v>0</v>
      </c>
      <c r="U491" s="14" t="n">
        <v>4.55</v>
      </c>
      <c r="V491" s="14" t="n">
        <v>2.84</v>
      </c>
      <c r="W491" s="14" t="n">
        <v>0.57</v>
      </c>
      <c r="X491" s="14" t="n">
        <v>0</v>
      </c>
      <c r="Y491" s="14" t="n">
        <v>0</v>
      </c>
      <c r="Z491" s="14" t="n">
        <v>0</v>
      </c>
      <c r="AA491" s="14" t="n">
        <v>0</v>
      </c>
    </row>
    <row r="492">
      <c r="A492" t="inlineStr">
        <is>
          <t>150730</t>
        </is>
      </c>
      <c r="B492" t="inlineStr">
        <is>
          <t>LIMA</t>
        </is>
      </c>
      <c r="C492" t="inlineStr">
        <is>
          <t>HUAROCHIRI</t>
        </is>
      </c>
      <c r="D492" t="inlineStr">
        <is>
          <t>SANTIAGO DE TUNA</t>
        </is>
      </c>
      <c r="E492" t="n">
        <v>230</v>
      </c>
      <c r="F492" s="14" t="n">
        <v>0</v>
      </c>
      <c r="G492" s="14" t="n">
        <v>87.39</v>
      </c>
      <c r="H492" s="14" t="n">
        <v>0</v>
      </c>
      <c r="I492" s="14" t="n">
        <v>0.43</v>
      </c>
      <c r="J492" s="14" t="n">
        <v>0</v>
      </c>
      <c r="K492" s="14" t="n">
        <v>0</v>
      </c>
      <c r="L492" s="14" t="n">
        <v>0.43</v>
      </c>
      <c r="M492" s="14" t="n">
        <v>6.09</v>
      </c>
      <c r="N492" s="14" t="n">
        <v>2.17</v>
      </c>
      <c r="O492" s="14" t="n">
        <v>0.87</v>
      </c>
      <c r="P492" s="14" t="n">
        <v>0</v>
      </c>
      <c r="Q492" s="14" t="n">
        <v>0</v>
      </c>
      <c r="R492" s="14" t="n">
        <v>0</v>
      </c>
      <c r="S492" s="14" t="n">
        <v>0</v>
      </c>
      <c r="T492" s="14" t="n">
        <v>0.43</v>
      </c>
      <c r="U492" s="14" t="n">
        <v>0.43</v>
      </c>
      <c r="V492" s="14" t="n">
        <v>1.3</v>
      </c>
      <c r="W492" s="14" t="n">
        <v>0.43</v>
      </c>
      <c r="X492" s="14" t="n">
        <v>0</v>
      </c>
      <c r="Y492" s="14" t="n">
        <v>0</v>
      </c>
      <c r="Z492" s="14" t="n">
        <v>0</v>
      </c>
      <c r="AA492" s="14" t="n">
        <v>0</v>
      </c>
    </row>
    <row r="493">
      <c r="A493" t="inlineStr">
        <is>
          <t>150731</t>
        </is>
      </c>
      <c r="B493" t="inlineStr">
        <is>
          <t>LIMA</t>
        </is>
      </c>
      <c r="C493" t="inlineStr">
        <is>
          <t>HUAROCHIRI</t>
        </is>
      </c>
      <c r="D493" t="inlineStr">
        <is>
          <t>SANTO DOMINGO DE LOS OLLEROS</t>
        </is>
      </c>
      <c r="E493" t="n">
        <v>1318</v>
      </c>
      <c r="F493" s="14" t="n">
        <v>0</v>
      </c>
      <c r="G493" s="14" t="n">
        <v>44.46</v>
      </c>
      <c r="H493" s="14" t="n">
        <v>0.61</v>
      </c>
      <c r="I493" s="14" t="n">
        <v>7.81</v>
      </c>
      <c r="J493" s="14" t="n">
        <v>0</v>
      </c>
      <c r="K493" s="14" t="n">
        <v>0.3</v>
      </c>
      <c r="L493" s="14" t="n">
        <v>10.39</v>
      </c>
      <c r="M493" s="14" t="n">
        <v>10.17</v>
      </c>
      <c r="N493" s="14" t="n">
        <v>8.27</v>
      </c>
      <c r="O493" s="14" t="n">
        <v>4.02</v>
      </c>
      <c r="P493" s="14" t="n">
        <v>0.3</v>
      </c>
      <c r="Q493" s="14" t="n">
        <v>0.38</v>
      </c>
      <c r="R493" s="14" t="n">
        <v>0.23</v>
      </c>
      <c r="S493" s="14" t="n">
        <v>2.05</v>
      </c>
      <c r="T493" s="14" t="n">
        <v>3.72</v>
      </c>
      <c r="U493" s="14" t="n">
        <v>1.29</v>
      </c>
      <c r="V493" s="14" t="n">
        <v>1.9</v>
      </c>
      <c r="W493" s="14" t="n">
        <v>0.76</v>
      </c>
      <c r="X493" s="14" t="n">
        <v>0.08</v>
      </c>
      <c r="Y493" s="14" t="n">
        <v>1.97</v>
      </c>
      <c r="Z493" s="14" t="n">
        <v>1.29</v>
      </c>
      <c r="AA493" s="14" t="n">
        <v>0</v>
      </c>
    </row>
    <row r="494">
      <c r="A494" t="inlineStr">
        <is>
          <t>150732</t>
        </is>
      </c>
      <c r="B494" t="inlineStr">
        <is>
          <t>LIMA</t>
        </is>
      </c>
      <c r="C494" t="inlineStr">
        <is>
          <t>HUAROCHIRI</t>
        </is>
      </c>
      <c r="D494" t="inlineStr">
        <is>
          <t>SURCO</t>
        </is>
      </c>
      <c r="E494" t="n">
        <v>743</v>
      </c>
      <c r="F494" s="14" t="n">
        <v>0</v>
      </c>
      <c r="G494" s="14" t="n">
        <v>50.87</v>
      </c>
      <c r="H494" s="14" t="n">
        <v>1.62</v>
      </c>
      <c r="I494" s="14" t="n">
        <v>3.9</v>
      </c>
      <c r="J494" s="14" t="n">
        <v>0.13</v>
      </c>
      <c r="K494" s="14" t="n">
        <v>0</v>
      </c>
      <c r="L494" s="14" t="n">
        <v>7.94</v>
      </c>
      <c r="M494" s="14" t="n">
        <v>9.02</v>
      </c>
      <c r="N494" s="14" t="n">
        <v>3.36</v>
      </c>
      <c r="O494" s="14" t="n">
        <v>4.71</v>
      </c>
      <c r="P494" s="14" t="n">
        <v>0.13</v>
      </c>
      <c r="Q494" s="14" t="n">
        <v>0</v>
      </c>
      <c r="R494" s="14" t="n">
        <v>0</v>
      </c>
      <c r="S494" s="14" t="n">
        <v>3.1</v>
      </c>
      <c r="T494" s="14" t="n">
        <v>2.02</v>
      </c>
      <c r="U494" s="14" t="n">
        <v>7.94</v>
      </c>
      <c r="V494" s="14" t="n">
        <v>2.56</v>
      </c>
      <c r="W494" s="14" t="n">
        <v>0.13</v>
      </c>
      <c r="X494" s="14" t="n">
        <v>0</v>
      </c>
      <c r="Y494" s="14" t="n">
        <v>2.29</v>
      </c>
      <c r="Z494" s="14" t="n">
        <v>0.27</v>
      </c>
      <c r="AA494" s="14" t="n">
        <v>0</v>
      </c>
    </row>
    <row r="495">
      <c r="A495" t="inlineStr">
        <is>
          <t>150801</t>
        </is>
      </c>
      <c r="B495" t="inlineStr">
        <is>
          <t>LIMA</t>
        </is>
      </c>
      <c r="C495" t="inlineStr">
        <is>
          <t>HUAURA</t>
        </is>
      </c>
      <c r="D495" t="inlineStr">
        <is>
          <t>HUACHO</t>
        </is>
      </c>
      <c r="E495" t="n">
        <v>29235</v>
      </c>
      <c r="F495" s="14" t="n">
        <v>1.129</v>
      </c>
      <c r="G495" s="14" t="n">
        <v>6.89</v>
      </c>
      <c r="H495" s="14" t="n">
        <v>0.38</v>
      </c>
      <c r="I495" s="14" t="n">
        <v>5.44</v>
      </c>
      <c r="J495" s="14" t="n">
        <v>0.14</v>
      </c>
      <c r="K495" s="14" t="n">
        <v>0.36</v>
      </c>
      <c r="L495" s="14" t="n">
        <v>6.79</v>
      </c>
      <c r="M495" s="14" t="n">
        <v>21.52</v>
      </c>
      <c r="N495" s="14" t="n">
        <v>9.16</v>
      </c>
      <c r="O495" s="14" t="n">
        <v>8.1</v>
      </c>
      <c r="P495" s="14" t="n">
        <v>1.49</v>
      </c>
      <c r="Q495" s="14" t="n">
        <v>1.35</v>
      </c>
      <c r="R495" s="14" t="n">
        <v>0.18</v>
      </c>
      <c r="S495" s="14" t="n">
        <v>7.72</v>
      </c>
      <c r="T495" s="14" t="n">
        <v>3.99</v>
      </c>
      <c r="U495" s="14" t="n">
        <v>4.85</v>
      </c>
      <c r="V495" s="14" t="n">
        <v>10.1</v>
      </c>
      <c r="W495" s="14" t="n">
        <v>5.58</v>
      </c>
      <c r="X495" s="14" t="n">
        <v>1.51</v>
      </c>
      <c r="Y495" s="14" t="n">
        <v>3.02</v>
      </c>
      <c r="Z495" s="14" t="n">
        <v>1.44</v>
      </c>
      <c r="AA495" s="14" t="n">
        <v>0</v>
      </c>
    </row>
    <row r="496">
      <c r="A496" t="inlineStr">
        <is>
          <t>150802</t>
        </is>
      </c>
      <c r="B496" t="inlineStr">
        <is>
          <t>LIMA</t>
        </is>
      </c>
      <c r="C496" t="inlineStr">
        <is>
          <t>HUAURA</t>
        </is>
      </c>
      <c r="D496" t="inlineStr">
        <is>
          <t>AMBAR</t>
        </is>
      </c>
      <c r="E496" t="n">
        <v>928</v>
      </c>
      <c r="F496" s="14" t="n">
        <v>0</v>
      </c>
      <c r="G496" s="14" t="n">
        <v>89.55</v>
      </c>
      <c r="H496" s="14" t="n">
        <v>0</v>
      </c>
      <c r="I496" s="14" t="n">
        <v>0.65</v>
      </c>
      <c r="J496" s="14" t="n">
        <v>0</v>
      </c>
      <c r="K496" s="14" t="n">
        <v>0</v>
      </c>
      <c r="L496" s="14" t="n">
        <v>0.65</v>
      </c>
      <c r="M496" s="14" t="n">
        <v>3.23</v>
      </c>
      <c r="N496" s="14" t="n">
        <v>0.75</v>
      </c>
      <c r="O496" s="14" t="n">
        <v>0.86</v>
      </c>
      <c r="P496" s="14" t="n">
        <v>0.22</v>
      </c>
      <c r="Q496" s="14" t="n">
        <v>0</v>
      </c>
      <c r="R496" s="14" t="n">
        <v>0</v>
      </c>
      <c r="S496" s="14" t="n">
        <v>0.54</v>
      </c>
      <c r="T496" s="14" t="n">
        <v>0.11</v>
      </c>
      <c r="U496" s="14" t="n">
        <v>1.29</v>
      </c>
      <c r="V496" s="14" t="n">
        <v>1.29</v>
      </c>
      <c r="W496" s="14" t="n">
        <v>0.43</v>
      </c>
      <c r="X496" s="14" t="n">
        <v>0.11</v>
      </c>
      <c r="Y496" s="14" t="n">
        <v>0.11</v>
      </c>
      <c r="Z496" s="14" t="n">
        <v>0.22</v>
      </c>
      <c r="AA496" s="14" t="n">
        <v>0</v>
      </c>
    </row>
    <row r="497">
      <c r="A497" t="inlineStr">
        <is>
          <t>150803</t>
        </is>
      </c>
      <c r="B497" t="inlineStr">
        <is>
          <t>LIMA</t>
        </is>
      </c>
      <c r="C497" t="inlineStr">
        <is>
          <t>HUAURA</t>
        </is>
      </c>
      <c r="D497" t="inlineStr">
        <is>
          <t>CALETA DE CARQUIN</t>
        </is>
      </c>
      <c r="E497" t="n">
        <v>3259</v>
      </c>
      <c r="F497" s="14" t="n">
        <v>1.442</v>
      </c>
      <c r="G497" s="14" t="n">
        <v>15.34</v>
      </c>
      <c r="H497" s="14" t="n">
        <v>0.09</v>
      </c>
      <c r="I497" s="14" t="n">
        <v>15.93</v>
      </c>
      <c r="J497" s="14" t="n">
        <v>0.03</v>
      </c>
      <c r="K497" s="14" t="n">
        <v>0.09</v>
      </c>
      <c r="L497" s="14" t="n">
        <v>4.66</v>
      </c>
      <c r="M497" s="14" t="n">
        <v>22.92</v>
      </c>
      <c r="N497" s="14" t="n">
        <v>6.72</v>
      </c>
      <c r="O497" s="14" t="n">
        <v>12.4</v>
      </c>
      <c r="P497" s="14" t="n">
        <v>0.46</v>
      </c>
      <c r="Q497" s="14" t="n">
        <v>0.25</v>
      </c>
      <c r="R497" s="14" t="n">
        <v>0.06</v>
      </c>
      <c r="S497" s="14" t="n">
        <v>2.98</v>
      </c>
      <c r="T497" s="14" t="n">
        <v>3.28</v>
      </c>
      <c r="U497" s="14" t="n">
        <v>3.59</v>
      </c>
      <c r="V497" s="14" t="n">
        <v>3.16</v>
      </c>
      <c r="W497" s="14" t="n">
        <v>2.42</v>
      </c>
      <c r="X497" s="14" t="n">
        <v>0.86</v>
      </c>
      <c r="Y497" s="14" t="n">
        <v>3.5</v>
      </c>
      <c r="Z497" s="14" t="n">
        <v>1.26</v>
      </c>
      <c r="AA497" s="14" t="n">
        <v>0</v>
      </c>
    </row>
    <row r="498">
      <c r="A498" t="inlineStr">
        <is>
          <t>150804</t>
        </is>
      </c>
      <c r="B498" t="inlineStr">
        <is>
          <t>LIMA</t>
        </is>
      </c>
      <c r="C498" t="inlineStr">
        <is>
          <t>HUAURA</t>
        </is>
      </c>
      <c r="D498" t="inlineStr">
        <is>
          <t>CHECRAS</t>
        </is>
      </c>
      <c r="E498" t="n">
        <v>441</v>
      </c>
      <c r="F498" s="14" t="n">
        <v>0</v>
      </c>
      <c r="G498" s="14" t="n">
        <v>76.64</v>
      </c>
      <c r="H498" s="14" t="n">
        <v>0</v>
      </c>
      <c r="I498" s="14" t="n">
        <v>0.91</v>
      </c>
      <c r="J498" s="14" t="n">
        <v>0</v>
      </c>
      <c r="K498" s="14" t="n">
        <v>0</v>
      </c>
      <c r="L498" s="14" t="n">
        <v>3.17</v>
      </c>
      <c r="M498" s="14" t="n">
        <v>7.48</v>
      </c>
      <c r="N498" s="14" t="n">
        <v>2.04</v>
      </c>
      <c r="O498" s="14" t="n">
        <v>1.81</v>
      </c>
      <c r="P498" s="14" t="n">
        <v>0</v>
      </c>
      <c r="Q498" s="14" t="n">
        <v>0</v>
      </c>
      <c r="R498" s="14" t="n">
        <v>0</v>
      </c>
      <c r="S498" s="14" t="n">
        <v>2.72</v>
      </c>
      <c r="T498" s="14" t="n">
        <v>0.23</v>
      </c>
      <c r="U498" s="14" t="n">
        <v>1.13</v>
      </c>
      <c r="V498" s="14" t="n">
        <v>2.49</v>
      </c>
      <c r="W498" s="14" t="n">
        <v>0</v>
      </c>
      <c r="X498" s="14" t="n">
        <v>0</v>
      </c>
      <c r="Y498" s="14" t="n">
        <v>1.13</v>
      </c>
      <c r="Z498" s="14" t="n">
        <v>0.23</v>
      </c>
      <c r="AA498" s="14" t="n">
        <v>0</v>
      </c>
    </row>
    <row r="499">
      <c r="A499" t="inlineStr">
        <is>
          <t>150805</t>
        </is>
      </c>
      <c r="B499" t="inlineStr">
        <is>
          <t>LIMA</t>
        </is>
      </c>
      <c r="C499" t="inlineStr">
        <is>
          <t>HUAURA</t>
        </is>
      </c>
      <c r="D499" t="inlineStr">
        <is>
          <t>HUALMAY</t>
        </is>
      </c>
      <c r="E499" t="n">
        <v>12823</v>
      </c>
      <c r="F499" s="14" t="n">
        <v>0</v>
      </c>
      <c r="G499" s="14" t="n">
        <v>5.16</v>
      </c>
      <c r="H499" s="14" t="n">
        <v>0.34</v>
      </c>
      <c r="I499" s="14" t="n">
        <v>5.65</v>
      </c>
      <c r="J499" s="14" t="n">
        <v>0.17</v>
      </c>
      <c r="K499" s="14" t="n">
        <v>0.39</v>
      </c>
      <c r="L499" s="14" t="n">
        <v>7.24</v>
      </c>
      <c r="M499" s="14" t="n">
        <v>26.43</v>
      </c>
      <c r="N499" s="14" t="n">
        <v>12.88</v>
      </c>
      <c r="O499" s="14" t="n">
        <v>8.31</v>
      </c>
      <c r="P499" s="14" t="n">
        <v>1.01</v>
      </c>
      <c r="Q499" s="14" t="n">
        <v>1.05</v>
      </c>
      <c r="R499" s="14" t="n">
        <v>0.15</v>
      </c>
      <c r="S499" s="14" t="n">
        <v>4.87</v>
      </c>
      <c r="T499" s="14" t="n">
        <v>3.84</v>
      </c>
      <c r="U499" s="14" t="n">
        <v>4.05</v>
      </c>
      <c r="V499" s="14" t="n">
        <v>9.359999999999999</v>
      </c>
      <c r="W499" s="14" t="n">
        <v>3.91</v>
      </c>
      <c r="X499" s="14" t="n">
        <v>1.17</v>
      </c>
      <c r="Y499" s="14" t="n">
        <v>2.69</v>
      </c>
      <c r="Z499" s="14" t="n">
        <v>1.33</v>
      </c>
      <c r="AA499" s="14" t="n">
        <v>0</v>
      </c>
    </row>
    <row r="500">
      <c r="A500" t="inlineStr">
        <is>
          <t>150806</t>
        </is>
      </c>
      <c r="B500" t="inlineStr">
        <is>
          <t>LIMA</t>
        </is>
      </c>
      <c r="C500" t="inlineStr">
        <is>
          <t>HUAURA</t>
        </is>
      </c>
      <c r="D500" t="inlineStr">
        <is>
          <t>HUAURA</t>
        </is>
      </c>
      <c r="E500" t="n">
        <v>15208</v>
      </c>
      <c r="F500" s="14" t="n">
        <v>0</v>
      </c>
      <c r="G500" s="14" t="n">
        <v>31.03</v>
      </c>
      <c r="H500" s="14" t="n">
        <v>0.48</v>
      </c>
      <c r="I500" s="14" t="n">
        <v>5.61</v>
      </c>
      <c r="J500" s="14" t="n">
        <v>0.12</v>
      </c>
      <c r="K500" s="14" t="n">
        <v>0.22</v>
      </c>
      <c r="L500" s="14" t="n">
        <v>6.78</v>
      </c>
      <c r="M500" s="14" t="n">
        <v>16.62</v>
      </c>
      <c r="N500" s="14" t="n">
        <v>11.07</v>
      </c>
      <c r="O500" s="14" t="n">
        <v>5.62</v>
      </c>
      <c r="P500" s="14" t="n">
        <v>0.7</v>
      </c>
      <c r="Q500" s="14" t="n">
        <v>0.44</v>
      </c>
      <c r="R500" s="14" t="n">
        <v>0.05</v>
      </c>
      <c r="S500" s="14" t="n">
        <v>3.66</v>
      </c>
      <c r="T500" s="14" t="n">
        <v>2.93</v>
      </c>
      <c r="U500" s="14" t="n">
        <v>2.95</v>
      </c>
      <c r="V500" s="14" t="n">
        <v>5.92</v>
      </c>
      <c r="W500" s="14" t="n">
        <v>2.1</v>
      </c>
      <c r="X500" s="14" t="n">
        <v>0.78</v>
      </c>
      <c r="Y500" s="14" t="n">
        <v>1.81</v>
      </c>
      <c r="Z500" s="14" t="n">
        <v>1.11</v>
      </c>
      <c r="AA500" s="14" t="n">
        <v>0</v>
      </c>
    </row>
    <row r="501">
      <c r="A501" t="inlineStr">
        <is>
          <t>150807</t>
        </is>
      </c>
      <c r="B501" t="inlineStr">
        <is>
          <t>LIMA</t>
        </is>
      </c>
      <c r="C501" t="inlineStr">
        <is>
          <t>HUAURA</t>
        </is>
      </c>
      <c r="D501" t="inlineStr">
        <is>
          <t>LEONCIO PRADO</t>
        </is>
      </c>
      <c r="E501" t="n">
        <v>848</v>
      </c>
      <c r="F501" s="14" t="n">
        <v>0</v>
      </c>
      <c r="G501" s="14" t="n">
        <v>77.59</v>
      </c>
      <c r="H501" s="14" t="n">
        <v>0.24</v>
      </c>
      <c r="I501" s="14" t="n">
        <v>2.83</v>
      </c>
      <c r="J501" s="14" t="n">
        <v>0</v>
      </c>
      <c r="K501" s="14" t="n">
        <v>0</v>
      </c>
      <c r="L501" s="14" t="n">
        <v>6.49</v>
      </c>
      <c r="M501" s="14" t="n">
        <v>6.49</v>
      </c>
      <c r="N501" s="14" t="n">
        <v>1.3</v>
      </c>
      <c r="O501" s="14" t="n">
        <v>2</v>
      </c>
      <c r="P501" s="14" t="n">
        <v>0</v>
      </c>
      <c r="Q501" s="14" t="n">
        <v>0</v>
      </c>
      <c r="R501" s="14" t="n">
        <v>0</v>
      </c>
      <c r="S501" s="14" t="n">
        <v>0.35</v>
      </c>
      <c r="T501" s="14" t="n">
        <v>0</v>
      </c>
      <c r="U501" s="14" t="n">
        <v>1.65</v>
      </c>
      <c r="V501" s="14" t="n">
        <v>0.59</v>
      </c>
      <c r="W501" s="14" t="n">
        <v>0.12</v>
      </c>
      <c r="X501" s="14" t="n">
        <v>0</v>
      </c>
      <c r="Y501" s="14" t="n">
        <v>0.12</v>
      </c>
      <c r="Z501" s="14" t="n">
        <v>0.24</v>
      </c>
      <c r="AA501" s="14" t="n">
        <v>0</v>
      </c>
    </row>
    <row r="502">
      <c r="A502" t="inlineStr">
        <is>
          <t>150808</t>
        </is>
      </c>
      <c r="B502" t="inlineStr">
        <is>
          <t>LIMA</t>
        </is>
      </c>
      <c r="C502" t="inlineStr">
        <is>
          <t>HUAURA</t>
        </is>
      </c>
      <c r="D502" t="inlineStr">
        <is>
          <t>PACCHO</t>
        </is>
      </c>
      <c r="E502" t="n">
        <v>769</v>
      </c>
      <c r="F502" s="14" t="n">
        <v>0</v>
      </c>
      <c r="G502" s="14" t="n">
        <v>89.08</v>
      </c>
      <c r="H502" s="14" t="n">
        <v>0</v>
      </c>
      <c r="I502" s="14" t="n">
        <v>0.39</v>
      </c>
      <c r="J502" s="14" t="n">
        <v>0</v>
      </c>
      <c r="K502" s="14" t="n">
        <v>0</v>
      </c>
      <c r="L502" s="14" t="n">
        <v>0.78</v>
      </c>
      <c r="M502" s="14" t="n">
        <v>3.77</v>
      </c>
      <c r="N502" s="14" t="n">
        <v>1.3</v>
      </c>
      <c r="O502" s="14" t="n">
        <v>0.91</v>
      </c>
      <c r="P502" s="14" t="n">
        <v>0</v>
      </c>
      <c r="Q502" s="14" t="n">
        <v>0</v>
      </c>
      <c r="R502" s="14" t="n">
        <v>0</v>
      </c>
      <c r="S502" s="14" t="n">
        <v>0.26</v>
      </c>
      <c r="T502" s="14" t="n">
        <v>0</v>
      </c>
      <c r="U502" s="14" t="n">
        <v>2.08</v>
      </c>
      <c r="V502" s="14" t="n">
        <v>0.65</v>
      </c>
      <c r="W502" s="14" t="n">
        <v>0.65</v>
      </c>
      <c r="X502" s="14" t="n">
        <v>0</v>
      </c>
      <c r="Y502" s="14" t="n">
        <v>0.13</v>
      </c>
      <c r="Z502" s="14" t="n">
        <v>0</v>
      </c>
      <c r="AA502" s="14" t="n">
        <v>0</v>
      </c>
    </row>
    <row r="503">
      <c r="A503" t="inlineStr">
        <is>
          <t>150809</t>
        </is>
      </c>
      <c r="B503" t="inlineStr">
        <is>
          <t>LIMA</t>
        </is>
      </c>
      <c r="C503" t="inlineStr">
        <is>
          <t>HUAURA</t>
        </is>
      </c>
      <c r="D503" t="inlineStr">
        <is>
          <t>SANTA LEONOR</t>
        </is>
      </c>
      <c r="E503" t="n">
        <v>319</v>
      </c>
      <c r="F503" s="14" t="n">
        <v>0</v>
      </c>
      <c r="G503" s="14" t="n">
        <v>73.04000000000001</v>
      </c>
      <c r="H503" s="14" t="n">
        <v>0.31</v>
      </c>
      <c r="I503" s="14" t="n">
        <v>1.25</v>
      </c>
      <c r="J503" s="14" t="n">
        <v>0.9399999999999999</v>
      </c>
      <c r="K503" s="14" t="n">
        <v>0</v>
      </c>
      <c r="L503" s="14" t="n">
        <v>2.51</v>
      </c>
      <c r="M503" s="14" t="n">
        <v>5.96</v>
      </c>
      <c r="N503" s="14" t="n">
        <v>2.82</v>
      </c>
      <c r="O503" s="14" t="n">
        <v>4.08</v>
      </c>
      <c r="P503" s="14" t="n">
        <v>0</v>
      </c>
      <c r="Q503" s="14" t="n">
        <v>0.31</v>
      </c>
      <c r="R503" s="14" t="n">
        <v>0</v>
      </c>
      <c r="S503" s="14" t="n">
        <v>2.19</v>
      </c>
      <c r="T503" s="14" t="n">
        <v>0.31</v>
      </c>
      <c r="U503" s="14" t="n">
        <v>0.9399999999999999</v>
      </c>
      <c r="V503" s="14" t="n">
        <v>4.08</v>
      </c>
      <c r="W503" s="14" t="n">
        <v>0.9399999999999999</v>
      </c>
      <c r="X503" s="14" t="n">
        <v>0</v>
      </c>
      <c r="Y503" s="14" t="n">
        <v>0.31</v>
      </c>
      <c r="Z503" s="14" t="n">
        <v>0</v>
      </c>
      <c r="AA503" s="14" t="n">
        <v>0</v>
      </c>
    </row>
    <row r="504">
      <c r="A504" t="inlineStr">
        <is>
          <t>150810</t>
        </is>
      </c>
      <c r="B504" t="inlineStr">
        <is>
          <t>LIMA</t>
        </is>
      </c>
      <c r="C504" t="inlineStr">
        <is>
          <t>HUAURA</t>
        </is>
      </c>
      <c r="D504" t="inlineStr">
        <is>
          <t>SANTA MARIA</t>
        </is>
      </c>
      <c r="E504" t="n">
        <v>15630</v>
      </c>
      <c r="F504" s="14" t="n">
        <v>0</v>
      </c>
      <c r="G504" s="14" t="n">
        <v>15.92</v>
      </c>
      <c r="H504" s="14" t="n">
        <v>0.39</v>
      </c>
      <c r="I504" s="14" t="n">
        <v>5.77</v>
      </c>
      <c r="J504" s="14" t="n">
        <v>0.12</v>
      </c>
      <c r="K504" s="14" t="n">
        <v>0.35</v>
      </c>
      <c r="L504" s="14" t="n">
        <v>8.43</v>
      </c>
      <c r="M504" s="14" t="n">
        <v>20.27</v>
      </c>
      <c r="N504" s="14" t="n">
        <v>13.44</v>
      </c>
      <c r="O504" s="14" t="n">
        <v>7.39</v>
      </c>
      <c r="P504" s="14" t="n">
        <v>0.74</v>
      </c>
      <c r="Q504" s="14" t="n">
        <v>0.82</v>
      </c>
      <c r="R504" s="14" t="n">
        <v>0.1</v>
      </c>
      <c r="S504" s="14" t="n">
        <v>4.45</v>
      </c>
      <c r="T504" s="14" t="n">
        <v>3.84</v>
      </c>
      <c r="U504" s="14" t="n">
        <v>3.51</v>
      </c>
      <c r="V504" s="14" t="n">
        <v>6.1</v>
      </c>
      <c r="W504" s="14" t="n">
        <v>3.02</v>
      </c>
      <c r="X504" s="14" t="n">
        <v>1.02</v>
      </c>
      <c r="Y504" s="14" t="n">
        <v>2.5</v>
      </c>
      <c r="Z504" s="14" t="n">
        <v>1.85</v>
      </c>
      <c r="AA504" s="14" t="n">
        <v>0</v>
      </c>
    </row>
    <row r="505">
      <c r="A505" t="inlineStr">
        <is>
          <t>150811</t>
        </is>
      </c>
      <c r="B505" t="inlineStr">
        <is>
          <t>LIMA</t>
        </is>
      </c>
      <c r="C505" t="inlineStr">
        <is>
          <t>HUAURA</t>
        </is>
      </c>
      <c r="D505" t="inlineStr">
        <is>
          <t>SAYAN</t>
        </is>
      </c>
      <c r="E505" t="n">
        <v>10076</v>
      </c>
      <c r="F505" s="14" t="n">
        <v>0</v>
      </c>
      <c r="G505" s="14" t="n">
        <v>52.78</v>
      </c>
      <c r="H505" s="14" t="n">
        <v>0.24</v>
      </c>
      <c r="I505" s="14" t="n">
        <v>5.32</v>
      </c>
      <c r="J505" s="14" t="n">
        <v>0.16</v>
      </c>
      <c r="K505" s="14" t="n">
        <v>0.12</v>
      </c>
      <c r="L505" s="14" t="n">
        <v>4.57</v>
      </c>
      <c r="M505" s="14" t="n">
        <v>12.61</v>
      </c>
      <c r="N505" s="14" t="n">
        <v>6.28</v>
      </c>
      <c r="O505" s="14" t="n">
        <v>4.6</v>
      </c>
      <c r="P505" s="14" t="n">
        <v>0.35</v>
      </c>
      <c r="Q505" s="14" t="n">
        <v>0.15</v>
      </c>
      <c r="R505" s="14" t="n">
        <v>0</v>
      </c>
      <c r="S505" s="14" t="n">
        <v>2.53</v>
      </c>
      <c r="T505" s="14" t="n">
        <v>2.89</v>
      </c>
      <c r="U505" s="14" t="n">
        <v>2.24</v>
      </c>
      <c r="V505" s="14" t="n">
        <v>2.15</v>
      </c>
      <c r="W505" s="14" t="n">
        <v>0.99</v>
      </c>
      <c r="X505" s="14" t="n">
        <v>0.15</v>
      </c>
      <c r="Y505" s="14" t="n">
        <v>1.31</v>
      </c>
      <c r="Z505" s="14" t="n">
        <v>0.57</v>
      </c>
      <c r="AA505" s="14" t="n">
        <v>0</v>
      </c>
    </row>
    <row r="506">
      <c r="A506" t="inlineStr">
        <is>
          <t>150812</t>
        </is>
      </c>
      <c r="B506" t="inlineStr">
        <is>
          <t>LIMA</t>
        </is>
      </c>
      <c r="C506" t="inlineStr">
        <is>
          <t>HUAURA</t>
        </is>
      </c>
      <c r="D506" t="inlineStr">
        <is>
          <t>VEGUETA</t>
        </is>
      </c>
      <c r="E506" t="n">
        <v>10492</v>
      </c>
      <c r="F506" s="14" t="n">
        <v>1.287</v>
      </c>
      <c r="G506" s="14" t="n">
        <v>40.53</v>
      </c>
      <c r="H506" s="14" t="n">
        <v>0.47</v>
      </c>
      <c r="I506" s="14" t="n">
        <v>5.98</v>
      </c>
      <c r="J506" s="14" t="n">
        <v>0.05</v>
      </c>
      <c r="K506" s="14" t="n">
        <v>0.17</v>
      </c>
      <c r="L506" s="14" t="n">
        <v>8.42</v>
      </c>
      <c r="M506" s="14" t="n">
        <v>14.56</v>
      </c>
      <c r="N506" s="14" t="n">
        <v>9</v>
      </c>
      <c r="O506" s="14" t="n">
        <v>4.17</v>
      </c>
      <c r="P506" s="14" t="n">
        <v>0.42</v>
      </c>
      <c r="Q506" s="14" t="n">
        <v>0.27</v>
      </c>
      <c r="R506" s="14" t="n">
        <v>0.01</v>
      </c>
      <c r="S506" s="14" t="n">
        <v>2.7</v>
      </c>
      <c r="T506" s="14" t="n">
        <v>2.95</v>
      </c>
      <c r="U506" s="14" t="n">
        <v>1.99</v>
      </c>
      <c r="V506" s="14" t="n">
        <v>3.16</v>
      </c>
      <c r="W506" s="14" t="n">
        <v>1.73</v>
      </c>
      <c r="X506" s="14" t="n">
        <v>0.77</v>
      </c>
      <c r="Y506" s="14" t="n">
        <v>1.71</v>
      </c>
      <c r="Z506" s="14" t="n">
        <v>0.95</v>
      </c>
      <c r="AA506" s="14" t="n">
        <v>0</v>
      </c>
    </row>
    <row r="507">
      <c r="A507" t="inlineStr">
        <is>
          <t>150901</t>
        </is>
      </c>
      <c r="B507" t="inlineStr">
        <is>
          <t>LIMA</t>
        </is>
      </c>
      <c r="C507" t="inlineStr">
        <is>
          <t>OYON</t>
        </is>
      </c>
      <c r="D507" t="inlineStr">
        <is>
          <t>OYON</t>
        </is>
      </c>
      <c r="E507" t="n">
        <v>4956</v>
      </c>
      <c r="F507" s="14" t="n">
        <v>0</v>
      </c>
      <c r="G507" s="14" t="n">
        <v>11.46</v>
      </c>
      <c r="H507" s="14" t="n">
        <v>40.96</v>
      </c>
      <c r="I507" s="14" t="n">
        <v>3.09</v>
      </c>
      <c r="J507" s="14" t="n">
        <v>0.14</v>
      </c>
      <c r="K507" s="14" t="n">
        <v>0.3</v>
      </c>
      <c r="L507" s="14" t="n">
        <v>9.619999999999999</v>
      </c>
      <c r="M507" s="14" t="n">
        <v>10.71</v>
      </c>
      <c r="N507" s="14" t="n">
        <v>4.6</v>
      </c>
      <c r="O507" s="14" t="n">
        <v>4.48</v>
      </c>
      <c r="P507" s="14" t="n">
        <v>0.2</v>
      </c>
      <c r="Q507" s="14" t="n">
        <v>0.08</v>
      </c>
      <c r="R507" s="14" t="n">
        <v>0.02</v>
      </c>
      <c r="S507" s="14" t="n">
        <v>1.9</v>
      </c>
      <c r="T507" s="14" t="n">
        <v>1.88</v>
      </c>
      <c r="U507" s="14" t="n">
        <v>4</v>
      </c>
      <c r="V507" s="14" t="n">
        <v>3.97</v>
      </c>
      <c r="W507" s="14" t="n">
        <v>1.19</v>
      </c>
      <c r="X507" s="14" t="n">
        <v>0.2</v>
      </c>
      <c r="Y507" s="14" t="n">
        <v>0.97</v>
      </c>
      <c r="Z507" s="14" t="n">
        <v>0.22</v>
      </c>
      <c r="AA507" s="14" t="n">
        <v>0</v>
      </c>
    </row>
    <row r="508">
      <c r="A508" t="inlineStr">
        <is>
          <t>150902</t>
        </is>
      </c>
      <c r="B508" t="inlineStr">
        <is>
          <t>LIMA</t>
        </is>
      </c>
      <c r="C508" t="inlineStr">
        <is>
          <t>OYON</t>
        </is>
      </c>
      <c r="D508" t="inlineStr">
        <is>
          <t>ANDAJES</t>
        </is>
      </c>
      <c r="E508" t="n">
        <v>263</v>
      </c>
      <c r="F508" s="14" t="n">
        <v>0</v>
      </c>
      <c r="G508" s="14" t="n">
        <v>51.71</v>
      </c>
      <c r="H508" s="14" t="n">
        <v>0</v>
      </c>
      <c r="I508" s="14" t="n">
        <v>4.18</v>
      </c>
      <c r="J508" s="14" t="n">
        <v>0</v>
      </c>
      <c r="K508" s="14" t="n">
        <v>0</v>
      </c>
      <c r="L508" s="14" t="n">
        <v>7.98</v>
      </c>
      <c r="M508" s="14" t="n">
        <v>9.51</v>
      </c>
      <c r="N508" s="14" t="n">
        <v>3.42</v>
      </c>
      <c r="O508" s="14" t="n">
        <v>5.32</v>
      </c>
      <c r="P508" s="14" t="n">
        <v>0.38</v>
      </c>
      <c r="Q508" s="14" t="n">
        <v>0</v>
      </c>
      <c r="R508" s="14" t="n">
        <v>0</v>
      </c>
      <c r="S508" s="14" t="n">
        <v>1.52</v>
      </c>
      <c r="T508" s="14" t="n">
        <v>1.52</v>
      </c>
      <c r="U508" s="14" t="n">
        <v>4.18</v>
      </c>
      <c r="V508" s="14" t="n">
        <v>4.18</v>
      </c>
      <c r="W508" s="14" t="n">
        <v>1.9</v>
      </c>
      <c r="X508" s="14" t="n">
        <v>0.38</v>
      </c>
      <c r="Y508" s="14" t="n">
        <v>3.42</v>
      </c>
      <c r="Z508" s="14" t="n">
        <v>0.38</v>
      </c>
      <c r="AA508" s="14" t="n">
        <v>0</v>
      </c>
    </row>
    <row r="509">
      <c r="A509" t="inlineStr">
        <is>
          <t>150903</t>
        </is>
      </c>
      <c r="B509" t="inlineStr">
        <is>
          <t>LIMA</t>
        </is>
      </c>
      <c r="C509" t="inlineStr">
        <is>
          <t>OYON</t>
        </is>
      </c>
      <c r="D509" t="inlineStr">
        <is>
          <t>CAUJUL</t>
        </is>
      </c>
      <c r="E509" t="n">
        <v>243</v>
      </c>
      <c r="F509" s="14" t="n">
        <v>0</v>
      </c>
      <c r="G509" s="14" t="n">
        <v>82.3</v>
      </c>
      <c r="H509" s="14" t="n">
        <v>0</v>
      </c>
      <c r="I509" s="14" t="n">
        <v>0.41</v>
      </c>
      <c r="J509" s="14" t="n">
        <v>0</v>
      </c>
      <c r="K509" s="14" t="n">
        <v>0</v>
      </c>
      <c r="L509" s="14" t="n">
        <v>1.65</v>
      </c>
      <c r="M509" s="14" t="n">
        <v>4.53</v>
      </c>
      <c r="N509" s="14" t="n">
        <v>2.06</v>
      </c>
      <c r="O509" s="14" t="n">
        <v>0.82</v>
      </c>
      <c r="P509" s="14" t="n">
        <v>0</v>
      </c>
      <c r="Q509" s="14" t="n">
        <v>0</v>
      </c>
      <c r="R509" s="14" t="n">
        <v>0</v>
      </c>
      <c r="S509" s="14" t="n">
        <v>0.82</v>
      </c>
      <c r="T509" s="14" t="n">
        <v>0</v>
      </c>
      <c r="U509" s="14" t="n">
        <v>3.7</v>
      </c>
      <c r="V509" s="14" t="n">
        <v>2.88</v>
      </c>
      <c r="W509" s="14" t="n">
        <v>0.41</v>
      </c>
      <c r="X509" s="14" t="n">
        <v>0</v>
      </c>
      <c r="Y509" s="14" t="n">
        <v>0.41</v>
      </c>
      <c r="Z509" s="14" t="n">
        <v>0</v>
      </c>
      <c r="AA509" s="14" t="n">
        <v>0</v>
      </c>
    </row>
    <row r="510">
      <c r="A510" t="inlineStr">
        <is>
          <t>150904</t>
        </is>
      </c>
      <c r="B510" t="inlineStr">
        <is>
          <t>LIMA</t>
        </is>
      </c>
      <c r="C510" t="inlineStr">
        <is>
          <t>OYON</t>
        </is>
      </c>
      <c r="D510" t="inlineStr">
        <is>
          <t>COCHAMARCA</t>
        </is>
      </c>
      <c r="E510" t="n">
        <v>418</v>
      </c>
      <c r="F510" s="14" t="n">
        <v>0</v>
      </c>
      <c r="G510" s="14" t="n">
        <v>91.87</v>
      </c>
      <c r="H510" s="14" t="n">
        <v>0</v>
      </c>
      <c r="I510" s="14" t="n">
        <v>0.24</v>
      </c>
      <c r="J510" s="14" t="n">
        <v>0</v>
      </c>
      <c r="K510" s="14" t="n">
        <v>0</v>
      </c>
      <c r="L510" s="14" t="n">
        <v>2.15</v>
      </c>
      <c r="M510" s="14" t="n">
        <v>1.44</v>
      </c>
      <c r="N510" s="14" t="n">
        <v>0.72</v>
      </c>
      <c r="O510" s="14" t="n">
        <v>0</v>
      </c>
      <c r="P510" s="14" t="n">
        <v>0</v>
      </c>
      <c r="Q510" s="14" t="n">
        <v>0</v>
      </c>
      <c r="R510" s="14" t="n">
        <v>0</v>
      </c>
      <c r="S510" s="14" t="n">
        <v>0.24</v>
      </c>
      <c r="T510" s="14" t="n">
        <v>0</v>
      </c>
      <c r="U510" s="14" t="n">
        <v>1.2</v>
      </c>
      <c r="V510" s="14" t="n">
        <v>1.2</v>
      </c>
      <c r="W510" s="14" t="n">
        <v>0.24</v>
      </c>
      <c r="X510" s="14" t="n">
        <v>0</v>
      </c>
      <c r="Y510" s="14" t="n">
        <v>0.48</v>
      </c>
      <c r="Z510" s="14" t="n">
        <v>0.24</v>
      </c>
      <c r="AA510" s="14" t="n">
        <v>0</v>
      </c>
    </row>
    <row r="511">
      <c r="A511" t="inlineStr">
        <is>
          <t>150905</t>
        </is>
      </c>
      <c r="B511" t="inlineStr">
        <is>
          <t>LIMA</t>
        </is>
      </c>
      <c r="C511" t="inlineStr">
        <is>
          <t>OYON</t>
        </is>
      </c>
      <c r="D511" t="inlineStr"/>
      <c r="E511" t="n">
        <v>0</v>
      </c>
      <c r="F511" s="14" t="n">
        <v>0</v>
      </c>
      <c r="G511" s="14" t="n">
        <v>56.35</v>
      </c>
      <c r="H511" s="14" t="n">
        <v>0</v>
      </c>
      <c r="I511" s="14" t="n">
        <v>2.85</v>
      </c>
      <c r="J511" s="14" t="n">
        <v>0</v>
      </c>
      <c r="K511" s="14" t="n">
        <v>0</v>
      </c>
      <c r="L511" s="14" t="n">
        <v>8.699999999999999</v>
      </c>
      <c r="M511" s="14" t="n">
        <v>10.36</v>
      </c>
      <c r="N511" s="14" t="n">
        <v>3.73</v>
      </c>
      <c r="O511" s="14" t="n">
        <v>4.88</v>
      </c>
      <c r="P511" s="14" t="n">
        <v>0.22</v>
      </c>
      <c r="Q511" s="14" t="n">
        <v>0</v>
      </c>
      <c r="R511" s="14" t="n">
        <v>0</v>
      </c>
      <c r="S511" s="14" t="n">
        <v>1.66</v>
      </c>
      <c r="T511" s="14" t="n">
        <v>1.66</v>
      </c>
      <c r="U511" s="14" t="n">
        <v>4.04</v>
      </c>
      <c r="V511" s="14" t="n">
        <v>3.14</v>
      </c>
      <c r="W511" s="14" t="n">
        <v>0.88</v>
      </c>
      <c r="X511" s="14" t="n">
        <v>0.22</v>
      </c>
      <c r="Y511" s="14" t="n">
        <v>1.06</v>
      </c>
      <c r="Z511" s="14" t="n">
        <v>0.26</v>
      </c>
      <c r="AA511" s="14" t="n">
        <v>0</v>
      </c>
    </row>
    <row r="512">
      <c r="A512" t="inlineStr">
        <is>
          <t>150906</t>
        </is>
      </c>
      <c r="B512" t="inlineStr">
        <is>
          <t>LIMA</t>
        </is>
      </c>
      <c r="C512" t="inlineStr">
        <is>
          <t>OYON</t>
        </is>
      </c>
      <c r="D512" t="inlineStr">
        <is>
          <t>PACHANGARA</t>
        </is>
      </c>
      <c r="E512" t="n">
        <v>1109</v>
      </c>
      <c r="F512" s="14" t="n">
        <v>0</v>
      </c>
      <c r="G512" s="14" t="n">
        <v>28.67</v>
      </c>
      <c r="H512" s="14" t="n">
        <v>0.27</v>
      </c>
      <c r="I512" s="14" t="n">
        <v>2.61</v>
      </c>
      <c r="J512" s="14" t="n">
        <v>0.45</v>
      </c>
      <c r="K512" s="14" t="n">
        <v>0</v>
      </c>
      <c r="L512" s="14" t="n">
        <v>12.89</v>
      </c>
      <c r="M512" s="14" t="n">
        <v>15.15</v>
      </c>
      <c r="N512" s="14" t="n">
        <v>9.470000000000001</v>
      </c>
      <c r="O512" s="14" t="n">
        <v>15.24</v>
      </c>
      <c r="P512" s="14" t="n">
        <v>0.27</v>
      </c>
      <c r="Q512" s="14" t="n">
        <v>0.18</v>
      </c>
      <c r="R512" s="14" t="n">
        <v>0</v>
      </c>
      <c r="S512" s="14" t="n">
        <v>3.79</v>
      </c>
      <c r="T512" s="14" t="n">
        <v>2.16</v>
      </c>
      <c r="U512" s="14" t="n">
        <v>2.71</v>
      </c>
      <c r="V512" s="14" t="n">
        <v>2.8</v>
      </c>
      <c r="W512" s="14" t="n">
        <v>0.8100000000000001</v>
      </c>
      <c r="X512" s="14" t="n">
        <v>0.54</v>
      </c>
      <c r="Y512" s="14" t="n">
        <v>1.26</v>
      </c>
      <c r="Z512" s="14" t="n">
        <v>0.72</v>
      </c>
      <c r="AA512" s="14" t="n">
        <v>0</v>
      </c>
    </row>
    <row r="513">
      <c r="A513" t="inlineStr">
        <is>
          <t>151001</t>
        </is>
      </c>
      <c r="B513" t="inlineStr">
        <is>
          <t>LIMA</t>
        </is>
      </c>
      <c r="C513" t="inlineStr">
        <is>
          <t>YAUYOS</t>
        </is>
      </c>
      <c r="D513" t="inlineStr">
        <is>
          <t>YAUYOS</t>
        </is>
      </c>
      <c r="E513" t="n">
        <v>779</v>
      </c>
      <c r="F513" s="14" t="n">
        <v>0</v>
      </c>
      <c r="G513" s="14" t="n">
        <v>52.63</v>
      </c>
      <c r="H513" s="14" t="n">
        <v>0.64</v>
      </c>
      <c r="I513" s="14" t="n">
        <v>1.03</v>
      </c>
      <c r="J513" s="14" t="n">
        <v>0.39</v>
      </c>
      <c r="K513" s="14" t="n">
        <v>0</v>
      </c>
      <c r="L513" s="14" t="n">
        <v>4.36</v>
      </c>
      <c r="M513" s="14" t="n">
        <v>9.880000000000001</v>
      </c>
      <c r="N513" s="14" t="n">
        <v>1.8</v>
      </c>
      <c r="O513" s="14" t="n">
        <v>3.72</v>
      </c>
      <c r="P513" s="14" t="n">
        <v>0.13</v>
      </c>
      <c r="Q513" s="14" t="n">
        <v>0.13</v>
      </c>
      <c r="R513" s="14" t="n">
        <v>0</v>
      </c>
      <c r="S513" s="14" t="n">
        <v>3.59</v>
      </c>
      <c r="T513" s="14" t="n">
        <v>2.05</v>
      </c>
      <c r="U513" s="14" t="n">
        <v>7.83</v>
      </c>
      <c r="V513" s="14" t="n">
        <v>8.859999999999999</v>
      </c>
      <c r="W513" s="14" t="n">
        <v>2.05</v>
      </c>
      <c r="X513" s="14" t="n">
        <v>0.13</v>
      </c>
      <c r="Y513" s="14" t="n">
        <v>0.39</v>
      </c>
      <c r="Z513" s="14" t="n">
        <v>0.39</v>
      </c>
      <c r="AA513" s="14" t="n">
        <v>0</v>
      </c>
    </row>
    <row r="514">
      <c r="A514" t="inlineStr">
        <is>
          <t>151002</t>
        </is>
      </c>
      <c r="B514" t="inlineStr">
        <is>
          <t>LIMA</t>
        </is>
      </c>
      <c r="C514" t="inlineStr">
        <is>
          <t>YAUYOS</t>
        </is>
      </c>
      <c r="D514" t="inlineStr">
        <is>
          <t>ALIS</t>
        </is>
      </c>
      <c r="E514" t="n">
        <v>1393</v>
      </c>
      <c r="F514" s="14" t="n">
        <v>0</v>
      </c>
      <c r="G514" s="14" t="n">
        <v>4.16</v>
      </c>
      <c r="H514" s="14" t="n">
        <v>76.81</v>
      </c>
      <c r="I514" s="14" t="n">
        <v>2.37</v>
      </c>
      <c r="J514" s="14" t="n">
        <v>0.07000000000000001</v>
      </c>
      <c r="K514" s="14" t="n">
        <v>0</v>
      </c>
      <c r="L514" s="14" t="n">
        <v>1.08</v>
      </c>
      <c r="M514" s="14" t="n">
        <v>1.94</v>
      </c>
      <c r="N514" s="14" t="n">
        <v>0.72</v>
      </c>
      <c r="O514" s="14" t="n">
        <v>3.59</v>
      </c>
      <c r="P514" s="14" t="n">
        <v>0.07000000000000001</v>
      </c>
      <c r="Q514" s="14" t="n">
        <v>0</v>
      </c>
      <c r="R514" s="14" t="n">
        <v>0</v>
      </c>
      <c r="S514" s="14" t="n">
        <v>1.01</v>
      </c>
      <c r="T514" s="14" t="n">
        <v>2.44</v>
      </c>
      <c r="U514" s="14" t="n">
        <v>1.08</v>
      </c>
      <c r="V514" s="14" t="n">
        <v>1.79</v>
      </c>
      <c r="W514" s="14" t="n">
        <v>2.44</v>
      </c>
      <c r="X514" s="14" t="n">
        <v>0</v>
      </c>
      <c r="Y514" s="14" t="n">
        <v>0.43</v>
      </c>
      <c r="Z514" s="14" t="n">
        <v>0</v>
      </c>
      <c r="AA514" s="14" t="n">
        <v>0</v>
      </c>
    </row>
    <row r="515">
      <c r="A515" t="inlineStr">
        <is>
          <t>151003</t>
        </is>
      </c>
      <c r="B515" t="inlineStr">
        <is>
          <t>LIMA</t>
        </is>
      </c>
      <c r="C515" t="inlineStr">
        <is>
          <t>YAUYOS</t>
        </is>
      </c>
      <c r="D515" t="inlineStr">
        <is>
          <t>AYAUCA</t>
        </is>
      </c>
      <c r="E515" t="n">
        <v>0</v>
      </c>
      <c r="F515" s="14" t="n">
        <v>0</v>
      </c>
      <c r="G515" s="14" t="n">
        <v>76.5</v>
      </c>
      <c r="H515" s="14" t="n">
        <v>0</v>
      </c>
      <c r="I515" s="14" t="n">
        <v>1.21</v>
      </c>
      <c r="J515" s="14" t="n">
        <v>0</v>
      </c>
      <c r="K515" s="14" t="n">
        <v>0</v>
      </c>
      <c r="L515" s="14" t="n">
        <v>3.19</v>
      </c>
      <c r="M515" s="14" t="n">
        <v>6.09</v>
      </c>
      <c r="N515" s="14" t="n">
        <v>1.87</v>
      </c>
      <c r="O515" s="14" t="n">
        <v>1.3</v>
      </c>
      <c r="P515" s="14" t="n">
        <v>0</v>
      </c>
      <c r="Q515" s="14" t="n">
        <v>0</v>
      </c>
      <c r="R515" s="14" t="n">
        <v>0</v>
      </c>
      <c r="S515" s="14" t="n">
        <v>0.87</v>
      </c>
      <c r="T515" s="14" t="n">
        <v>0</v>
      </c>
      <c r="U515" s="14" t="n">
        <v>3.04</v>
      </c>
      <c r="V515" s="14" t="n">
        <v>5.22</v>
      </c>
      <c r="W515" s="14" t="n">
        <v>0.71</v>
      </c>
      <c r="X515" s="14" t="n">
        <v>0</v>
      </c>
      <c r="Y515" s="14" t="n">
        <v>0</v>
      </c>
      <c r="Z515" s="14" t="n">
        <v>0</v>
      </c>
      <c r="AA515" s="14" t="n">
        <v>0</v>
      </c>
    </row>
    <row r="516">
      <c r="A516" t="inlineStr">
        <is>
          <t>151004</t>
        </is>
      </c>
      <c r="B516" t="inlineStr">
        <is>
          <t>LIMA</t>
        </is>
      </c>
      <c r="C516" t="inlineStr">
        <is>
          <t>YAUYOS</t>
        </is>
      </c>
      <c r="D516" t="inlineStr">
        <is>
          <t>AYAVIRI</t>
        </is>
      </c>
      <c r="E516" t="n">
        <v>296</v>
      </c>
      <c r="F516" s="14" t="n">
        <v>0</v>
      </c>
      <c r="G516" s="14" t="n">
        <v>72.3</v>
      </c>
      <c r="H516" s="14" t="n">
        <v>0.34</v>
      </c>
      <c r="I516" s="14" t="n">
        <v>1.01</v>
      </c>
      <c r="J516" s="14" t="n">
        <v>0</v>
      </c>
      <c r="K516" s="14" t="n">
        <v>0</v>
      </c>
      <c r="L516" s="14" t="n">
        <v>4.73</v>
      </c>
      <c r="M516" s="14" t="n">
        <v>4.39</v>
      </c>
      <c r="N516" s="14" t="n">
        <v>1.69</v>
      </c>
      <c r="O516" s="14" t="n">
        <v>3.04</v>
      </c>
      <c r="P516" s="14" t="n">
        <v>0</v>
      </c>
      <c r="Q516" s="14" t="n">
        <v>0</v>
      </c>
      <c r="R516" s="14" t="n">
        <v>0</v>
      </c>
      <c r="S516" s="14" t="n">
        <v>2.03</v>
      </c>
      <c r="T516" s="14" t="n">
        <v>0</v>
      </c>
      <c r="U516" s="14" t="n">
        <v>2.7</v>
      </c>
      <c r="V516" s="14" t="n">
        <v>6.42</v>
      </c>
      <c r="W516" s="14" t="n">
        <v>1.35</v>
      </c>
      <c r="X516" s="14" t="n">
        <v>0</v>
      </c>
      <c r="Y516" s="14" t="n">
        <v>0</v>
      </c>
      <c r="Z516" s="14" t="n">
        <v>0</v>
      </c>
      <c r="AA516" s="14" t="n">
        <v>0</v>
      </c>
    </row>
    <row r="517">
      <c r="A517" t="inlineStr">
        <is>
          <t>151005</t>
        </is>
      </c>
      <c r="B517" t="inlineStr">
        <is>
          <t>LIMA</t>
        </is>
      </c>
      <c r="C517" t="inlineStr">
        <is>
          <t>YAUYOS</t>
        </is>
      </c>
      <c r="D517" t="inlineStr">
        <is>
          <t>AZANGARO</t>
        </is>
      </c>
      <c r="E517" t="n">
        <v>228</v>
      </c>
      <c r="F517" s="14" t="n">
        <v>0</v>
      </c>
      <c r="G517" s="14" t="n">
        <v>81.58</v>
      </c>
      <c r="H517" s="14" t="n">
        <v>0</v>
      </c>
      <c r="I517" s="14" t="n">
        <v>0.88</v>
      </c>
      <c r="J517" s="14" t="n">
        <v>0</v>
      </c>
      <c r="K517" s="14" t="n">
        <v>0</v>
      </c>
      <c r="L517" s="14" t="n">
        <v>4.39</v>
      </c>
      <c r="M517" s="14" t="n">
        <v>2.63</v>
      </c>
      <c r="N517" s="14" t="n">
        <v>2.19</v>
      </c>
      <c r="O517" s="14" t="n">
        <v>0</v>
      </c>
      <c r="P517" s="14" t="n">
        <v>0</v>
      </c>
      <c r="Q517" s="14" t="n">
        <v>0</v>
      </c>
      <c r="R517" s="14" t="n">
        <v>0</v>
      </c>
      <c r="S517" s="14" t="n">
        <v>0.88</v>
      </c>
      <c r="T517" s="14" t="n">
        <v>0</v>
      </c>
      <c r="U517" s="14" t="n">
        <v>3.95</v>
      </c>
      <c r="V517" s="14" t="n">
        <v>3.07</v>
      </c>
      <c r="W517" s="14" t="n">
        <v>0.44</v>
      </c>
      <c r="X517" s="14" t="n">
        <v>0</v>
      </c>
      <c r="Y517" s="14" t="n">
        <v>0</v>
      </c>
      <c r="Z517" s="14" t="n">
        <v>0</v>
      </c>
      <c r="AA517" s="14" t="n">
        <v>0</v>
      </c>
    </row>
    <row r="518">
      <c r="A518" t="inlineStr">
        <is>
          <t>151006</t>
        </is>
      </c>
      <c r="B518" t="inlineStr">
        <is>
          <t>LIMA</t>
        </is>
      </c>
      <c r="C518" t="inlineStr">
        <is>
          <t>YAUYOS</t>
        </is>
      </c>
      <c r="D518" t="inlineStr">
        <is>
          <t>CACRA</t>
        </is>
      </c>
      <c r="E518" t="n">
        <v>239</v>
      </c>
      <c r="F518" s="14" t="n">
        <v>0</v>
      </c>
      <c r="G518" s="14" t="n">
        <v>79.5</v>
      </c>
      <c r="H518" s="14" t="n">
        <v>0</v>
      </c>
      <c r="I518" s="14" t="n">
        <v>0.84</v>
      </c>
      <c r="J518" s="14" t="n">
        <v>0</v>
      </c>
      <c r="K518" s="14" t="n">
        <v>0</v>
      </c>
      <c r="L518" s="14" t="n">
        <v>0.42</v>
      </c>
      <c r="M518" s="14" t="n">
        <v>8.369999999999999</v>
      </c>
      <c r="N518" s="14" t="n">
        <v>2.09</v>
      </c>
      <c r="O518" s="14" t="n">
        <v>0</v>
      </c>
      <c r="P518" s="14" t="n">
        <v>0</v>
      </c>
      <c r="Q518" s="14" t="n">
        <v>0</v>
      </c>
      <c r="R518" s="14" t="n">
        <v>0</v>
      </c>
      <c r="S518" s="14" t="n">
        <v>0.84</v>
      </c>
      <c r="T518" s="14" t="n">
        <v>0</v>
      </c>
      <c r="U518" s="14" t="n">
        <v>1.26</v>
      </c>
      <c r="V518" s="14" t="n">
        <v>5.02</v>
      </c>
      <c r="W518" s="14" t="n">
        <v>0.42</v>
      </c>
      <c r="X518" s="14" t="n">
        <v>0</v>
      </c>
      <c r="Y518" s="14" t="n">
        <v>1.26</v>
      </c>
      <c r="Z518" s="14" t="n">
        <v>0</v>
      </c>
      <c r="AA518" s="14" t="n">
        <v>0</v>
      </c>
    </row>
    <row r="519">
      <c r="A519" t="inlineStr">
        <is>
          <t>151007</t>
        </is>
      </c>
      <c r="B519" t="inlineStr">
        <is>
          <t>LIMA</t>
        </is>
      </c>
      <c r="C519" t="inlineStr">
        <is>
          <t>YAUYOS</t>
        </is>
      </c>
      <c r="D519" t="inlineStr">
        <is>
          <t>CARANIA</t>
        </is>
      </c>
      <c r="E519" t="n">
        <v>71</v>
      </c>
      <c r="F519" s="14" t="n">
        <v>0</v>
      </c>
      <c r="G519" s="14" t="n">
        <v>80.28</v>
      </c>
      <c r="H519" s="14" t="n">
        <v>0</v>
      </c>
      <c r="I519" s="14" t="n">
        <v>0</v>
      </c>
      <c r="J519" s="14" t="n">
        <v>1.41</v>
      </c>
      <c r="K519" s="14" t="n">
        <v>0</v>
      </c>
      <c r="L519" s="14" t="n">
        <v>1.41</v>
      </c>
      <c r="M519" s="14" t="n">
        <v>2.82</v>
      </c>
      <c r="N519" s="14" t="n">
        <v>1.41</v>
      </c>
      <c r="O519" s="14" t="n">
        <v>1.41</v>
      </c>
      <c r="P519" s="14" t="n">
        <v>0</v>
      </c>
      <c r="Q519" s="14" t="n">
        <v>0</v>
      </c>
      <c r="R519" s="14" t="n">
        <v>0</v>
      </c>
      <c r="S519" s="14" t="n">
        <v>1.41</v>
      </c>
      <c r="T519" s="14" t="n">
        <v>0</v>
      </c>
      <c r="U519" s="14" t="n">
        <v>4.23</v>
      </c>
      <c r="V519" s="14" t="n">
        <v>2.82</v>
      </c>
      <c r="W519" s="14" t="n">
        <v>1.41</v>
      </c>
      <c r="X519" s="14" t="n">
        <v>0</v>
      </c>
      <c r="Y519" s="14" t="n">
        <v>1.41</v>
      </c>
      <c r="Z519" s="14" t="n">
        <v>0</v>
      </c>
      <c r="AA519" s="14" t="n">
        <v>0</v>
      </c>
    </row>
    <row r="520">
      <c r="A520" t="inlineStr">
        <is>
          <t>151008</t>
        </is>
      </c>
      <c r="B520" t="inlineStr">
        <is>
          <t>LIMA</t>
        </is>
      </c>
      <c r="C520" t="inlineStr">
        <is>
          <t>YAUYOS</t>
        </is>
      </c>
      <c r="D520" t="inlineStr">
        <is>
          <t>CATAHUASI</t>
        </is>
      </c>
      <c r="E520" t="n">
        <v>513</v>
      </c>
      <c r="F520" s="14" t="n">
        <v>0</v>
      </c>
      <c r="G520" s="14" t="n">
        <v>64.52</v>
      </c>
      <c r="H520" s="14" t="n">
        <v>0.39</v>
      </c>
      <c r="I520" s="14" t="n">
        <v>1.75</v>
      </c>
      <c r="J520" s="14" t="n">
        <v>0</v>
      </c>
      <c r="K520" s="14" t="n">
        <v>0</v>
      </c>
      <c r="L520" s="14" t="n">
        <v>4.09</v>
      </c>
      <c r="M520" s="14" t="n">
        <v>7.21</v>
      </c>
      <c r="N520" s="14" t="n">
        <v>2.73</v>
      </c>
      <c r="O520" s="14" t="n">
        <v>2.73</v>
      </c>
      <c r="P520" s="14" t="n">
        <v>0</v>
      </c>
      <c r="Q520" s="14" t="n">
        <v>0.19</v>
      </c>
      <c r="R520" s="14" t="n">
        <v>0</v>
      </c>
      <c r="S520" s="14" t="n">
        <v>1.17</v>
      </c>
      <c r="T520" s="14" t="n">
        <v>1.56</v>
      </c>
      <c r="U520" s="14" t="n">
        <v>2.92</v>
      </c>
      <c r="V520" s="14" t="n">
        <v>9.16</v>
      </c>
      <c r="W520" s="14" t="n">
        <v>0.97</v>
      </c>
      <c r="X520" s="14" t="n">
        <v>0</v>
      </c>
      <c r="Y520" s="14" t="n">
        <v>0.19</v>
      </c>
      <c r="Z520" s="14" t="n">
        <v>0.39</v>
      </c>
      <c r="AA520" s="14" t="n">
        <v>0</v>
      </c>
    </row>
    <row r="521">
      <c r="A521" t="inlineStr">
        <is>
          <t>151009</t>
        </is>
      </c>
      <c r="B521" t="inlineStr">
        <is>
          <t>LIMA</t>
        </is>
      </c>
      <c r="C521" t="inlineStr">
        <is>
          <t>YAUYOS</t>
        </is>
      </c>
      <c r="D521" t="inlineStr">
        <is>
          <t>CHOCOS</t>
        </is>
      </c>
      <c r="E521" t="n">
        <v>293</v>
      </c>
      <c r="F521" s="14" t="n">
        <v>0</v>
      </c>
      <c r="G521" s="14" t="n">
        <v>87.37</v>
      </c>
      <c r="H521" s="14" t="n">
        <v>0</v>
      </c>
      <c r="I521" s="14" t="n">
        <v>0</v>
      </c>
      <c r="J521" s="14" t="n">
        <v>0</v>
      </c>
      <c r="K521" s="14" t="n">
        <v>0</v>
      </c>
      <c r="L521" s="14" t="n">
        <v>0.34</v>
      </c>
      <c r="M521" s="14" t="n">
        <v>1.71</v>
      </c>
      <c r="N521" s="14" t="n">
        <v>0.68</v>
      </c>
      <c r="O521" s="14" t="n">
        <v>0.68</v>
      </c>
      <c r="P521" s="14" t="n">
        <v>0</v>
      </c>
      <c r="Q521" s="14" t="n">
        <v>0</v>
      </c>
      <c r="R521" s="14" t="n">
        <v>0</v>
      </c>
      <c r="S521" s="14" t="n">
        <v>0</v>
      </c>
      <c r="T521" s="14" t="n">
        <v>0.34</v>
      </c>
      <c r="U521" s="14" t="n">
        <v>2.73</v>
      </c>
      <c r="V521" s="14" t="n">
        <v>5.46</v>
      </c>
      <c r="W521" s="14" t="n">
        <v>0.68</v>
      </c>
      <c r="X521" s="14" t="n">
        <v>0</v>
      </c>
      <c r="Y521" s="14" t="n">
        <v>0</v>
      </c>
      <c r="Z521" s="14" t="n">
        <v>0</v>
      </c>
      <c r="AA521" s="14" t="n">
        <v>0</v>
      </c>
    </row>
    <row r="522">
      <c r="A522" t="inlineStr">
        <is>
          <t>151010</t>
        </is>
      </c>
      <c r="B522" t="inlineStr">
        <is>
          <t>LIMA</t>
        </is>
      </c>
      <c r="C522" t="inlineStr">
        <is>
          <t>YAUYOS</t>
        </is>
      </c>
      <c r="D522" t="inlineStr">
        <is>
          <t>COCHAS</t>
        </is>
      </c>
      <c r="E522" t="n">
        <v>115</v>
      </c>
      <c r="F522" s="14" t="n">
        <v>0</v>
      </c>
      <c r="G522" s="14" t="n">
        <v>60.87</v>
      </c>
      <c r="H522" s="14" t="n">
        <v>0</v>
      </c>
      <c r="I522" s="14" t="n">
        <v>1.74</v>
      </c>
      <c r="J522" s="14" t="n">
        <v>0</v>
      </c>
      <c r="K522" s="14" t="n">
        <v>0</v>
      </c>
      <c r="L522" s="14" t="n">
        <v>10.43</v>
      </c>
      <c r="M522" s="14" t="n">
        <v>14.78</v>
      </c>
      <c r="N522" s="14" t="n">
        <v>1.74</v>
      </c>
      <c r="O522" s="14" t="n">
        <v>0.87</v>
      </c>
      <c r="P522" s="14" t="n">
        <v>0</v>
      </c>
      <c r="Q522" s="14" t="n">
        <v>0</v>
      </c>
      <c r="R522" s="14" t="n">
        <v>0</v>
      </c>
      <c r="S522" s="14" t="n">
        <v>0</v>
      </c>
      <c r="T522" s="14" t="n">
        <v>0</v>
      </c>
      <c r="U522" s="14" t="n">
        <v>5.22</v>
      </c>
      <c r="V522" s="14" t="n">
        <v>2.61</v>
      </c>
      <c r="W522" s="14" t="n">
        <v>0</v>
      </c>
      <c r="X522" s="14" t="n">
        <v>0</v>
      </c>
      <c r="Y522" s="14" t="n">
        <v>0</v>
      </c>
      <c r="Z522" s="14" t="n">
        <v>1.74</v>
      </c>
      <c r="AA522" s="14" t="n">
        <v>0</v>
      </c>
    </row>
    <row r="523">
      <c r="A523" t="inlineStr">
        <is>
          <t>151011</t>
        </is>
      </c>
      <c r="B523" t="inlineStr">
        <is>
          <t>LIMA</t>
        </is>
      </c>
      <c r="C523" t="inlineStr">
        <is>
          <t>YAUYOS</t>
        </is>
      </c>
      <c r="D523" t="inlineStr">
        <is>
          <t>COLONIA</t>
        </is>
      </c>
      <c r="E523" t="n">
        <v>483</v>
      </c>
      <c r="F523" s="14" t="n">
        <v>0</v>
      </c>
      <c r="G523" s="14" t="n">
        <v>89.65000000000001</v>
      </c>
      <c r="H523" s="14" t="n">
        <v>0</v>
      </c>
      <c r="I523" s="14" t="n">
        <v>0.41</v>
      </c>
      <c r="J523" s="14" t="n">
        <v>0</v>
      </c>
      <c r="K523" s="14" t="n">
        <v>0</v>
      </c>
      <c r="L523" s="14" t="n">
        <v>0.62</v>
      </c>
      <c r="M523" s="14" t="n">
        <v>1.24</v>
      </c>
      <c r="N523" s="14" t="n">
        <v>1.45</v>
      </c>
      <c r="O523" s="14" t="n">
        <v>0.41</v>
      </c>
      <c r="P523" s="14" t="n">
        <v>0</v>
      </c>
      <c r="Q523" s="14" t="n">
        <v>0</v>
      </c>
      <c r="R523" s="14" t="n">
        <v>0</v>
      </c>
      <c r="S523" s="14" t="n">
        <v>0</v>
      </c>
      <c r="T523" s="14" t="n">
        <v>0</v>
      </c>
      <c r="U523" s="14" t="n">
        <v>2.07</v>
      </c>
      <c r="V523" s="14" t="n">
        <v>3.93</v>
      </c>
      <c r="W523" s="14" t="n">
        <v>0</v>
      </c>
      <c r="X523" s="14" t="n">
        <v>0</v>
      </c>
      <c r="Y523" s="14" t="n">
        <v>0.21</v>
      </c>
      <c r="Z523" s="14" t="n">
        <v>0</v>
      </c>
      <c r="AA523" s="14" t="n">
        <v>0</v>
      </c>
    </row>
    <row r="524">
      <c r="A524" t="inlineStr">
        <is>
          <t>151012</t>
        </is>
      </c>
      <c r="B524" t="inlineStr">
        <is>
          <t>LIMA</t>
        </is>
      </c>
      <c r="C524" t="inlineStr">
        <is>
          <t>YAUYOS</t>
        </is>
      </c>
      <c r="D524" t="inlineStr">
        <is>
          <t>HONGOS</t>
        </is>
      </c>
      <c r="E524" t="n">
        <v>126</v>
      </c>
      <c r="F524" s="14" t="n">
        <v>0</v>
      </c>
      <c r="G524" s="14" t="n">
        <v>84.13</v>
      </c>
      <c r="H524" s="14" t="n">
        <v>0</v>
      </c>
      <c r="I524" s="14" t="n">
        <v>0.79</v>
      </c>
      <c r="J524" s="14" t="n">
        <v>0</v>
      </c>
      <c r="K524" s="14" t="n">
        <v>0</v>
      </c>
      <c r="L524" s="14" t="n">
        <v>0</v>
      </c>
      <c r="M524" s="14" t="n">
        <v>0.79</v>
      </c>
      <c r="N524" s="14" t="n">
        <v>1.59</v>
      </c>
      <c r="O524" s="14" t="n">
        <v>2.38</v>
      </c>
      <c r="P524" s="14" t="n">
        <v>0</v>
      </c>
      <c r="Q524" s="14" t="n">
        <v>0</v>
      </c>
      <c r="R524" s="14" t="n">
        <v>0</v>
      </c>
      <c r="S524" s="14" t="n">
        <v>0.79</v>
      </c>
      <c r="T524" s="14" t="n">
        <v>0</v>
      </c>
      <c r="U524" s="14" t="n">
        <v>0.79</v>
      </c>
      <c r="V524" s="14" t="n">
        <v>7.14</v>
      </c>
      <c r="W524" s="14" t="n">
        <v>1.59</v>
      </c>
      <c r="X524" s="14" t="n">
        <v>0</v>
      </c>
      <c r="Y524" s="14" t="n">
        <v>0</v>
      </c>
      <c r="Z524" s="14" t="n">
        <v>0</v>
      </c>
      <c r="AA524" s="14" t="n">
        <v>0</v>
      </c>
    </row>
    <row r="525">
      <c r="A525" t="inlineStr">
        <is>
          <t>151013</t>
        </is>
      </c>
      <c r="B525" t="inlineStr">
        <is>
          <t>LIMA</t>
        </is>
      </c>
      <c r="C525" t="inlineStr">
        <is>
          <t>YAUYOS</t>
        </is>
      </c>
      <c r="D525" t="inlineStr">
        <is>
          <t>HUAMPARA</t>
        </is>
      </c>
      <c r="E525" t="n">
        <v>86</v>
      </c>
      <c r="F525" s="14" t="n">
        <v>0</v>
      </c>
      <c r="G525" s="14" t="n">
        <v>56.98</v>
      </c>
      <c r="H525" s="14" t="n">
        <v>0</v>
      </c>
      <c r="I525" s="14" t="n">
        <v>1.16</v>
      </c>
      <c r="J525" s="14" t="n">
        <v>1.16</v>
      </c>
      <c r="K525" s="14" t="n">
        <v>0</v>
      </c>
      <c r="L525" s="14" t="n">
        <v>6.98</v>
      </c>
      <c r="M525" s="14" t="n">
        <v>11.63</v>
      </c>
      <c r="N525" s="14" t="n">
        <v>6.98</v>
      </c>
      <c r="O525" s="14" t="n">
        <v>2.33</v>
      </c>
      <c r="P525" s="14" t="n">
        <v>1.16</v>
      </c>
      <c r="Q525" s="14" t="n">
        <v>0</v>
      </c>
      <c r="R525" s="14" t="n">
        <v>0</v>
      </c>
      <c r="S525" s="14" t="n">
        <v>0</v>
      </c>
      <c r="T525" s="14" t="n">
        <v>0</v>
      </c>
      <c r="U525" s="14" t="n">
        <v>2.33</v>
      </c>
      <c r="V525" s="14" t="n">
        <v>5.81</v>
      </c>
      <c r="W525" s="14" t="n">
        <v>2.33</v>
      </c>
      <c r="X525" s="14" t="n">
        <v>0</v>
      </c>
      <c r="Y525" s="14" t="n">
        <v>1.16</v>
      </c>
      <c r="Z525" s="14" t="n">
        <v>0</v>
      </c>
      <c r="AA525" s="14" t="n">
        <v>0</v>
      </c>
    </row>
    <row r="526">
      <c r="A526" t="inlineStr">
        <is>
          <t>151014</t>
        </is>
      </c>
      <c r="B526" t="inlineStr">
        <is>
          <t>LIMA</t>
        </is>
      </c>
      <c r="C526" t="inlineStr">
        <is>
          <t>YAUYOS</t>
        </is>
      </c>
      <c r="D526" t="inlineStr">
        <is>
          <t>HUANCAYA</t>
        </is>
      </c>
      <c r="E526" t="n">
        <v>289</v>
      </c>
      <c r="F526" s="14" t="n">
        <v>0</v>
      </c>
      <c r="G526" s="14" t="n">
        <v>49.13</v>
      </c>
      <c r="H526" s="14" t="n">
        <v>2.08</v>
      </c>
      <c r="I526" s="14" t="n">
        <v>1.04</v>
      </c>
      <c r="J526" s="14" t="n">
        <v>0</v>
      </c>
      <c r="K526" s="14" t="n">
        <v>0</v>
      </c>
      <c r="L526" s="14" t="n">
        <v>10.73</v>
      </c>
      <c r="M526" s="14" t="n">
        <v>9.34</v>
      </c>
      <c r="N526" s="14" t="n">
        <v>4.15</v>
      </c>
      <c r="O526" s="14" t="n">
        <v>7.96</v>
      </c>
      <c r="P526" s="14" t="n">
        <v>0.6899999999999999</v>
      </c>
      <c r="Q526" s="14" t="n">
        <v>0</v>
      </c>
      <c r="R526" s="14" t="n">
        <v>0</v>
      </c>
      <c r="S526" s="14" t="n">
        <v>3.11</v>
      </c>
      <c r="T526" s="14" t="n">
        <v>2.08</v>
      </c>
      <c r="U526" s="14" t="n">
        <v>3.46</v>
      </c>
      <c r="V526" s="14" t="n">
        <v>3.81</v>
      </c>
      <c r="W526" s="14" t="n">
        <v>1.38</v>
      </c>
      <c r="X526" s="14" t="n">
        <v>0</v>
      </c>
      <c r="Y526" s="14" t="n">
        <v>0.6899999999999999</v>
      </c>
      <c r="Z526" s="14" t="n">
        <v>0.35</v>
      </c>
      <c r="AA526" s="14" t="n">
        <v>0</v>
      </c>
    </row>
    <row r="527">
      <c r="A527" t="inlineStr">
        <is>
          <t>151015</t>
        </is>
      </c>
      <c r="B527" t="inlineStr">
        <is>
          <t>LIMA</t>
        </is>
      </c>
      <c r="C527" t="inlineStr">
        <is>
          <t>YAUYOS</t>
        </is>
      </c>
      <c r="D527" t="inlineStr">
        <is>
          <t>HUANGASCAR</t>
        </is>
      </c>
      <c r="E527" t="n">
        <v>273</v>
      </c>
      <c r="F527" s="14" t="n">
        <v>0</v>
      </c>
      <c r="G527" s="14" t="n">
        <v>60.44</v>
      </c>
      <c r="H527" s="14" t="n">
        <v>0.37</v>
      </c>
      <c r="I527" s="14" t="n">
        <v>0.37</v>
      </c>
      <c r="J527" s="14" t="n">
        <v>0.73</v>
      </c>
      <c r="K527" s="14" t="n">
        <v>0</v>
      </c>
      <c r="L527" s="14" t="n">
        <v>4.4</v>
      </c>
      <c r="M527" s="14" t="n">
        <v>5.86</v>
      </c>
      <c r="N527" s="14" t="n">
        <v>1.1</v>
      </c>
      <c r="O527" s="14" t="n">
        <v>1.1</v>
      </c>
      <c r="P527" s="14" t="n">
        <v>6.59</v>
      </c>
      <c r="Q527" s="14" t="n">
        <v>0</v>
      </c>
      <c r="R527" s="14" t="n">
        <v>0</v>
      </c>
      <c r="S527" s="14" t="n">
        <v>2.93</v>
      </c>
      <c r="T527" s="14" t="n">
        <v>0</v>
      </c>
      <c r="U527" s="14" t="n">
        <v>6.23</v>
      </c>
      <c r="V527" s="14" t="n">
        <v>6.96</v>
      </c>
      <c r="W527" s="14" t="n">
        <v>0.37</v>
      </c>
      <c r="X527" s="14" t="n">
        <v>0</v>
      </c>
      <c r="Y527" s="14" t="n">
        <v>2.56</v>
      </c>
      <c r="Z527" s="14" t="n">
        <v>0</v>
      </c>
      <c r="AA527" s="14" t="n">
        <v>0</v>
      </c>
    </row>
    <row r="528">
      <c r="A528" t="inlineStr">
        <is>
          <t>151016</t>
        </is>
      </c>
      <c r="B528" t="inlineStr">
        <is>
          <t>LIMA</t>
        </is>
      </c>
      <c r="C528" t="inlineStr">
        <is>
          <t>YAUYOS</t>
        </is>
      </c>
      <c r="D528" t="inlineStr">
        <is>
          <t>HUANTAN</t>
        </is>
      </c>
      <c r="E528" t="n">
        <v>561</v>
      </c>
      <c r="F528" s="14" t="n">
        <v>0</v>
      </c>
      <c r="G528" s="14" t="n">
        <v>32.62</v>
      </c>
      <c r="H528" s="14" t="n">
        <v>45.63</v>
      </c>
      <c r="I528" s="14" t="n">
        <v>1.78</v>
      </c>
      <c r="J528" s="14" t="n">
        <v>0</v>
      </c>
      <c r="K528" s="14" t="n">
        <v>0</v>
      </c>
      <c r="L528" s="14" t="n">
        <v>8.380000000000001</v>
      </c>
      <c r="M528" s="14" t="n">
        <v>1.96</v>
      </c>
      <c r="N528" s="14" t="n">
        <v>2.85</v>
      </c>
      <c r="O528" s="14" t="n">
        <v>1.43</v>
      </c>
      <c r="P528" s="14" t="n">
        <v>0</v>
      </c>
      <c r="Q528" s="14" t="n">
        <v>0</v>
      </c>
      <c r="R528" s="14" t="n">
        <v>0</v>
      </c>
      <c r="S528" s="14" t="n">
        <v>0</v>
      </c>
      <c r="T528" s="14" t="n">
        <v>0</v>
      </c>
      <c r="U528" s="14" t="n">
        <v>1.07</v>
      </c>
      <c r="V528" s="14" t="n">
        <v>3.57</v>
      </c>
      <c r="W528" s="14" t="n">
        <v>0.53</v>
      </c>
      <c r="X528" s="14" t="n">
        <v>0</v>
      </c>
      <c r="Y528" s="14" t="n">
        <v>0</v>
      </c>
      <c r="Z528" s="14" t="n">
        <v>0.18</v>
      </c>
      <c r="AA528" s="14" t="n">
        <v>0</v>
      </c>
    </row>
    <row r="529">
      <c r="A529" t="inlineStr">
        <is>
          <t>151017</t>
        </is>
      </c>
      <c r="B529" t="inlineStr">
        <is>
          <t>LIMA</t>
        </is>
      </c>
      <c r="C529" t="inlineStr">
        <is>
          <t>YAUYOS</t>
        </is>
      </c>
      <c r="D529" t="inlineStr">
        <is>
          <t>HUAÑEC</t>
        </is>
      </c>
      <c r="E529" t="n">
        <v>261</v>
      </c>
      <c r="F529" s="14" t="n">
        <v>0</v>
      </c>
      <c r="G529" s="14" t="n">
        <v>74.33</v>
      </c>
      <c r="H529" s="14" t="n">
        <v>0.38</v>
      </c>
      <c r="I529" s="14" t="n">
        <v>4.98</v>
      </c>
      <c r="J529" s="14" t="n">
        <v>0</v>
      </c>
      <c r="K529" s="14" t="n">
        <v>0</v>
      </c>
      <c r="L529" s="14" t="n">
        <v>3.07</v>
      </c>
      <c r="M529" s="14" t="n">
        <v>5.75</v>
      </c>
      <c r="N529" s="14" t="n">
        <v>1.92</v>
      </c>
      <c r="O529" s="14" t="n">
        <v>0.77</v>
      </c>
      <c r="P529" s="14" t="n">
        <v>0</v>
      </c>
      <c r="Q529" s="14" t="n">
        <v>0</v>
      </c>
      <c r="R529" s="14" t="n">
        <v>0</v>
      </c>
      <c r="S529" s="14" t="n">
        <v>0.38</v>
      </c>
      <c r="T529" s="14" t="n">
        <v>0.38</v>
      </c>
      <c r="U529" s="14" t="n">
        <v>0.77</v>
      </c>
      <c r="V529" s="14" t="n">
        <v>6.9</v>
      </c>
      <c r="W529" s="14" t="n">
        <v>0.38</v>
      </c>
      <c r="X529" s="14" t="n">
        <v>0</v>
      </c>
      <c r="Y529" s="14" t="n">
        <v>0</v>
      </c>
      <c r="Z529" s="14" t="n">
        <v>0</v>
      </c>
      <c r="AA529" s="14" t="n">
        <v>0</v>
      </c>
    </row>
    <row r="530">
      <c r="A530" t="inlineStr">
        <is>
          <t>151018</t>
        </is>
      </c>
      <c r="B530" t="inlineStr">
        <is>
          <t>LIMA</t>
        </is>
      </c>
      <c r="C530" t="inlineStr">
        <is>
          <t>YAUYOS</t>
        </is>
      </c>
      <c r="D530" t="inlineStr">
        <is>
          <t>LARAOS</t>
        </is>
      </c>
      <c r="E530" t="n">
        <v>238</v>
      </c>
      <c r="F530" s="14" t="n">
        <v>0</v>
      </c>
      <c r="G530" s="14" t="n">
        <v>45.8</v>
      </c>
      <c r="H530" s="14" t="n">
        <v>6.3</v>
      </c>
      <c r="I530" s="14" t="n">
        <v>3.36</v>
      </c>
      <c r="J530" s="14" t="n">
        <v>0.42</v>
      </c>
      <c r="K530" s="14" t="n">
        <v>0</v>
      </c>
      <c r="L530" s="14" t="n">
        <v>7.56</v>
      </c>
      <c r="M530" s="14" t="n">
        <v>8.82</v>
      </c>
      <c r="N530" s="14" t="n">
        <v>5.88</v>
      </c>
      <c r="O530" s="14" t="n">
        <v>1.26</v>
      </c>
      <c r="P530" s="14" t="n">
        <v>0</v>
      </c>
      <c r="Q530" s="14" t="n">
        <v>0</v>
      </c>
      <c r="R530" s="14" t="n">
        <v>0</v>
      </c>
      <c r="S530" s="14" t="n">
        <v>1.68</v>
      </c>
      <c r="T530" s="14" t="n">
        <v>0.84</v>
      </c>
      <c r="U530" s="14" t="n">
        <v>7.98</v>
      </c>
      <c r="V530" s="14" t="n">
        <v>7.98</v>
      </c>
      <c r="W530" s="14" t="n">
        <v>0.84</v>
      </c>
      <c r="X530" s="14" t="n">
        <v>0</v>
      </c>
      <c r="Y530" s="14" t="n">
        <v>0.84</v>
      </c>
      <c r="Z530" s="14" t="n">
        <v>0.42</v>
      </c>
      <c r="AA530" s="14" t="n">
        <v>0</v>
      </c>
    </row>
    <row r="531">
      <c r="A531" t="inlineStr">
        <is>
          <t>151019</t>
        </is>
      </c>
      <c r="B531" t="inlineStr">
        <is>
          <t>LIMA</t>
        </is>
      </c>
      <c r="C531" t="inlineStr">
        <is>
          <t>YAUYOS</t>
        </is>
      </c>
      <c r="D531" t="inlineStr">
        <is>
          <t>LINCHA</t>
        </is>
      </c>
      <c r="E531" t="n">
        <v>170</v>
      </c>
      <c r="F531" s="14" t="n">
        <v>0</v>
      </c>
      <c r="G531" s="14" t="n">
        <v>95.29000000000001</v>
      </c>
      <c r="H531" s="14" t="n">
        <v>0</v>
      </c>
      <c r="I531" s="14" t="n">
        <v>0</v>
      </c>
      <c r="J531" s="14" t="n">
        <v>0</v>
      </c>
      <c r="K531" s="14" t="n">
        <v>0</v>
      </c>
      <c r="L531" s="14" t="n">
        <v>2.35</v>
      </c>
      <c r="M531" s="14" t="n">
        <v>0.59</v>
      </c>
      <c r="N531" s="14" t="n">
        <v>0</v>
      </c>
      <c r="O531" s="14" t="n">
        <v>0</v>
      </c>
      <c r="P531" s="14" t="n">
        <v>0</v>
      </c>
      <c r="Q531" s="14" t="n">
        <v>0</v>
      </c>
      <c r="R531" s="14" t="n">
        <v>0</v>
      </c>
      <c r="S531" s="14" t="n">
        <v>1.18</v>
      </c>
      <c r="T531" s="14" t="n">
        <v>0</v>
      </c>
      <c r="U531" s="14" t="n">
        <v>0</v>
      </c>
      <c r="V531" s="14" t="n">
        <v>0.59</v>
      </c>
      <c r="W531" s="14" t="n">
        <v>0</v>
      </c>
      <c r="X531" s="14" t="n">
        <v>0</v>
      </c>
      <c r="Y531" s="14" t="n">
        <v>0</v>
      </c>
      <c r="Z531" s="14" t="n">
        <v>0</v>
      </c>
      <c r="AA531" s="14" t="n">
        <v>0</v>
      </c>
    </row>
    <row r="532">
      <c r="A532" t="inlineStr">
        <is>
          <t>151020</t>
        </is>
      </c>
      <c r="B532" t="inlineStr">
        <is>
          <t>LIMA</t>
        </is>
      </c>
      <c r="C532" t="inlineStr">
        <is>
          <t>YAUYOS</t>
        </is>
      </c>
      <c r="D532" t="inlineStr">
        <is>
          <t>MADEAN</t>
        </is>
      </c>
      <c r="E532" t="n">
        <v>252</v>
      </c>
      <c r="F532" s="14" t="n">
        <v>0</v>
      </c>
      <c r="G532" s="14" t="n">
        <v>82.54000000000001</v>
      </c>
      <c r="H532" s="14" t="n">
        <v>0</v>
      </c>
      <c r="I532" s="14" t="n">
        <v>1.59</v>
      </c>
      <c r="J532" s="14" t="n">
        <v>0</v>
      </c>
      <c r="K532" s="14" t="n">
        <v>0</v>
      </c>
      <c r="L532" s="14" t="n">
        <v>0</v>
      </c>
      <c r="M532" s="14" t="n">
        <v>2.78</v>
      </c>
      <c r="N532" s="14" t="n">
        <v>3.17</v>
      </c>
      <c r="O532" s="14" t="n">
        <v>0.79</v>
      </c>
      <c r="P532" s="14" t="n">
        <v>0</v>
      </c>
      <c r="Q532" s="14" t="n">
        <v>0</v>
      </c>
      <c r="R532" s="14" t="n">
        <v>0</v>
      </c>
      <c r="S532" s="14" t="n">
        <v>0.4</v>
      </c>
      <c r="T532" s="14" t="n">
        <v>0</v>
      </c>
      <c r="U532" s="14" t="n">
        <v>3.97</v>
      </c>
      <c r="V532" s="14" t="n">
        <v>4.37</v>
      </c>
      <c r="W532" s="14" t="n">
        <v>0.4</v>
      </c>
      <c r="X532" s="14" t="n">
        <v>0</v>
      </c>
      <c r="Y532" s="14" t="n">
        <v>0</v>
      </c>
      <c r="Z532" s="14" t="n">
        <v>0</v>
      </c>
      <c r="AA532" s="14" t="n">
        <v>0</v>
      </c>
    </row>
    <row r="533">
      <c r="A533" t="inlineStr">
        <is>
          <t>151021</t>
        </is>
      </c>
      <c r="B533" t="inlineStr">
        <is>
          <t>LIMA</t>
        </is>
      </c>
      <c r="C533" t="inlineStr">
        <is>
          <t>YAUYOS</t>
        </is>
      </c>
      <c r="D533" t="inlineStr">
        <is>
          <t>MIRAFLORES</t>
        </is>
      </c>
      <c r="E533" t="n">
        <v>103</v>
      </c>
      <c r="F533" s="14" t="n">
        <v>0</v>
      </c>
      <c r="G533" s="14" t="n">
        <v>56.31</v>
      </c>
      <c r="H533" s="14" t="n">
        <v>2.91</v>
      </c>
      <c r="I533" s="14" t="n">
        <v>0.97</v>
      </c>
      <c r="J533" s="14" t="n">
        <v>0</v>
      </c>
      <c r="K533" s="14" t="n">
        <v>0</v>
      </c>
      <c r="L533" s="14" t="n">
        <v>1.94</v>
      </c>
      <c r="M533" s="14" t="n">
        <v>8.74</v>
      </c>
      <c r="N533" s="14" t="n">
        <v>3.88</v>
      </c>
      <c r="O533" s="14" t="n">
        <v>2.91</v>
      </c>
      <c r="P533" s="14" t="n">
        <v>0</v>
      </c>
      <c r="Q533" s="14" t="n">
        <v>0</v>
      </c>
      <c r="R533" s="14" t="n">
        <v>0</v>
      </c>
      <c r="S533" s="14" t="n">
        <v>0</v>
      </c>
      <c r="T533" s="14" t="n">
        <v>0</v>
      </c>
      <c r="U533" s="14" t="n">
        <v>8.74</v>
      </c>
      <c r="V533" s="14" t="n">
        <v>8.74</v>
      </c>
      <c r="W533" s="14" t="n">
        <v>2.91</v>
      </c>
      <c r="X533" s="14" t="n">
        <v>0</v>
      </c>
      <c r="Y533" s="14" t="n">
        <v>0</v>
      </c>
      <c r="Z533" s="14" t="n">
        <v>1.94</v>
      </c>
      <c r="AA533" s="14" t="n">
        <v>0</v>
      </c>
    </row>
    <row r="534">
      <c r="A534" t="inlineStr">
        <is>
          <t>151022</t>
        </is>
      </c>
      <c r="B534" t="inlineStr">
        <is>
          <t>LIMA</t>
        </is>
      </c>
      <c r="C534" t="inlineStr">
        <is>
          <t>YAUYOS</t>
        </is>
      </c>
      <c r="D534" t="inlineStr">
        <is>
          <t>OMAS</t>
        </is>
      </c>
      <c r="E534" t="n">
        <v>296</v>
      </c>
      <c r="F534" s="14" t="n">
        <v>0</v>
      </c>
      <c r="G534" s="14" t="n">
        <v>73.65000000000001</v>
      </c>
      <c r="H534" s="14" t="n">
        <v>0</v>
      </c>
      <c r="I534" s="14" t="n">
        <v>1.01</v>
      </c>
      <c r="J534" s="14" t="n">
        <v>0</v>
      </c>
      <c r="K534" s="14" t="n">
        <v>0</v>
      </c>
      <c r="L534" s="14" t="n">
        <v>3.72</v>
      </c>
      <c r="M534" s="14" t="n">
        <v>8.109999999999999</v>
      </c>
      <c r="N534" s="14" t="n">
        <v>0.68</v>
      </c>
      <c r="O534" s="14" t="n">
        <v>1.01</v>
      </c>
      <c r="P534" s="14" t="n">
        <v>0</v>
      </c>
      <c r="Q534" s="14" t="n">
        <v>0</v>
      </c>
      <c r="R534" s="14" t="n">
        <v>0</v>
      </c>
      <c r="S534" s="14" t="n">
        <v>0.34</v>
      </c>
      <c r="T534" s="14" t="n">
        <v>3.04</v>
      </c>
      <c r="U534" s="14" t="n">
        <v>4.05</v>
      </c>
      <c r="V534" s="14" t="n">
        <v>3.04</v>
      </c>
      <c r="W534" s="14" t="n">
        <v>1.01</v>
      </c>
      <c r="X534" s="14" t="n">
        <v>0</v>
      </c>
      <c r="Y534" s="14" t="n">
        <v>0.34</v>
      </c>
      <c r="Z534" s="14" t="n">
        <v>0</v>
      </c>
      <c r="AA534" s="14" t="n">
        <v>0</v>
      </c>
    </row>
    <row r="535">
      <c r="A535" t="inlineStr">
        <is>
          <t>151023</t>
        </is>
      </c>
      <c r="B535" t="inlineStr">
        <is>
          <t>LIMA</t>
        </is>
      </c>
      <c r="C535" t="inlineStr">
        <is>
          <t>YAUYOS</t>
        </is>
      </c>
      <c r="D535" t="inlineStr">
        <is>
          <t>PUTINZA</t>
        </is>
      </c>
      <c r="E535" t="n">
        <v>195</v>
      </c>
      <c r="F535" s="14" t="n">
        <v>0</v>
      </c>
      <c r="G535" s="14" t="n">
        <v>70.26000000000001</v>
      </c>
      <c r="H535" s="14" t="n">
        <v>0</v>
      </c>
      <c r="I535" s="14" t="n">
        <v>2.05</v>
      </c>
      <c r="J535" s="14" t="n">
        <v>0</v>
      </c>
      <c r="K535" s="14" t="n">
        <v>0</v>
      </c>
      <c r="L535" s="14" t="n">
        <v>1.03</v>
      </c>
      <c r="M535" s="14" t="n">
        <v>9.74</v>
      </c>
      <c r="N535" s="14" t="n">
        <v>4.1</v>
      </c>
      <c r="O535" s="14" t="n">
        <v>0.51</v>
      </c>
      <c r="P535" s="14" t="n">
        <v>0</v>
      </c>
      <c r="Q535" s="14" t="n">
        <v>0</v>
      </c>
      <c r="R535" s="14" t="n">
        <v>0</v>
      </c>
      <c r="S535" s="14" t="n">
        <v>0</v>
      </c>
      <c r="T535" s="14" t="n">
        <v>0</v>
      </c>
      <c r="U535" s="14" t="n">
        <v>4.1</v>
      </c>
      <c r="V535" s="14" t="n">
        <v>6.67</v>
      </c>
      <c r="W535" s="14" t="n">
        <v>1.54</v>
      </c>
      <c r="X535" s="14" t="n">
        <v>0</v>
      </c>
      <c r="Y535" s="14" t="n">
        <v>0</v>
      </c>
      <c r="Z535" s="14" t="n">
        <v>0</v>
      </c>
      <c r="AA535" s="14" t="n">
        <v>0</v>
      </c>
    </row>
    <row r="536">
      <c r="A536" t="inlineStr">
        <is>
          <t>151024</t>
        </is>
      </c>
      <c r="B536" t="inlineStr">
        <is>
          <t>LIMA</t>
        </is>
      </c>
      <c r="C536" t="inlineStr">
        <is>
          <t>YAUYOS</t>
        </is>
      </c>
      <c r="D536" t="inlineStr">
        <is>
          <t>QUINCHES</t>
        </is>
      </c>
      <c r="E536" t="n">
        <v>314</v>
      </c>
      <c r="F536" s="14" t="n">
        <v>0</v>
      </c>
      <c r="G536" s="14" t="n">
        <v>73.56999999999999</v>
      </c>
      <c r="H536" s="14" t="n">
        <v>0</v>
      </c>
      <c r="I536" s="14" t="n">
        <v>1.91</v>
      </c>
      <c r="J536" s="14" t="n">
        <v>0</v>
      </c>
      <c r="K536" s="14" t="n">
        <v>0</v>
      </c>
      <c r="L536" s="14" t="n">
        <v>2.23</v>
      </c>
      <c r="M536" s="14" t="n">
        <v>6.37</v>
      </c>
      <c r="N536" s="14" t="n">
        <v>2.55</v>
      </c>
      <c r="O536" s="14" t="n">
        <v>2.23</v>
      </c>
      <c r="P536" s="14" t="n">
        <v>0</v>
      </c>
      <c r="Q536" s="14" t="n">
        <v>0</v>
      </c>
      <c r="R536" s="14" t="n">
        <v>0</v>
      </c>
      <c r="S536" s="14" t="n">
        <v>0.96</v>
      </c>
      <c r="T536" s="14" t="n">
        <v>0</v>
      </c>
      <c r="U536" s="14" t="n">
        <v>2.23</v>
      </c>
      <c r="V536" s="14" t="n">
        <v>7.64</v>
      </c>
      <c r="W536" s="14" t="n">
        <v>0</v>
      </c>
      <c r="X536" s="14" t="n">
        <v>0.32</v>
      </c>
      <c r="Y536" s="14" t="n">
        <v>0</v>
      </c>
      <c r="Z536" s="14" t="n">
        <v>0</v>
      </c>
      <c r="AA536" s="14" t="n">
        <v>0</v>
      </c>
    </row>
    <row r="537">
      <c r="A537" t="inlineStr">
        <is>
          <t>151025</t>
        </is>
      </c>
      <c r="B537" t="inlineStr">
        <is>
          <t>LIMA</t>
        </is>
      </c>
      <c r="C537" t="inlineStr">
        <is>
          <t>YAUYOS</t>
        </is>
      </c>
      <c r="D537" t="inlineStr">
        <is>
          <t>QUINOCAY</t>
        </is>
      </c>
      <c r="E537" t="n">
        <v>248</v>
      </c>
      <c r="F537" s="14" t="n">
        <v>0</v>
      </c>
      <c r="G537" s="14" t="n">
        <v>89.92</v>
      </c>
      <c r="H537" s="14" t="n">
        <v>0</v>
      </c>
      <c r="I537" s="14" t="n">
        <v>0.4</v>
      </c>
      <c r="J537" s="14" t="n">
        <v>0</v>
      </c>
      <c r="K537" s="14" t="n">
        <v>0</v>
      </c>
      <c r="L537" s="14" t="n">
        <v>2.42</v>
      </c>
      <c r="M537" s="14" t="n">
        <v>3.63</v>
      </c>
      <c r="N537" s="14" t="n">
        <v>0.8100000000000001</v>
      </c>
      <c r="O537" s="14" t="n">
        <v>0</v>
      </c>
      <c r="P537" s="14" t="n">
        <v>0</v>
      </c>
      <c r="Q537" s="14" t="n">
        <v>0</v>
      </c>
      <c r="R537" s="14" t="n">
        <v>0</v>
      </c>
      <c r="S537" s="14" t="n">
        <v>0</v>
      </c>
      <c r="T537" s="14" t="n">
        <v>0</v>
      </c>
      <c r="U537" s="14" t="n">
        <v>0.4</v>
      </c>
      <c r="V537" s="14" t="n">
        <v>1.61</v>
      </c>
      <c r="W537" s="14" t="n">
        <v>0</v>
      </c>
      <c r="X537" s="14" t="n">
        <v>0</v>
      </c>
      <c r="Y537" s="14" t="n">
        <v>0</v>
      </c>
      <c r="Z537" s="14" t="n">
        <v>0.8100000000000001</v>
      </c>
      <c r="AA537" s="14" t="n">
        <v>0</v>
      </c>
    </row>
    <row r="538">
      <c r="A538" t="inlineStr">
        <is>
          <t>151026</t>
        </is>
      </c>
      <c r="B538" t="inlineStr">
        <is>
          <t>LIMA</t>
        </is>
      </c>
      <c r="C538" t="inlineStr">
        <is>
          <t>YAUYOS</t>
        </is>
      </c>
      <c r="D538" t="inlineStr">
        <is>
          <t>SAN JOAQUIN</t>
        </is>
      </c>
      <c r="E538" t="n">
        <v>80</v>
      </c>
      <c r="F538" s="14" t="n">
        <v>0</v>
      </c>
      <c r="G538" s="14" t="n">
        <v>75</v>
      </c>
      <c r="H538" s="14" t="n">
        <v>0</v>
      </c>
      <c r="I538" s="14" t="n">
        <v>1.25</v>
      </c>
      <c r="J538" s="14" t="n">
        <v>0</v>
      </c>
      <c r="K538" s="14" t="n">
        <v>0</v>
      </c>
      <c r="L538" s="14" t="n">
        <v>3.75</v>
      </c>
      <c r="M538" s="14" t="n">
        <v>11.25</v>
      </c>
      <c r="N538" s="14" t="n">
        <v>0</v>
      </c>
      <c r="O538" s="14" t="n">
        <v>1.25</v>
      </c>
      <c r="P538" s="14" t="n">
        <v>0</v>
      </c>
      <c r="Q538" s="14" t="n">
        <v>0</v>
      </c>
      <c r="R538" s="14" t="n">
        <v>0</v>
      </c>
      <c r="S538" s="14" t="n">
        <v>0</v>
      </c>
      <c r="T538" s="14" t="n">
        <v>0</v>
      </c>
      <c r="U538" s="14" t="n">
        <v>5</v>
      </c>
      <c r="V538" s="14" t="n">
        <v>2.5</v>
      </c>
      <c r="W538" s="14" t="n">
        <v>0</v>
      </c>
      <c r="X538" s="14" t="n">
        <v>0</v>
      </c>
      <c r="Y538" s="14" t="n">
        <v>0</v>
      </c>
      <c r="Z538" s="14" t="n">
        <v>0</v>
      </c>
      <c r="AA538" s="14" t="n">
        <v>0</v>
      </c>
    </row>
    <row r="539">
      <c r="A539" t="inlineStr">
        <is>
          <t>151027</t>
        </is>
      </c>
      <c r="B539" t="inlineStr">
        <is>
          <t>LIMA</t>
        </is>
      </c>
      <c r="C539" t="inlineStr">
        <is>
          <t>YAUYOS</t>
        </is>
      </c>
      <c r="D539" t="inlineStr">
        <is>
          <t>SAN PEDRO DE PILAS</t>
        </is>
      </c>
      <c r="E539" t="n">
        <v>137</v>
      </c>
      <c r="F539" s="14" t="n">
        <v>0</v>
      </c>
      <c r="G539" s="14" t="n">
        <v>78.09999999999999</v>
      </c>
      <c r="H539" s="14" t="n">
        <v>0</v>
      </c>
      <c r="I539" s="14" t="n">
        <v>1.46</v>
      </c>
      <c r="J539" s="14" t="n">
        <v>0</v>
      </c>
      <c r="K539" s="14" t="n">
        <v>0</v>
      </c>
      <c r="L539" s="14" t="n">
        <v>2.92</v>
      </c>
      <c r="M539" s="14" t="n">
        <v>2.19</v>
      </c>
      <c r="N539" s="14" t="n">
        <v>1.46</v>
      </c>
      <c r="O539" s="14" t="n">
        <v>2.19</v>
      </c>
      <c r="P539" s="14" t="n">
        <v>0</v>
      </c>
      <c r="Q539" s="14" t="n">
        <v>0</v>
      </c>
      <c r="R539" s="14" t="n">
        <v>0</v>
      </c>
      <c r="S539" s="14" t="n">
        <v>0</v>
      </c>
      <c r="T539" s="14" t="n">
        <v>0</v>
      </c>
      <c r="U539" s="14" t="n">
        <v>1.46</v>
      </c>
      <c r="V539" s="14" t="n">
        <v>4.38</v>
      </c>
      <c r="W539" s="14" t="n">
        <v>2.92</v>
      </c>
      <c r="X539" s="14" t="n">
        <v>2.92</v>
      </c>
      <c r="Y539" s="14" t="n">
        <v>0</v>
      </c>
      <c r="Z539" s="14" t="n">
        <v>0</v>
      </c>
      <c r="AA539" s="14" t="n">
        <v>0</v>
      </c>
    </row>
    <row r="540">
      <c r="A540" t="inlineStr">
        <is>
          <t>151028</t>
        </is>
      </c>
      <c r="B540" t="inlineStr">
        <is>
          <t>LIMA</t>
        </is>
      </c>
      <c r="C540" t="inlineStr">
        <is>
          <t>YAUYOS</t>
        </is>
      </c>
      <c r="D540" t="inlineStr">
        <is>
          <t>TANTA</t>
        </is>
      </c>
      <c r="E540" t="n">
        <v>192</v>
      </c>
      <c r="F540" s="14" t="n">
        <v>0</v>
      </c>
      <c r="G540" s="14" t="n">
        <v>61.46</v>
      </c>
      <c r="H540" s="14" t="n">
        <v>1.04</v>
      </c>
      <c r="I540" s="14" t="n">
        <v>1.56</v>
      </c>
      <c r="J540" s="14" t="n">
        <v>0.52</v>
      </c>
      <c r="K540" s="14" t="n">
        <v>0</v>
      </c>
      <c r="L540" s="14" t="n">
        <v>7.29</v>
      </c>
      <c r="M540" s="14" t="n">
        <v>11.46</v>
      </c>
      <c r="N540" s="14" t="n">
        <v>2.6</v>
      </c>
      <c r="O540" s="14" t="n">
        <v>1.04</v>
      </c>
      <c r="P540" s="14" t="n">
        <v>0</v>
      </c>
      <c r="Q540" s="14" t="n">
        <v>0</v>
      </c>
      <c r="R540" s="14" t="n">
        <v>0</v>
      </c>
      <c r="S540" s="14" t="n">
        <v>4.69</v>
      </c>
      <c r="T540" s="14" t="n">
        <v>1.04</v>
      </c>
      <c r="U540" s="14" t="n">
        <v>3.13</v>
      </c>
      <c r="V540" s="14" t="n">
        <v>2.08</v>
      </c>
      <c r="W540" s="14" t="n">
        <v>1.56</v>
      </c>
      <c r="X540" s="14" t="n">
        <v>0.52</v>
      </c>
      <c r="Y540" s="14" t="n">
        <v>0</v>
      </c>
      <c r="Z540" s="14" t="n">
        <v>0</v>
      </c>
      <c r="AA540" s="14" t="n">
        <v>0</v>
      </c>
    </row>
    <row r="541">
      <c r="A541" t="inlineStr">
        <is>
          <t>151029</t>
        </is>
      </c>
      <c r="B541" t="inlineStr">
        <is>
          <t>LIMA</t>
        </is>
      </c>
      <c r="C541" t="inlineStr">
        <is>
          <t>YAUYOS</t>
        </is>
      </c>
      <c r="D541" t="inlineStr">
        <is>
          <t>TAURIPAMPA</t>
        </is>
      </c>
      <c r="E541" t="n">
        <v>255</v>
      </c>
      <c r="F541" s="14" t="n">
        <v>0</v>
      </c>
      <c r="G541" s="14" t="n">
        <v>83.14</v>
      </c>
      <c r="H541" s="14" t="n">
        <v>0</v>
      </c>
      <c r="I541" s="14" t="n">
        <v>0.39</v>
      </c>
      <c r="J541" s="14" t="n">
        <v>0</v>
      </c>
      <c r="K541" s="14" t="n">
        <v>0</v>
      </c>
      <c r="L541" s="14" t="n">
        <v>0.78</v>
      </c>
      <c r="M541" s="14" t="n">
        <v>2.75</v>
      </c>
      <c r="N541" s="14" t="n">
        <v>1.57</v>
      </c>
      <c r="O541" s="14" t="n">
        <v>0.39</v>
      </c>
      <c r="P541" s="14" t="n">
        <v>0</v>
      </c>
      <c r="Q541" s="14" t="n">
        <v>0</v>
      </c>
      <c r="R541" s="14" t="n">
        <v>0</v>
      </c>
      <c r="S541" s="14" t="n">
        <v>0</v>
      </c>
      <c r="T541" s="14" t="n">
        <v>0.39</v>
      </c>
      <c r="U541" s="14" t="n">
        <v>1.96</v>
      </c>
      <c r="V541" s="14" t="n">
        <v>8.24</v>
      </c>
      <c r="W541" s="14" t="n">
        <v>0.39</v>
      </c>
      <c r="X541" s="14" t="n">
        <v>0</v>
      </c>
      <c r="Y541" s="14" t="n">
        <v>0</v>
      </c>
      <c r="Z541" s="14" t="n">
        <v>0</v>
      </c>
      <c r="AA541" s="14" t="n">
        <v>0</v>
      </c>
    </row>
    <row r="542">
      <c r="A542" t="inlineStr">
        <is>
          <t>151030</t>
        </is>
      </c>
      <c r="B542" t="inlineStr">
        <is>
          <t>LIMA</t>
        </is>
      </c>
      <c r="C542" t="inlineStr">
        <is>
          <t>YAUYOS</t>
        </is>
      </c>
      <c r="D542" t="inlineStr">
        <is>
          <t>TOMAS</t>
        </is>
      </c>
      <c r="E542" t="n">
        <v>161</v>
      </c>
      <c r="F542" s="14" t="n">
        <v>0</v>
      </c>
      <c r="G542" s="14" t="n">
        <v>55.28</v>
      </c>
      <c r="H542" s="14" t="n">
        <v>7.45</v>
      </c>
      <c r="I542" s="14" t="n">
        <v>0.62</v>
      </c>
      <c r="J542" s="14" t="n">
        <v>0</v>
      </c>
      <c r="K542" s="14" t="n">
        <v>0</v>
      </c>
      <c r="L542" s="14" t="n">
        <v>14.91</v>
      </c>
      <c r="M542" s="14" t="n">
        <v>8.07</v>
      </c>
      <c r="N542" s="14" t="n">
        <v>1.86</v>
      </c>
      <c r="O542" s="14" t="n">
        <v>3.11</v>
      </c>
      <c r="P542" s="14" t="n">
        <v>0</v>
      </c>
      <c r="Q542" s="14" t="n">
        <v>0</v>
      </c>
      <c r="R542" s="14" t="n">
        <v>0</v>
      </c>
      <c r="S542" s="14" t="n">
        <v>1.24</v>
      </c>
      <c r="T542" s="14" t="n">
        <v>0</v>
      </c>
      <c r="U542" s="14" t="n">
        <v>1.86</v>
      </c>
      <c r="V542" s="14" t="n">
        <v>3.73</v>
      </c>
      <c r="W542" s="14" t="n">
        <v>0.62</v>
      </c>
      <c r="X542" s="14" t="n">
        <v>0</v>
      </c>
      <c r="Y542" s="14" t="n">
        <v>0.62</v>
      </c>
      <c r="Z542" s="14" t="n">
        <v>0.62</v>
      </c>
      <c r="AA542" s="14" t="n">
        <v>0</v>
      </c>
    </row>
    <row r="543">
      <c r="A543" t="inlineStr">
        <is>
          <t>151031</t>
        </is>
      </c>
      <c r="B543" t="inlineStr">
        <is>
          <t>LIMA</t>
        </is>
      </c>
      <c r="C543" t="inlineStr">
        <is>
          <t>YAUYOS</t>
        </is>
      </c>
      <c r="D543" t="inlineStr">
        <is>
          <t>TUPE</t>
        </is>
      </c>
      <c r="E543" t="n">
        <v>248</v>
      </c>
      <c r="F543" s="14" t="n">
        <v>0</v>
      </c>
      <c r="G543" s="14" t="n">
        <v>70.16</v>
      </c>
      <c r="H543" s="14" t="n">
        <v>0</v>
      </c>
      <c r="I543" s="14" t="n">
        <v>2.02</v>
      </c>
      <c r="J543" s="14" t="n">
        <v>0</v>
      </c>
      <c r="K543" s="14" t="n">
        <v>0</v>
      </c>
      <c r="L543" s="14" t="n">
        <v>12.9</v>
      </c>
      <c r="M543" s="14" t="n">
        <v>2.82</v>
      </c>
      <c r="N543" s="14" t="n">
        <v>1.61</v>
      </c>
      <c r="O543" s="14" t="n">
        <v>1.21</v>
      </c>
      <c r="P543" s="14" t="n">
        <v>0</v>
      </c>
      <c r="Q543" s="14" t="n">
        <v>0</v>
      </c>
      <c r="R543" s="14" t="n">
        <v>0</v>
      </c>
      <c r="S543" s="14" t="n">
        <v>0</v>
      </c>
      <c r="T543" s="14" t="n">
        <v>0</v>
      </c>
      <c r="U543" s="14" t="n">
        <v>3.63</v>
      </c>
      <c r="V543" s="14" t="n">
        <v>5.65</v>
      </c>
      <c r="W543" s="14" t="n">
        <v>0</v>
      </c>
      <c r="X543" s="14" t="n">
        <v>0</v>
      </c>
      <c r="Y543" s="14" t="n">
        <v>0</v>
      </c>
      <c r="Z543" s="14" t="n">
        <v>0</v>
      </c>
      <c r="AA543" s="14" t="n">
        <v>0</v>
      </c>
    </row>
    <row r="544">
      <c r="A544" t="inlineStr">
        <is>
          <t>151032</t>
        </is>
      </c>
      <c r="B544" t="inlineStr">
        <is>
          <t>LIMA</t>
        </is>
      </c>
      <c r="C544" t="inlineStr">
        <is>
          <t>YAUYOS</t>
        </is>
      </c>
      <c r="D544" t="inlineStr">
        <is>
          <t>VIÑAC</t>
        </is>
      </c>
      <c r="E544" t="n">
        <v>741</v>
      </c>
      <c r="F544" s="14" t="n">
        <v>0</v>
      </c>
      <c r="G544" s="14" t="n">
        <v>75.17</v>
      </c>
      <c r="H544" s="14" t="n">
        <v>0.4</v>
      </c>
      <c r="I544" s="14" t="n">
        <v>2.29</v>
      </c>
      <c r="J544" s="14" t="n">
        <v>0.13</v>
      </c>
      <c r="K544" s="14" t="n">
        <v>0</v>
      </c>
      <c r="L544" s="14" t="n">
        <v>2.02</v>
      </c>
      <c r="M544" s="14" t="n">
        <v>7.02</v>
      </c>
      <c r="N544" s="14" t="n">
        <v>0.8100000000000001</v>
      </c>
      <c r="O544" s="14" t="n">
        <v>2.02</v>
      </c>
      <c r="P544" s="14" t="n">
        <v>0</v>
      </c>
      <c r="Q544" s="14" t="n">
        <v>0</v>
      </c>
      <c r="R544" s="14" t="n">
        <v>0</v>
      </c>
      <c r="S544" s="14" t="n">
        <v>2.02</v>
      </c>
      <c r="T544" s="14" t="n">
        <v>0.67</v>
      </c>
      <c r="U544" s="14" t="n">
        <v>1.89</v>
      </c>
      <c r="V544" s="14" t="n">
        <v>3.91</v>
      </c>
      <c r="W544" s="14" t="n">
        <v>0.27</v>
      </c>
      <c r="X544" s="14" t="n">
        <v>0.27</v>
      </c>
      <c r="Y544" s="14" t="n">
        <v>0.8100000000000001</v>
      </c>
      <c r="Z544" s="14" t="n">
        <v>0.27</v>
      </c>
      <c r="AA544" s="14" t="n">
        <v>0</v>
      </c>
    </row>
    <row r="545">
      <c r="A545" t="inlineStr">
        <is>
          <t>151033</t>
        </is>
      </c>
      <c r="B545" t="inlineStr">
        <is>
          <t>LIMA</t>
        </is>
      </c>
      <c r="C545" t="inlineStr">
        <is>
          <t>YAUYOS</t>
        </is>
      </c>
      <c r="D545" t="inlineStr">
        <is>
          <t>VITIS</t>
        </is>
      </c>
      <c r="E545" t="n">
        <v>124</v>
      </c>
      <c r="F545" s="14" t="n">
        <v>0</v>
      </c>
      <c r="G545" s="14" t="n">
        <v>54.03</v>
      </c>
      <c r="H545" s="14" t="n">
        <v>0</v>
      </c>
      <c r="I545" s="14" t="n">
        <v>2.42</v>
      </c>
      <c r="J545" s="14" t="n">
        <v>0</v>
      </c>
      <c r="K545" s="14" t="n">
        <v>0</v>
      </c>
      <c r="L545" s="14" t="n">
        <v>1.61</v>
      </c>
      <c r="M545" s="14" t="n">
        <v>5.65</v>
      </c>
      <c r="N545" s="14" t="n">
        <v>4.03</v>
      </c>
      <c r="O545" s="14" t="n">
        <v>0</v>
      </c>
      <c r="P545" s="14" t="n">
        <v>0</v>
      </c>
      <c r="Q545" s="14" t="n">
        <v>0</v>
      </c>
      <c r="R545" s="14" t="n">
        <v>0</v>
      </c>
      <c r="S545" s="14" t="n">
        <v>2.42</v>
      </c>
      <c r="T545" s="14" t="n">
        <v>0</v>
      </c>
      <c r="U545" s="14" t="n">
        <v>4.84</v>
      </c>
      <c r="V545" s="14" t="n">
        <v>22.58</v>
      </c>
      <c r="W545" s="14" t="n">
        <v>1.61</v>
      </c>
      <c r="X545" s="14" t="n">
        <v>0</v>
      </c>
      <c r="Y545" s="14" t="n">
        <v>0.8100000000000001</v>
      </c>
      <c r="Z545" s="14" t="n">
        <v>0</v>
      </c>
      <c r="AA545" s="14" t="n">
        <v>0</v>
      </c>
    </row>
    <row r="546">
      <c r="A546" t="inlineStr">
        <is>
          <t>160101</t>
        </is>
      </c>
      <c r="B546" t="inlineStr">
        <is>
          <t>LORETO</t>
        </is>
      </c>
      <c r="C546" t="inlineStr">
        <is>
          <t>MAYNAS</t>
        </is>
      </c>
      <c r="D546" t="inlineStr">
        <is>
          <t>IQUITOS</t>
        </is>
      </c>
      <c r="E546" t="n">
        <v>61868</v>
      </c>
      <c r="F546" s="14" t="n">
        <v>0</v>
      </c>
      <c r="G546" s="14" t="n">
        <v>6.23</v>
      </c>
      <c r="H546" s="14" t="n">
        <v>0.31</v>
      </c>
      <c r="I546" s="14" t="n">
        <v>5.28</v>
      </c>
      <c r="J546" s="14" t="n">
        <v>0.15</v>
      </c>
      <c r="K546" s="14" t="n">
        <v>0.19</v>
      </c>
      <c r="L546" s="14" t="n">
        <v>7.68</v>
      </c>
      <c r="M546" s="14" t="n">
        <v>22.88</v>
      </c>
      <c r="N546" s="14" t="n">
        <v>8.24</v>
      </c>
      <c r="O546" s="14" t="n">
        <v>7.75</v>
      </c>
      <c r="P546" s="14" t="n">
        <v>0.76</v>
      </c>
      <c r="Q546" s="14" t="n">
        <v>1.15</v>
      </c>
      <c r="R546" s="14" t="n">
        <v>0.13</v>
      </c>
      <c r="S546" s="14" t="n">
        <v>9.109999999999999</v>
      </c>
      <c r="T546" s="14" t="n">
        <v>3.31</v>
      </c>
      <c r="U546" s="14" t="n">
        <v>5.73</v>
      </c>
      <c r="V546" s="14" t="n">
        <v>9.390000000000001</v>
      </c>
      <c r="W546" s="14" t="n">
        <v>3.88</v>
      </c>
      <c r="X546" s="14" t="n">
        <v>0.97</v>
      </c>
      <c r="Y546" s="14" t="n">
        <v>5.4</v>
      </c>
      <c r="Z546" s="14" t="n">
        <v>1.44</v>
      </c>
      <c r="AA546" s="14" t="n">
        <v>0</v>
      </c>
    </row>
    <row r="547">
      <c r="A547" t="inlineStr">
        <is>
          <t>160102</t>
        </is>
      </c>
      <c r="B547" t="inlineStr">
        <is>
          <t>LORETO</t>
        </is>
      </c>
      <c r="C547" t="inlineStr">
        <is>
          <t>MAYNAS</t>
        </is>
      </c>
      <c r="D547" t="inlineStr">
        <is>
          <t>ALTO NANAY</t>
        </is>
      </c>
      <c r="E547" t="n">
        <v>790</v>
      </c>
      <c r="F547" s="14" t="n">
        <v>0</v>
      </c>
      <c r="G547" s="14" t="n">
        <v>76.08</v>
      </c>
      <c r="H547" s="14" t="n">
        <v>0.25</v>
      </c>
      <c r="I547" s="14" t="n">
        <v>2.41</v>
      </c>
      <c r="J547" s="14" t="n">
        <v>0</v>
      </c>
      <c r="K547" s="14" t="n">
        <v>0</v>
      </c>
      <c r="L547" s="14" t="n">
        <v>2.78</v>
      </c>
      <c r="M547" s="14" t="n">
        <v>6.71</v>
      </c>
      <c r="N547" s="14" t="n">
        <v>0.76</v>
      </c>
      <c r="O547" s="14" t="n">
        <v>1.14</v>
      </c>
      <c r="P547" s="14" t="n">
        <v>0</v>
      </c>
      <c r="Q547" s="14" t="n">
        <v>0</v>
      </c>
      <c r="R547" s="14" t="n">
        <v>0</v>
      </c>
      <c r="S547" s="14" t="n">
        <v>0.63</v>
      </c>
      <c r="T547" s="14" t="n">
        <v>0.51</v>
      </c>
      <c r="U547" s="14" t="n">
        <v>1.9</v>
      </c>
      <c r="V547" s="14" t="n">
        <v>3.8</v>
      </c>
      <c r="W547" s="14" t="n">
        <v>1.77</v>
      </c>
      <c r="X547" s="14" t="n">
        <v>0</v>
      </c>
      <c r="Y547" s="14" t="n">
        <v>0.89</v>
      </c>
      <c r="Z547" s="14" t="n">
        <v>0.38</v>
      </c>
      <c r="AA547" s="14" t="n">
        <v>0</v>
      </c>
    </row>
    <row r="548">
      <c r="A548" t="inlineStr">
        <is>
          <t>160103</t>
        </is>
      </c>
      <c r="B548" t="inlineStr">
        <is>
          <t>LORETO</t>
        </is>
      </c>
      <c r="C548" t="inlineStr">
        <is>
          <t>MAYNAS</t>
        </is>
      </c>
      <c r="D548" t="inlineStr">
        <is>
          <t>FERNANDO LORES</t>
        </is>
      </c>
      <c r="E548" t="n">
        <v>4277</v>
      </c>
      <c r="F548" s="14" t="n">
        <v>0</v>
      </c>
      <c r="G548" s="14" t="n">
        <v>73.16</v>
      </c>
      <c r="H548" s="14" t="n">
        <v>0.09</v>
      </c>
      <c r="I548" s="14" t="n">
        <v>2.24</v>
      </c>
      <c r="J548" s="14" t="n">
        <v>0.02</v>
      </c>
      <c r="K548" s="14" t="n">
        <v>0.07000000000000001</v>
      </c>
      <c r="L548" s="14" t="n">
        <v>1.61</v>
      </c>
      <c r="M548" s="14" t="n">
        <v>7.6</v>
      </c>
      <c r="N548" s="14" t="n">
        <v>2.45</v>
      </c>
      <c r="O548" s="14" t="n">
        <v>2.74</v>
      </c>
      <c r="P548" s="14" t="n">
        <v>0.02</v>
      </c>
      <c r="Q548" s="14" t="n">
        <v>0</v>
      </c>
      <c r="R548" s="14" t="n">
        <v>0</v>
      </c>
      <c r="S548" s="14" t="n">
        <v>1.05</v>
      </c>
      <c r="T548" s="14" t="n">
        <v>1.03</v>
      </c>
      <c r="U548" s="14" t="n">
        <v>1.96</v>
      </c>
      <c r="V548" s="14" t="n">
        <v>3.48</v>
      </c>
      <c r="W548" s="14" t="n">
        <v>1.01</v>
      </c>
      <c r="X548" s="14" t="n">
        <v>0.09</v>
      </c>
      <c r="Y548" s="14" t="n">
        <v>0.96</v>
      </c>
      <c r="Z548" s="14" t="n">
        <v>0.4</v>
      </c>
      <c r="AA548" s="14" t="n">
        <v>0</v>
      </c>
    </row>
    <row r="549">
      <c r="A549" t="inlineStr">
        <is>
          <t>160104</t>
        </is>
      </c>
      <c r="B549" t="inlineStr">
        <is>
          <t>LORETO</t>
        </is>
      </c>
      <c r="C549" t="inlineStr">
        <is>
          <t>MAYNAS</t>
        </is>
      </c>
      <c r="D549" t="inlineStr">
        <is>
          <t>INDIANA</t>
        </is>
      </c>
      <c r="E549" t="n">
        <v>3071</v>
      </c>
      <c r="F549" s="14" t="n">
        <v>0</v>
      </c>
      <c r="G549" s="14" t="n">
        <v>70.66</v>
      </c>
      <c r="H549" s="14" t="n">
        <v>0.23</v>
      </c>
      <c r="I549" s="14" t="n">
        <v>2.05</v>
      </c>
      <c r="J549" s="14" t="n">
        <v>0.1</v>
      </c>
      <c r="K549" s="14" t="n">
        <v>0.07000000000000001</v>
      </c>
      <c r="L549" s="14" t="n">
        <v>2.34</v>
      </c>
      <c r="M549" s="14" t="n">
        <v>8.210000000000001</v>
      </c>
      <c r="N549" s="14" t="n">
        <v>3.58</v>
      </c>
      <c r="O549" s="14" t="n">
        <v>3.48</v>
      </c>
      <c r="P549" s="14" t="n">
        <v>0.03</v>
      </c>
      <c r="Q549" s="14" t="n">
        <v>0</v>
      </c>
      <c r="R549" s="14" t="n">
        <v>0</v>
      </c>
      <c r="S549" s="14" t="n">
        <v>0.62</v>
      </c>
      <c r="T549" s="14" t="n">
        <v>0.65</v>
      </c>
      <c r="U549" s="14" t="n">
        <v>2.77</v>
      </c>
      <c r="V549" s="14" t="n">
        <v>2.74</v>
      </c>
      <c r="W549" s="14" t="n">
        <v>1.27</v>
      </c>
      <c r="X549" s="14" t="n">
        <v>0</v>
      </c>
      <c r="Y549" s="14" t="n">
        <v>0.78</v>
      </c>
      <c r="Z549" s="14" t="n">
        <v>0.42</v>
      </c>
      <c r="AA549" s="14" t="n">
        <v>0</v>
      </c>
    </row>
    <row r="550">
      <c r="A550" t="inlineStr">
        <is>
          <t>160105</t>
        </is>
      </c>
      <c r="B550" t="inlineStr">
        <is>
          <t>LORETO</t>
        </is>
      </c>
      <c r="C550" t="inlineStr">
        <is>
          <t>MAYNAS</t>
        </is>
      </c>
      <c r="D550" t="inlineStr">
        <is>
          <t>LAS AMAZONAS</t>
        </is>
      </c>
      <c r="E550" t="n">
        <v>2047</v>
      </c>
      <c r="F550" s="14" t="n">
        <v>0</v>
      </c>
      <c r="G550" s="14" t="n">
        <v>82.61</v>
      </c>
      <c r="H550" s="14" t="n">
        <v>0.05</v>
      </c>
      <c r="I550" s="14" t="n">
        <v>0.98</v>
      </c>
      <c r="J550" s="14" t="n">
        <v>0.24</v>
      </c>
      <c r="K550" s="14" t="n">
        <v>0.15</v>
      </c>
      <c r="L550" s="14" t="n">
        <v>1.27</v>
      </c>
      <c r="M550" s="14" t="n">
        <v>4.05</v>
      </c>
      <c r="N550" s="14" t="n">
        <v>0.54</v>
      </c>
      <c r="O550" s="14" t="n">
        <v>1.91</v>
      </c>
      <c r="P550" s="14" t="n">
        <v>0</v>
      </c>
      <c r="Q550" s="14" t="n">
        <v>0</v>
      </c>
      <c r="R550" s="14" t="n">
        <v>0</v>
      </c>
      <c r="S550" s="14" t="n">
        <v>0.54</v>
      </c>
      <c r="T550" s="14" t="n">
        <v>0.15</v>
      </c>
      <c r="U550" s="14" t="n">
        <v>2</v>
      </c>
      <c r="V550" s="14" t="n">
        <v>4.45</v>
      </c>
      <c r="W550" s="14" t="n">
        <v>0.64</v>
      </c>
      <c r="X550" s="14" t="n">
        <v>0.05</v>
      </c>
      <c r="Y550" s="14" t="n">
        <v>0.34</v>
      </c>
      <c r="Z550" s="14" t="n">
        <v>0.05</v>
      </c>
      <c r="AA550" s="14" t="n">
        <v>0</v>
      </c>
    </row>
    <row r="551">
      <c r="A551" t="inlineStr">
        <is>
          <t>160106</t>
        </is>
      </c>
      <c r="B551" t="inlineStr">
        <is>
          <t>LORETO</t>
        </is>
      </c>
      <c r="C551" t="inlineStr">
        <is>
          <t>MAYNAS</t>
        </is>
      </c>
      <c r="D551" t="inlineStr">
        <is>
          <t>MAZAN</t>
        </is>
      </c>
      <c r="E551" t="n">
        <v>4419</v>
      </c>
      <c r="F551" s="14" t="n">
        <v>0</v>
      </c>
      <c r="G551" s="14" t="n">
        <v>79</v>
      </c>
      <c r="H551" s="14" t="n">
        <v>0</v>
      </c>
      <c r="I551" s="14" t="n">
        <v>1.97</v>
      </c>
      <c r="J551" s="14" t="n">
        <v>0</v>
      </c>
      <c r="K551" s="14" t="n">
        <v>0.05</v>
      </c>
      <c r="L551" s="14" t="n">
        <v>1.15</v>
      </c>
      <c r="M551" s="14" t="n">
        <v>7.81</v>
      </c>
      <c r="N551" s="14" t="n">
        <v>2.44</v>
      </c>
      <c r="O551" s="14" t="n">
        <v>2.51</v>
      </c>
      <c r="P551" s="14" t="n">
        <v>0.02</v>
      </c>
      <c r="Q551" s="14" t="n">
        <v>0.05</v>
      </c>
      <c r="R551" s="14" t="n">
        <v>0</v>
      </c>
      <c r="S551" s="14" t="n">
        <v>0.38</v>
      </c>
      <c r="T551" s="14" t="n">
        <v>0.32</v>
      </c>
      <c r="U551" s="14" t="n">
        <v>0.91</v>
      </c>
      <c r="V551" s="14" t="n">
        <v>1</v>
      </c>
      <c r="W551" s="14" t="n">
        <v>0.86</v>
      </c>
      <c r="X551" s="14" t="n">
        <v>0.02</v>
      </c>
      <c r="Y551" s="14" t="n">
        <v>1</v>
      </c>
      <c r="Z551" s="14" t="n">
        <v>0.52</v>
      </c>
      <c r="AA551" s="14" t="n">
        <v>0</v>
      </c>
    </row>
    <row r="552">
      <c r="A552" t="inlineStr">
        <is>
          <t>160107</t>
        </is>
      </c>
      <c r="B552" t="inlineStr">
        <is>
          <t>LORETO</t>
        </is>
      </c>
      <c r="C552" t="inlineStr">
        <is>
          <t>MAYNAS</t>
        </is>
      </c>
      <c r="D552" t="inlineStr"/>
      <c r="E552" t="n">
        <v>0</v>
      </c>
      <c r="F552" s="14" t="n">
        <v>0</v>
      </c>
      <c r="G552" s="14" t="n">
        <v>67.66</v>
      </c>
      <c r="H552" s="14" t="n">
        <v>0.17</v>
      </c>
      <c r="I552" s="14" t="n">
        <v>2.22</v>
      </c>
      <c r="J552" s="14" t="n">
        <v>0.08</v>
      </c>
      <c r="K552" s="14" t="n">
        <v>0.14</v>
      </c>
      <c r="L552" s="14" t="n">
        <v>2.58</v>
      </c>
      <c r="M552" s="14" t="n">
        <v>7.59</v>
      </c>
      <c r="N552" s="14" t="n">
        <v>3.31</v>
      </c>
      <c r="O552" s="14" t="n">
        <v>3.22</v>
      </c>
      <c r="P552" s="14" t="n">
        <v>0.11</v>
      </c>
      <c r="Q552" s="14" t="n">
        <v>0.04</v>
      </c>
      <c r="R552" s="14" t="n">
        <v>0</v>
      </c>
      <c r="S552" s="14" t="n">
        <v>0.97</v>
      </c>
      <c r="T552" s="14" t="n">
        <v>0.95</v>
      </c>
      <c r="U552" s="14" t="n">
        <v>3.14</v>
      </c>
      <c r="V552" s="14" t="n">
        <v>4.69</v>
      </c>
      <c r="W552" s="14" t="n">
        <v>1.64</v>
      </c>
      <c r="X552" s="14" t="n">
        <v>0.09</v>
      </c>
      <c r="Y552" s="14" t="n">
        <v>0.92</v>
      </c>
      <c r="Z552" s="14" t="n">
        <v>0.48</v>
      </c>
      <c r="AA552" s="14" t="n">
        <v>0</v>
      </c>
    </row>
    <row r="553">
      <c r="A553" t="inlineStr">
        <is>
          <t>160108</t>
        </is>
      </c>
      <c r="B553" t="inlineStr">
        <is>
          <t>LORETO</t>
        </is>
      </c>
      <c r="C553" t="inlineStr">
        <is>
          <t>MAYNAS</t>
        </is>
      </c>
      <c r="D553" t="inlineStr">
        <is>
          <t>PUNCHANA</t>
        </is>
      </c>
      <c r="E553" t="n">
        <v>26516</v>
      </c>
      <c r="F553" s="14" t="n">
        <v>0</v>
      </c>
      <c r="G553" s="14" t="n">
        <v>9.119999999999999</v>
      </c>
      <c r="H553" s="14" t="n">
        <v>0.21</v>
      </c>
      <c r="I553" s="14" t="n">
        <v>8.18</v>
      </c>
      <c r="J553" s="14" t="n">
        <v>0.09</v>
      </c>
      <c r="K553" s="14" t="n">
        <v>0.17</v>
      </c>
      <c r="L553" s="14" t="n">
        <v>7.26</v>
      </c>
      <c r="M553" s="14" t="n">
        <v>24.07</v>
      </c>
      <c r="N553" s="14" t="n">
        <v>13.7</v>
      </c>
      <c r="O553" s="14" t="n">
        <v>9.1</v>
      </c>
      <c r="P553" s="14" t="n">
        <v>0.45</v>
      </c>
      <c r="Q553" s="14" t="n">
        <v>0.85</v>
      </c>
      <c r="R553" s="14" t="n">
        <v>0.06</v>
      </c>
      <c r="S553" s="14" t="n">
        <v>4.82</v>
      </c>
      <c r="T553" s="14" t="n">
        <v>3.22</v>
      </c>
      <c r="U553" s="14" t="n">
        <v>4.42</v>
      </c>
      <c r="V553" s="14" t="n">
        <v>5.45</v>
      </c>
      <c r="W553" s="14" t="n">
        <v>2.84</v>
      </c>
      <c r="X553" s="14" t="n">
        <v>0.7</v>
      </c>
      <c r="Y553" s="14" t="n">
        <v>3.62</v>
      </c>
      <c r="Z553" s="14" t="n">
        <v>1.69</v>
      </c>
      <c r="AA553" s="14" t="n">
        <v>0</v>
      </c>
    </row>
    <row r="554">
      <c r="A554" t="inlineStr">
        <is>
          <t>160110</t>
        </is>
      </c>
      <c r="B554" t="inlineStr">
        <is>
          <t>LORETO</t>
        </is>
      </c>
      <c r="C554" t="inlineStr">
        <is>
          <t>MAYNAS</t>
        </is>
      </c>
      <c r="D554" t="inlineStr">
        <is>
          <t>TORRES CAUSANA</t>
        </is>
      </c>
      <c r="E554" t="n">
        <v>1707</v>
      </c>
      <c r="F554" s="14" t="n">
        <v>0</v>
      </c>
      <c r="G554" s="14" t="n">
        <v>82.95</v>
      </c>
      <c r="H554" s="14" t="n">
        <v>0</v>
      </c>
      <c r="I554" s="14" t="n">
        <v>0.35</v>
      </c>
      <c r="J554" s="14" t="n">
        <v>0</v>
      </c>
      <c r="K554" s="14" t="n">
        <v>0.06</v>
      </c>
      <c r="L554" s="14" t="n">
        <v>0.59</v>
      </c>
      <c r="M554" s="14" t="n">
        <v>2.28</v>
      </c>
      <c r="N554" s="14" t="n">
        <v>0.82</v>
      </c>
      <c r="O554" s="14" t="n">
        <v>1</v>
      </c>
      <c r="P554" s="14" t="n">
        <v>0.12</v>
      </c>
      <c r="Q554" s="14" t="n">
        <v>0</v>
      </c>
      <c r="R554" s="14" t="n">
        <v>0</v>
      </c>
      <c r="S554" s="14" t="n">
        <v>0.06</v>
      </c>
      <c r="T554" s="14" t="n">
        <v>0.06</v>
      </c>
      <c r="U554" s="14" t="n">
        <v>5.57</v>
      </c>
      <c r="V554" s="14" t="n">
        <v>5.51</v>
      </c>
      <c r="W554" s="14" t="n">
        <v>0.29</v>
      </c>
      <c r="X554" s="14" t="n">
        <v>0</v>
      </c>
      <c r="Y554" s="14" t="n">
        <v>0.23</v>
      </c>
      <c r="Z554" s="14" t="n">
        <v>0.12</v>
      </c>
      <c r="AA554" s="14" t="n">
        <v>0</v>
      </c>
    </row>
    <row r="555">
      <c r="A555" t="inlineStr">
        <is>
          <t>160112</t>
        </is>
      </c>
      <c r="B555" t="inlineStr">
        <is>
          <t>LORETO</t>
        </is>
      </c>
      <c r="C555" t="inlineStr">
        <is>
          <t>MAYNAS</t>
        </is>
      </c>
      <c r="D555" t="inlineStr">
        <is>
          <t>BELEN</t>
        </is>
      </c>
      <c r="E555" t="n">
        <v>24332</v>
      </c>
      <c r="F555" s="14" t="n">
        <v>0</v>
      </c>
      <c r="G555" s="14" t="n">
        <v>11.11</v>
      </c>
      <c r="H555" s="14" t="n">
        <v>0.18</v>
      </c>
      <c r="I555" s="14" t="n">
        <v>7.57</v>
      </c>
      <c r="J555" s="14" t="n">
        <v>0.07000000000000001</v>
      </c>
      <c r="K555" s="14" t="n">
        <v>0.19</v>
      </c>
      <c r="L555" s="14" t="n">
        <v>7.2</v>
      </c>
      <c r="M555" s="14" t="n">
        <v>30.87</v>
      </c>
      <c r="N555" s="14" t="n">
        <v>9.93</v>
      </c>
      <c r="O555" s="14" t="n">
        <v>7.69</v>
      </c>
      <c r="P555" s="14" t="n">
        <v>0.43</v>
      </c>
      <c r="Q555" s="14" t="n">
        <v>0.67</v>
      </c>
      <c r="R555" s="14" t="n">
        <v>0.07000000000000001</v>
      </c>
      <c r="S555" s="14" t="n">
        <v>4.39</v>
      </c>
      <c r="T555" s="14" t="n">
        <v>2.89</v>
      </c>
      <c r="U555" s="14" t="n">
        <v>3.39</v>
      </c>
      <c r="V555" s="14" t="n">
        <v>5.07</v>
      </c>
      <c r="W555" s="14" t="n">
        <v>2.02</v>
      </c>
      <c r="X555" s="14" t="n">
        <v>0.73</v>
      </c>
      <c r="Y555" s="14" t="n">
        <v>4.04</v>
      </c>
      <c r="Z555" s="14" t="n">
        <v>1.49</v>
      </c>
      <c r="AA555" s="14" t="n">
        <v>0</v>
      </c>
    </row>
    <row r="556">
      <c r="A556" t="inlineStr">
        <is>
          <t>160113</t>
        </is>
      </c>
      <c r="B556" t="inlineStr">
        <is>
          <t>LORETO</t>
        </is>
      </c>
      <c r="C556" t="inlineStr">
        <is>
          <t>MAYNAS</t>
        </is>
      </c>
      <c r="D556" t="inlineStr">
        <is>
          <t>SAN JUAN BAUTISTA</t>
        </is>
      </c>
      <c r="E556" t="n">
        <v>44558</v>
      </c>
      <c r="F556" s="14" t="n">
        <v>0</v>
      </c>
      <c r="G556" s="14" t="n">
        <v>10.21</v>
      </c>
      <c r="H556" s="14" t="n">
        <v>0.19</v>
      </c>
      <c r="I556" s="14" t="n">
        <v>6.68</v>
      </c>
      <c r="J556" s="14" t="n">
        <v>0.09</v>
      </c>
      <c r="K556" s="14" t="n">
        <v>0.29</v>
      </c>
      <c r="L556" s="14" t="n">
        <v>8.859999999999999</v>
      </c>
      <c r="M556" s="14" t="n">
        <v>25.68</v>
      </c>
      <c r="N556" s="14" t="n">
        <v>12.32</v>
      </c>
      <c r="O556" s="14" t="n">
        <v>8.630000000000001</v>
      </c>
      <c r="P556" s="14" t="n">
        <v>0.48</v>
      </c>
      <c r="Q556" s="14" t="n">
        <v>0.62</v>
      </c>
      <c r="R556" s="14" t="n">
        <v>0.09</v>
      </c>
      <c r="S556" s="14" t="n">
        <v>4.56</v>
      </c>
      <c r="T556" s="14" t="n">
        <v>3.32</v>
      </c>
      <c r="U556" s="14" t="n">
        <v>3.56</v>
      </c>
      <c r="V556" s="14" t="n">
        <v>5.58</v>
      </c>
      <c r="W556" s="14" t="n">
        <v>2.34</v>
      </c>
      <c r="X556" s="14" t="n">
        <v>0.65</v>
      </c>
      <c r="Y556" s="14" t="n">
        <v>4.02</v>
      </c>
      <c r="Z556" s="14" t="n">
        <v>1.85</v>
      </c>
      <c r="AA556" s="14" t="n">
        <v>0</v>
      </c>
    </row>
    <row r="557">
      <c r="A557" t="inlineStr">
        <is>
          <t>160201</t>
        </is>
      </c>
      <c r="B557" t="inlineStr">
        <is>
          <t>LORETO</t>
        </is>
      </c>
      <c r="C557" t="inlineStr">
        <is>
          <t>ALTO AMAZONAS</t>
        </is>
      </c>
      <c r="D557" t="inlineStr">
        <is>
          <t>YURIMAGUAS</t>
        </is>
      </c>
      <c r="E557" t="n">
        <v>30393</v>
      </c>
      <c r="F557" s="14" t="n">
        <v>0</v>
      </c>
      <c r="G557" s="14" t="n">
        <v>31.2</v>
      </c>
      <c r="H557" s="14" t="n">
        <v>0.13</v>
      </c>
      <c r="I557" s="14" t="n">
        <v>4.78</v>
      </c>
      <c r="J557" s="14" t="n">
        <v>0.07000000000000001</v>
      </c>
      <c r="K557" s="14" t="n">
        <v>0.17</v>
      </c>
      <c r="L557" s="14" t="n">
        <v>6.44</v>
      </c>
      <c r="M557" s="14" t="n">
        <v>19.03</v>
      </c>
      <c r="N557" s="14" t="n">
        <v>9.41</v>
      </c>
      <c r="O557" s="14" t="n">
        <v>5.82</v>
      </c>
      <c r="P557" s="14" t="n">
        <v>0.51</v>
      </c>
      <c r="Q557" s="14" t="n">
        <v>0.48</v>
      </c>
      <c r="R557" s="14" t="n">
        <v>0.08</v>
      </c>
      <c r="S557" s="14" t="n">
        <v>3.9</v>
      </c>
      <c r="T557" s="14" t="n">
        <v>1.76</v>
      </c>
      <c r="U557" s="14" t="n">
        <v>3.09</v>
      </c>
      <c r="V557" s="14" t="n">
        <v>6.11</v>
      </c>
      <c r="W557" s="14" t="n">
        <v>2.21</v>
      </c>
      <c r="X557" s="14" t="n">
        <v>0.42</v>
      </c>
      <c r="Y557" s="14" t="n">
        <v>3.01</v>
      </c>
      <c r="Z557" s="14" t="n">
        <v>1.39</v>
      </c>
      <c r="AA557" s="14" t="n">
        <v>0</v>
      </c>
    </row>
    <row r="558">
      <c r="A558" t="inlineStr">
        <is>
          <t>160202</t>
        </is>
      </c>
      <c r="B558" t="inlineStr">
        <is>
          <t>LORETO</t>
        </is>
      </c>
      <c r="C558" t="inlineStr">
        <is>
          <t>ALTO AMAZONAS</t>
        </is>
      </c>
      <c r="D558" t="inlineStr">
        <is>
          <t>BALSAPUERTO</t>
        </is>
      </c>
      <c r="E558" t="n">
        <v>3614</v>
      </c>
      <c r="F558" s="14" t="n">
        <v>0</v>
      </c>
      <c r="G558" s="14" t="n">
        <v>87.41</v>
      </c>
      <c r="H558" s="14" t="n">
        <v>0.03</v>
      </c>
      <c r="I558" s="14" t="n">
        <v>1.13</v>
      </c>
      <c r="J558" s="14" t="n">
        <v>0.06</v>
      </c>
      <c r="K558" s="14" t="n">
        <v>0</v>
      </c>
      <c r="L558" s="14" t="n">
        <v>1.66</v>
      </c>
      <c r="M558" s="14" t="n">
        <v>1.3</v>
      </c>
      <c r="N558" s="14" t="n">
        <v>0.28</v>
      </c>
      <c r="O558" s="14" t="n">
        <v>0.83</v>
      </c>
      <c r="P558" s="14" t="n">
        <v>0</v>
      </c>
      <c r="Q558" s="14" t="n">
        <v>0</v>
      </c>
      <c r="R558" s="14" t="n">
        <v>0</v>
      </c>
      <c r="S558" s="14" t="n">
        <v>0.42</v>
      </c>
      <c r="T558" s="14" t="n">
        <v>0.17</v>
      </c>
      <c r="U558" s="14" t="n">
        <v>0.33</v>
      </c>
      <c r="V558" s="14" t="n">
        <v>5.12</v>
      </c>
      <c r="W558" s="14" t="n">
        <v>0.77</v>
      </c>
      <c r="X558" s="14" t="n">
        <v>0</v>
      </c>
      <c r="Y558" s="14" t="n">
        <v>0.22</v>
      </c>
      <c r="Z558" s="14" t="n">
        <v>0.28</v>
      </c>
      <c r="AA558" s="14" t="n">
        <v>0</v>
      </c>
    </row>
    <row r="559">
      <c r="A559" t="inlineStr">
        <is>
          <t>160205</t>
        </is>
      </c>
      <c r="B559" t="inlineStr">
        <is>
          <t>LORETO</t>
        </is>
      </c>
      <c r="C559" t="inlineStr">
        <is>
          <t>ALTO AMAZONAS</t>
        </is>
      </c>
      <c r="D559" t="inlineStr">
        <is>
          <t>JEBEROS</t>
        </is>
      </c>
      <c r="E559" t="n">
        <v>1032</v>
      </c>
      <c r="F559" s="14" t="n">
        <v>0</v>
      </c>
      <c r="G559" s="14" t="n">
        <v>77.52</v>
      </c>
      <c r="H559" s="14" t="n">
        <v>0</v>
      </c>
      <c r="I559" s="14" t="n">
        <v>0.97</v>
      </c>
      <c r="J559" s="14" t="n">
        <v>0</v>
      </c>
      <c r="K559" s="14" t="n">
        <v>0.1</v>
      </c>
      <c r="L559" s="14" t="n">
        <v>0.68</v>
      </c>
      <c r="M559" s="14" t="n">
        <v>4.65</v>
      </c>
      <c r="N559" s="14" t="n">
        <v>0.97</v>
      </c>
      <c r="O559" s="14" t="n">
        <v>1.07</v>
      </c>
      <c r="P559" s="14" t="n">
        <v>0</v>
      </c>
      <c r="Q559" s="14" t="n">
        <v>0</v>
      </c>
      <c r="R559" s="14" t="n">
        <v>0</v>
      </c>
      <c r="S559" s="14" t="n">
        <v>1.45</v>
      </c>
      <c r="T559" s="14" t="n">
        <v>0.68</v>
      </c>
      <c r="U559" s="14" t="n">
        <v>1.07</v>
      </c>
      <c r="V559" s="14" t="n">
        <v>7.17</v>
      </c>
      <c r="W559" s="14" t="n">
        <v>2.03</v>
      </c>
      <c r="X559" s="14" t="n">
        <v>0</v>
      </c>
      <c r="Y559" s="14" t="n">
        <v>0.58</v>
      </c>
      <c r="Z559" s="14" t="n">
        <v>1.07</v>
      </c>
      <c r="AA559" s="14" t="n">
        <v>0</v>
      </c>
    </row>
    <row r="560">
      <c r="A560" t="inlineStr">
        <is>
          <t>160206</t>
        </is>
      </c>
      <c r="B560" t="inlineStr">
        <is>
          <t>LORETO</t>
        </is>
      </c>
      <c r="C560" t="inlineStr">
        <is>
          <t>ALTO AMAZONAS</t>
        </is>
      </c>
      <c r="D560" t="inlineStr">
        <is>
          <t>LAGUNAS</t>
        </is>
      </c>
      <c r="E560" t="n">
        <v>3069</v>
      </c>
      <c r="F560" s="14" t="n">
        <v>0</v>
      </c>
      <c r="G560" s="14" t="n">
        <v>62.01</v>
      </c>
      <c r="H560" s="14" t="n">
        <v>0</v>
      </c>
      <c r="I560" s="14" t="n">
        <v>2.9</v>
      </c>
      <c r="J560" s="14" t="n">
        <v>0</v>
      </c>
      <c r="K560" s="14" t="n">
        <v>0.03</v>
      </c>
      <c r="L560" s="14" t="n">
        <v>4.86</v>
      </c>
      <c r="M560" s="14" t="n">
        <v>9.609999999999999</v>
      </c>
      <c r="N560" s="14" t="n">
        <v>2.61</v>
      </c>
      <c r="O560" s="14" t="n">
        <v>2.83</v>
      </c>
      <c r="P560" s="14" t="n">
        <v>0.07000000000000001</v>
      </c>
      <c r="Q560" s="14" t="n">
        <v>0.1</v>
      </c>
      <c r="R560" s="14" t="n">
        <v>0</v>
      </c>
      <c r="S560" s="14" t="n">
        <v>1.01</v>
      </c>
      <c r="T560" s="14" t="n">
        <v>1.47</v>
      </c>
      <c r="U560" s="14" t="n">
        <v>1.47</v>
      </c>
      <c r="V560" s="14" t="n">
        <v>7.4</v>
      </c>
      <c r="W560" s="14" t="n">
        <v>1.86</v>
      </c>
      <c r="X560" s="14" t="n">
        <v>0.07000000000000001</v>
      </c>
      <c r="Y560" s="14" t="n">
        <v>0.91</v>
      </c>
      <c r="Z560" s="14" t="n">
        <v>0.8100000000000001</v>
      </c>
      <c r="AA560" s="14" t="n">
        <v>0</v>
      </c>
    </row>
    <row r="561">
      <c r="A561" t="inlineStr">
        <is>
          <t>160210</t>
        </is>
      </c>
      <c r="B561" t="inlineStr">
        <is>
          <t>LORETO</t>
        </is>
      </c>
      <c r="C561" t="inlineStr">
        <is>
          <t>ALTO AMAZONAS</t>
        </is>
      </c>
      <c r="D561" t="inlineStr">
        <is>
          <t>SANTA CRUZ</t>
        </is>
      </c>
      <c r="E561" t="n">
        <v>1156</v>
      </c>
      <c r="F561" s="14" t="n">
        <v>0</v>
      </c>
      <c r="G561" s="14" t="n">
        <v>87.45999999999999</v>
      </c>
      <c r="H561" s="14" t="n">
        <v>0.09</v>
      </c>
      <c r="I561" s="14" t="n">
        <v>0.6899999999999999</v>
      </c>
      <c r="J561" s="14" t="n">
        <v>0</v>
      </c>
      <c r="K561" s="14" t="n">
        <v>0</v>
      </c>
      <c r="L561" s="14" t="n">
        <v>0.43</v>
      </c>
      <c r="M561" s="14" t="n">
        <v>3.46</v>
      </c>
      <c r="N561" s="14" t="n">
        <v>0.35</v>
      </c>
      <c r="O561" s="14" t="n">
        <v>1.04</v>
      </c>
      <c r="P561" s="14" t="n">
        <v>0.26</v>
      </c>
      <c r="Q561" s="14" t="n">
        <v>0</v>
      </c>
      <c r="R561" s="14" t="n">
        <v>0</v>
      </c>
      <c r="S561" s="14" t="n">
        <v>0.52</v>
      </c>
      <c r="T561" s="14" t="n">
        <v>0</v>
      </c>
      <c r="U561" s="14" t="n">
        <v>1.56</v>
      </c>
      <c r="V561" s="14" t="n">
        <v>2.68</v>
      </c>
      <c r="W561" s="14" t="n">
        <v>0.95</v>
      </c>
      <c r="X561" s="14" t="n">
        <v>0</v>
      </c>
      <c r="Y561" s="14" t="n">
        <v>0.35</v>
      </c>
      <c r="Z561" s="14" t="n">
        <v>0.17</v>
      </c>
      <c r="AA561" s="14" t="n">
        <v>0</v>
      </c>
    </row>
    <row r="562">
      <c r="A562" t="inlineStr">
        <is>
          <t>160211</t>
        </is>
      </c>
      <c r="B562" t="inlineStr">
        <is>
          <t>LORETO</t>
        </is>
      </c>
      <c r="C562" t="inlineStr">
        <is>
          <t>ALTO AMAZONAS</t>
        </is>
      </c>
      <c r="D562" t="inlineStr">
        <is>
          <t>TENIENTE CESAR LOPEZ ROJAS</t>
        </is>
      </c>
      <c r="E562" t="n">
        <v>1979</v>
      </c>
      <c r="F562" s="14" t="n">
        <v>0</v>
      </c>
      <c r="G562" s="14" t="n">
        <v>86.41</v>
      </c>
      <c r="H562" s="14" t="n">
        <v>0</v>
      </c>
      <c r="I562" s="14" t="n">
        <v>0.96</v>
      </c>
      <c r="J562" s="14" t="n">
        <v>0</v>
      </c>
      <c r="K562" s="14" t="n">
        <v>0</v>
      </c>
      <c r="L562" s="14" t="n">
        <v>0.3</v>
      </c>
      <c r="M562" s="14" t="n">
        <v>4.6</v>
      </c>
      <c r="N562" s="14" t="n">
        <v>0.61</v>
      </c>
      <c r="O562" s="14" t="n">
        <v>1.11</v>
      </c>
      <c r="P562" s="14" t="n">
        <v>0.05</v>
      </c>
      <c r="Q562" s="14" t="n">
        <v>0</v>
      </c>
      <c r="R562" s="14" t="n">
        <v>0</v>
      </c>
      <c r="S562" s="14" t="n">
        <v>0.45</v>
      </c>
      <c r="T562" s="14" t="n">
        <v>0.66</v>
      </c>
      <c r="U562" s="14" t="n">
        <v>1.11</v>
      </c>
      <c r="V562" s="14" t="n">
        <v>1.11</v>
      </c>
      <c r="W562" s="14" t="n">
        <v>1.16</v>
      </c>
      <c r="X562" s="14" t="n">
        <v>0</v>
      </c>
      <c r="Y562" s="14" t="n">
        <v>1.01</v>
      </c>
      <c r="Z562" s="14" t="n">
        <v>0.45</v>
      </c>
      <c r="AA562" s="14" t="n">
        <v>0</v>
      </c>
    </row>
    <row r="563">
      <c r="A563" t="inlineStr">
        <is>
          <t>160301</t>
        </is>
      </c>
      <c r="B563" t="inlineStr">
        <is>
          <t>LORETO</t>
        </is>
      </c>
      <c r="C563" t="inlineStr">
        <is>
          <t>LORETO</t>
        </is>
      </c>
      <c r="D563" t="inlineStr"/>
      <c r="E563" t="n">
        <v>0</v>
      </c>
      <c r="F563" s="14" t="n">
        <v>0</v>
      </c>
      <c r="G563" s="14" t="n">
        <v>67.87</v>
      </c>
      <c r="H563" s="14" t="n">
        <v>0.1</v>
      </c>
      <c r="I563" s="14" t="n">
        <v>2.02</v>
      </c>
      <c r="J563" s="14" t="n">
        <v>0.05</v>
      </c>
      <c r="K563" s="14" t="n">
        <v>0.05</v>
      </c>
      <c r="L563" s="14" t="n">
        <v>4.86</v>
      </c>
      <c r="M563" s="14" t="n">
        <v>6.69</v>
      </c>
      <c r="N563" s="14" t="n">
        <v>0.95</v>
      </c>
      <c r="O563" s="14" t="n">
        <v>3.68</v>
      </c>
      <c r="P563" s="14" t="n">
        <v>0.05</v>
      </c>
      <c r="Q563" s="14" t="n">
        <v>0</v>
      </c>
      <c r="R563" s="14" t="n">
        <v>0</v>
      </c>
      <c r="S563" s="14" t="n">
        <v>1.11</v>
      </c>
      <c r="T563" s="14" t="n">
        <v>0.8</v>
      </c>
      <c r="U563" s="14" t="n">
        <v>2.45</v>
      </c>
      <c r="V563" s="14" t="n">
        <v>6.23</v>
      </c>
      <c r="W563" s="14" t="n">
        <v>0.93</v>
      </c>
      <c r="X563" s="14" t="n">
        <v>0.05</v>
      </c>
      <c r="Y563" s="14" t="n">
        <v>1.65</v>
      </c>
      <c r="Z563" s="14" t="n">
        <v>0.45</v>
      </c>
      <c r="AA563" s="14" t="n">
        <v>0</v>
      </c>
    </row>
    <row r="564">
      <c r="A564" t="inlineStr">
        <is>
          <t>160302</t>
        </is>
      </c>
      <c r="B564" t="inlineStr">
        <is>
          <t>LORETO</t>
        </is>
      </c>
      <c r="C564" t="inlineStr">
        <is>
          <t>LORETO</t>
        </is>
      </c>
      <c r="D564" t="inlineStr">
        <is>
          <t>PARINARI</t>
        </is>
      </c>
      <c r="E564" t="n">
        <v>1818</v>
      </c>
      <c r="F564" s="14" t="n">
        <v>0</v>
      </c>
      <c r="G564" s="14" t="n">
        <v>74.31</v>
      </c>
      <c r="H564" s="14" t="n">
        <v>0.06</v>
      </c>
      <c r="I564" s="14" t="n">
        <v>1.82</v>
      </c>
      <c r="J564" s="14" t="n">
        <v>0.06</v>
      </c>
      <c r="K564" s="14" t="n">
        <v>0.06</v>
      </c>
      <c r="L564" s="14" t="n">
        <v>0.99</v>
      </c>
      <c r="M564" s="14" t="n">
        <v>5.23</v>
      </c>
      <c r="N564" s="14" t="n">
        <v>1.05</v>
      </c>
      <c r="O564" s="14" t="n">
        <v>1.54</v>
      </c>
      <c r="P564" s="14" t="n">
        <v>0</v>
      </c>
      <c r="Q564" s="14" t="n">
        <v>0</v>
      </c>
      <c r="R564" s="14" t="n">
        <v>0</v>
      </c>
      <c r="S564" s="14" t="n">
        <v>1.21</v>
      </c>
      <c r="T564" s="14" t="n">
        <v>0.88</v>
      </c>
      <c r="U564" s="14" t="n">
        <v>2.75</v>
      </c>
      <c r="V564" s="14" t="n">
        <v>6.82</v>
      </c>
      <c r="W564" s="14" t="n">
        <v>1.87</v>
      </c>
      <c r="X564" s="14" t="n">
        <v>0.11</v>
      </c>
      <c r="Y564" s="14" t="n">
        <v>1.05</v>
      </c>
      <c r="Z564" s="14" t="n">
        <v>0.22</v>
      </c>
      <c r="AA564" s="14" t="n">
        <v>0</v>
      </c>
    </row>
    <row r="565">
      <c r="A565" t="inlineStr">
        <is>
          <t>160303</t>
        </is>
      </c>
      <c r="B565" t="inlineStr">
        <is>
          <t>LORETO</t>
        </is>
      </c>
      <c r="C565" t="inlineStr">
        <is>
          <t>LORETO</t>
        </is>
      </c>
      <c r="D565" t="inlineStr">
        <is>
          <t>TIGRE</t>
        </is>
      </c>
      <c r="E565" t="n">
        <v>1672</v>
      </c>
      <c r="F565" s="14" t="n">
        <v>0</v>
      </c>
      <c r="G565" s="14" t="n">
        <v>74.58</v>
      </c>
      <c r="H565" s="14" t="n">
        <v>0</v>
      </c>
      <c r="I565" s="14" t="n">
        <v>2.21</v>
      </c>
      <c r="J565" s="14" t="n">
        <v>0</v>
      </c>
      <c r="K565" s="14" t="n">
        <v>0.06</v>
      </c>
      <c r="L565" s="14" t="n">
        <v>3.47</v>
      </c>
      <c r="M565" s="14" t="n">
        <v>3.77</v>
      </c>
      <c r="N565" s="14" t="n">
        <v>0.54</v>
      </c>
      <c r="O565" s="14" t="n">
        <v>1.5</v>
      </c>
      <c r="P565" s="14" t="n">
        <v>0.06</v>
      </c>
      <c r="Q565" s="14" t="n">
        <v>0</v>
      </c>
      <c r="R565" s="14" t="n">
        <v>0</v>
      </c>
      <c r="S565" s="14" t="n">
        <v>0.84</v>
      </c>
      <c r="T565" s="14" t="n">
        <v>0.78</v>
      </c>
      <c r="U565" s="14" t="n">
        <v>1.44</v>
      </c>
      <c r="V565" s="14" t="n">
        <v>7.06</v>
      </c>
      <c r="W565" s="14" t="n">
        <v>1.02</v>
      </c>
      <c r="X565" s="14" t="n">
        <v>0</v>
      </c>
      <c r="Y565" s="14" t="n">
        <v>2.09</v>
      </c>
      <c r="Z565" s="14" t="n">
        <v>0.6</v>
      </c>
      <c r="AA565" s="14" t="n">
        <v>0</v>
      </c>
    </row>
    <row r="566">
      <c r="A566" t="inlineStr">
        <is>
          <t>160304</t>
        </is>
      </c>
      <c r="B566" t="inlineStr">
        <is>
          <t>LORETO</t>
        </is>
      </c>
      <c r="C566" t="inlineStr">
        <is>
          <t>LORETO</t>
        </is>
      </c>
      <c r="D566" t="inlineStr">
        <is>
          <t>TROMPETEROS</t>
        </is>
      </c>
      <c r="E566" t="n">
        <v>2049</v>
      </c>
      <c r="F566" s="14" t="n">
        <v>0.195</v>
      </c>
      <c r="G566" s="14" t="n">
        <v>54.81</v>
      </c>
      <c r="H566" s="14" t="n">
        <v>2.29</v>
      </c>
      <c r="I566" s="14" t="n">
        <v>4.1</v>
      </c>
      <c r="J566" s="14" t="n">
        <v>0.2</v>
      </c>
      <c r="K566" s="14" t="n">
        <v>0.98</v>
      </c>
      <c r="L566" s="14" t="n">
        <v>5.32</v>
      </c>
      <c r="M566" s="14" t="n">
        <v>9.220000000000001</v>
      </c>
      <c r="N566" s="14" t="n">
        <v>2.44</v>
      </c>
      <c r="O566" s="14" t="n">
        <v>4.15</v>
      </c>
      <c r="P566" s="14" t="n">
        <v>0.59</v>
      </c>
      <c r="Q566" s="14" t="n">
        <v>0.1</v>
      </c>
      <c r="R566" s="14" t="n">
        <v>0</v>
      </c>
      <c r="S566" s="14" t="n">
        <v>2.54</v>
      </c>
      <c r="T566" s="14" t="n">
        <v>4.39</v>
      </c>
      <c r="U566" s="14" t="n">
        <v>1.32</v>
      </c>
      <c r="V566" s="14" t="n">
        <v>4.39</v>
      </c>
      <c r="W566" s="14" t="n">
        <v>0.88</v>
      </c>
      <c r="X566" s="14" t="n">
        <v>0</v>
      </c>
      <c r="Y566" s="14" t="n">
        <v>1.81</v>
      </c>
      <c r="Z566" s="14" t="n">
        <v>0.49</v>
      </c>
      <c r="AA566" s="14" t="n">
        <v>0</v>
      </c>
    </row>
    <row r="567">
      <c r="A567" t="inlineStr">
        <is>
          <t>160305</t>
        </is>
      </c>
      <c r="B567" t="inlineStr">
        <is>
          <t>LORETO</t>
        </is>
      </c>
      <c r="C567" t="inlineStr">
        <is>
          <t>LORETO</t>
        </is>
      </c>
      <c r="D567" t="inlineStr">
        <is>
          <t>URARINAS</t>
        </is>
      </c>
      <c r="E567" t="n">
        <v>1788</v>
      </c>
      <c r="F567" s="14" t="n">
        <v>0</v>
      </c>
      <c r="G567" s="14" t="n">
        <v>67.95</v>
      </c>
      <c r="H567" s="14" t="n">
        <v>0.11</v>
      </c>
      <c r="I567" s="14" t="n">
        <v>1.57</v>
      </c>
      <c r="J567" s="14" t="n">
        <v>0</v>
      </c>
      <c r="K567" s="14" t="n">
        <v>0.06</v>
      </c>
      <c r="L567" s="14" t="n">
        <v>6.54</v>
      </c>
      <c r="M567" s="14" t="n">
        <v>7.33</v>
      </c>
      <c r="N567" s="14" t="n">
        <v>0.67</v>
      </c>
      <c r="O567" s="14" t="n">
        <v>4.03</v>
      </c>
      <c r="P567" s="14" t="n">
        <v>0.06</v>
      </c>
      <c r="Q567" s="14" t="n">
        <v>0</v>
      </c>
      <c r="R567" s="14" t="n">
        <v>0</v>
      </c>
      <c r="S567" s="14" t="n">
        <v>0.39</v>
      </c>
      <c r="T567" s="14" t="n">
        <v>0.78</v>
      </c>
      <c r="U567" s="14" t="n">
        <v>2.68</v>
      </c>
      <c r="V567" s="14" t="n">
        <v>5.59</v>
      </c>
      <c r="W567" s="14" t="n">
        <v>0.89</v>
      </c>
      <c r="X567" s="14" t="n">
        <v>0.06</v>
      </c>
      <c r="Y567" s="14" t="n">
        <v>0.84</v>
      </c>
      <c r="Z567" s="14" t="n">
        <v>0.45</v>
      </c>
      <c r="AA567" s="14" t="n">
        <v>0</v>
      </c>
    </row>
    <row r="568">
      <c r="A568" t="inlineStr">
        <is>
          <t>160401</t>
        </is>
      </c>
      <c r="B568" t="inlineStr">
        <is>
          <t>LORETO</t>
        </is>
      </c>
      <c r="C568" t="inlineStr">
        <is>
          <t>MARISCAL RAMON CASTILLA</t>
        </is>
      </c>
      <c r="D568" t="inlineStr">
        <is>
          <t>RAMON CASTILLA</t>
        </is>
      </c>
      <c r="E568" t="n">
        <v>5706</v>
      </c>
      <c r="F568" s="14" t="n">
        <v>0</v>
      </c>
      <c r="G568" s="14" t="n">
        <v>54.33</v>
      </c>
      <c r="H568" s="14" t="n">
        <v>0.04</v>
      </c>
      <c r="I568" s="14" t="n">
        <v>3.38</v>
      </c>
      <c r="J568" s="14" t="n">
        <v>0.14</v>
      </c>
      <c r="K568" s="14" t="n">
        <v>0</v>
      </c>
      <c r="L568" s="14" t="n">
        <v>2.3</v>
      </c>
      <c r="M568" s="14" t="n">
        <v>11.76</v>
      </c>
      <c r="N568" s="14" t="n">
        <v>4.26</v>
      </c>
      <c r="O568" s="14" t="n">
        <v>4.91</v>
      </c>
      <c r="P568" s="14" t="n">
        <v>0.14</v>
      </c>
      <c r="Q568" s="14" t="n">
        <v>0.19</v>
      </c>
      <c r="R568" s="14" t="n">
        <v>0.04</v>
      </c>
      <c r="S568" s="14" t="n">
        <v>1.77</v>
      </c>
      <c r="T568" s="14" t="n">
        <v>1.14</v>
      </c>
      <c r="U568" s="14" t="n">
        <v>4.31</v>
      </c>
      <c r="V568" s="14" t="n">
        <v>7.12</v>
      </c>
      <c r="W568" s="14" t="n">
        <v>0.86</v>
      </c>
      <c r="X568" s="14" t="n">
        <v>0.16</v>
      </c>
      <c r="Y568" s="14" t="n">
        <v>2.02</v>
      </c>
      <c r="Z568" s="14" t="n">
        <v>1.16</v>
      </c>
      <c r="AA568" s="14" t="n">
        <v>0</v>
      </c>
    </row>
    <row r="569">
      <c r="A569" t="inlineStr">
        <is>
          <t>160402</t>
        </is>
      </c>
      <c r="B569" t="inlineStr">
        <is>
          <t>LORETO</t>
        </is>
      </c>
      <c r="C569" t="inlineStr">
        <is>
          <t>MARISCAL RAMON CASTILLA</t>
        </is>
      </c>
      <c r="D569" t="inlineStr">
        <is>
          <t>PEBAS</t>
        </is>
      </c>
      <c r="E569" t="n">
        <v>3418</v>
      </c>
      <c r="F569" s="14" t="n">
        <v>0</v>
      </c>
      <c r="G569" s="14" t="n">
        <v>69.59999999999999</v>
      </c>
      <c r="H569" s="14" t="n">
        <v>0.03</v>
      </c>
      <c r="I569" s="14" t="n">
        <v>2.66</v>
      </c>
      <c r="J569" s="14" t="n">
        <v>0.03</v>
      </c>
      <c r="K569" s="14" t="n">
        <v>0</v>
      </c>
      <c r="L569" s="14" t="n">
        <v>1.52</v>
      </c>
      <c r="M569" s="14" t="n">
        <v>8.460000000000001</v>
      </c>
      <c r="N569" s="14" t="n">
        <v>1.46</v>
      </c>
      <c r="O569" s="14" t="n">
        <v>2.98</v>
      </c>
      <c r="P569" s="14" t="n">
        <v>0.03</v>
      </c>
      <c r="Q569" s="14" t="n">
        <v>0.06</v>
      </c>
      <c r="R569" s="14" t="n">
        <v>0</v>
      </c>
      <c r="S569" s="14" t="n">
        <v>1.4</v>
      </c>
      <c r="T569" s="14" t="n">
        <v>0.35</v>
      </c>
      <c r="U569" s="14" t="n">
        <v>3.25</v>
      </c>
      <c r="V569" s="14" t="n">
        <v>5.88</v>
      </c>
      <c r="W569" s="14" t="n">
        <v>1.17</v>
      </c>
      <c r="X569" s="14" t="n">
        <v>0.06</v>
      </c>
      <c r="Y569" s="14" t="n">
        <v>0.7</v>
      </c>
      <c r="Z569" s="14" t="n">
        <v>0.35</v>
      </c>
      <c r="AA569" s="14" t="n">
        <v>0</v>
      </c>
    </row>
    <row r="570">
      <c r="A570" t="inlineStr">
        <is>
          <t>160403</t>
        </is>
      </c>
      <c r="B570" t="inlineStr">
        <is>
          <t>LORETO</t>
        </is>
      </c>
      <c r="C570" t="inlineStr">
        <is>
          <t>MARISCAL RAMON CASTILLA</t>
        </is>
      </c>
      <c r="D570" t="inlineStr">
        <is>
          <t>YAVARI</t>
        </is>
      </c>
      <c r="E570" t="n">
        <v>2698</v>
      </c>
      <c r="F570" s="14" t="n">
        <v>0</v>
      </c>
      <c r="G570" s="14" t="n">
        <v>65.01000000000001</v>
      </c>
      <c r="H570" s="14" t="n">
        <v>0</v>
      </c>
      <c r="I570" s="14" t="n">
        <v>3.97</v>
      </c>
      <c r="J570" s="14" t="n">
        <v>0.04</v>
      </c>
      <c r="K570" s="14" t="n">
        <v>0.04</v>
      </c>
      <c r="L570" s="14" t="n">
        <v>3.82</v>
      </c>
      <c r="M570" s="14" t="n">
        <v>9.970000000000001</v>
      </c>
      <c r="N570" s="14" t="n">
        <v>3.56</v>
      </c>
      <c r="O570" s="14" t="n">
        <v>3.6</v>
      </c>
      <c r="P570" s="14" t="n">
        <v>0.07000000000000001</v>
      </c>
      <c r="Q570" s="14" t="n">
        <v>0</v>
      </c>
      <c r="R570" s="14" t="n">
        <v>0</v>
      </c>
      <c r="S570" s="14" t="n">
        <v>0.85</v>
      </c>
      <c r="T570" s="14" t="n">
        <v>1.04</v>
      </c>
      <c r="U570" s="14" t="n">
        <v>1.93</v>
      </c>
      <c r="V570" s="14" t="n">
        <v>3</v>
      </c>
      <c r="W570" s="14" t="n">
        <v>0.89</v>
      </c>
      <c r="X570" s="14" t="n">
        <v>0.04</v>
      </c>
      <c r="Y570" s="14" t="n">
        <v>1.37</v>
      </c>
      <c r="Z570" s="14" t="n">
        <v>0.82</v>
      </c>
      <c r="AA570" s="14" t="n">
        <v>0</v>
      </c>
    </row>
    <row r="571">
      <c r="A571" t="inlineStr">
        <is>
          <t>160404</t>
        </is>
      </c>
      <c r="B571" t="inlineStr">
        <is>
          <t>LORETO</t>
        </is>
      </c>
      <c r="C571" t="inlineStr">
        <is>
          <t>MARISCAL RAMON CASTILLA</t>
        </is>
      </c>
      <c r="D571" t="inlineStr">
        <is>
          <t>SAN PABLO</t>
        </is>
      </c>
      <c r="E571" t="n">
        <v>3487</v>
      </c>
      <c r="F571" s="14" t="n">
        <v>0</v>
      </c>
      <c r="G571" s="14" t="n">
        <v>80.7</v>
      </c>
      <c r="H571" s="14" t="n">
        <v>0.06</v>
      </c>
      <c r="I571" s="14" t="n">
        <v>1.23</v>
      </c>
      <c r="J571" s="14" t="n">
        <v>0</v>
      </c>
      <c r="K571" s="14" t="n">
        <v>0.03</v>
      </c>
      <c r="L571" s="14" t="n">
        <v>1.32</v>
      </c>
      <c r="M571" s="14" t="n">
        <v>5.53</v>
      </c>
      <c r="N571" s="14" t="n">
        <v>0.63</v>
      </c>
      <c r="O571" s="14" t="n">
        <v>2.21</v>
      </c>
      <c r="P571" s="14" t="n">
        <v>0.03</v>
      </c>
      <c r="Q571" s="14" t="n">
        <v>0.06</v>
      </c>
      <c r="R571" s="14" t="n">
        <v>0</v>
      </c>
      <c r="S571" s="14" t="n">
        <v>0.92</v>
      </c>
      <c r="T571" s="14" t="n">
        <v>0.26</v>
      </c>
      <c r="U571" s="14" t="n">
        <v>0.89</v>
      </c>
      <c r="V571" s="14" t="n">
        <v>4.36</v>
      </c>
      <c r="W571" s="14" t="n">
        <v>0.86</v>
      </c>
      <c r="X571" s="14" t="n">
        <v>0.03</v>
      </c>
      <c r="Y571" s="14" t="n">
        <v>0.57</v>
      </c>
      <c r="Z571" s="14" t="n">
        <v>0.32</v>
      </c>
      <c r="AA571" s="14" t="n">
        <v>0</v>
      </c>
    </row>
    <row r="572">
      <c r="A572" t="inlineStr">
        <is>
          <t>160501</t>
        </is>
      </c>
      <c r="B572" t="inlineStr">
        <is>
          <t>LORETO</t>
        </is>
      </c>
      <c r="C572" t="inlineStr">
        <is>
          <t>REQUENA</t>
        </is>
      </c>
      <c r="D572" t="inlineStr">
        <is>
          <t>REQUENA</t>
        </is>
      </c>
      <c r="E572" t="n">
        <v>7314</v>
      </c>
      <c r="F572" s="14" t="n">
        <v>0</v>
      </c>
      <c r="G572" s="14" t="n">
        <v>34.26</v>
      </c>
      <c r="H572" s="14" t="n">
        <v>0.03</v>
      </c>
      <c r="I572" s="14" t="n">
        <v>3.55</v>
      </c>
      <c r="J572" s="14" t="n">
        <v>0.08</v>
      </c>
      <c r="K572" s="14" t="n">
        <v>0.14</v>
      </c>
      <c r="L572" s="14" t="n">
        <v>2.97</v>
      </c>
      <c r="M572" s="14" t="n">
        <v>18.83</v>
      </c>
      <c r="N572" s="14" t="n">
        <v>7.52</v>
      </c>
      <c r="O572" s="14" t="n">
        <v>5.88</v>
      </c>
      <c r="P572" s="14" t="n">
        <v>0.23</v>
      </c>
      <c r="Q572" s="14" t="n">
        <v>0.26</v>
      </c>
      <c r="R572" s="14" t="n">
        <v>0</v>
      </c>
      <c r="S572" s="14" t="n">
        <v>2.19</v>
      </c>
      <c r="T572" s="14" t="n">
        <v>1.26</v>
      </c>
      <c r="U572" s="14" t="n">
        <v>3.16</v>
      </c>
      <c r="V572" s="14" t="n">
        <v>14.22</v>
      </c>
      <c r="W572" s="14" t="n">
        <v>1.24</v>
      </c>
      <c r="X572" s="14" t="n">
        <v>0.34</v>
      </c>
      <c r="Y572" s="14" t="n">
        <v>2.82</v>
      </c>
      <c r="Z572" s="14" t="n">
        <v>1.03</v>
      </c>
      <c r="AA572" s="14" t="n">
        <v>0</v>
      </c>
    </row>
    <row r="573">
      <c r="A573" t="inlineStr">
        <is>
          <t>160502</t>
        </is>
      </c>
      <c r="B573" t="inlineStr">
        <is>
          <t>LORETO</t>
        </is>
      </c>
      <c r="C573" t="inlineStr">
        <is>
          <t>REQUENA</t>
        </is>
      </c>
      <c r="D573" t="inlineStr">
        <is>
          <t>ALTO TAPICHE</t>
        </is>
      </c>
      <c r="E573" t="n">
        <v>415</v>
      </c>
      <c r="F573" s="14" t="n">
        <v>0</v>
      </c>
      <c r="G573" s="14" t="n">
        <v>79.52</v>
      </c>
      <c r="H573" s="14" t="n">
        <v>0</v>
      </c>
      <c r="I573" s="14" t="n">
        <v>2.41</v>
      </c>
      <c r="J573" s="14" t="n">
        <v>0</v>
      </c>
      <c r="K573" s="14" t="n">
        <v>0</v>
      </c>
      <c r="L573" s="14" t="n">
        <v>0.96</v>
      </c>
      <c r="M573" s="14" t="n">
        <v>4.1</v>
      </c>
      <c r="N573" s="14" t="n">
        <v>0</v>
      </c>
      <c r="O573" s="14" t="n">
        <v>0.72</v>
      </c>
      <c r="P573" s="14" t="n">
        <v>0.24</v>
      </c>
      <c r="Q573" s="14" t="n">
        <v>0</v>
      </c>
      <c r="R573" s="14" t="n">
        <v>0</v>
      </c>
      <c r="S573" s="14" t="n">
        <v>0.72</v>
      </c>
      <c r="T573" s="14" t="n">
        <v>0.48</v>
      </c>
      <c r="U573" s="14" t="n">
        <v>1.69</v>
      </c>
      <c r="V573" s="14" t="n">
        <v>6.27</v>
      </c>
      <c r="W573" s="14" t="n">
        <v>1.69</v>
      </c>
      <c r="X573" s="14" t="n">
        <v>0</v>
      </c>
      <c r="Y573" s="14" t="n">
        <v>0.96</v>
      </c>
      <c r="Z573" s="14" t="n">
        <v>0.24</v>
      </c>
      <c r="AA573" s="14" t="n">
        <v>0</v>
      </c>
    </row>
    <row r="574">
      <c r="A574" t="inlineStr">
        <is>
          <t>160503</t>
        </is>
      </c>
      <c r="B574" t="inlineStr">
        <is>
          <t>LORETO</t>
        </is>
      </c>
      <c r="C574" t="inlineStr">
        <is>
          <t>REQUENA</t>
        </is>
      </c>
      <c r="D574" t="inlineStr">
        <is>
          <t>CAPELO</t>
        </is>
      </c>
      <c r="E574" t="n">
        <v>831</v>
      </c>
      <c r="F574" s="14" t="n">
        <v>0</v>
      </c>
      <c r="G574" s="14" t="n">
        <v>77.14</v>
      </c>
      <c r="H574" s="14" t="n">
        <v>0.12</v>
      </c>
      <c r="I574" s="14" t="n">
        <v>1.44</v>
      </c>
      <c r="J574" s="14" t="n">
        <v>0</v>
      </c>
      <c r="K574" s="14" t="n">
        <v>0.12</v>
      </c>
      <c r="L574" s="14" t="n">
        <v>1.08</v>
      </c>
      <c r="M574" s="14" t="n">
        <v>10.11</v>
      </c>
      <c r="N574" s="14" t="n">
        <v>0.12</v>
      </c>
      <c r="O574" s="14" t="n">
        <v>2.17</v>
      </c>
      <c r="P574" s="14" t="n">
        <v>0</v>
      </c>
      <c r="Q574" s="14" t="n">
        <v>0</v>
      </c>
      <c r="R574" s="14" t="n">
        <v>0</v>
      </c>
      <c r="S574" s="14" t="n">
        <v>0.96</v>
      </c>
      <c r="T574" s="14" t="n">
        <v>0.6</v>
      </c>
      <c r="U574" s="14" t="n">
        <v>0.36</v>
      </c>
      <c r="V574" s="14" t="n">
        <v>3.25</v>
      </c>
      <c r="W574" s="14" t="n">
        <v>0.84</v>
      </c>
      <c r="X574" s="14" t="n">
        <v>0.12</v>
      </c>
      <c r="Y574" s="14" t="n">
        <v>1.2</v>
      </c>
      <c r="Z574" s="14" t="n">
        <v>0.36</v>
      </c>
      <c r="AA574" s="14" t="n">
        <v>0</v>
      </c>
    </row>
    <row r="575">
      <c r="A575" t="inlineStr">
        <is>
          <t>160504</t>
        </is>
      </c>
      <c r="B575" t="inlineStr">
        <is>
          <t>LORETO</t>
        </is>
      </c>
      <c r="C575" t="inlineStr">
        <is>
          <t>REQUENA</t>
        </is>
      </c>
      <c r="D575" t="inlineStr">
        <is>
          <t>EMILIO SAN MARTIN</t>
        </is>
      </c>
      <c r="E575" t="n">
        <v>1476</v>
      </c>
      <c r="F575" s="14" t="n">
        <v>0</v>
      </c>
      <c r="G575" s="14" t="n">
        <v>81.5</v>
      </c>
      <c r="H575" s="14" t="n">
        <v>0.07000000000000001</v>
      </c>
      <c r="I575" s="14" t="n">
        <v>0.75</v>
      </c>
      <c r="J575" s="14" t="n">
        <v>0</v>
      </c>
      <c r="K575" s="14" t="n">
        <v>0</v>
      </c>
      <c r="L575" s="14" t="n">
        <v>0.27</v>
      </c>
      <c r="M575" s="14" t="n">
        <v>4.74</v>
      </c>
      <c r="N575" s="14" t="n">
        <v>0.88</v>
      </c>
      <c r="O575" s="14" t="n">
        <v>1.76</v>
      </c>
      <c r="P575" s="14" t="n">
        <v>0</v>
      </c>
      <c r="Q575" s="14" t="n">
        <v>0.07000000000000001</v>
      </c>
      <c r="R575" s="14" t="n">
        <v>0</v>
      </c>
      <c r="S575" s="14" t="n">
        <v>0.61</v>
      </c>
      <c r="T575" s="14" t="n">
        <v>0.2</v>
      </c>
      <c r="U575" s="14" t="n">
        <v>0.88</v>
      </c>
      <c r="V575" s="14" t="n">
        <v>6.1</v>
      </c>
      <c r="W575" s="14" t="n">
        <v>0.27</v>
      </c>
      <c r="X575" s="14" t="n">
        <v>0</v>
      </c>
      <c r="Y575" s="14" t="n">
        <v>1.36</v>
      </c>
      <c r="Z575" s="14" t="n">
        <v>0.54</v>
      </c>
      <c r="AA575" s="14" t="n">
        <v>0</v>
      </c>
    </row>
    <row r="576">
      <c r="A576" t="inlineStr">
        <is>
          <t>160505</t>
        </is>
      </c>
      <c r="B576" t="inlineStr">
        <is>
          <t>LORETO</t>
        </is>
      </c>
      <c r="C576" t="inlineStr">
        <is>
          <t>REQUENA</t>
        </is>
      </c>
      <c r="D576" t="inlineStr">
        <is>
          <t>MAQUIA</t>
        </is>
      </c>
      <c r="E576" t="n">
        <v>2093</v>
      </c>
      <c r="F576" s="14" t="n">
        <v>0</v>
      </c>
      <c r="G576" s="14" t="n">
        <v>84.81</v>
      </c>
      <c r="H576" s="14" t="n">
        <v>0.05</v>
      </c>
      <c r="I576" s="14" t="n">
        <v>1.24</v>
      </c>
      <c r="J576" s="14" t="n">
        <v>0</v>
      </c>
      <c r="K576" s="14" t="n">
        <v>0</v>
      </c>
      <c r="L576" s="14" t="n">
        <v>0.86</v>
      </c>
      <c r="M576" s="14" t="n">
        <v>4.25</v>
      </c>
      <c r="N576" s="14" t="n">
        <v>0.48</v>
      </c>
      <c r="O576" s="14" t="n">
        <v>1.48</v>
      </c>
      <c r="P576" s="14" t="n">
        <v>0.05</v>
      </c>
      <c r="Q576" s="14" t="n">
        <v>0</v>
      </c>
      <c r="R576" s="14" t="n">
        <v>0</v>
      </c>
      <c r="S576" s="14" t="n">
        <v>0.19</v>
      </c>
      <c r="T576" s="14" t="n">
        <v>0.14</v>
      </c>
      <c r="U576" s="14" t="n">
        <v>0.67</v>
      </c>
      <c r="V576" s="14" t="n">
        <v>4.3</v>
      </c>
      <c r="W576" s="14" t="n">
        <v>0.67</v>
      </c>
      <c r="X576" s="14" t="n">
        <v>0</v>
      </c>
      <c r="Y576" s="14" t="n">
        <v>0.57</v>
      </c>
      <c r="Z576" s="14" t="n">
        <v>0.24</v>
      </c>
      <c r="AA576" s="14" t="n">
        <v>0</v>
      </c>
    </row>
    <row r="577">
      <c r="A577" t="inlineStr">
        <is>
          <t>160506</t>
        </is>
      </c>
      <c r="B577" t="inlineStr">
        <is>
          <t>LORETO</t>
        </is>
      </c>
      <c r="C577" t="inlineStr">
        <is>
          <t>REQUENA</t>
        </is>
      </c>
      <c r="D577" t="inlineStr">
        <is>
          <t>PUINAHUA</t>
        </is>
      </c>
      <c r="E577" t="n">
        <v>1070</v>
      </c>
      <c r="F577" s="14" t="n">
        <v>0</v>
      </c>
      <c r="G577" s="14" t="n">
        <v>76.17</v>
      </c>
      <c r="H577" s="14" t="n">
        <v>0</v>
      </c>
      <c r="I577" s="14" t="n">
        <v>1.68</v>
      </c>
      <c r="J577" s="14" t="n">
        <v>0</v>
      </c>
      <c r="K577" s="14" t="n">
        <v>0</v>
      </c>
      <c r="L577" s="14" t="n">
        <v>1.87</v>
      </c>
      <c r="M577" s="14" t="n">
        <v>7.29</v>
      </c>
      <c r="N577" s="14" t="n">
        <v>1.21</v>
      </c>
      <c r="O577" s="14" t="n">
        <v>2.06</v>
      </c>
      <c r="P577" s="14" t="n">
        <v>0</v>
      </c>
      <c r="Q577" s="14" t="n">
        <v>0</v>
      </c>
      <c r="R577" s="14" t="n">
        <v>0</v>
      </c>
      <c r="S577" s="14" t="n">
        <v>0.65</v>
      </c>
      <c r="T577" s="14" t="n">
        <v>0.65</v>
      </c>
      <c r="U577" s="14" t="n">
        <v>1.03</v>
      </c>
      <c r="V577" s="14" t="n">
        <v>4.58</v>
      </c>
      <c r="W577" s="14" t="n">
        <v>0.84</v>
      </c>
      <c r="X577" s="14" t="n">
        <v>0.19</v>
      </c>
      <c r="Y577" s="14" t="n">
        <v>1.21</v>
      </c>
      <c r="Z577" s="14" t="n">
        <v>0.5600000000000001</v>
      </c>
      <c r="AA577" s="14" t="n">
        <v>0</v>
      </c>
    </row>
    <row r="578">
      <c r="A578" t="inlineStr">
        <is>
          <t>160507</t>
        </is>
      </c>
      <c r="B578" t="inlineStr">
        <is>
          <t>LORETO</t>
        </is>
      </c>
      <c r="C578" t="inlineStr">
        <is>
          <t>REQUENA</t>
        </is>
      </c>
      <c r="D578" t="inlineStr">
        <is>
          <t>SAQUENA</t>
        </is>
      </c>
      <c r="E578" t="n">
        <v>949</v>
      </c>
      <c r="F578" s="14" t="n">
        <v>0</v>
      </c>
      <c r="G578" s="14" t="n">
        <v>72.39</v>
      </c>
      <c r="H578" s="14" t="n">
        <v>0</v>
      </c>
      <c r="I578" s="14" t="n">
        <v>2</v>
      </c>
      <c r="J578" s="14" t="n">
        <v>0</v>
      </c>
      <c r="K578" s="14" t="n">
        <v>0</v>
      </c>
      <c r="L578" s="14" t="n">
        <v>4.21</v>
      </c>
      <c r="M578" s="14" t="n">
        <v>7.8</v>
      </c>
      <c r="N578" s="14" t="n">
        <v>0.32</v>
      </c>
      <c r="O578" s="14" t="n">
        <v>2.85</v>
      </c>
      <c r="P578" s="14" t="n">
        <v>0</v>
      </c>
      <c r="Q578" s="14" t="n">
        <v>0</v>
      </c>
      <c r="R578" s="14" t="n">
        <v>0</v>
      </c>
      <c r="S578" s="14" t="n">
        <v>0.53</v>
      </c>
      <c r="T578" s="14" t="n">
        <v>0.42</v>
      </c>
      <c r="U578" s="14" t="n">
        <v>3.58</v>
      </c>
      <c r="V578" s="14" t="n">
        <v>4.32</v>
      </c>
      <c r="W578" s="14" t="n">
        <v>0.42</v>
      </c>
      <c r="X578" s="14" t="n">
        <v>0</v>
      </c>
      <c r="Y578" s="14" t="n">
        <v>0.63</v>
      </c>
      <c r="Z578" s="14" t="n">
        <v>0.53</v>
      </c>
      <c r="AA578" s="14" t="n">
        <v>0</v>
      </c>
    </row>
    <row r="579">
      <c r="A579" t="inlineStr">
        <is>
          <t>160508</t>
        </is>
      </c>
      <c r="B579" t="inlineStr">
        <is>
          <t>LORETO</t>
        </is>
      </c>
      <c r="C579" t="inlineStr">
        <is>
          <t>REQUENA</t>
        </is>
      </c>
      <c r="D579" t="inlineStr">
        <is>
          <t>SOPLIN</t>
        </is>
      </c>
      <c r="E579" t="n">
        <v>121</v>
      </c>
      <c r="F579" s="14" t="n">
        <v>0</v>
      </c>
      <c r="G579" s="14" t="n">
        <v>79.34</v>
      </c>
      <c r="H579" s="14" t="n">
        <v>0.83</v>
      </c>
      <c r="I579" s="14" t="n">
        <v>0</v>
      </c>
      <c r="J579" s="14" t="n">
        <v>0</v>
      </c>
      <c r="K579" s="14" t="n">
        <v>0</v>
      </c>
      <c r="L579" s="14" t="n">
        <v>1.65</v>
      </c>
      <c r="M579" s="14" t="n">
        <v>4.96</v>
      </c>
      <c r="N579" s="14" t="n">
        <v>0.83</v>
      </c>
      <c r="O579" s="14" t="n">
        <v>0</v>
      </c>
      <c r="P579" s="14" t="n">
        <v>0</v>
      </c>
      <c r="Q579" s="14" t="n">
        <v>0</v>
      </c>
      <c r="R579" s="14" t="n">
        <v>0</v>
      </c>
      <c r="S579" s="14" t="n">
        <v>2.48</v>
      </c>
      <c r="T579" s="14" t="n">
        <v>0</v>
      </c>
      <c r="U579" s="14" t="n">
        <v>3.31</v>
      </c>
      <c r="V579" s="14" t="n">
        <v>4.13</v>
      </c>
      <c r="W579" s="14" t="n">
        <v>1.65</v>
      </c>
      <c r="X579" s="14" t="n">
        <v>0</v>
      </c>
      <c r="Y579" s="14" t="n">
        <v>0</v>
      </c>
      <c r="Z579" s="14" t="n">
        <v>0.83</v>
      </c>
      <c r="AA579" s="14" t="n">
        <v>0</v>
      </c>
    </row>
    <row r="580">
      <c r="A580" t="inlineStr">
        <is>
          <t>160509</t>
        </is>
      </c>
      <c r="B580" t="inlineStr">
        <is>
          <t>LORETO</t>
        </is>
      </c>
      <c r="C580" t="inlineStr">
        <is>
          <t>REQUENA</t>
        </is>
      </c>
      <c r="D580" t="inlineStr">
        <is>
          <t>TAPICHE</t>
        </is>
      </c>
      <c r="E580" t="n">
        <v>320</v>
      </c>
      <c r="F580" s="14" t="n">
        <v>0</v>
      </c>
      <c r="G580" s="14" t="n">
        <v>86.25</v>
      </c>
      <c r="H580" s="14" t="n">
        <v>0.31</v>
      </c>
      <c r="I580" s="14" t="n">
        <v>0.31</v>
      </c>
      <c r="J580" s="14" t="n">
        <v>0</v>
      </c>
      <c r="K580" s="14" t="n">
        <v>0</v>
      </c>
      <c r="L580" s="14" t="n">
        <v>1.56</v>
      </c>
      <c r="M580" s="14" t="n">
        <v>2.19</v>
      </c>
      <c r="N580" s="14" t="n">
        <v>0</v>
      </c>
      <c r="O580" s="14" t="n">
        <v>1.56</v>
      </c>
      <c r="P580" s="14" t="n">
        <v>0</v>
      </c>
      <c r="Q580" s="14" t="n">
        <v>0</v>
      </c>
      <c r="R580" s="14" t="n">
        <v>0</v>
      </c>
      <c r="S580" s="14" t="n">
        <v>0</v>
      </c>
      <c r="T580" s="14" t="n">
        <v>0</v>
      </c>
      <c r="U580" s="14" t="n">
        <v>2.81</v>
      </c>
      <c r="V580" s="14" t="n">
        <v>4.38</v>
      </c>
      <c r="W580" s="14" t="n">
        <v>0.63</v>
      </c>
      <c r="X580" s="14" t="n">
        <v>0</v>
      </c>
      <c r="Y580" s="14" t="n">
        <v>0</v>
      </c>
      <c r="Z580" s="14" t="n">
        <v>0</v>
      </c>
      <c r="AA580" s="14" t="n">
        <v>0</v>
      </c>
    </row>
    <row r="581">
      <c r="A581" t="inlineStr">
        <is>
          <t>160510</t>
        </is>
      </c>
      <c r="B581" t="inlineStr">
        <is>
          <t>LORETO</t>
        </is>
      </c>
      <c r="C581" t="inlineStr">
        <is>
          <t>REQUENA</t>
        </is>
      </c>
      <c r="D581" t="inlineStr">
        <is>
          <t>JENARO HERRERA</t>
        </is>
      </c>
      <c r="E581" t="n">
        <v>1343</v>
      </c>
      <c r="F581" s="14" t="n">
        <v>0</v>
      </c>
      <c r="G581" s="14" t="n">
        <v>72.08</v>
      </c>
      <c r="H581" s="14" t="n">
        <v>0</v>
      </c>
      <c r="I581" s="14" t="n">
        <v>2.46</v>
      </c>
      <c r="J581" s="14" t="n">
        <v>0</v>
      </c>
      <c r="K581" s="14" t="n">
        <v>0</v>
      </c>
      <c r="L581" s="14" t="n">
        <v>2.23</v>
      </c>
      <c r="M581" s="14" t="n">
        <v>7.15</v>
      </c>
      <c r="N581" s="14" t="n">
        <v>2.31</v>
      </c>
      <c r="O581" s="14" t="n">
        <v>3.5</v>
      </c>
      <c r="P581" s="14" t="n">
        <v>0</v>
      </c>
      <c r="Q581" s="14" t="n">
        <v>0</v>
      </c>
      <c r="R581" s="14" t="n">
        <v>0</v>
      </c>
      <c r="S581" s="14" t="n">
        <v>1.04</v>
      </c>
      <c r="T581" s="14" t="n">
        <v>0.74</v>
      </c>
      <c r="U581" s="14" t="n">
        <v>2.01</v>
      </c>
      <c r="V581" s="14" t="n">
        <v>3.2</v>
      </c>
      <c r="W581" s="14" t="n">
        <v>0.6</v>
      </c>
      <c r="X581" s="14" t="n">
        <v>0.07000000000000001</v>
      </c>
      <c r="Y581" s="14" t="n">
        <v>1.49</v>
      </c>
      <c r="Z581" s="14" t="n">
        <v>1.12</v>
      </c>
      <c r="AA581" s="14" t="n">
        <v>0</v>
      </c>
    </row>
    <row r="582">
      <c r="A582" t="inlineStr">
        <is>
          <t>160511</t>
        </is>
      </c>
      <c r="B582" t="inlineStr">
        <is>
          <t>LORETO</t>
        </is>
      </c>
      <c r="C582" t="inlineStr">
        <is>
          <t>REQUENA</t>
        </is>
      </c>
      <c r="D582" t="inlineStr">
        <is>
          <t>YAQUERANA</t>
        </is>
      </c>
      <c r="E582" t="n">
        <v>179</v>
      </c>
      <c r="F582" s="14" t="n">
        <v>0</v>
      </c>
      <c r="G582" s="14" t="n">
        <v>49.72</v>
      </c>
      <c r="H582" s="14" t="n">
        <v>0</v>
      </c>
      <c r="I582" s="14" t="n">
        <v>2.79</v>
      </c>
      <c r="J582" s="14" t="n">
        <v>0</v>
      </c>
      <c r="K582" s="14" t="n">
        <v>0</v>
      </c>
      <c r="L582" s="14" t="n">
        <v>5.03</v>
      </c>
      <c r="M582" s="14" t="n">
        <v>9.5</v>
      </c>
      <c r="N582" s="14" t="n">
        <v>0</v>
      </c>
      <c r="O582" s="14" t="n">
        <v>2.23</v>
      </c>
      <c r="P582" s="14" t="n">
        <v>0</v>
      </c>
      <c r="Q582" s="14" t="n">
        <v>0</v>
      </c>
      <c r="R582" s="14" t="n">
        <v>0</v>
      </c>
      <c r="S582" s="14" t="n">
        <v>6.15</v>
      </c>
      <c r="T582" s="14" t="n">
        <v>1.12</v>
      </c>
      <c r="U582" s="14" t="n">
        <v>2.79</v>
      </c>
      <c r="V582" s="14" t="n">
        <v>14.53</v>
      </c>
      <c r="W582" s="14" t="n">
        <v>0.5600000000000001</v>
      </c>
      <c r="X582" s="14" t="n">
        <v>0</v>
      </c>
      <c r="Y582" s="14" t="n">
        <v>3.91</v>
      </c>
      <c r="Z582" s="14" t="n">
        <v>1.68</v>
      </c>
      <c r="AA582" s="14" t="n">
        <v>0</v>
      </c>
    </row>
    <row r="583">
      <c r="A583" t="inlineStr">
        <is>
          <t>160601</t>
        </is>
      </c>
      <c r="B583" t="inlineStr">
        <is>
          <t>LORETO</t>
        </is>
      </c>
      <c r="C583" t="inlineStr">
        <is>
          <t>UCAYALI</t>
        </is>
      </c>
      <c r="D583" t="inlineStr">
        <is>
          <t>CONTAMANA</t>
        </is>
      </c>
      <c r="E583" t="n">
        <v>7405</v>
      </c>
      <c r="F583" s="14" t="n">
        <v>0</v>
      </c>
      <c r="G583" s="14" t="n">
        <v>36.53</v>
      </c>
      <c r="H583" s="14" t="n">
        <v>0.05</v>
      </c>
      <c r="I583" s="14" t="n">
        <v>4.4</v>
      </c>
      <c r="J583" s="14" t="n">
        <v>0.03</v>
      </c>
      <c r="K583" s="14" t="n">
        <v>0.14</v>
      </c>
      <c r="L583" s="14" t="n">
        <v>3.32</v>
      </c>
      <c r="M583" s="14" t="n">
        <v>17.03</v>
      </c>
      <c r="N583" s="14" t="n">
        <v>6.93</v>
      </c>
      <c r="O583" s="14" t="n">
        <v>4.27</v>
      </c>
      <c r="P583" s="14" t="n">
        <v>0.46</v>
      </c>
      <c r="Q583" s="14" t="n">
        <v>0.23</v>
      </c>
      <c r="R583" s="14" t="n">
        <v>0.01</v>
      </c>
      <c r="S583" s="14" t="n">
        <v>3.15</v>
      </c>
      <c r="T583" s="14" t="n">
        <v>2.03</v>
      </c>
      <c r="U583" s="14" t="n">
        <v>4.32</v>
      </c>
      <c r="V583" s="14" t="n">
        <v>11.09</v>
      </c>
      <c r="W583" s="14" t="n">
        <v>1.4</v>
      </c>
      <c r="X583" s="14" t="n">
        <v>0.39</v>
      </c>
      <c r="Y583" s="14" t="n">
        <v>2.84</v>
      </c>
      <c r="Z583" s="14" t="n">
        <v>1.39</v>
      </c>
      <c r="AA583" s="14" t="n">
        <v>0</v>
      </c>
    </row>
    <row r="584">
      <c r="A584" t="inlineStr">
        <is>
          <t>160602</t>
        </is>
      </c>
      <c r="B584" t="inlineStr">
        <is>
          <t>LORETO</t>
        </is>
      </c>
      <c r="C584" t="inlineStr">
        <is>
          <t>UCAYALI</t>
        </is>
      </c>
      <c r="D584" t="inlineStr">
        <is>
          <t>INAHUAYA</t>
        </is>
      </c>
      <c r="E584" t="n">
        <v>524</v>
      </c>
      <c r="F584" s="14" t="n">
        <v>0</v>
      </c>
      <c r="G584" s="14" t="n">
        <v>69.84999999999999</v>
      </c>
      <c r="H584" s="14" t="n">
        <v>0.19</v>
      </c>
      <c r="I584" s="14" t="n">
        <v>1.15</v>
      </c>
      <c r="J584" s="14" t="n">
        <v>0</v>
      </c>
      <c r="K584" s="14" t="n">
        <v>0</v>
      </c>
      <c r="L584" s="14" t="n">
        <v>2.1</v>
      </c>
      <c r="M584" s="14" t="n">
        <v>7.06</v>
      </c>
      <c r="N584" s="14" t="n">
        <v>0.76</v>
      </c>
      <c r="O584" s="14" t="n">
        <v>4.58</v>
      </c>
      <c r="P584" s="14" t="n">
        <v>0</v>
      </c>
      <c r="Q584" s="14" t="n">
        <v>0</v>
      </c>
      <c r="R584" s="14" t="n">
        <v>0</v>
      </c>
      <c r="S584" s="14" t="n">
        <v>1.15</v>
      </c>
      <c r="T584" s="14" t="n">
        <v>0.57</v>
      </c>
      <c r="U584" s="14" t="n">
        <v>2.48</v>
      </c>
      <c r="V584" s="14" t="n">
        <v>5.73</v>
      </c>
      <c r="W584" s="14" t="n">
        <v>0.76</v>
      </c>
      <c r="X584" s="14" t="n">
        <v>0</v>
      </c>
      <c r="Y584" s="14" t="n">
        <v>0.76</v>
      </c>
      <c r="Z584" s="14" t="n">
        <v>2.86</v>
      </c>
      <c r="AA584" s="14" t="n">
        <v>0</v>
      </c>
    </row>
    <row r="585">
      <c r="A585" t="inlineStr">
        <is>
          <t>160603</t>
        </is>
      </c>
      <c r="B585" t="inlineStr">
        <is>
          <t>LORETO</t>
        </is>
      </c>
      <c r="C585" t="inlineStr">
        <is>
          <t>UCAYALI</t>
        </is>
      </c>
      <c r="D585" t="inlineStr">
        <is>
          <t>PADRE MARQUEZ</t>
        </is>
      </c>
      <c r="E585" t="n">
        <v>1002</v>
      </c>
      <c r="F585" s="14" t="n">
        <v>0</v>
      </c>
      <c r="G585" s="14" t="n">
        <v>70.76000000000001</v>
      </c>
      <c r="H585" s="14" t="n">
        <v>0.2</v>
      </c>
      <c r="I585" s="14" t="n">
        <v>7.19</v>
      </c>
      <c r="J585" s="14" t="n">
        <v>0</v>
      </c>
      <c r="K585" s="14" t="n">
        <v>0</v>
      </c>
      <c r="L585" s="14" t="n">
        <v>0.7</v>
      </c>
      <c r="M585" s="14" t="n">
        <v>4.49</v>
      </c>
      <c r="N585" s="14" t="n">
        <v>0.7</v>
      </c>
      <c r="O585" s="14" t="n">
        <v>1.9</v>
      </c>
      <c r="P585" s="14" t="n">
        <v>0</v>
      </c>
      <c r="Q585" s="14" t="n">
        <v>0</v>
      </c>
      <c r="R585" s="14" t="n">
        <v>0</v>
      </c>
      <c r="S585" s="14" t="n">
        <v>0.2</v>
      </c>
      <c r="T585" s="14" t="n">
        <v>0.5</v>
      </c>
      <c r="U585" s="14" t="n">
        <v>2.3</v>
      </c>
      <c r="V585" s="14" t="n">
        <v>7.09</v>
      </c>
      <c r="W585" s="14" t="n">
        <v>1</v>
      </c>
      <c r="X585" s="14" t="n">
        <v>0</v>
      </c>
      <c r="Y585" s="14" t="n">
        <v>1.9</v>
      </c>
      <c r="Z585" s="14" t="n">
        <v>1.1</v>
      </c>
      <c r="AA585" s="14" t="n">
        <v>0</v>
      </c>
    </row>
    <row r="586">
      <c r="A586" t="inlineStr">
        <is>
          <t>160604</t>
        </is>
      </c>
      <c r="B586" t="inlineStr">
        <is>
          <t>LORETO</t>
        </is>
      </c>
      <c r="C586" t="inlineStr">
        <is>
          <t>UCAYALI</t>
        </is>
      </c>
      <c r="D586" t="inlineStr">
        <is>
          <t>PAMPA HERMOSA</t>
        </is>
      </c>
      <c r="E586" t="n">
        <v>1704</v>
      </c>
      <c r="F586" s="14" t="n">
        <v>0</v>
      </c>
      <c r="G586" s="14" t="n">
        <v>79.34</v>
      </c>
      <c r="H586" s="14" t="n">
        <v>0</v>
      </c>
      <c r="I586" s="14" t="n">
        <v>1.58</v>
      </c>
      <c r="J586" s="14" t="n">
        <v>0</v>
      </c>
      <c r="K586" s="14" t="n">
        <v>0</v>
      </c>
      <c r="L586" s="14" t="n">
        <v>0.41</v>
      </c>
      <c r="M586" s="14" t="n">
        <v>5.81</v>
      </c>
      <c r="N586" s="14" t="n">
        <v>0.53</v>
      </c>
      <c r="O586" s="14" t="n">
        <v>1.94</v>
      </c>
      <c r="P586" s="14" t="n">
        <v>0</v>
      </c>
      <c r="Q586" s="14" t="n">
        <v>0</v>
      </c>
      <c r="R586" s="14" t="n">
        <v>0</v>
      </c>
      <c r="S586" s="14" t="n">
        <v>1.76</v>
      </c>
      <c r="T586" s="14" t="n">
        <v>0.59</v>
      </c>
      <c r="U586" s="14" t="n">
        <v>0.7</v>
      </c>
      <c r="V586" s="14" t="n">
        <v>3.7</v>
      </c>
      <c r="W586" s="14" t="n">
        <v>0.47</v>
      </c>
      <c r="X586" s="14" t="n">
        <v>0.06</v>
      </c>
      <c r="Y586" s="14" t="n">
        <v>2.52</v>
      </c>
      <c r="Z586" s="14" t="n">
        <v>0.59</v>
      </c>
      <c r="AA586" s="14" t="n">
        <v>0</v>
      </c>
    </row>
    <row r="587">
      <c r="A587" t="inlineStr">
        <is>
          <t>160605</t>
        </is>
      </c>
      <c r="B587" t="inlineStr">
        <is>
          <t>LORETO</t>
        </is>
      </c>
      <c r="C587" t="inlineStr">
        <is>
          <t>UCAYALI</t>
        </is>
      </c>
      <c r="D587" t="inlineStr">
        <is>
          <t>SARAYACU</t>
        </is>
      </c>
      <c r="E587" t="n">
        <v>3874</v>
      </c>
      <c r="F587" s="14" t="n">
        <v>0</v>
      </c>
      <c r="G587" s="14" t="n">
        <v>79.81</v>
      </c>
      <c r="H587" s="14" t="n">
        <v>0.08</v>
      </c>
      <c r="I587" s="14" t="n">
        <v>2.07</v>
      </c>
      <c r="J587" s="14" t="n">
        <v>0</v>
      </c>
      <c r="K587" s="14" t="n">
        <v>0.03</v>
      </c>
      <c r="L587" s="14" t="n">
        <v>0.46</v>
      </c>
      <c r="M587" s="14" t="n">
        <v>5.73</v>
      </c>
      <c r="N587" s="14" t="n">
        <v>0.72</v>
      </c>
      <c r="O587" s="14" t="n">
        <v>1.94</v>
      </c>
      <c r="P587" s="14" t="n">
        <v>0</v>
      </c>
      <c r="Q587" s="14" t="n">
        <v>0.03</v>
      </c>
      <c r="R587" s="14" t="n">
        <v>0.03</v>
      </c>
      <c r="S587" s="14" t="n">
        <v>0.36</v>
      </c>
      <c r="T587" s="14" t="n">
        <v>0.28</v>
      </c>
      <c r="U587" s="14" t="n">
        <v>0.36</v>
      </c>
      <c r="V587" s="14" t="n">
        <v>6.3</v>
      </c>
      <c r="W587" s="14" t="n">
        <v>0.41</v>
      </c>
      <c r="X587" s="14" t="n">
        <v>0.08</v>
      </c>
      <c r="Y587" s="14" t="n">
        <v>0.96</v>
      </c>
      <c r="Z587" s="14" t="n">
        <v>0.36</v>
      </c>
      <c r="AA587" s="14" t="n">
        <v>0</v>
      </c>
    </row>
    <row r="588">
      <c r="A588" t="inlineStr">
        <is>
          <t>160606</t>
        </is>
      </c>
      <c r="B588" t="inlineStr">
        <is>
          <t>LORETO</t>
        </is>
      </c>
      <c r="C588" t="inlineStr">
        <is>
          <t>UCAYALI</t>
        </is>
      </c>
      <c r="D588" t="inlineStr">
        <is>
          <t>VARGAS GUERRA</t>
        </is>
      </c>
      <c r="E588" t="n">
        <v>1975</v>
      </c>
      <c r="F588" s="14" t="n">
        <v>0</v>
      </c>
      <c r="G588" s="14" t="n">
        <v>54.99</v>
      </c>
      <c r="H588" s="14" t="n">
        <v>0.05</v>
      </c>
      <c r="I588" s="14" t="n">
        <v>4.2</v>
      </c>
      <c r="J588" s="14" t="n">
        <v>0</v>
      </c>
      <c r="K588" s="14" t="n">
        <v>0.05</v>
      </c>
      <c r="L588" s="14" t="n">
        <v>4.15</v>
      </c>
      <c r="M588" s="14" t="n">
        <v>14.94</v>
      </c>
      <c r="N588" s="14" t="n">
        <v>2.84</v>
      </c>
      <c r="O588" s="14" t="n">
        <v>3.34</v>
      </c>
      <c r="P588" s="14" t="n">
        <v>0.1</v>
      </c>
      <c r="Q588" s="14" t="n">
        <v>0.05</v>
      </c>
      <c r="R588" s="14" t="n">
        <v>0</v>
      </c>
      <c r="S588" s="14" t="n">
        <v>2.18</v>
      </c>
      <c r="T588" s="14" t="n">
        <v>1.87</v>
      </c>
      <c r="U588" s="14" t="n">
        <v>1.72</v>
      </c>
      <c r="V588" s="14" t="n">
        <v>4.86</v>
      </c>
      <c r="W588" s="14" t="n">
        <v>0.71</v>
      </c>
      <c r="X588" s="14" t="n">
        <v>0.1</v>
      </c>
      <c r="Y588" s="14" t="n">
        <v>1.97</v>
      </c>
      <c r="Z588" s="14" t="n">
        <v>1.87</v>
      </c>
      <c r="AA588" s="14" t="n">
        <v>0</v>
      </c>
    </row>
    <row r="589">
      <c r="A589" t="inlineStr">
        <is>
          <t>160701</t>
        </is>
      </c>
      <c r="B589" t="inlineStr">
        <is>
          <t>LORETO</t>
        </is>
      </c>
      <c r="C589" t="inlineStr">
        <is>
          <t>DATEM DEL MARAÑON</t>
        </is>
      </c>
      <c r="D589" t="inlineStr">
        <is>
          <t>BARRANCA</t>
        </is>
      </c>
      <c r="E589" t="n">
        <v>4094</v>
      </c>
      <c r="F589" s="14" t="n">
        <v>0</v>
      </c>
      <c r="G589" s="14" t="n">
        <v>40.3</v>
      </c>
      <c r="H589" s="14" t="n">
        <v>0.27</v>
      </c>
      <c r="I589" s="14" t="n">
        <v>3.27</v>
      </c>
      <c r="J589" s="14" t="n">
        <v>0</v>
      </c>
      <c r="K589" s="14" t="n">
        <v>0.05</v>
      </c>
      <c r="L589" s="14" t="n">
        <v>5.15</v>
      </c>
      <c r="M589" s="14" t="n">
        <v>14.58</v>
      </c>
      <c r="N589" s="14" t="n">
        <v>4.89</v>
      </c>
      <c r="O589" s="14" t="n">
        <v>5.28</v>
      </c>
      <c r="P589" s="14" t="n">
        <v>0.32</v>
      </c>
      <c r="Q589" s="14" t="n">
        <v>0.24</v>
      </c>
      <c r="R589" s="14" t="n">
        <v>0</v>
      </c>
      <c r="S589" s="14" t="n">
        <v>3.35</v>
      </c>
      <c r="T589" s="14" t="n">
        <v>1.22</v>
      </c>
      <c r="U589" s="14" t="n">
        <v>2.61</v>
      </c>
      <c r="V589" s="14" t="n">
        <v>11.16</v>
      </c>
      <c r="W589" s="14" t="n">
        <v>2.44</v>
      </c>
      <c r="X589" s="14" t="n">
        <v>0.24</v>
      </c>
      <c r="Y589" s="14" t="n">
        <v>2.59</v>
      </c>
      <c r="Z589" s="14" t="n">
        <v>2.03</v>
      </c>
      <c r="AA589" s="14" t="n">
        <v>0</v>
      </c>
    </row>
    <row r="590">
      <c r="A590" t="inlineStr">
        <is>
          <t>160702</t>
        </is>
      </c>
      <c r="B590" t="inlineStr">
        <is>
          <t>LORETO</t>
        </is>
      </c>
      <c r="C590" t="inlineStr">
        <is>
          <t>DATEM DEL MARAÑON</t>
        </is>
      </c>
      <c r="D590" t="inlineStr">
        <is>
          <t>CAHUAPANAS</t>
        </is>
      </c>
      <c r="E590" t="n">
        <v>2431</v>
      </c>
      <c r="F590" s="14" t="n">
        <v>0</v>
      </c>
      <c r="G590" s="14" t="n">
        <v>90</v>
      </c>
      <c r="H590" s="14" t="n">
        <v>0</v>
      </c>
      <c r="I590" s="14" t="n">
        <v>1.03</v>
      </c>
      <c r="J590" s="14" t="n">
        <v>0</v>
      </c>
      <c r="K590" s="14" t="n">
        <v>0</v>
      </c>
      <c r="L590" s="14" t="n">
        <v>0.49</v>
      </c>
      <c r="M590" s="14" t="n">
        <v>1.32</v>
      </c>
      <c r="N590" s="14" t="n">
        <v>0.12</v>
      </c>
      <c r="O590" s="14" t="n">
        <v>0.16</v>
      </c>
      <c r="P590" s="14" t="n">
        <v>0</v>
      </c>
      <c r="Q590" s="14" t="n">
        <v>0</v>
      </c>
      <c r="R590" s="14" t="n">
        <v>0</v>
      </c>
      <c r="S590" s="14" t="n">
        <v>0.16</v>
      </c>
      <c r="T590" s="14" t="n">
        <v>0.04</v>
      </c>
      <c r="U590" s="14" t="n">
        <v>0.16</v>
      </c>
      <c r="V590" s="14" t="n">
        <v>4.9</v>
      </c>
      <c r="W590" s="14" t="n">
        <v>0.53</v>
      </c>
      <c r="X590" s="14" t="n">
        <v>0</v>
      </c>
      <c r="Y590" s="14" t="n">
        <v>0.16</v>
      </c>
      <c r="Z590" s="14" t="n">
        <v>0.9</v>
      </c>
      <c r="AA590" s="14" t="n">
        <v>0</v>
      </c>
    </row>
    <row r="591">
      <c r="A591" t="inlineStr">
        <is>
          <t>160703</t>
        </is>
      </c>
      <c r="B591" t="inlineStr">
        <is>
          <t>LORETO</t>
        </is>
      </c>
      <c r="C591" t="inlineStr">
        <is>
          <t>DATEM DEL MARAÑON</t>
        </is>
      </c>
      <c r="D591" t="inlineStr">
        <is>
          <t>MANSERICHE</t>
        </is>
      </c>
      <c r="E591" t="n">
        <v>1958</v>
      </c>
      <c r="F591" s="14" t="n">
        <v>0</v>
      </c>
      <c r="G591" s="14" t="n">
        <v>58.22</v>
      </c>
      <c r="H591" s="14" t="n">
        <v>0.72</v>
      </c>
      <c r="I591" s="14" t="n">
        <v>4.09</v>
      </c>
      <c r="J591" s="14" t="n">
        <v>0</v>
      </c>
      <c r="K591" s="14" t="n">
        <v>0.15</v>
      </c>
      <c r="L591" s="14" t="n">
        <v>2.45</v>
      </c>
      <c r="M591" s="14" t="n">
        <v>8.84</v>
      </c>
      <c r="N591" s="14" t="n">
        <v>4.34</v>
      </c>
      <c r="O591" s="14" t="n">
        <v>4.03</v>
      </c>
      <c r="P591" s="14" t="n">
        <v>0.26</v>
      </c>
      <c r="Q591" s="14" t="n">
        <v>0.05</v>
      </c>
      <c r="R591" s="14" t="n">
        <v>0</v>
      </c>
      <c r="S591" s="14" t="n">
        <v>2.55</v>
      </c>
      <c r="T591" s="14" t="n">
        <v>1.43</v>
      </c>
      <c r="U591" s="14" t="n">
        <v>1.94</v>
      </c>
      <c r="V591" s="14" t="n">
        <v>7.1</v>
      </c>
      <c r="W591" s="14" t="n">
        <v>1.74</v>
      </c>
      <c r="X591" s="14" t="n">
        <v>0</v>
      </c>
      <c r="Y591" s="14" t="n">
        <v>1.33</v>
      </c>
      <c r="Z591" s="14" t="n">
        <v>0.77</v>
      </c>
      <c r="AA591" s="14" t="n">
        <v>0</v>
      </c>
    </row>
    <row r="592">
      <c r="A592" t="inlineStr">
        <is>
          <t>160704</t>
        </is>
      </c>
      <c r="B592" t="inlineStr">
        <is>
          <t>LORETO</t>
        </is>
      </c>
      <c r="C592" t="inlineStr">
        <is>
          <t>DATEM DEL MARAÑON</t>
        </is>
      </c>
      <c r="D592" t="inlineStr">
        <is>
          <t>MORONA</t>
        </is>
      </c>
      <c r="E592" t="n">
        <v>784</v>
      </c>
      <c r="F592" s="14" t="n">
        <v>0</v>
      </c>
      <c r="G592" s="14" t="n">
        <v>67.47</v>
      </c>
      <c r="H592" s="14" t="n">
        <v>0.13</v>
      </c>
      <c r="I592" s="14" t="n">
        <v>3.19</v>
      </c>
      <c r="J592" s="14" t="n">
        <v>0.13</v>
      </c>
      <c r="K592" s="14" t="n">
        <v>0</v>
      </c>
      <c r="L592" s="14" t="n">
        <v>2.04</v>
      </c>
      <c r="M592" s="14" t="n">
        <v>8.42</v>
      </c>
      <c r="N592" s="14" t="n">
        <v>0.38</v>
      </c>
      <c r="O592" s="14" t="n">
        <v>1.4</v>
      </c>
      <c r="P592" s="14" t="n">
        <v>0.13</v>
      </c>
      <c r="Q592" s="14" t="n">
        <v>0</v>
      </c>
      <c r="R592" s="14" t="n">
        <v>0</v>
      </c>
      <c r="S592" s="14" t="n">
        <v>2.17</v>
      </c>
      <c r="T592" s="14" t="n">
        <v>0.38</v>
      </c>
      <c r="U592" s="14" t="n">
        <v>0.89</v>
      </c>
      <c r="V592" s="14" t="n">
        <v>8.039999999999999</v>
      </c>
      <c r="W592" s="14" t="n">
        <v>2.17</v>
      </c>
      <c r="X592" s="14" t="n">
        <v>0.38</v>
      </c>
      <c r="Y592" s="14" t="n">
        <v>1.15</v>
      </c>
      <c r="Z592" s="14" t="n">
        <v>1.53</v>
      </c>
      <c r="AA592" s="14" t="n">
        <v>0</v>
      </c>
    </row>
    <row r="593">
      <c r="A593" t="inlineStr">
        <is>
          <t>160705</t>
        </is>
      </c>
      <c r="B593" t="inlineStr">
        <is>
          <t>LORETO</t>
        </is>
      </c>
      <c r="C593" t="inlineStr">
        <is>
          <t>DATEM DEL MARAÑON</t>
        </is>
      </c>
      <c r="D593" t="inlineStr">
        <is>
          <t>PASTAZA</t>
        </is>
      </c>
      <c r="E593" t="n">
        <v>1263</v>
      </c>
      <c r="F593" s="14" t="n">
        <v>0</v>
      </c>
      <c r="G593" s="14" t="n">
        <v>71.02</v>
      </c>
      <c r="H593" s="14" t="n">
        <v>0.08</v>
      </c>
      <c r="I593" s="14" t="n">
        <v>2.69</v>
      </c>
      <c r="J593" s="14" t="n">
        <v>0</v>
      </c>
      <c r="K593" s="14" t="n">
        <v>0</v>
      </c>
      <c r="L593" s="14" t="n">
        <v>1.43</v>
      </c>
      <c r="M593" s="14" t="n">
        <v>9.109999999999999</v>
      </c>
      <c r="N593" s="14" t="n">
        <v>0.71</v>
      </c>
      <c r="O593" s="14" t="n">
        <v>1.74</v>
      </c>
      <c r="P593" s="14" t="n">
        <v>0</v>
      </c>
      <c r="Q593" s="14" t="n">
        <v>0</v>
      </c>
      <c r="R593" s="14" t="n">
        <v>0</v>
      </c>
      <c r="S593" s="14" t="n">
        <v>1.66</v>
      </c>
      <c r="T593" s="14" t="n">
        <v>1.11</v>
      </c>
      <c r="U593" s="14" t="n">
        <v>0.87</v>
      </c>
      <c r="V593" s="14" t="n">
        <v>4.28</v>
      </c>
      <c r="W593" s="14" t="n">
        <v>1.43</v>
      </c>
      <c r="X593" s="14" t="n">
        <v>0.16</v>
      </c>
      <c r="Y593" s="14" t="n">
        <v>1.35</v>
      </c>
      <c r="Z593" s="14" t="n">
        <v>2.38</v>
      </c>
      <c r="AA593" s="14" t="n">
        <v>0</v>
      </c>
    </row>
    <row r="594">
      <c r="A594" t="inlineStr">
        <is>
          <t>160706</t>
        </is>
      </c>
      <c r="B594" t="inlineStr">
        <is>
          <t>LORETO</t>
        </is>
      </c>
      <c r="C594" t="inlineStr">
        <is>
          <t>DATEM DEL MARAÑON</t>
        </is>
      </c>
      <c r="D594" t="inlineStr">
        <is>
          <t>ANDOAS</t>
        </is>
      </c>
      <c r="E594" t="n">
        <v>4700</v>
      </c>
      <c r="F594" s="14" t="n">
        <v>0</v>
      </c>
      <c r="G594" s="14" t="n">
        <v>92.13</v>
      </c>
      <c r="H594" s="14" t="n">
        <v>0</v>
      </c>
      <c r="I594" s="14" t="n">
        <v>0.57</v>
      </c>
      <c r="J594" s="14" t="n">
        <v>0</v>
      </c>
      <c r="K594" s="14" t="n">
        <v>0</v>
      </c>
      <c r="L594" s="14" t="n">
        <v>0.26</v>
      </c>
      <c r="M594" s="14" t="n">
        <v>2.43</v>
      </c>
      <c r="N594" s="14" t="n">
        <v>0.09</v>
      </c>
      <c r="O594" s="14" t="n">
        <v>0.17</v>
      </c>
      <c r="P594" s="14" t="n">
        <v>0</v>
      </c>
      <c r="Q594" s="14" t="n">
        <v>0</v>
      </c>
      <c r="R594" s="14" t="n">
        <v>0</v>
      </c>
      <c r="S594" s="14" t="n">
        <v>0.28</v>
      </c>
      <c r="T594" s="14" t="n">
        <v>0.09</v>
      </c>
      <c r="U594" s="14" t="n">
        <v>0.21</v>
      </c>
      <c r="V594" s="14" t="n">
        <v>3.09</v>
      </c>
      <c r="W594" s="14" t="n">
        <v>0.34</v>
      </c>
      <c r="X594" s="14" t="n">
        <v>0.04</v>
      </c>
      <c r="Y594" s="14" t="n">
        <v>0.23</v>
      </c>
      <c r="Z594" s="14" t="n">
        <v>0.09</v>
      </c>
      <c r="AA594" s="14" t="n">
        <v>0</v>
      </c>
    </row>
    <row r="595">
      <c r="A595" t="inlineStr">
        <is>
          <t>160801</t>
        </is>
      </c>
      <c r="B595" t="inlineStr">
        <is>
          <t>LORETO</t>
        </is>
      </c>
      <c r="C595" t="inlineStr">
        <is>
          <t>PUTUMAYO</t>
        </is>
      </c>
      <c r="D595" t="inlineStr">
        <is>
          <t>PUTUMAYO</t>
        </is>
      </c>
      <c r="E595" t="n">
        <v>1245</v>
      </c>
      <c r="F595" s="14" t="n">
        <v>0</v>
      </c>
      <c r="G595" s="14" t="n">
        <v>43.78</v>
      </c>
      <c r="H595" s="14" t="n">
        <v>0.4</v>
      </c>
      <c r="I595" s="14" t="n">
        <v>3.86</v>
      </c>
      <c r="J595" s="14" t="n">
        <v>0.16</v>
      </c>
      <c r="K595" s="14" t="n">
        <v>0.08</v>
      </c>
      <c r="L595" s="14" t="n">
        <v>3.37</v>
      </c>
      <c r="M595" s="14" t="n">
        <v>8.92</v>
      </c>
      <c r="N595" s="14" t="n">
        <v>3.21</v>
      </c>
      <c r="O595" s="14" t="n">
        <v>5.7</v>
      </c>
      <c r="P595" s="14" t="n">
        <v>0.24</v>
      </c>
      <c r="Q595" s="14" t="n">
        <v>0.24</v>
      </c>
      <c r="R595" s="14" t="n">
        <v>0</v>
      </c>
      <c r="S595" s="14" t="n">
        <v>1.53</v>
      </c>
      <c r="T595" s="14" t="n">
        <v>4.66</v>
      </c>
      <c r="U595" s="14" t="n">
        <v>7.39</v>
      </c>
      <c r="V595" s="14" t="n">
        <v>9.640000000000001</v>
      </c>
      <c r="W595" s="14" t="n">
        <v>4.26</v>
      </c>
      <c r="X595" s="14" t="n">
        <v>0.24</v>
      </c>
      <c r="Y595" s="14" t="n">
        <v>1.37</v>
      </c>
      <c r="Z595" s="14" t="n">
        <v>0.96</v>
      </c>
      <c r="AA595" s="14" t="n">
        <v>0</v>
      </c>
    </row>
    <row r="596">
      <c r="A596" t="inlineStr">
        <is>
          <t>160802</t>
        </is>
      </c>
      <c r="B596" t="inlineStr">
        <is>
          <t>LORETO</t>
        </is>
      </c>
      <c r="C596" t="inlineStr">
        <is>
          <t>PUTUMAYO</t>
        </is>
      </c>
      <c r="D596" t="inlineStr">
        <is>
          <t>ROSA PANDURO</t>
        </is>
      </c>
      <c r="E596" t="n">
        <v>224</v>
      </c>
      <c r="F596" s="14" t="n">
        <v>0</v>
      </c>
      <c r="G596" s="14" t="n">
        <v>76.79000000000001</v>
      </c>
      <c r="H596" s="14" t="n">
        <v>0</v>
      </c>
      <c r="I596" s="14" t="n">
        <v>0</v>
      </c>
      <c r="J596" s="14" t="n">
        <v>0</v>
      </c>
      <c r="K596" s="14" t="n">
        <v>0</v>
      </c>
      <c r="L596" s="14" t="n">
        <v>0.89</v>
      </c>
      <c r="M596" s="14" t="n">
        <v>1.34</v>
      </c>
      <c r="N596" s="14" t="n">
        <v>0.89</v>
      </c>
      <c r="O596" s="14" t="n">
        <v>0.45</v>
      </c>
      <c r="P596" s="14" t="n">
        <v>0</v>
      </c>
      <c r="Q596" s="14" t="n">
        <v>0</v>
      </c>
      <c r="R596" s="14" t="n">
        <v>0</v>
      </c>
      <c r="S596" s="14" t="n">
        <v>0.89</v>
      </c>
      <c r="T596" s="14" t="n">
        <v>0</v>
      </c>
      <c r="U596" s="14" t="n">
        <v>3.57</v>
      </c>
      <c r="V596" s="14" t="n">
        <v>13.39</v>
      </c>
      <c r="W596" s="14" t="n">
        <v>0.89</v>
      </c>
      <c r="X596" s="14" t="n">
        <v>0</v>
      </c>
      <c r="Y596" s="14" t="n">
        <v>0.45</v>
      </c>
      <c r="Z596" s="14" t="n">
        <v>0.45</v>
      </c>
      <c r="AA596" s="14" t="n">
        <v>0</v>
      </c>
    </row>
    <row r="597">
      <c r="A597" t="inlineStr">
        <is>
          <t>160803</t>
        </is>
      </c>
      <c r="B597" t="inlineStr">
        <is>
          <t>LORETO</t>
        </is>
      </c>
      <c r="C597" t="inlineStr">
        <is>
          <t>PUTUMAYO</t>
        </is>
      </c>
      <c r="D597" t="inlineStr">
        <is>
          <t>TENIENTE MANUEL CLAVERO</t>
        </is>
      </c>
      <c r="E597" t="n">
        <v>634</v>
      </c>
      <c r="F597" s="14" t="n">
        <v>0</v>
      </c>
      <c r="G597" s="14" t="n">
        <v>76.81</v>
      </c>
      <c r="H597" s="14" t="n">
        <v>0</v>
      </c>
      <c r="I597" s="14" t="n">
        <v>0.79</v>
      </c>
      <c r="J597" s="14" t="n">
        <v>0</v>
      </c>
      <c r="K597" s="14" t="n">
        <v>0</v>
      </c>
      <c r="L597" s="14" t="n">
        <v>1.58</v>
      </c>
      <c r="M597" s="14" t="n">
        <v>2.52</v>
      </c>
      <c r="N597" s="14" t="n">
        <v>0.16</v>
      </c>
      <c r="O597" s="14" t="n">
        <v>1.26</v>
      </c>
      <c r="P597" s="14" t="n">
        <v>0</v>
      </c>
      <c r="Q597" s="14" t="n">
        <v>0.47</v>
      </c>
      <c r="R597" s="14" t="n">
        <v>0</v>
      </c>
      <c r="S597" s="14" t="n">
        <v>0.16</v>
      </c>
      <c r="T597" s="14" t="n">
        <v>0.32</v>
      </c>
      <c r="U597" s="14" t="n">
        <v>3.79</v>
      </c>
      <c r="V597" s="14" t="n">
        <v>9.779999999999999</v>
      </c>
      <c r="W597" s="14" t="n">
        <v>1.42</v>
      </c>
      <c r="X597" s="14" t="n">
        <v>0.63</v>
      </c>
      <c r="Y597" s="14" t="n">
        <v>0.32</v>
      </c>
      <c r="Z597" s="14" t="n">
        <v>0</v>
      </c>
      <c r="AA597" s="14" t="n">
        <v>0</v>
      </c>
    </row>
    <row r="598">
      <c r="A598" t="inlineStr">
        <is>
          <t>160804</t>
        </is>
      </c>
      <c r="B598" t="inlineStr">
        <is>
          <t>LORETO</t>
        </is>
      </c>
      <c r="C598" t="inlineStr">
        <is>
          <t>PUTUMAYO</t>
        </is>
      </c>
      <c r="D598" t="inlineStr">
        <is>
          <t>YAGUAS</t>
        </is>
      </c>
      <c r="E598" t="n">
        <v>527</v>
      </c>
      <c r="F598" s="14" t="n">
        <v>0</v>
      </c>
      <c r="G598" s="14" t="n">
        <v>76.84999999999999</v>
      </c>
      <c r="H598" s="14" t="n">
        <v>0</v>
      </c>
      <c r="I598" s="14" t="n">
        <v>0.76</v>
      </c>
      <c r="J598" s="14" t="n">
        <v>0</v>
      </c>
      <c r="K598" s="14" t="n">
        <v>0</v>
      </c>
      <c r="L598" s="14" t="n">
        <v>0.38</v>
      </c>
      <c r="M598" s="14" t="n">
        <v>0.76</v>
      </c>
      <c r="N598" s="14" t="n">
        <v>0</v>
      </c>
      <c r="O598" s="14" t="n">
        <v>0.19</v>
      </c>
      <c r="P598" s="14" t="n">
        <v>0</v>
      </c>
      <c r="Q598" s="14" t="n">
        <v>0.19</v>
      </c>
      <c r="R598" s="14" t="n">
        <v>0</v>
      </c>
      <c r="S598" s="14" t="n">
        <v>1.14</v>
      </c>
      <c r="T598" s="14" t="n">
        <v>0.57</v>
      </c>
      <c r="U598" s="14" t="n">
        <v>10.44</v>
      </c>
      <c r="V598" s="14" t="n">
        <v>7.97</v>
      </c>
      <c r="W598" s="14" t="n">
        <v>0.76</v>
      </c>
      <c r="X598" s="14" t="n">
        <v>0</v>
      </c>
      <c r="Y598" s="14" t="n">
        <v>0</v>
      </c>
      <c r="Z598" s="14" t="n">
        <v>0</v>
      </c>
      <c r="AA598" s="14" t="n">
        <v>0</v>
      </c>
    </row>
    <row r="599">
      <c r="A599" t="inlineStr">
        <is>
          <t>170101</t>
        </is>
      </c>
      <c r="B599" t="inlineStr">
        <is>
          <t>MADRE DE DIOS</t>
        </is>
      </c>
      <c r="C599" t="inlineStr">
        <is>
          <t>TAMBOPATA</t>
        </is>
      </c>
      <c r="D599" t="inlineStr">
        <is>
          <t>TAMBOPATA</t>
        </is>
      </c>
      <c r="E599" t="n">
        <v>38122</v>
      </c>
      <c r="F599" s="14" t="n">
        <v>0</v>
      </c>
      <c r="G599" s="14" t="n">
        <v>11.6</v>
      </c>
      <c r="H599" s="14" t="n">
        <v>0.92</v>
      </c>
      <c r="I599" s="14" t="n">
        <v>5.72</v>
      </c>
      <c r="J599" s="14" t="n">
        <v>0.12</v>
      </c>
      <c r="K599" s="14" t="n">
        <v>0.24</v>
      </c>
      <c r="L599" s="14" t="n">
        <v>9.199999999999999</v>
      </c>
      <c r="M599" s="14" t="n">
        <v>23.23</v>
      </c>
      <c r="N599" s="14" t="n">
        <v>9.57</v>
      </c>
      <c r="O599" s="14" t="n">
        <v>9.4</v>
      </c>
      <c r="P599" s="14" t="n">
        <v>0.71</v>
      </c>
      <c r="Q599" s="14" t="n">
        <v>0.86</v>
      </c>
      <c r="R599" s="14" t="n">
        <v>0.13</v>
      </c>
      <c r="S599" s="14" t="n">
        <v>6.26</v>
      </c>
      <c r="T599" s="14" t="n">
        <v>3.42</v>
      </c>
      <c r="U599" s="14" t="n">
        <v>5.88</v>
      </c>
      <c r="V599" s="14" t="n">
        <v>5.39</v>
      </c>
      <c r="W599" s="14" t="n">
        <v>2.49</v>
      </c>
      <c r="X599" s="14" t="n">
        <v>0.99</v>
      </c>
      <c r="Y599" s="14" t="n">
        <v>3.08</v>
      </c>
      <c r="Z599" s="14" t="n">
        <v>0.78</v>
      </c>
      <c r="AA599" s="14" t="n">
        <v>0.01</v>
      </c>
    </row>
    <row r="600">
      <c r="A600" t="inlineStr">
        <is>
          <t>170102</t>
        </is>
      </c>
      <c r="B600" t="inlineStr">
        <is>
          <t>MADRE DE DIOS</t>
        </is>
      </c>
      <c r="C600" t="inlineStr">
        <is>
          <t>TAMBOPATA</t>
        </is>
      </c>
      <c r="D600" t="inlineStr">
        <is>
          <t>INAMBARI</t>
        </is>
      </c>
      <c r="E600" t="n">
        <v>5289</v>
      </c>
      <c r="F600" s="14" t="n">
        <v>0</v>
      </c>
      <c r="G600" s="14" t="n">
        <v>30.52</v>
      </c>
      <c r="H600" s="14" t="n">
        <v>1.49</v>
      </c>
      <c r="I600" s="14" t="n">
        <v>2.89</v>
      </c>
      <c r="J600" s="14" t="n">
        <v>0.04</v>
      </c>
      <c r="K600" s="14" t="n">
        <v>0.06</v>
      </c>
      <c r="L600" s="14" t="n">
        <v>6.43</v>
      </c>
      <c r="M600" s="14" t="n">
        <v>20.31</v>
      </c>
      <c r="N600" s="14" t="n">
        <v>13.1</v>
      </c>
      <c r="O600" s="14" t="n">
        <v>10.36</v>
      </c>
      <c r="P600" s="14" t="n">
        <v>0.19</v>
      </c>
      <c r="Q600" s="14" t="n">
        <v>0.34</v>
      </c>
      <c r="R600" s="14" t="n">
        <v>0.02</v>
      </c>
      <c r="S600" s="14" t="n">
        <v>1.93</v>
      </c>
      <c r="T600" s="14" t="n">
        <v>1.25</v>
      </c>
      <c r="U600" s="14" t="n">
        <v>4.5</v>
      </c>
      <c r="V600" s="14" t="n">
        <v>2.87</v>
      </c>
      <c r="W600" s="14" t="n">
        <v>1</v>
      </c>
      <c r="X600" s="14" t="n">
        <v>0.11</v>
      </c>
      <c r="Y600" s="14" t="n">
        <v>1.82</v>
      </c>
      <c r="Z600" s="14" t="n">
        <v>0.78</v>
      </c>
      <c r="AA600" s="14" t="n">
        <v>0</v>
      </c>
    </row>
    <row r="601">
      <c r="A601" t="inlineStr">
        <is>
          <t>170103</t>
        </is>
      </c>
      <c r="B601" t="inlineStr">
        <is>
          <t>MADRE DE DIOS</t>
        </is>
      </c>
      <c r="C601" t="inlineStr">
        <is>
          <t>TAMBOPATA</t>
        </is>
      </c>
      <c r="D601" t="inlineStr">
        <is>
          <t>LAS PIEDRAS</t>
        </is>
      </c>
      <c r="E601" t="n">
        <v>5137</v>
      </c>
      <c r="F601" s="14" t="n">
        <v>0</v>
      </c>
      <c r="G601" s="14" t="n">
        <v>36.29</v>
      </c>
      <c r="H601" s="14" t="n">
        <v>0.29</v>
      </c>
      <c r="I601" s="14" t="n">
        <v>5.7</v>
      </c>
      <c r="J601" s="14" t="n">
        <v>0.04</v>
      </c>
      <c r="K601" s="14" t="n">
        <v>0.21</v>
      </c>
      <c r="L601" s="14" t="n">
        <v>8.27</v>
      </c>
      <c r="M601" s="14" t="n">
        <v>15.22</v>
      </c>
      <c r="N601" s="14" t="n">
        <v>9.99</v>
      </c>
      <c r="O601" s="14" t="n">
        <v>9.34</v>
      </c>
      <c r="P601" s="14" t="n">
        <v>0.25</v>
      </c>
      <c r="Q601" s="14" t="n">
        <v>0.39</v>
      </c>
      <c r="R601" s="14" t="n">
        <v>0.06</v>
      </c>
      <c r="S601" s="14" t="n">
        <v>1.62</v>
      </c>
      <c r="T601" s="14" t="n">
        <v>2.53</v>
      </c>
      <c r="U601" s="14" t="n">
        <v>2.47</v>
      </c>
      <c r="V601" s="14" t="n">
        <v>2.86</v>
      </c>
      <c r="W601" s="14" t="n">
        <v>1.23</v>
      </c>
      <c r="X601" s="14" t="n">
        <v>0.27</v>
      </c>
      <c r="Y601" s="14" t="n">
        <v>1.23</v>
      </c>
      <c r="Z601" s="14" t="n">
        <v>1.71</v>
      </c>
      <c r="AA601" s="14" t="n">
        <v>0.02</v>
      </c>
    </row>
    <row r="602">
      <c r="A602" t="inlineStr">
        <is>
          <t>170104</t>
        </is>
      </c>
      <c r="B602" t="inlineStr">
        <is>
          <t>MADRE DE DIOS</t>
        </is>
      </c>
      <c r="C602" t="inlineStr">
        <is>
          <t>TAMBOPATA</t>
        </is>
      </c>
      <c r="D602" t="inlineStr">
        <is>
          <t>LABERINTO</t>
        </is>
      </c>
      <c r="E602" t="n">
        <v>2123</v>
      </c>
      <c r="F602" s="14" t="n">
        <v>0</v>
      </c>
      <c r="G602" s="14" t="n">
        <v>31.09</v>
      </c>
      <c r="H602" s="14" t="n">
        <v>6.97</v>
      </c>
      <c r="I602" s="14" t="n">
        <v>3.49</v>
      </c>
      <c r="J602" s="14" t="n">
        <v>0</v>
      </c>
      <c r="K602" s="14" t="n">
        <v>0.05</v>
      </c>
      <c r="L602" s="14" t="n">
        <v>6.78</v>
      </c>
      <c r="M602" s="14" t="n">
        <v>18.32</v>
      </c>
      <c r="N602" s="14" t="n">
        <v>9.84</v>
      </c>
      <c r="O602" s="14" t="n">
        <v>14.74</v>
      </c>
      <c r="P602" s="14" t="n">
        <v>0.24</v>
      </c>
      <c r="Q602" s="14" t="n">
        <v>0.14</v>
      </c>
      <c r="R602" s="14" t="n">
        <v>0</v>
      </c>
      <c r="S602" s="14" t="n">
        <v>1.27</v>
      </c>
      <c r="T602" s="14" t="n">
        <v>0.47</v>
      </c>
      <c r="U602" s="14" t="n">
        <v>2.4</v>
      </c>
      <c r="V602" s="14" t="n">
        <v>1.84</v>
      </c>
      <c r="W602" s="14" t="n">
        <v>0.61</v>
      </c>
      <c r="X602" s="14" t="n">
        <v>0.09</v>
      </c>
      <c r="Y602" s="14" t="n">
        <v>0.99</v>
      </c>
      <c r="Z602" s="14" t="n">
        <v>0.66</v>
      </c>
      <c r="AA602" s="14" t="n">
        <v>0</v>
      </c>
    </row>
    <row r="603">
      <c r="A603" t="inlineStr">
        <is>
          <t>170201</t>
        </is>
      </c>
      <c r="B603" t="inlineStr">
        <is>
          <t>MADRE DE DIOS</t>
        </is>
      </c>
      <c r="C603" t="inlineStr">
        <is>
          <t>MANU</t>
        </is>
      </c>
      <c r="D603" t="inlineStr">
        <is>
          <t>MANU</t>
        </is>
      </c>
      <c r="E603" t="n">
        <v>1040</v>
      </c>
      <c r="F603" s="14" t="n">
        <v>0</v>
      </c>
      <c r="G603" s="14" t="n">
        <v>51.25</v>
      </c>
      <c r="H603" s="14" t="n">
        <v>0</v>
      </c>
      <c r="I603" s="14" t="n">
        <v>2.21</v>
      </c>
      <c r="J603" s="14" t="n">
        <v>0</v>
      </c>
      <c r="K603" s="14" t="n">
        <v>0</v>
      </c>
      <c r="L603" s="14" t="n">
        <v>3.27</v>
      </c>
      <c r="M603" s="14" t="n">
        <v>8.17</v>
      </c>
      <c r="N603" s="14" t="n">
        <v>2.6</v>
      </c>
      <c r="O603" s="14" t="n">
        <v>5.58</v>
      </c>
      <c r="P603" s="14" t="n">
        <v>0.48</v>
      </c>
      <c r="Q603" s="14" t="n">
        <v>0.38</v>
      </c>
      <c r="R603" s="14" t="n">
        <v>0</v>
      </c>
      <c r="S603" s="14" t="n">
        <v>2.02</v>
      </c>
      <c r="T603" s="14" t="n">
        <v>1.83</v>
      </c>
      <c r="U603" s="14" t="n">
        <v>8.75</v>
      </c>
      <c r="V603" s="14" t="n">
        <v>8.85</v>
      </c>
      <c r="W603" s="14" t="n">
        <v>2.69</v>
      </c>
      <c r="X603" s="14" t="n">
        <v>0.38</v>
      </c>
      <c r="Y603" s="14" t="n">
        <v>0.87</v>
      </c>
      <c r="Z603" s="14" t="n">
        <v>0.67</v>
      </c>
      <c r="AA603" s="14" t="n">
        <v>0</v>
      </c>
    </row>
    <row r="604">
      <c r="A604" t="inlineStr">
        <is>
          <t>170202</t>
        </is>
      </c>
      <c r="B604" t="inlineStr">
        <is>
          <t>MADRE DE DIOS</t>
        </is>
      </c>
      <c r="C604" t="inlineStr">
        <is>
          <t>MANU</t>
        </is>
      </c>
      <c r="D604" t="inlineStr">
        <is>
          <t>FITZCARRALD</t>
        </is>
      </c>
      <c r="E604" t="n">
        <v>401</v>
      </c>
      <c r="F604" s="14" t="n">
        <v>0</v>
      </c>
      <c r="G604" s="14" t="n">
        <v>57.61</v>
      </c>
      <c r="H604" s="14" t="n">
        <v>0</v>
      </c>
      <c r="I604" s="14" t="n">
        <v>3.74</v>
      </c>
      <c r="J604" s="14" t="n">
        <v>0</v>
      </c>
      <c r="K604" s="14" t="n">
        <v>0</v>
      </c>
      <c r="L604" s="14" t="n">
        <v>2.49</v>
      </c>
      <c r="M604" s="14" t="n">
        <v>8.73</v>
      </c>
      <c r="N604" s="14" t="n">
        <v>2.99</v>
      </c>
      <c r="O604" s="14" t="n">
        <v>4.99</v>
      </c>
      <c r="P604" s="14" t="n">
        <v>0.25</v>
      </c>
      <c r="Q604" s="14" t="n">
        <v>0</v>
      </c>
      <c r="R604" s="14" t="n">
        <v>0</v>
      </c>
      <c r="S604" s="14" t="n">
        <v>3.49</v>
      </c>
      <c r="T604" s="14" t="n">
        <v>0.5</v>
      </c>
      <c r="U604" s="14" t="n">
        <v>2.74</v>
      </c>
      <c r="V604" s="14" t="n">
        <v>10.72</v>
      </c>
      <c r="W604" s="14" t="n">
        <v>0.5</v>
      </c>
      <c r="X604" s="14" t="n">
        <v>0.75</v>
      </c>
      <c r="Y604" s="14" t="n">
        <v>0.5</v>
      </c>
      <c r="Z604" s="14" t="n">
        <v>0</v>
      </c>
      <c r="AA604" s="14" t="n">
        <v>0</v>
      </c>
    </row>
    <row r="605">
      <c r="A605" t="inlineStr">
        <is>
          <t>170203</t>
        </is>
      </c>
      <c r="B605" t="inlineStr">
        <is>
          <t>MADRE DE DIOS</t>
        </is>
      </c>
      <c r="C605" t="inlineStr">
        <is>
          <t>MANU</t>
        </is>
      </c>
      <c r="D605" t="inlineStr">
        <is>
          <t>MADRE DE DIOS</t>
        </is>
      </c>
      <c r="E605" t="n">
        <v>2854</v>
      </c>
      <c r="F605" s="14" t="n">
        <v>0</v>
      </c>
      <c r="G605" s="14" t="n">
        <v>21.23</v>
      </c>
      <c r="H605" s="14" t="n">
        <v>14.05</v>
      </c>
      <c r="I605" s="14" t="n">
        <v>3.29</v>
      </c>
      <c r="J605" s="14" t="n">
        <v>0.04</v>
      </c>
      <c r="K605" s="14" t="n">
        <v>0.04</v>
      </c>
      <c r="L605" s="14" t="n">
        <v>8.58</v>
      </c>
      <c r="M605" s="14" t="n">
        <v>21.23</v>
      </c>
      <c r="N605" s="14" t="n">
        <v>8.720000000000001</v>
      </c>
      <c r="O605" s="14" t="n">
        <v>13.81</v>
      </c>
      <c r="P605" s="14" t="n">
        <v>0.11</v>
      </c>
      <c r="Q605" s="14" t="n">
        <v>0.28</v>
      </c>
      <c r="R605" s="14" t="n">
        <v>0</v>
      </c>
      <c r="S605" s="14" t="n">
        <v>1.16</v>
      </c>
      <c r="T605" s="14" t="n">
        <v>0.46</v>
      </c>
      <c r="U605" s="14" t="n">
        <v>1.89</v>
      </c>
      <c r="V605" s="14" t="n">
        <v>2.56</v>
      </c>
      <c r="W605" s="14" t="n">
        <v>0.63</v>
      </c>
      <c r="X605" s="14" t="n">
        <v>0.07000000000000001</v>
      </c>
      <c r="Y605" s="14" t="n">
        <v>1.19</v>
      </c>
      <c r="Z605" s="14" t="n">
        <v>0.67</v>
      </c>
      <c r="AA605" s="14" t="n">
        <v>0</v>
      </c>
    </row>
    <row r="606">
      <c r="A606" t="inlineStr">
        <is>
          <t>170204</t>
        </is>
      </c>
      <c r="B606" t="inlineStr">
        <is>
          <t>MADRE DE DIOS</t>
        </is>
      </c>
      <c r="C606" t="inlineStr">
        <is>
          <t>MANU</t>
        </is>
      </c>
      <c r="D606" t="inlineStr">
        <is>
          <t>HUEPETUHE</t>
        </is>
      </c>
      <c r="E606" t="n">
        <v>4259</v>
      </c>
      <c r="F606" s="14" t="n">
        <v>0</v>
      </c>
      <c r="G606" s="14" t="n">
        <v>9.789999999999999</v>
      </c>
      <c r="H606" s="14" t="n">
        <v>19.7</v>
      </c>
      <c r="I606" s="14" t="n">
        <v>4.02</v>
      </c>
      <c r="J606" s="14" t="n">
        <v>0</v>
      </c>
      <c r="K606" s="14" t="n">
        <v>0.23</v>
      </c>
      <c r="L606" s="14" t="n">
        <v>8.15</v>
      </c>
      <c r="M606" s="14" t="n">
        <v>22.24</v>
      </c>
      <c r="N606" s="14" t="n">
        <v>11.76</v>
      </c>
      <c r="O606" s="14" t="n">
        <v>11.51</v>
      </c>
      <c r="P606" s="14" t="n">
        <v>0.28</v>
      </c>
      <c r="Q606" s="14" t="n">
        <v>0.68</v>
      </c>
      <c r="R606" s="14" t="n">
        <v>0.05</v>
      </c>
      <c r="S606" s="14" t="n">
        <v>1.29</v>
      </c>
      <c r="T606" s="14" t="n">
        <v>0.59</v>
      </c>
      <c r="U606" s="14" t="n">
        <v>1.97</v>
      </c>
      <c r="V606" s="14" t="n">
        <v>3.8</v>
      </c>
      <c r="W606" s="14" t="n">
        <v>1.24</v>
      </c>
      <c r="X606" s="14" t="n">
        <v>0.38</v>
      </c>
      <c r="Y606" s="14" t="n">
        <v>1.78</v>
      </c>
      <c r="Z606" s="14" t="n">
        <v>0.54</v>
      </c>
      <c r="AA606" s="14" t="n">
        <v>0</v>
      </c>
    </row>
    <row r="607">
      <c r="A607" t="inlineStr">
        <is>
          <t>170301</t>
        </is>
      </c>
      <c r="B607" t="inlineStr">
        <is>
          <t>MADRE DE DIOS</t>
        </is>
      </c>
      <c r="C607" t="inlineStr">
        <is>
          <t>TAHUAMANU</t>
        </is>
      </c>
      <c r="D607" t="inlineStr">
        <is>
          <t>IÑAPARI</t>
        </is>
      </c>
      <c r="E607" t="n">
        <v>1230</v>
      </c>
      <c r="F607" s="14" t="n">
        <v>0</v>
      </c>
      <c r="G607" s="14" t="n">
        <v>21.87</v>
      </c>
      <c r="H607" s="14" t="n">
        <v>0.73</v>
      </c>
      <c r="I607" s="14" t="n">
        <v>23.41</v>
      </c>
      <c r="J607" s="14" t="n">
        <v>0.16</v>
      </c>
      <c r="K607" s="14" t="n">
        <v>0</v>
      </c>
      <c r="L607" s="14" t="n">
        <v>5.45</v>
      </c>
      <c r="M607" s="14" t="n">
        <v>13.09</v>
      </c>
      <c r="N607" s="14" t="n">
        <v>9.67</v>
      </c>
      <c r="O607" s="14" t="n">
        <v>8.94</v>
      </c>
      <c r="P607" s="14" t="n">
        <v>0.08</v>
      </c>
      <c r="Q607" s="14" t="n">
        <v>0.49</v>
      </c>
      <c r="R607" s="14" t="n">
        <v>0</v>
      </c>
      <c r="S607" s="14" t="n">
        <v>2.85</v>
      </c>
      <c r="T607" s="14" t="n">
        <v>2.6</v>
      </c>
      <c r="U607" s="14" t="n">
        <v>4.88</v>
      </c>
      <c r="V607" s="14" t="n">
        <v>1.71</v>
      </c>
      <c r="W607" s="14" t="n">
        <v>1.22</v>
      </c>
      <c r="X607" s="14" t="n">
        <v>0.49</v>
      </c>
      <c r="Y607" s="14" t="n">
        <v>1.3</v>
      </c>
      <c r="Z607" s="14" t="n">
        <v>1.06</v>
      </c>
      <c r="AA607" s="14" t="n">
        <v>0</v>
      </c>
    </row>
    <row r="608">
      <c r="A608" t="inlineStr">
        <is>
          <t>170302</t>
        </is>
      </c>
      <c r="B608" t="inlineStr">
        <is>
          <t>MADRE DE DIOS</t>
        </is>
      </c>
      <c r="C608" t="inlineStr">
        <is>
          <t>TAHUAMANU</t>
        </is>
      </c>
      <c r="D608" t="inlineStr">
        <is>
          <t>IBERIA</t>
        </is>
      </c>
      <c r="E608" t="n">
        <v>2555</v>
      </c>
      <c r="F608" s="14" t="n">
        <v>0</v>
      </c>
      <c r="G608" s="14" t="n">
        <v>33.15</v>
      </c>
      <c r="H608" s="14" t="n">
        <v>0.12</v>
      </c>
      <c r="I608" s="14" t="n">
        <v>6.46</v>
      </c>
      <c r="J608" s="14" t="n">
        <v>0.2</v>
      </c>
      <c r="K608" s="14" t="n">
        <v>0.35</v>
      </c>
      <c r="L608" s="14" t="n">
        <v>9.16</v>
      </c>
      <c r="M608" s="14" t="n">
        <v>13.89</v>
      </c>
      <c r="N608" s="14" t="n">
        <v>4.58</v>
      </c>
      <c r="O608" s="14" t="n">
        <v>5.44</v>
      </c>
      <c r="P608" s="14" t="n">
        <v>0.27</v>
      </c>
      <c r="Q608" s="14" t="n">
        <v>0.43</v>
      </c>
      <c r="R608" s="14" t="n">
        <v>0.04</v>
      </c>
      <c r="S608" s="14" t="n">
        <v>4.42</v>
      </c>
      <c r="T608" s="14" t="n">
        <v>1.8</v>
      </c>
      <c r="U608" s="14" t="n">
        <v>7.08</v>
      </c>
      <c r="V608" s="14" t="n">
        <v>6.03</v>
      </c>
      <c r="W608" s="14" t="n">
        <v>3.76</v>
      </c>
      <c r="X608" s="14" t="n">
        <v>0.39</v>
      </c>
      <c r="Y608" s="14" t="n">
        <v>1.45</v>
      </c>
      <c r="Z608" s="14" t="n">
        <v>0.98</v>
      </c>
      <c r="AA608" s="14" t="n">
        <v>0</v>
      </c>
    </row>
    <row r="609">
      <c r="A609" t="inlineStr">
        <is>
          <t>170303</t>
        </is>
      </c>
      <c r="B609" t="inlineStr">
        <is>
          <t>MADRE DE DIOS</t>
        </is>
      </c>
      <c r="C609" t="inlineStr">
        <is>
          <t>TAHUAMANU</t>
        </is>
      </c>
      <c r="D609" t="inlineStr">
        <is>
          <t>TAHUAMANU</t>
        </is>
      </c>
      <c r="E609" t="n">
        <v>1196</v>
      </c>
      <c r="F609" s="14" t="n">
        <v>0</v>
      </c>
      <c r="G609" s="14" t="n">
        <v>63.88</v>
      </c>
      <c r="H609" s="14" t="n">
        <v>0.17</v>
      </c>
      <c r="I609" s="14" t="n">
        <v>4.43</v>
      </c>
      <c r="J609" s="14" t="n">
        <v>0</v>
      </c>
      <c r="K609" s="14" t="n">
        <v>0</v>
      </c>
      <c r="L609" s="14" t="n">
        <v>3.09</v>
      </c>
      <c r="M609" s="14" t="n">
        <v>10.03</v>
      </c>
      <c r="N609" s="14" t="n">
        <v>3.34</v>
      </c>
      <c r="O609" s="14" t="n">
        <v>6.44</v>
      </c>
      <c r="P609" s="14" t="n">
        <v>0</v>
      </c>
      <c r="Q609" s="14" t="n">
        <v>0</v>
      </c>
      <c r="R609" s="14" t="n">
        <v>0</v>
      </c>
      <c r="S609" s="14" t="n">
        <v>1</v>
      </c>
      <c r="T609" s="14" t="n">
        <v>0.84</v>
      </c>
      <c r="U609" s="14" t="n">
        <v>2.09</v>
      </c>
      <c r="V609" s="14" t="n">
        <v>2.42</v>
      </c>
      <c r="W609" s="14" t="n">
        <v>1.17</v>
      </c>
      <c r="X609" s="14" t="n">
        <v>0.08</v>
      </c>
      <c r="Y609" s="14" t="n">
        <v>0.67</v>
      </c>
      <c r="Z609" s="14" t="n">
        <v>0.33</v>
      </c>
      <c r="AA609" s="14" t="n">
        <v>0</v>
      </c>
    </row>
    <row r="610">
      <c r="A610" t="inlineStr">
        <is>
          <t>180101</t>
        </is>
      </c>
      <c r="B610" t="inlineStr">
        <is>
          <t>MOQUEGUA</t>
        </is>
      </c>
      <c r="C610" t="inlineStr">
        <is>
          <t>MARISCAL NIETO</t>
        </is>
      </c>
      <c r="D610" t="inlineStr">
        <is>
          <t>MOQUEGUA</t>
        </is>
      </c>
      <c r="E610" t="n">
        <v>31262</v>
      </c>
      <c r="F610" s="14" t="n">
        <v>0</v>
      </c>
      <c r="G610" s="14" t="n">
        <v>9.25</v>
      </c>
      <c r="H610" s="14" t="n">
        <v>1.23</v>
      </c>
      <c r="I610" s="14" t="n">
        <v>4.99</v>
      </c>
      <c r="J610" s="14" t="n">
        <v>0.2</v>
      </c>
      <c r="K610" s="14" t="n">
        <v>0.21</v>
      </c>
      <c r="L610" s="14" t="n">
        <v>11.98</v>
      </c>
      <c r="M610" s="14" t="n">
        <v>19.59</v>
      </c>
      <c r="N610" s="14" t="n">
        <v>8.25</v>
      </c>
      <c r="O610" s="14" t="n">
        <v>7.33</v>
      </c>
      <c r="P610" s="14" t="n">
        <v>0.85</v>
      </c>
      <c r="Q610" s="14" t="n">
        <v>1.13</v>
      </c>
      <c r="R610" s="14" t="n">
        <v>0.08</v>
      </c>
      <c r="S610" s="14" t="n">
        <v>7.28</v>
      </c>
      <c r="T610" s="14" t="n">
        <v>3.65</v>
      </c>
      <c r="U610" s="14" t="n">
        <v>8.19</v>
      </c>
      <c r="V610" s="14" t="n">
        <v>7.58</v>
      </c>
      <c r="W610" s="14" t="n">
        <v>3.48</v>
      </c>
      <c r="X610" s="14" t="n">
        <v>0.83</v>
      </c>
      <c r="Y610" s="14" t="n">
        <v>2.99</v>
      </c>
      <c r="Z610" s="14" t="n">
        <v>0.9</v>
      </c>
      <c r="AA610" s="14" t="n">
        <v>0</v>
      </c>
    </row>
    <row r="611">
      <c r="A611" t="inlineStr">
        <is>
          <t>180102</t>
        </is>
      </c>
      <c r="B611" t="inlineStr">
        <is>
          <t>MOQUEGUA</t>
        </is>
      </c>
      <c r="C611" t="inlineStr">
        <is>
          <t>MARISCAL NIETO</t>
        </is>
      </c>
      <c r="D611" t="inlineStr">
        <is>
          <t>CARUMAS</t>
        </is>
      </c>
      <c r="E611" t="n">
        <v>1364</v>
      </c>
      <c r="F611" s="14" t="n">
        <v>0</v>
      </c>
      <c r="G611" s="14" t="n">
        <v>61.07</v>
      </c>
      <c r="H611" s="14" t="n">
        <v>9.460000000000001</v>
      </c>
      <c r="I611" s="14" t="n">
        <v>1.03</v>
      </c>
      <c r="J611" s="14" t="n">
        <v>0.07000000000000001</v>
      </c>
      <c r="K611" s="14" t="n">
        <v>0</v>
      </c>
      <c r="L611" s="14" t="n">
        <v>6.09</v>
      </c>
      <c r="M611" s="14" t="n">
        <v>6.52</v>
      </c>
      <c r="N611" s="14" t="n">
        <v>0.37</v>
      </c>
      <c r="O611" s="14" t="n">
        <v>2.2</v>
      </c>
      <c r="P611" s="14" t="n">
        <v>0</v>
      </c>
      <c r="Q611" s="14" t="n">
        <v>0</v>
      </c>
      <c r="R611" s="14" t="n">
        <v>0</v>
      </c>
      <c r="S611" s="14" t="n">
        <v>1.83</v>
      </c>
      <c r="T611" s="14" t="n">
        <v>0.29</v>
      </c>
      <c r="U611" s="14" t="n">
        <v>7.62</v>
      </c>
      <c r="V611" s="14" t="n">
        <v>1.32</v>
      </c>
      <c r="W611" s="14" t="n">
        <v>1.25</v>
      </c>
      <c r="X611" s="14" t="n">
        <v>0.07000000000000001</v>
      </c>
      <c r="Y611" s="14" t="n">
        <v>0.66</v>
      </c>
      <c r="Z611" s="14" t="n">
        <v>0.15</v>
      </c>
      <c r="AA611" s="14" t="n">
        <v>0</v>
      </c>
    </row>
    <row r="612">
      <c r="A612" t="inlineStr">
        <is>
          <t>180103</t>
        </is>
      </c>
      <c r="B612" t="inlineStr">
        <is>
          <t>MOQUEGUA</t>
        </is>
      </c>
      <c r="C612" t="inlineStr">
        <is>
          <t>MARISCAL NIETO</t>
        </is>
      </c>
      <c r="D612" t="inlineStr">
        <is>
          <t>CUCHUMBAYA</t>
        </is>
      </c>
      <c r="E612" t="n">
        <v>467</v>
      </c>
      <c r="F612" s="14" t="n">
        <v>0</v>
      </c>
      <c r="G612" s="14" t="n">
        <v>69.81</v>
      </c>
      <c r="H612" s="14" t="n">
        <v>0.43</v>
      </c>
      <c r="I612" s="14" t="n">
        <v>1.07</v>
      </c>
      <c r="J612" s="14" t="n">
        <v>0</v>
      </c>
      <c r="K612" s="14" t="n">
        <v>0</v>
      </c>
      <c r="L612" s="14" t="n">
        <v>2.57</v>
      </c>
      <c r="M612" s="14" t="n">
        <v>4.07</v>
      </c>
      <c r="N612" s="14" t="n">
        <v>0.86</v>
      </c>
      <c r="O612" s="14" t="n">
        <v>0.64</v>
      </c>
      <c r="P612" s="14" t="n">
        <v>0</v>
      </c>
      <c r="Q612" s="14" t="n">
        <v>0.21</v>
      </c>
      <c r="R612" s="14" t="n">
        <v>0</v>
      </c>
      <c r="S612" s="14" t="n">
        <v>3.64</v>
      </c>
      <c r="T612" s="14" t="n">
        <v>0</v>
      </c>
      <c r="U612" s="14" t="n">
        <v>10.06</v>
      </c>
      <c r="V612" s="14" t="n">
        <v>1.71</v>
      </c>
      <c r="W612" s="14" t="n">
        <v>2.14</v>
      </c>
      <c r="X612" s="14" t="n">
        <v>0</v>
      </c>
      <c r="Y612" s="14" t="n">
        <v>2.57</v>
      </c>
      <c r="Z612" s="14" t="n">
        <v>0.21</v>
      </c>
      <c r="AA612" s="14" t="n">
        <v>0</v>
      </c>
    </row>
    <row r="613">
      <c r="A613" t="inlineStr">
        <is>
          <t>180104</t>
        </is>
      </c>
      <c r="B613" t="inlineStr">
        <is>
          <t>MOQUEGUA</t>
        </is>
      </c>
      <c r="C613" t="inlineStr">
        <is>
          <t>MARISCAL NIETO</t>
        </is>
      </c>
      <c r="D613" t="inlineStr">
        <is>
          <t>SAMEGUA</t>
        </is>
      </c>
      <c r="E613" t="n">
        <v>4103</v>
      </c>
      <c r="F613" s="14" t="n">
        <v>0</v>
      </c>
      <c r="G613" s="14" t="n">
        <v>11.94</v>
      </c>
      <c r="H613" s="14" t="n">
        <v>1.24</v>
      </c>
      <c r="I613" s="14" t="n">
        <v>6.26</v>
      </c>
      <c r="J613" s="14" t="n">
        <v>0.1</v>
      </c>
      <c r="K613" s="14" t="n">
        <v>0.41</v>
      </c>
      <c r="L613" s="14" t="n">
        <v>9.43</v>
      </c>
      <c r="M613" s="14" t="n">
        <v>14.96</v>
      </c>
      <c r="N613" s="14" t="n">
        <v>6.75</v>
      </c>
      <c r="O613" s="14" t="n">
        <v>6.19</v>
      </c>
      <c r="P613" s="14" t="n">
        <v>0.63</v>
      </c>
      <c r="Q613" s="14" t="n">
        <v>0.66</v>
      </c>
      <c r="R613" s="14" t="n">
        <v>0.05</v>
      </c>
      <c r="S613" s="14" t="n">
        <v>6.14</v>
      </c>
      <c r="T613" s="14" t="n">
        <v>3.75</v>
      </c>
      <c r="U613" s="14" t="n">
        <v>18.89</v>
      </c>
      <c r="V613" s="14" t="n">
        <v>6.21</v>
      </c>
      <c r="W613" s="14" t="n">
        <v>2.61</v>
      </c>
      <c r="X613" s="14" t="n">
        <v>0.58</v>
      </c>
      <c r="Y613" s="14" t="n">
        <v>2.29</v>
      </c>
      <c r="Z613" s="14" t="n">
        <v>0.88</v>
      </c>
      <c r="AA613" s="14" t="n">
        <v>0</v>
      </c>
    </row>
    <row r="614">
      <c r="A614" t="inlineStr">
        <is>
          <t>180105</t>
        </is>
      </c>
      <c r="B614" t="inlineStr">
        <is>
          <t>MOQUEGUA</t>
        </is>
      </c>
      <c r="C614" t="inlineStr">
        <is>
          <t>MARISCAL NIETO</t>
        </is>
      </c>
      <c r="D614" t="inlineStr">
        <is>
          <t>SAN CRISTOBAL</t>
        </is>
      </c>
      <c r="E614" t="n">
        <v>953</v>
      </c>
      <c r="F614" s="14" t="n">
        <v>0</v>
      </c>
      <c r="G614" s="14" t="n">
        <v>72.61</v>
      </c>
      <c r="H614" s="14" t="n">
        <v>0.52</v>
      </c>
      <c r="I614" s="14" t="n">
        <v>1.47</v>
      </c>
      <c r="J614" s="14" t="n">
        <v>0.1</v>
      </c>
      <c r="K614" s="14" t="n">
        <v>0</v>
      </c>
      <c r="L614" s="14" t="n">
        <v>3.57</v>
      </c>
      <c r="M614" s="14" t="n">
        <v>5.14</v>
      </c>
      <c r="N614" s="14" t="n">
        <v>1.78</v>
      </c>
      <c r="O614" s="14" t="n">
        <v>0.9399999999999999</v>
      </c>
      <c r="P614" s="14" t="n">
        <v>0.21</v>
      </c>
      <c r="Q614" s="14" t="n">
        <v>0.21</v>
      </c>
      <c r="R614" s="14" t="n">
        <v>0</v>
      </c>
      <c r="S614" s="14" t="n">
        <v>2.31</v>
      </c>
      <c r="T614" s="14" t="n">
        <v>0.1</v>
      </c>
      <c r="U614" s="14" t="n">
        <v>5.14</v>
      </c>
      <c r="V614" s="14" t="n">
        <v>3.15</v>
      </c>
      <c r="W614" s="14" t="n">
        <v>0.73</v>
      </c>
      <c r="X614" s="14" t="n">
        <v>0</v>
      </c>
      <c r="Y614" s="14" t="n">
        <v>1.68</v>
      </c>
      <c r="Z614" s="14" t="n">
        <v>0.31</v>
      </c>
      <c r="AA614" s="14" t="n">
        <v>0</v>
      </c>
    </row>
    <row r="615">
      <c r="A615" t="inlineStr">
        <is>
          <t>180106</t>
        </is>
      </c>
      <c r="B615" t="inlineStr">
        <is>
          <t>MOQUEGUA</t>
        </is>
      </c>
      <c r="C615" t="inlineStr">
        <is>
          <t>MARISCAL NIETO</t>
        </is>
      </c>
      <c r="D615" t="inlineStr">
        <is>
          <t>TORATA</t>
        </is>
      </c>
      <c r="E615" t="n">
        <v>3789</v>
      </c>
      <c r="F615" s="14" t="n">
        <v>0</v>
      </c>
      <c r="G615" s="14" t="n">
        <v>20.24</v>
      </c>
      <c r="H615" s="14" t="n">
        <v>15.23</v>
      </c>
      <c r="I615" s="14" t="n">
        <v>7.05</v>
      </c>
      <c r="J615" s="14" t="n">
        <v>0.11</v>
      </c>
      <c r="K615" s="14" t="n">
        <v>0.79</v>
      </c>
      <c r="L615" s="14" t="n">
        <v>23.67</v>
      </c>
      <c r="M615" s="14" t="n">
        <v>7.86</v>
      </c>
      <c r="N615" s="14" t="n">
        <v>4.49</v>
      </c>
      <c r="O615" s="14" t="n">
        <v>2.93</v>
      </c>
      <c r="P615" s="14" t="n">
        <v>0.21</v>
      </c>
      <c r="Q615" s="14" t="n">
        <v>0.05</v>
      </c>
      <c r="R615" s="14" t="n">
        <v>0</v>
      </c>
      <c r="S615" s="14" t="n">
        <v>6.04</v>
      </c>
      <c r="T615" s="14" t="n">
        <v>4.22</v>
      </c>
      <c r="U615" s="14" t="n">
        <v>2.61</v>
      </c>
      <c r="V615" s="14" t="n">
        <v>1.58</v>
      </c>
      <c r="W615" s="14" t="n">
        <v>1.19</v>
      </c>
      <c r="X615" s="14" t="n">
        <v>0.05</v>
      </c>
      <c r="Y615" s="14" t="n">
        <v>1.27</v>
      </c>
      <c r="Z615" s="14" t="n">
        <v>0.4</v>
      </c>
      <c r="AA615" s="14" t="n">
        <v>0</v>
      </c>
    </row>
    <row r="616">
      <c r="A616" t="inlineStr">
        <is>
          <t>180107</t>
        </is>
      </c>
      <c r="B616" t="inlineStr">
        <is>
          <t>MOQUEGUA</t>
        </is>
      </c>
      <c r="C616" t="inlineStr">
        <is>
          <t>MARISCAL NIETO</t>
        </is>
      </c>
      <c r="D616" t="inlineStr">
        <is>
          <t>SAN ANTONIO</t>
        </is>
      </c>
      <c r="E616" t="n">
        <v>0</v>
      </c>
      <c r="F616" s="14" t="n">
        <v>0</v>
      </c>
      <c r="G616" s="14" t="n">
        <v>51.45</v>
      </c>
      <c r="H616" s="14" t="n">
        <v>1.05</v>
      </c>
      <c r="I616" s="14" t="n">
        <v>4.21</v>
      </c>
      <c r="J616" s="14" t="n">
        <v>0.09</v>
      </c>
      <c r="K616" s="14" t="n">
        <v>0.18</v>
      </c>
      <c r="L616" s="14" t="n">
        <v>7.95</v>
      </c>
      <c r="M616" s="14" t="n">
        <v>6.63</v>
      </c>
      <c r="N616" s="14" t="n">
        <v>3.78</v>
      </c>
      <c r="O616" s="14" t="n">
        <v>2.47</v>
      </c>
      <c r="P616" s="14" t="n">
        <v>0.18</v>
      </c>
      <c r="Q616" s="14" t="n">
        <v>0.18</v>
      </c>
      <c r="R616" s="14" t="n">
        <v>0</v>
      </c>
      <c r="S616" s="14" t="n">
        <v>5.09</v>
      </c>
      <c r="T616" s="14" t="n">
        <v>3.07</v>
      </c>
      <c r="U616" s="14" t="n">
        <v>6.9</v>
      </c>
      <c r="V616" s="14" t="n">
        <v>2.65</v>
      </c>
      <c r="W616" s="14" t="n">
        <v>1.8</v>
      </c>
      <c r="X616" s="14" t="n">
        <v>0.06</v>
      </c>
      <c r="Y616" s="14" t="n">
        <v>1.93</v>
      </c>
      <c r="Z616" s="14" t="n">
        <v>0.33</v>
      </c>
      <c r="AA616" s="14" t="n">
        <v>0</v>
      </c>
    </row>
    <row r="617">
      <c r="A617" t="inlineStr">
        <is>
          <t>180201</t>
        </is>
      </c>
      <c r="B617" t="inlineStr">
        <is>
          <t>MOQUEGUA</t>
        </is>
      </c>
      <c r="C617" t="inlineStr">
        <is>
          <t>GENERAL SANCHEZ CERRO</t>
        </is>
      </c>
      <c r="D617" t="inlineStr">
        <is>
          <t>OMATE</t>
        </is>
      </c>
      <c r="E617" t="n">
        <v>1594</v>
      </c>
      <c r="F617" s="14" t="n">
        <v>0</v>
      </c>
      <c r="G617" s="14" t="n">
        <v>43.1</v>
      </c>
      <c r="H617" s="14" t="n">
        <v>0.31</v>
      </c>
      <c r="I617" s="14" t="n">
        <v>1.82</v>
      </c>
      <c r="J617" s="14" t="n">
        <v>0</v>
      </c>
      <c r="K617" s="14" t="n">
        <v>0.19</v>
      </c>
      <c r="L617" s="14" t="n">
        <v>8.85</v>
      </c>
      <c r="M617" s="14" t="n">
        <v>7.97</v>
      </c>
      <c r="N617" s="14" t="n">
        <v>3.76</v>
      </c>
      <c r="O617" s="14" t="n">
        <v>2.63</v>
      </c>
      <c r="P617" s="14" t="n">
        <v>0.19</v>
      </c>
      <c r="Q617" s="14" t="n">
        <v>0.9399999999999999</v>
      </c>
      <c r="R617" s="14" t="n">
        <v>0</v>
      </c>
      <c r="S617" s="14" t="n">
        <v>5.58</v>
      </c>
      <c r="T617" s="14" t="n">
        <v>2.01</v>
      </c>
      <c r="U617" s="14" t="n">
        <v>8.59</v>
      </c>
      <c r="V617" s="14" t="n">
        <v>10.98</v>
      </c>
      <c r="W617" s="14" t="n">
        <v>1.51</v>
      </c>
      <c r="X617" s="14" t="n">
        <v>0</v>
      </c>
      <c r="Y617" s="14" t="n">
        <v>1.25</v>
      </c>
      <c r="Z617" s="14" t="n">
        <v>0.31</v>
      </c>
      <c r="AA617" s="14" t="n">
        <v>0</v>
      </c>
    </row>
    <row r="618">
      <c r="A618" t="inlineStr">
        <is>
          <t>180202</t>
        </is>
      </c>
      <c r="B618" t="inlineStr">
        <is>
          <t>MOQUEGUA</t>
        </is>
      </c>
      <c r="C618" t="inlineStr">
        <is>
          <t>GENERAL SANCHEZ CERRO</t>
        </is>
      </c>
      <c r="D618" t="inlineStr">
        <is>
          <t>CHOJATA</t>
        </is>
      </c>
      <c r="E618" t="n">
        <v>390</v>
      </c>
      <c r="F618" s="14" t="n">
        <v>0</v>
      </c>
      <c r="G618" s="14" t="n">
        <v>76.41</v>
      </c>
      <c r="H618" s="14" t="n">
        <v>0.26</v>
      </c>
      <c r="I618" s="14" t="n">
        <v>0.77</v>
      </c>
      <c r="J618" s="14" t="n">
        <v>0</v>
      </c>
      <c r="K618" s="14" t="n">
        <v>0</v>
      </c>
      <c r="L618" s="14" t="n">
        <v>3.08</v>
      </c>
      <c r="M618" s="14" t="n">
        <v>2.31</v>
      </c>
      <c r="N618" s="14" t="n">
        <v>1.28</v>
      </c>
      <c r="O618" s="14" t="n">
        <v>0.51</v>
      </c>
      <c r="P618" s="14" t="n">
        <v>0</v>
      </c>
      <c r="Q618" s="14" t="n">
        <v>0</v>
      </c>
      <c r="R618" s="14" t="n">
        <v>0</v>
      </c>
      <c r="S618" s="14" t="n">
        <v>0.51</v>
      </c>
      <c r="T618" s="14" t="n">
        <v>0.26</v>
      </c>
      <c r="U618" s="14" t="n">
        <v>7.95</v>
      </c>
      <c r="V618" s="14" t="n">
        <v>4.36</v>
      </c>
      <c r="W618" s="14" t="n">
        <v>2.31</v>
      </c>
      <c r="X618" s="14" t="n">
        <v>0</v>
      </c>
      <c r="Y618" s="14" t="n">
        <v>0</v>
      </c>
      <c r="Z618" s="14" t="n">
        <v>0</v>
      </c>
      <c r="AA618" s="14" t="n">
        <v>0</v>
      </c>
    </row>
    <row r="619">
      <c r="A619" t="inlineStr">
        <is>
          <t>180203</t>
        </is>
      </c>
      <c r="B619" t="inlineStr">
        <is>
          <t>MOQUEGUA</t>
        </is>
      </c>
      <c r="C619" t="inlineStr">
        <is>
          <t>GENERAL SANCHEZ CERRO</t>
        </is>
      </c>
      <c r="D619" t="inlineStr">
        <is>
          <t>COALAQUE</t>
        </is>
      </c>
      <c r="E619" t="n">
        <v>465</v>
      </c>
      <c r="F619" s="14" t="n">
        <v>0</v>
      </c>
      <c r="G619" s="14" t="n">
        <v>74.84</v>
      </c>
      <c r="H619" s="14" t="n">
        <v>0.43</v>
      </c>
      <c r="I619" s="14" t="n">
        <v>1.51</v>
      </c>
      <c r="J619" s="14" t="n">
        <v>0.22</v>
      </c>
      <c r="K619" s="14" t="n">
        <v>0</v>
      </c>
      <c r="L619" s="14" t="n">
        <v>4.52</v>
      </c>
      <c r="M619" s="14" t="n">
        <v>3.01</v>
      </c>
      <c r="N619" s="14" t="n">
        <v>0.86</v>
      </c>
      <c r="O619" s="14" t="n">
        <v>1.72</v>
      </c>
      <c r="P619" s="14" t="n">
        <v>0</v>
      </c>
      <c r="Q619" s="14" t="n">
        <v>0</v>
      </c>
      <c r="R619" s="14" t="n">
        <v>0</v>
      </c>
      <c r="S619" s="14" t="n">
        <v>1.94</v>
      </c>
      <c r="T619" s="14" t="n">
        <v>0.65</v>
      </c>
      <c r="U619" s="14" t="n">
        <v>4.52</v>
      </c>
      <c r="V619" s="14" t="n">
        <v>4.09</v>
      </c>
      <c r="W619" s="14" t="n">
        <v>1.08</v>
      </c>
      <c r="X619" s="14" t="n">
        <v>0.22</v>
      </c>
      <c r="Y619" s="14" t="n">
        <v>0.43</v>
      </c>
      <c r="Z619" s="14" t="n">
        <v>0</v>
      </c>
      <c r="AA619" s="14" t="n">
        <v>0</v>
      </c>
    </row>
    <row r="620">
      <c r="A620" t="inlineStr">
        <is>
          <t>180204</t>
        </is>
      </c>
      <c r="B620" t="inlineStr">
        <is>
          <t>MOQUEGUA</t>
        </is>
      </c>
      <c r="C620" t="inlineStr">
        <is>
          <t>GENERAL SANCHEZ CERRO</t>
        </is>
      </c>
      <c r="D620" t="inlineStr">
        <is>
          <t>ICHUÑA</t>
        </is>
      </c>
      <c r="E620" t="n">
        <v>1169</v>
      </c>
      <c r="F620" s="14" t="n">
        <v>0</v>
      </c>
      <c r="G620" s="14" t="n">
        <v>59.54</v>
      </c>
      <c r="H620" s="14" t="n">
        <v>5.56</v>
      </c>
      <c r="I620" s="14" t="n">
        <v>1.63</v>
      </c>
      <c r="J620" s="14" t="n">
        <v>0.09</v>
      </c>
      <c r="K620" s="14" t="n">
        <v>0</v>
      </c>
      <c r="L620" s="14" t="n">
        <v>7.53</v>
      </c>
      <c r="M620" s="14" t="n">
        <v>4.28</v>
      </c>
      <c r="N620" s="14" t="n">
        <v>1.63</v>
      </c>
      <c r="O620" s="14" t="n">
        <v>1.8</v>
      </c>
      <c r="P620" s="14" t="n">
        <v>0.34</v>
      </c>
      <c r="Q620" s="14" t="n">
        <v>0.26</v>
      </c>
      <c r="R620" s="14" t="n">
        <v>0</v>
      </c>
      <c r="S620" s="14" t="n">
        <v>1.8</v>
      </c>
      <c r="T620" s="14" t="n">
        <v>0.43</v>
      </c>
      <c r="U620" s="14" t="n">
        <v>4.28</v>
      </c>
      <c r="V620" s="14" t="n">
        <v>8.210000000000001</v>
      </c>
      <c r="W620" s="14" t="n">
        <v>2.05</v>
      </c>
      <c r="X620" s="14" t="n">
        <v>0.09</v>
      </c>
      <c r="Y620" s="14" t="n">
        <v>0.51</v>
      </c>
      <c r="Z620" s="14" t="n">
        <v>0</v>
      </c>
      <c r="AA620" s="14" t="n">
        <v>0</v>
      </c>
    </row>
    <row r="621">
      <c r="A621" t="inlineStr">
        <is>
          <t>180205</t>
        </is>
      </c>
      <c r="B621" t="inlineStr">
        <is>
          <t>MOQUEGUA</t>
        </is>
      </c>
      <c r="C621" t="inlineStr">
        <is>
          <t>GENERAL SANCHEZ CERRO</t>
        </is>
      </c>
      <c r="D621" t="inlineStr">
        <is>
          <t>LA CAPILLA</t>
        </is>
      </c>
      <c r="E621" t="n">
        <v>286</v>
      </c>
      <c r="F621" s="14" t="n">
        <v>0</v>
      </c>
      <c r="G621" s="14" t="n">
        <v>65.73</v>
      </c>
      <c r="H621" s="14" t="n">
        <v>0.7</v>
      </c>
      <c r="I621" s="14" t="n">
        <v>1.05</v>
      </c>
      <c r="J621" s="14" t="n">
        <v>0</v>
      </c>
      <c r="K621" s="14" t="n">
        <v>0</v>
      </c>
      <c r="L621" s="14" t="n">
        <v>6.99</v>
      </c>
      <c r="M621" s="14" t="n">
        <v>2.1</v>
      </c>
      <c r="N621" s="14" t="n">
        <v>5.24</v>
      </c>
      <c r="O621" s="14" t="n">
        <v>1.4</v>
      </c>
      <c r="P621" s="14" t="n">
        <v>0.35</v>
      </c>
      <c r="Q621" s="14" t="n">
        <v>0</v>
      </c>
      <c r="R621" s="14" t="n">
        <v>0</v>
      </c>
      <c r="S621" s="14" t="n">
        <v>1.75</v>
      </c>
      <c r="T621" s="14" t="n">
        <v>0.35</v>
      </c>
      <c r="U621" s="14" t="n">
        <v>5.94</v>
      </c>
      <c r="V621" s="14" t="n">
        <v>5.94</v>
      </c>
      <c r="W621" s="14" t="n">
        <v>2.45</v>
      </c>
      <c r="X621" s="14" t="n">
        <v>0</v>
      </c>
      <c r="Y621" s="14" t="n">
        <v>0</v>
      </c>
      <c r="Z621" s="14" t="n">
        <v>0</v>
      </c>
      <c r="AA621" s="14" t="n">
        <v>0</v>
      </c>
    </row>
    <row r="622">
      <c r="A622" t="inlineStr">
        <is>
          <t>180206</t>
        </is>
      </c>
      <c r="B622" t="inlineStr">
        <is>
          <t>MOQUEGUA</t>
        </is>
      </c>
      <c r="C622" t="inlineStr">
        <is>
          <t>GENERAL SANCHEZ CERRO</t>
        </is>
      </c>
      <c r="D622" t="inlineStr">
        <is>
          <t>LLOQUE</t>
        </is>
      </c>
      <c r="E622" t="n">
        <v>279</v>
      </c>
      <c r="F622" s="14" t="n">
        <v>0</v>
      </c>
      <c r="G622" s="14" t="n">
        <v>73.12</v>
      </c>
      <c r="H622" s="14" t="n">
        <v>0</v>
      </c>
      <c r="I622" s="14" t="n">
        <v>1.43</v>
      </c>
      <c r="J622" s="14" t="n">
        <v>0</v>
      </c>
      <c r="K622" s="14" t="n">
        <v>0</v>
      </c>
      <c r="L622" s="14" t="n">
        <v>4.3</v>
      </c>
      <c r="M622" s="14" t="n">
        <v>3.94</v>
      </c>
      <c r="N622" s="14" t="n">
        <v>1.79</v>
      </c>
      <c r="O622" s="14" t="n">
        <v>0.72</v>
      </c>
      <c r="P622" s="14" t="n">
        <v>0</v>
      </c>
      <c r="Q622" s="14" t="n">
        <v>0</v>
      </c>
      <c r="R622" s="14" t="n">
        <v>0</v>
      </c>
      <c r="S622" s="14" t="n">
        <v>1.43</v>
      </c>
      <c r="T622" s="14" t="n">
        <v>0.36</v>
      </c>
      <c r="U622" s="14" t="n">
        <v>5.02</v>
      </c>
      <c r="V622" s="14" t="n">
        <v>6.45</v>
      </c>
      <c r="W622" s="14" t="n">
        <v>1.08</v>
      </c>
      <c r="X622" s="14" t="n">
        <v>0</v>
      </c>
      <c r="Y622" s="14" t="n">
        <v>0.36</v>
      </c>
      <c r="Z622" s="14" t="n">
        <v>0</v>
      </c>
      <c r="AA622" s="14" t="n">
        <v>0</v>
      </c>
    </row>
    <row r="623">
      <c r="A623" t="inlineStr">
        <is>
          <t>180207</t>
        </is>
      </c>
      <c r="B623" t="inlineStr">
        <is>
          <t>MOQUEGUA</t>
        </is>
      </c>
      <c r="C623" t="inlineStr">
        <is>
          <t>GENERAL SANCHEZ CERRO</t>
        </is>
      </c>
      <c r="D623" t="inlineStr">
        <is>
          <t>MATALAQUE</t>
        </is>
      </c>
      <c r="E623" t="n">
        <v>217</v>
      </c>
      <c r="F623" s="14" t="n">
        <v>0</v>
      </c>
      <c r="G623" s="14" t="n">
        <v>71.89</v>
      </c>
      <c r="H623" s="14" t="n">
        <v>0.46</v>
      </c>
      <c r="I623" s="14" t="n">
        <v>0</v>
      </c>
      <c r="J623" s="14" t="n">
        <v>0</v>
      </c>
      <c r="K623" s="14" t="n">
        <v>0</v>
      </c>
      <c r="L623" s="14" t="n">
        <v>3.69</v>
      </c>
      <c r="M623" s="14" t="n">
        <v>0.46</v>
      </c>
      <c r="N623" s="14" t="n">
        <v>1.84</v>
      </c>
      <c r="O623" s="14" t="n">
        <v>0</v>
      </c>
      <c r="P623" s="14" t="n">
        <v>0</v>
      </c>
      <c r="Q623" s="14" t="n">
        <v>0</v>
      </c>
      <c r="R623" s="14" t="n">
        <v>0</v>
      </c>
      <c r="S623" s="14" t="n">
        <v>1.38</v>
      </c>
      <c r="T623" s="14" t="n">
        <v>0</v>
      </c>
      <c r="U623" s="14" t="n">
        <v>7.37</v>
      </c>
      <c r="V623" s="14" t="n">
        <v>7.83</v>
      </c>
      <c r="W623" s="14" t="n">
        <v>4.61</v>
      </c>
      <c r="X623" s="14" t="n">
        <v>0</v>
      </c>
      <c r="Y623" s="14" t="n">
        <v>0</v>
      </c>
      <c r="Z623" s="14" t="n">
        <v>0.46</v>
      </c>
      <c r="AA623" s="14" t="n">
        <v>0</v>
      </c>
    </row>
    <row r="624">
      <c r="A624" t="inlineStr">
        <is>
          <t>180208</t>
        </is>
      </c>
      <c r="B624" t="inlineStr">
        <is>
          <t>MOQUEGUA</t>
        </is>
      </c>
      <c r="C624" t="inlineStr">
        <is>
          <t>GENERAL SANCHEZ CERRO</t>
        </is>
      </c>
      <c r="D624" t="inlineStr">
        <is>
          <t>PUQUINA</t>
        </is>
      </c>
      <c r="E624" t="n">
        <v>1045</v>
      </c>
      <c r="F624" s="14" t="n">
        <v>0</v>
      </c>
      <c r="G624" s="14" t="n">
        <v>65.06999999999999</v>
      </c>
      <c r="H624" s="14" t="n">
        <v>2.11</v>
      </c>
      <c r="I624" s="14" t="n">
        <v>5.26</v>
      </c>
      <c r="J624" s="14" t="n">
        <v>0</v>
      </c>
      <c r="K624" s="14" t="n">
        <v>0.19</v>
      </c>
      <c r="L624" s="14" t="n">
        <v>3.16</v>
      </c>
      <c r="M624" s="14" t="n">
        <v>4.69</v>
      </c>
      <c r="N624" s="14" t="n">
        <v>2.97</v>
      </c>
      <c r="O624" s="14" t="n">
        <v>1.72</v>
      </c>
      <c r="P624" s="14" t="n">
        <v>0</v>
      </c>
      <c r="Q624" s="14" t="n">
        <v>0.19</v>
      </c>
      <c r="R624" s="14" t="n">
        <v>0</v>
      </c>
      <c r="S624" s="14" t="n">
        <v>0.77</v>
      </c>
      <c r="T624" s="14" t="n">
        <v>0.48</v>
      </c>
      <c r="U624" s="14" t="n">
        <v>7.18</v>
      </c>
      <c r="V624" s="14" t="n">
        <v>3.73</v>
      </c>
      <c r="W624" s="14" t="n">
        <v>2.11</v>
      </c>
      <c r="X624" s="14" t="n">
        <v>0.1</v>
      </c>
      <c r="Y624" s="14" t="n">
        <v>0.29</v>
      </c>
      <c r="Z624" s="14" t="n">
        <v>0</v>
      </c>
      <c r="AA624" s="14" t="n">
        <v>0</v>
      </c>
    </row>
    <row r="625">
      <c r="A625" t="inlineStr">
        <is>
          <t>180209</t>
        </is>
      </c>
      <c r="B625" t="inlineStr">
        <is>
          <t>MOQUEGUA</t>
        </is>
      </c>
      <c r="C625" t="inlineStr">
        <is>
          <t>GENERAL SANCHEZ CERRO</t>
        </is>
      </c>
      <c r="D625" t="inlineStr">
        <is>
          <t>QUINISTAQUILLAS</t>
        </is>
      </c>
      <c r="E625" t="n">
        <v>297</v>
      </c>
      <c r="F625" s="14" t="n">
        <v>0</v>
      </c>
      <c r="G625" s="14" t="n">
        <v>48.48</v>
      </c>
      <c r="H625" s="14" t="n">
        <v>0.34</v>
      </c>
      <c r="I625" s="14" t="n">
        <v>0.34</v>
      </c>
      <c r="J625" s="14" t="n">
        <v>0</v>
      </c>
      <c r="K625" s="14" t="n">
        <v>0</v>
      </c>
      <c r="L625" s="14" t="n">
        <v>6.4</v>
      </c>
      <c r="M625" s="14" t="n">
        <v>1.68</v>
      </c>
      <c r="N625" s="14" t="n">
        <v>2.69</v>
      </c>
      <c r="O625" s="14" t="n">
        <v>2.69</v>
      </c>
      <c r="P625" s="14" t="n">
        <v>0</v>
      </c>
      <c r="Q625" s="14" t="n">
        <v>0</v>
      </c>
      <c r="R625" s="14" t="n">
        <v>0</v>
      </c>
      <c r="S625" s="14" t="n">
        <v>1.35</v>
      </c>
      <c r="T625" s="14" t="n">
        <v>1.01</v>
      </c>
      <c r="U625" s="14" t="n">
        <v>25.93</v>
      </c>
      <c r="V625" s="14" t="n">
        <v>5.72</v>
      </c>
      <c r="W625" s="14" t="n">
        <v>1.35</v>
      </c>
      <c r="X625" s="14" t="n">
        <v>0</v>
      </c>
      <c r="Y625" s="14" t="n">
        <v>1.68</v>
      </c>
      <c r="Z625" s="14" t="n">
        <v>0.34</v>
      </c>
      <c r="AA625" s="14" t="n">
        <v>0</v>
      </c>
    </row>
    <row r="626">
      <c r="A626" t="inlineStr">
        <is>
          <t>180210</t>
        </is>
      </c>
      <c r="B626" t="inlineStr">
        <is>
          <t>MOQUEGUA</t>
        </is>
      </c>
      <c r="C626" t="inlineStr">
        <is>
          <t>GENERAL SANCHEZ CERRO</t>
        </is>
      </c>
      <c r="D626" t="inlineStr">
        <is>
          <t>UBINAS</t>
        </is>
      </c>
      <c r="E626" t="n">
        <v>792</v>
      </c>
      <c r="F626" s="14" t="n">
        <v>0</v>
      </c>
      <c r="G626" s="14" t="n">
        <v>61.87</v>
      </c>
      <c r="H626" s="14" t="n">
        <v>0</v>
      </c>
      <c r="I626" s="14" t="n">
        <v>1.26</v>
      </c>
      <c r="J626" s="14" t="n">
        <v>0</v>
      </c>
      <c r="K626" s="14" t="n">
        <v>0</v>
      </c>
      <c r="L626" s="14" t="n">
        <v>9.970000000000001</v>
      </c>
      <c r="M626" s="14" t="n">
        <v>3.16</v>
      </c>
      <c r="N626" s="14" t="n">
        <v>1.52</v>
      </c>
      <c r="O626" s="14" t="n">
        <v>1.39</v>
      </c>
      <c r="P626" s="14" t="n">
        <v>0.13</v>
      </c>
      <c r="Q626" s="14" t="n">
        <v>0</v>
      </c>
      <c r="R626" s="14" t="n">
        <v>0</v>
      </c>
      <c r="S626" s="14" t="n">
        <v>2.15</v>
      </c>
      <c r="T626" s="14" t="n">
        <v>0</v>
      </c>
      <c r="U626" s="14" t="n">
        <v>8.84</v>
      </c>
      <c r="V626" s="14" t="n">
        <v>6.94</v>
      </c>
      <c r="W626" s="14" t="n">
        <v>1.89</v>
      </c>
      <c r="X626" s="14" t="n">
        <v>0</v>
      </c>
      <c r="Y626" s="14" t="n">
        <v>0.88</v>
      </c>
      <c r="Z626" s="14" t="n">
        <v>0</v>
      </c>
      <c r="AA626" s="14" t="n">
        <v>0</v>
      </c>
    </row>
    <row r="627">
      <c r="A627" t="inlineStr">
        <is>
          <t>180211</t>
        </is>
      </c>
      <c r="B627" t="inlineStr">
        <is>
          <t>MOQUEGUA</t>
        </is>
      </c>
      <c r="C627" t="inlineStr">
        <is>
          <t>GENERAL SANCHEZ CERRO</t>
        </is>
      </c>
      <c r="D627" t="inlineStr">
        <is>
          <t>YUNGA</t>
        </is>
      </c>
      <c r="E627" t="n">
        <v>235</v>
      </c>
      <c r="F627" s="14" t="n">
        <v>0</v>
      </c>
      <c r="G627" s="14" t="n">
        <v>77.87</v>
      </c>
      <c r="H627" s="14" t="n">
        <v>0</v>
      </c>
      <c r="I627" s="14" t="n">
        <v>0</v>
      </c>
      <c r="J627" s="14" t="n">
        <v>0</v>
      </c>
      <c r="K627" s="14" t="n">
        <v>0</v>
      </c>
      <c r="L627" s="14" t="n">
        <v>4.68</v>
      </c>
      <c r="M627" s="14" t="n">
        <v>0.43</v>
      </c>
      <c r="N627" s="14" t="n">
        <v>0.43</v>
      </c>
      <c r="O627" s="14" t="n">
        <v>0</v>
      </c>
      <c r="P627" s="14" t="n">
        <v>0</v>
      </c>
      <c r="Q627" s="14" t="n">
        <v>0</v>
      </c>
      <c r="R627" s="14" t="n">
        <v>0</v>
      </c>
      <c r="S627" s="14" t="n">
        <v>1.7</v>
      </c>
      <c r="T627" s="14" t="n">
        <v>0.43</v>
      </c>
      <c r="U627" s="14" t="n">
        <v>0.43</v>
      </c>
      <c r="V627" s="14" t="n">
        <v>12.77</v>
      </c>
      <c r="W627" s="14" t="n">
        <v>0.85</v>
      </c>
      <c r="X627" s="14" t="n">
        <v>0.43</v>
      </c>
      <c r="Y627" s="14" t="n">
        <v>0</v>
      </c>
      <c r="Z627" s="14" t="n">
        <v>0</v>
      </c>
      <c r="AA627" s="14" t="n">
        <v>0</v>
      </c>
    </row>
    <row r="628">
      <c r="A628" t="inlineStr">
        <is>
          <t>180301</t>
        </is>
      </c>
      <c r="B628" t="inlineStr">
        <is>
          <t>MOQUEGUA</t>
        </is>
      </c>
      <c r="C628" t="inlineStr">
        <is>
          <t>ILO</t>
        </is>
      </c>
      <c r="D628" t="inlineStr">
        <is>
          <t>ILO</t>
        </is>
      </c>
      <c r="E628" t="n">
        <v>30058</v>
      </c>
      <c r="F628" s="14" t="n">
        <v>0.855</v>
      </c>
      <c r="G628" s="14" t="n">
        <v>6.56</v>
      </c>
      <c r="H628" s="14" t="n">
        <v>1.56</v>
      </c>
      <c r="I628" s="14" t="n">
        <v>7.99</v>
      </c>
      <c r="J628" s="14" t="n">
        <v>0.39</v>
      </c>
      <c r="K628" s="14" t="n">
        <v>0.33</v>
      </c>
      <c r="L628" s="14" t="n">
        <v>10.44</v>
      </c>
      <c r="M628" s="14" t="n">
        <v>22.12</v>
      </c>
      <c r="N628" s="14" t="n">
        <v>10.21</v>
      </c>
      <c r="O628" s="14" t="n">
        <v>8.41</v>
      </c>
      <c r="P628" s="14" t="n">
        <v>0.76</v>
      </c>
      <c r="Q628" s="14" t="n">
        <v>1.18</v>
      </c>
      <c r="R628" s="14" t="n">
        <v>0.09</v>
      </c>
      <c r="S628" s="14" t="n">
        <v>6.21</v>
      </c>
      <c r="T628" s="14" t="n">
        <v>4.68</v>
      </c>
      <c r="U628" s="14" t="n">
        <v>5.09</v>
      </c>
      <c r="V628" s="14" t="n">
        <v>5.62</v>
      </c>
      <c r="W628" s="14" t="n">
        <v>2.77</v>
      </c>
      <c r="X628" s="14" t="n">
        <v>0.9</v>
      </c>
      <c r="Y628" s="14" t="n">
        <v>3.41</v>
      </c>
      <c r="Z628" s="14" t="n">
        <v>1.26</v>
      </c>
      <c r="AA628" s="14" t="n">
        <v>0</v>
      </c>
    </row>
    <row r="629">
      <c r="A629" t="inlineStr">
        <is>
          <t>180302</t>
        </is>
      </c>
      <c r="B629" t="inlineStr">
        <is>
          <t>MOQUEGUA</t>
        </is>
      </c>
      <c r="C629" t="inlineStr">
        <is>
          <t>ILO</t>
        </is>
      </c>
      <c r="D629" t="inlineStr">
        <is>
          <t>EL ALGARROBAL</t>
        </is>
      </c>
      <c r="E629" t="n">
        <v>1605</v>
      </c>
      <c r="F629" s="14" t="n">
        <v>0</v>
      </c>
      <c r="G629" s="14" t="n">
        <v>10.59</v>
      </c>
      <c r="H629" s="14" t="n">
        <v>0.37</v>
      </c>
      <c r="I629" s="14" t="n">
        <v>6.98</v>
      </c>
      <c r="J629" s="14" t="n">
        <v>0.06</v>
      </c>
      <c r="K629" s="14" t="n">
        <v>0.19</v>
      </c>
      <c r="L629" s="14" t="n">
        <v>18.63</v>
      </c>
      <c r="M629" s="14" t="n">
        <v>18.82</v>
      </c>
      <c r="N629" s="14" t="n">
        <v>16.7</v>
      </c>
      <c r="O629" s="14" t="n">
        <v>9.279999999999999</v>
      </c>
      <c r="P629" s="14" t="n">
        <v>0.19</v>
      </c>
      <c r="Q629" s="14" t="n">
        <v>0.5600000000000001</v>
      </c>
      <c r="R629" s="14" t="n">
        <v>0</v>
      </c>
      <c r="S629" s="14" t="n">
        <v>3.43</v>
      </c>
      <c r="T629" s="14" t="n">
        <v>2.12</v>
      </c>
      <c r="U629" s="14" t="n">
        <v>3.55</v>
      </c>
      <c r="V629" s="14" t="n">
        <v>2.37</v>
      </c>
      <c r="W629" s="14" t="n">
        <v>1.43</v>
      </c>
      <c r="X629" s="14" t="n">
        <v>0.5</v>
      </c>
      <c r="Y629" s="14" t="n">
        <v>2.74</v>
      </c>
      <c r="Z629" s="14" t="n">
        <v>1.5</v>
      </c>
      <c r="AA629" s="14" t="n">
        <v>0</v>
      </c>
    </row>
    <row r="630">
      <c r="A630" t="inlineStr">
        <is>
          <t>180303</t>
        </is>
      </c>
      <c r="B630" t="inlineStr">
        <is>
          <t>MOQUEGUA</t>
        </is>
      </c>
      <c r="C630" t="inlineStr">
        <is>
          <t>ILO</t>
        </is>
      </c>
      <c r="D630" t="inlineStr">
        <is>
          <t>PACOCHA</t>
        </is>
      </c>
      <c r="E630" t="n">
        <v>2029</v>
      </c>
      <c r="F630" s="14" t="n">
        <v>0</v>
      </c>
      <c r="G630" s="14" t="n">
        <v>1.58</v>
      </c>
      <c r="H630" s="14" t="n">
        <v>14.93</v>
      </c>
      <c r="I630" s="14" t="n">
        <v>9.960000000000001</v>
      </c>
      <c r="J630" s="14" t="n">
        <v>2.22</v>
      </c>
      <c r="K630" s="14" t="n">
        <v>0.39</v>
      </c>
      <c r="L630" s="14" t="n">
        <v>7.2</v>
      </c>
      <c r="M630" s="14" t="n">
        <v>12.91</v>
      </c>
      <c r="N630" s="14" t="n">
        <v>5.52</v>
      </c>
      <c r="O630" s="14" t="n">
        <v>4.44</v>
      </c>
      <c r="P630" s="14" t="n">
        <v>0.84</v>
      </c>
      <c r="Q630" s="14" t="n">
        <v>2.61</v>
      </c>
      <c r="R630" s="14" t="n">
        <v>0.2</v>
      </c>
      <c r="S630" s="14" t="n">
        <v>10.65</v>
      </c>
      <c r="T630" s="14" t="n">
        <v>3.25</v>
      </c>
      <c r="U630" s="14" t="n">
        <v>5.17</v>
      </c>
      <c r="V630" s="14" t="n">
        <v>9.17</v>
      </c>
      <c r="W630" s="14" t="n">
        <v>5.32</v>
      </c>
      <c r="X630" s="14" t="n">
        <v>0.79</v>
      </c>
      <c r="Y630" s="14" t="n">
        <v>2.07</v>
      </c>
      <c r="Z630" s="14" t="n">
        <v>0.79</v>
      </c>
      <c r="AA630" s="14" t="n">
        <v>0</v>
      </c>
    </row>
    <row r="631">
      <c r="A631" t="inlineStr">
        <is>
          <t>190101</t>
        </is>
      </c>
      <c r="B631" t="inlineStr">
        <is>
          <t>PASCO</t>
        </is>
      </c>
      <c r="C631" t="inlineStr">
        <is>
          <t>PASCO</t>
        </is>
      </c>
      <c r="D631" t="inlineStr">
        <is>
          <t>CHAUPIMARCA</t>
        </is>
      </c>
      <c r="E631" t="n">
        <v>9522</v>
      </c>
      <c r="F631" s="14" t="n">
        <v>0</v>
      </c>
      <c r="G631" s="14" t="n">
        <v>1.87</v>
      </c>
      <c r="H631" s="14" t="n">
        <v>5.66</v>
      </c>
      <c r="I631" s="14" t="n">
        <v>6.01</v>
      </c>
      <c r="J631" s="14" t="n">
        <v>0.09</v>
      </c>
      <c r="K631" s="14" t="n">
        <v>0.27</v>
      </c>
      <c r="L631" s="14" t="n">
        <v>9.76</v>
      </c>
      <c r="M631" s="14" t="n">
        <v>25.05</v>
      </c>
      <c r="N631" s="14" t="n">
        <v>9.880000000000001</v>
      </c>
      <c r="O631" s="14" t="n">
        <v>7.42</v>
      </c>
      <c r="P631" s="14" t="n">
        <v>0.88</v>
      </c>
      <c r="Q631" s="14" t="n">
        <v>0.8</v>
      </c>
      <c r="R631" s="14" t="n">
        <v>0</v>
      </c>
      <c r="S631" s="14" t="n">
        <v>3.55</v>
      </c>
      <c r="T631" s="14" t="n">
        <v>2.69</v>
      </c>
      <c r="U631" s="14" t="n">
        <v>5.94</v>
      </c>
      <c r="V631" s="14" t="n">
        <v>10.99</v>
      </c>
      <c r="W631" s="14" t="n">
        <v>3.43</v>
      </c>
      <c r="X631" s="14" t="n">
        <v>1.13</v>
      </c>
      <c r="Y631" s="14" t="n">
        <v>3.79</v>
      </c>
      <c r="Z631" s="14" t="n">
        <v>0.77</v>
      </c>
      <c r="AA631" s="14" t="n">
        <v>0.01</v>
      </c>
    </row>
    <row r="632">
      <c r="A632" t="inlineStr">
        <is>
          <t>190102</t>
        </is>
      </c>
      <c r="B632" t="inlineStr">
        <is>
          <t>PASCO</t>
        </is>
      </c>
      <c r="C632" t="inlineStr">
        <is>
          <t>PASCO</t>
        </is>
      </c>
      <c r="D632" t="inlineStr">
        <is>
          <t>HUACHON</t>
        </is>
      </c>
      <c r="E632" t="n">
        <v>1373</v>
      </c>
      <c r="F632" s="14" t="n">
        <v>0</v>
      </c>
      <c r="G632" s="14" t="n">
        <v>76.91</v>
      </c>
      <c r="H632" s="14" t="n">
        <v>1.09</v>
      </c>
      <c r="I632" s="14" t="n">
        <v>1.75</v>
      </c>
      <c r="J632" s="14" t="n">
        <v>0</v>
      </c>
      <c r="K632" s="14" t="n">
        <v>0.22</v>
      </c>
      <c r="L632" s="14" t="n">
        <v>2.84</v>
      </c>
      <c r="M632" s="14" t="n">
        <v>6.19</v>
      </c>
      <c r="N632" s="14" t="n">
        <v>1.46</v>
      </c>
      <c r="O632" s="14" t="n">
        <v>1.17</v>
      </c>
      <c r="P632" s="14" t="n">
        <v>0.07000000000000001</v>
      </c>
      <c r="Q632" s="14" t="n">
        <v>0.15</v>
      </c>
      <c r="R632" s="14" t="n">
        <v>0</v>
      </c>
      <c r="S632" s="14" t="n">
        <v>0.44</v>
      </c>
      <c r="T632" s="14" t="n">
        <v>0.36</v>
      </c>
      <c r="U632" s="14" t="n">
        <v>3.28</v>
      </c>
      <c r="V632" s="14" t="n">
        <v>2.55</v>
      </c>
      <c r="W632" s="14" t="n">
        <v>0.87</v>
      </c>
      <c r="X632" s="14" t="n">
        <v>0</v>
      </c>
      <c r="Y632" s="14" t="n">
        <v>0.44</v>
      </c>
      <c r="Z632" s="14" t="n">
        <v>0.22</v>
      </c>
      <c r="AA632" s="14" t="n">
        <v>0</v>
      </c>
    </row>
    <row r="633">
      <c r="A633" t="inlineStr">
        <is>
          <t>190103</t>
        </is>
      </c>
      <c r="B633" t="inlineStr">
        <is>
          <t>PASCO</t>
        </is>
      </c>
      <c r="C633" t="inlineStr">
        <is>
          <t>PASCO</t>
        </is>
      </c>
      <c r="D633" t="inlineStr">
        <is>
          <t>HUARIACA</t>
        </is>
      </c>
      <c r="E633" t="n">
        <v>2112</v>
      </c>
      <c r="F633" s="14" t="n">
        <v>0</v>
      </c>
      <c r="G633" s="14" t="n">
        <v>20.45</v>
      </c>
      <c r="H633" s="14" t="n">
        <v>5.97</v>
      </c>
      <c r="I633" s="14" t="n">
        <v>3.6</v>
      </c>
      <c r="J633" s="14" t="n">
        <v>0.14</v>
      </c>
      <c r="K633" s="14" t="n">
        <v>0</v>
      </c>
      <c r="L633" s="14" t="n">
        <v>10.56</v>
      </c>
      <c r="M633" s="14" t="n">
        <v>14.2</v>
      </c>
      <c r="N633" s="14" t="n">
        <v>8.66</v>
      </c>
      <c r="O633" s="14" t="n">
        <v>5.82</v>
      </c>
      <c r="P633" s="14" t="n">
        <v>0.14</v>
      </c>
      <c r="Q633" s="14" t="n">
        <v>0.33</v>
      </c>
      <c r="R633" s="14" t="n">
        <v>0</v>
      </c>
      <c r="S633" s="14" t="n">
        <v>2.18</v>
      </c>
      <c r="T633" s="14" t="n">
        <v>2.84</v>
      </c>
      <c r="U633" s="14" t="n">
        <v>5.02</v>
      </c>
      <c r="V633" s="14" t="n">
        <v>8.050000000000001</v>
      </c>
      <c r="W633" s="14" t="n">
        <v>8.380000000000001</v>
      </c>
      <c r="X633" s="14" t="n">
        <v>0.62</v>
      </c>
      <c r="Y633" s="14" t="n">
        <v>2.65</v>
      </c>
      <c r="Z633" s="14" t="n">
        <v>0.38</v>
      </c>
      <c r="AA633" s="14" t="n">
        <v>0</v>
      </c>
    </row>
    <row r="634">
      <c r="A634" t="inlineStr">
        <is>
          <t>190104</t>
        </is>
      </c>
      <c r="B634" t="inlineStr">
        <is>
          <t>PASCO</t>
        </is>
      </c>
      <c r="C634" t="inlineStr">
        <is>
          <t>PASCO</t>
        </is>
      </c>
      <c r="D634" t="inlineStr">
        <is>
          <t>HUAYLLAY</t>
        </is>
      </c>
      <c r="E634" t="n">
        <v>4470</v>
      </c>
      <c r="F634" s="14" t="n">
        <v>0</v>
      </c>
      <c r="G634" s="14" t="n">
        <v>5.32</v>
      </c>
      <c r="H634" s="14" t="n">
        <v>55.59</v>
      </c>
      <c r="I634" s="14" t="n">
        <v>1.66</v>
      </c>
      <c r="J634" s="14" t="n">
        <v>0.02</v>
      </c>
      <c r="K634" s="14" t="n">
        <v>0.04</v>
      </c>
      <c r="L634" s="14" t="n">
        <v>6.35</v>
      </c>
      <c r="M634" s="14" t="n">
        <v>8.5</v>
      </c>
      <c r="N634" s="14" t="n">
        <v>5.06</v>
      </c>
      <c r="O634" s="14" t="n">
        <v>3.89</v>
      </c>
      <c r="P634" s="14" t="n">
        <v>0.29</v>
      </c>
      <c r="Q634" s="14" t="n">
        <v>0.36</v>
      </c>
      <c r="R634" s="14" t="n">
        <v>0.02</v>
      </c>
      <c r="S634" s="14" t="n">
        <v>1.54</v>
      </c>
      <c r="T634" s="14" t="n">
        <v>3.53</v>
      </c>
      <c r="U634" s="14" t="n">
        <v>2.64</v>
      </c>
      <c r="V634" s="14" t="n">
        <v>2.66</v>
      </c>
      <c r="W634" s="14" t="n">
        <v>0.78</v>
      </c>
      <c r="X634" s="14" t="n">
        <v>0.11</v>
      </c>
      <c r="Y634" s="14" t="n">
        <v>1.43</v>
      </c>
      <c r="Z634" s="14" t="n">
        <v>0.18</v>
      </c>
      <c r="AA634" s="14" t="n">
        <v>0</v>
      </c>
    </row>
    <row r="635">
      <c r="A635" t="inlineStr">
        <is>
          <t>190105</t>
        </is>
      </c>
      <c r="B635" t="inlineStr">
        <is>
          <t>PASCO</t>
        </is>
      </c>
      <c r="C635" t="inlineStr">
        <is>
          <t>PASCO</t>
        </is>
      </c>
      <c r="D635" t="inlineStr">
        <is>
          <t>NINACACA</t>
        </is>
      </c>
      <c r="E635" t="n">
        <v>1284</v>
      </c>
      <c r="F635" s="14" t="n">
        <v>0</v>
      </c>
      <c r="G635" s="14" t="n">
        <v>47.74</v>
      </c>
      <c r="H635" s="14" t="n">
        <v>1.71</v>
      </c>
      <c r="I635" s="14" t="n">
        <v>3.27</v>
      </c>
      <c r="J635" s="14" t="n">
        <v>0</v>
      </c>
      <c r="K635" s="14" t="n">
        <v>0</v>
      </c>
      <c r="L635" s="14" t="n">
        <v>10.12</v>
      </c>
      <c r="M635" s="14" t="n">
        <v>15.73</v>
      </c>
      <c r="N635" s="14" t="n">
        <v>7.87</v>
      </c>
      <c r="O635" s="14" t="n">
        <v>2.18</v>
      </c>
      <c r="P635" s="14" t="n">
        <v>0.08</v>
      </c>
      <c r="Q635" s="14" t="n">
        <v>0</v>
      </c>
      <c r="R635" s="14" t="n">
        <v>0</v>
      </c>
      <c r="S635" s="14" t="n">
        <v>0.86</v>
      </c>
      <c r="T635" s="14" t="n">
        <v>1.17</v>
      </c>
      <c r="U635" s="14" t="n">
        <v>4.05</v>
      </c>
      <c r="V635" s="14" t="n">
        <v>2.34</v>
      </c>
      <c r="W635" s="14" t="n">
        <v>1.32</v>
      </c>
      <c r="X635" s="14" t="n">
        <v>0.31</v>
      </c>
      <c r="Y635" s="14" t="n">
        <v>1.17</v>
      </c>
      <c r="Z635" s="14" t="n">
        <v>0.08</v>
      </c>
      <c r="AA635" s="14" t="n">
        <v>0</v>
      </c>
    </row>
    <row r="636">
      <c r="A636" t="inlineStr">
        <is>
          <t>190106</t>
        </is>
      </c>
      <c r="B636" t="inlineStr">
        <is>
          <t>PASCO</t>
        </is>
      </c>
      <c r="C636" t="inlineStr">
        <is>
          <t>PASCO</t>
        </is>
      </c>
      <c r="D636" t="inlineStr">
        <is>
          <t>PALLANCHACRA</t>
        </is>
      </c>
      <c r="E636" t="n">
        <v>518</v>
      </c>
      <c r="F636" s="14" t="n">
        <v>0</v>
      </c>
      <c r="G636" s="14" t="n">
        <v>61.78</v>
      </c>
      <c r="H636" s="14" t="n">
        <v>2.51</v>
      </c>
      <c r="I636" s="14" t="n">
        <v>0.77</v>
      </c>
      <c r="J636" s="14" t="n">
        <v>0</v>
      </c>
      <c r="K636" s="14" t="n">
        <v>0</v>
      </c>
      <c r="L636" s="14" t="n">
        <v>6.76</v>
      </c>
      <c r="M636" s="14" t="n">
        <v>5.98</v>
      </c>
      <c r="N636" s="14" t="n">
        <v>7.14</v>
      </c>
      <c r="O636" s="14" t="n">
        <v>1.35</v>
      </c>
      <c r="P636" s="14" t="n">
        <v>0.19</v>
      </c>
      <c r="Q636" s="14" t="n">
        <v>0</v>
      </c>
      <c r="R636" s="14" t="n">
        <v>0</v>
      </c>
      <c r="S636" s="14" t="n">
        <v>0.39</v>
      </c>
      <c r="T636" s="14" t="n">
        <v>2.12</v>
      </c>
      <c r="U636" s="14" t="n">
        <v>5.21</v>
      </c>
      <c r="V636" s="14" t="n">
        <v>3.09</v>
      </c>
      <c r="W636" s="14" t="n">
        <v>2.12</v>
      </c>
      <c r="X636" s="14" t="n">
        <v>0.19</v>
      </c>
      <c r="Y636" s="14" t="n">
        <v>0.19</v>
      </c>
      <c r="Z636" s="14" t="n">
        <v>0.19</v>
      </c>
      <c r="AA636" s="14" t="n">
        <v>0</v>
      </c>
    </row>
    <row r="637">
      <c r="A637" t="inlineStr">
        <is>
          <t>190107</t>
        </is>
      </c>
      <c r="B637" t="inlineStr">
        <is>
          <t>PASCO</t>
        </is>
      </c>
      <c r="C637" t="inlineStr">
        <is>
          <t>PASCO</t>
        </is>
      </c>
      <c r="D637" t="inlineStr">
        <is>
          <t>PAUCARTAMBO</t>
        </is>
      </c>
      <c r="E637" t="n">
        <v>4855</v>
      </c>
      <c r="F637" s="14" t="n">
        <v>0</v>
      </c>
      <c r="G637" s="14" t="n">
        <v>70.03</v>
      </c>
      <c r="H637" s="14" t="n">
        <v>0.37</v>
      </c>
      <c r="I637" s="14" t="n">
        <v>1.73</v>
      </c>
      <c r="J637" s="14" t="n">
        <v>0.47</v>
      </c>
      <c r="K637" s="14" t="n">
        <v>0.02</v>
      </c>
      <c r="L637" s="14" t="n">
        <v>3.56</v>
      </c>
      <c r="M637" s="14" t="n">
        <v>8.380000000000001</v>
      </c>
      <c r="N637" s="14" t="n">
        <v>2.64</v>
      </c>
      <c r="O637" s="14" t="n">
        <v>1.89</v>
      </c>
      <c r="P637" s="14" t="n">
        <v>0.19</v>
      </c>
      <c r="Q637" s="14" t="n">
        <v>0.14</v>
      </c>
      <c r="R637" s="14" t="n">
        <v>0</v>
      </c>
      <c r="S637" s="14" t="n">
        <v>1.96</v>
      </c>
      <c r="T637" s="14" t="n">
        <v>0.23</v>
      </c>
      <c r="U637" s="14" t="n">
        <v>2.68</v>
      </c>
      <c r="V637" s="14" t="n">
        <v>3.52</v>
      </c>
      <c r="W637" s="14" t="n">
        <v>1.17</v>
      </c>
      <c r="X637" s="14" t="n">
        <v>0.1</v>
      </c>
      <c r="Y637" s="14" t="n">
        <v>0.8</v>
      </c>
      <c r="Z637" s="14" t="n">
        <v>0.1</v>
      </c>
      <c r="AA637" s="14" t="n">
        <v>0</v>
      </c>
    </row>
    <row r="638">
      <c r="A638" t="inlineStr">
        <is>
          <t>190108</t>
        </is>
      </c>
      <c r="B638" t="inlineStr">
        <is>
          <t>PASCO</t>
        </is>
      </c>
      <c r="C638" t="inlineStr">
        <is>
          <t>PASCO</t>
        </is>
      </c>
      <c r="D638" t="inlineStr">
        <is>
          <t>SAN FRANCISCO DE ASIS DE YARUSYACAN</t>
        </is>
      </c>
      <c r="E638" t="n">
        <v>1988</v>
      </c>
      <c r="F638" s="14" t="n">
        <v>0</v>
      </c>
      <c r="G638" s="14" t="n">
        <v>26.31</v>
      </c>
      <c r="H638" s="14" t="n">
        <v>42.35</v>
      </c>
      <c r="I638" s="14" t="n">
        <v>1.16</v>
      </c>
      <c r="J638" s="14" t="n">
        <v>0.05</v>
      </c>
      <c r="K638" s="14" t="n">
        <v>0.1</v>
      </c>
      <c r="L638" s="14" t="n">
        <v>10.31</v>
      </c>
      <c r="M638" s="14" t="n">
        <v>5.99</v>
      </c>
      <c r="N638" s="14" t="n">
        <v>3.07</v>
      </c>
      <c r="O638" s="14" t="n">
        <v>2.41</v>
      </c>
      <c r="P638" s="14" t="n">
        <v>0.2</v>
      </c>
      <c r="Q638" s="14" t="n">
        <v>0.15</v>
      </c>
      <c r="R638" s="14" t="n">
        <v>0</v>
      </c>
      <c r="S638" s="14" t="n">
        <v>1.41</v>
      </c>
      <c r="T638" s="14" t="n">
        <v>0.91</v>
      </c>
      <c r="U638" s="14" t="n">
        <v>3.17</v>
      </c>
      <c r="V638" s="14" t="n">
        <v>0.86</v>
      </c>
      <c r="W638" s="14" t="n">
        <v>0.45</v>
      </c>
      <c r="X638" s="14" t="n">
        <v>0.1</v>
      </c>
      <c r="Y638" s="14" t="n">
        <v>0.96</v>
      </c>
      <c r="Z638" s="14" t="n">
        <v>0.05</v>
      </c>
      <c r="AA638" s="14" t="n">
        <v>0</v>
      </c>
    </row>
    <row r="639">
      <c r="A639" t="inlineStr">
        <is>
          <t>190109</t>
        </is>
      </c>
      <c r="B639" t="inlineStr">
        <is>
          <t>PASCO</t>
        </is>
      </c>
      <c r="C639" t="inlineStr">
        <is>
          <t>PASCO</t>
        </is>
      </c>
      <c r="D639" t="inlineStr">
        <is>
          <t>SIMON BOLIVAR</t>
        </is>
      </c>
      <c r="E639" t="n">
        <v>4508</v>
      </c>
      <c r="F639" s="14" t="n">
        <v>0</v>
      </c>
      <c r="G639" s="14" t="n">
        <v>9.09</v>
      </c>
      <c r="H639" s="14" t="n">
        <v>16.19</v>
      </c>
      <c r="I639" s="14" t="n">
        <v>4.24</v>
      </c>
      <c r="J639" s="14" t="n">
        <v>0.04</v>
      </c>
      <c r="K639" s="14" t="n">
        <v>0.22</v>
      </c>
      <c r="L639" s="14" t="n">
        <v>13.49</v>
      </c>
      <c r="M639" s="14" t="n">
        <v>11.89</v>
      </c>
      <c r="N639" s="14" t="n">
        <v>8.140000000000001</v>
      </c>
      <c r="O639" s="14" t="n">
        <v>3.19</v>
      </c>
      <c r="P639" s="14" t="n">
        <v>0.49</v>
      </c>
      <c r="Q639" s="14" t="n">
        <v>0.49</v>
      </c>
      <c r="R639" s="14" t="n">
        <v>0.02</v>
      </c>
      <c r="S639" s="14" t="n">
        <v>4.9</v>
      </c>
      <c r="T639" s="14" t="n">
        <v>6.5</v>
      </c>
      <c r="U639" s="14" t="n">
        <v>5.46</v>
      </c>
      <c r="V639" s="14" t="n">
        <v>8.67</v>
      </c>
      <c r="W639" s="14" t="n">
        <v>3.97</v>
      </c>
      <c r="X639" s="14" t="n">
        <v>0.38</v>
      </c>
      <c r="Y639" s="14" t="n">
        <v>2.24</v>
      </c>
      <c r="Z639" s="14" t="n">
        <v>0.35</v>
      </c>
      <c r="AA639" s="14" t="n">
        <v>0.02</v>
      </c>
    </row>
    <row r="640">
      <c r="A640" t="inlineStr">
        <is>
          <t>190110</t>
        </is>
      </c>
      <c r="B640" t="inlineStr">
        <is>
          <t>PASCO</t>
        </is>
      </c>
      <c r="C640" t="inlineStr">
        <is>
          <t>PASCO</t>
        </is>
      </c>
      <c r="D640" t="inlineStr">
        <is>
          <t>TICLACAYAN</t>
        </is>
      </c>
      <c r="E640" t="n">
        <v>949</v>
      </c>
      <c r="F640" s="14" t="n">
        <v>0</v>
      </c>
      <c r="G640" s="14" t="n">
        <v>61.96</v>
      </c>
      <c r="H640" s="14" t="n">
        <v>7.38</v>
      </c>
      <c r="I640" s="14" t="n">
        <v>2.32</v>
      </c>
      <c r="J640" s="14" t="n">
        <v>0</v>
      </c>
      <c r="K640" s="14" t="n">
        <v>0.21</v>
      </c>
      <c r="L640" s="14" t="n">
        <v>4.85</v>
      </c>
      <c r="M640" s="14" t="n">
        <v>5.58</v>
      </c>
      <c r="N640" s="14" t="n">
        <v>2.53</v>
      </c>
      <c r="O640" s="14" t="n">
        <v>1.58</v>
      </c>
      <c r="P640" s="14" t="n">
        <v>0</v>
      </c>
      <c r="Q640" s="14" t="n">
        <v>0</v>
      </c>
      <c r="R640" s="14" t="n">
        <v>0</v>
      </c>
      <c r="S640" s="14" t="n">
        <v>2</v>
      </c>
      <c r="T640" s="14" t="n">
        <v>0.32</v>
      </c>
      <c r="U640" s="14" t="n">
        <v>5.9</v>
      </c>
      <c r="V640" s="14" t="n">
        <v>2.85</v>
      </c>
      <c r="W640" s="14" t="n">
        <v>1.26</v>
      </c>
      <c r="X640" s="14" t="n">
        <v>0</v>
      </c>
      <c r="Y640" s="14" t="n">
        <v>0.74</v>
      </c>
      <c r="Z640" s="14" t="n">
        <v>0.53</v>
      </c>
      <c r="AA640" s="14" t="n">
        <v>0</v>
      </c>
    </row>
    <row r="641">
      <c r="A641" t="inlineStr">
        <is>
          <t>190111</t>
        </is>
      </c>
      <c r="B641" t="inlineStr">
        <is>
          <t>PASCO</t>
        </is>
      </c>
      <c r="C641" t="inlineStr">
        <is>
          <t>PASCO</t>
        </is>
      </c>
      <c r="D641" t="inlineStr">
        <is>
          <t>TINYAHUARCO</t>
        </is>
      </c>
      <c r="E641" t="n">
        <v>2891</v>
      </c>
      <c r="F641" s="14" t="n">
        <v>0</v>
      </c>
      <c r="G641" s="14" t="n">
        <v>4.05</v>
      </c>
      <c r="H641" s="14" t="n">
        <v>41.58</v>
      </c>
      <c r="I641" s="14" t="n">
        <v>7.71</v>
      </c>
      <c r="J641" s="14" t="n">
        <v>0.24</v>
      </c>
      <c r="K641" s="14" t="n">
        <v>0.42</v>
      </c>
      <c r="L641" s="14" t="n">
        <v>9.75</v>
      </c>
      <c r="M641" s="14" t="n">
        <v>8.369999999999999</v>
      </c>
      <c r="N641" s="14" t="n">
        <v>8.51</v>
      </c>
      <c r="O641" s="14" t="n">
        <v>4.22</v>
      </c>
      <c r="P641" s="14" t="n">
        <v>0.24</v>
      </c>
      <c r="Q641" s="14" t="n">
        <v>0.1</v>
      </c>
      <c r="R641" s="14" t="n">
        <v>0</v>
      </c>
      <c r="S641" s="14" t="n">
        <v>2.35</v>
      </c>
      <c r="T641" s="14" t="n">
        <v>4.88</v>
      </c>
      <c r="U641" s="14" t="n">
        <v>1.9</v>
      </c>
      <c r="V641" s="14" t="n">
        <v>3.15</v>
      </c>
      <c r="W641" s="14" t="n">
        <v>1.11</v>
      </c>
      <c r="X641" s="14" t="n">
        <v>0.17</v>
      </c>
      <c r="Y641" s="14" t="n">
        <v>0.97</v>
      </c>
      <c r="Z641" s="14" t="n">
        <v>0.28</v>
      </c>
      <c r="AA641" s="14" t="n">
        <v>0</v>
      </c>
    </row>
    <row r="642">
      <c r="A642" t="inlineStr">
        <is>
          <t>190112</t>
        </is>
      </c>
      <c r="B642" t="inlineStr">
        <is>
          <t>PASCO</t>
        </is>
      </c>
      <c r="C642" t="inlineStr">
        <is>
          <t>PASCO</t>
        </is>
      </c>
      <c r="D642" t="inlineStr">
        <is>
          <t>VICCO</t>
        </is>
      </c>
      <c r="E642" t="n">
        <v>1314</v>
      </c>
      <c r="F642" s="14" t="n">
        <v>0</v>
      </c>
      <c r="G642" s="14" t="n">
        <v>12.86</v>
      </c>
      <c r="H642" s="14" t="n">
        <v>2.89</v>
      </c>
      <c r="I642" s="14" t="n">
        <v>14.16</v>
      </c>
      <c r="J642" s="14" t="n">
        <v>0</v>
      </c>
      <c r="K642" s="14" t="n">
        <v>0.15</v>
      </c>
      <c r="L642" s="14" t="n">
        <v>12.4</v>
      </c>
      <c r="M642" s="14" t="n">
        <v>7.23</v>
      </c>
      <c r="N642" s="14" t="n">
        <v>22.91</v>
      </c>
      <c r="O642" s="14" t="n">
        <v>2.36</v>
      </c>
      <c r="P642" s="14" t="n">
        <v>0</v>
      </c>
      <c r="Q642" s="14" t="n">
        <v>0.23</v>
      </c>
      <c r="R642" s="14" t="n">
        <v>0</v>
      </c>
      <c r="S642" s="14" t="n">
        <v>1.07</v>
      </c>
      <c r="T642" s="14" t="n">
        <v>1.22</v>
      </c>
      <c r="U642" s="14" t="n">
        <v>17.43</v>
      </c>
      <c r="V642" s="14" t="n">
        <v>2.82</v>
      </c>
      <c r="W642" s="14" t="n">
        <v>0.68</v>
      </c>
      <c r="X642" s="14" t="n">
        <v>0</v>
      </c>
      <c r="Y642" s="14" t="n">
        <v>1.37</v>
      </c>
      <c r="Z642" s="14" t="n">
        <v>0.23</v>
      </c>
      <c r="AA642" s="14" t="n">
        <v>0</v>
      </c>
    </row>
    <row r="643">
      <c r="A643" t="inlineStr">
        <is>
          <t>190113</t>
        </is>
      </c>
      <c r="B643" t="inlineStr">
        <is>
          <t>PASCO</t>
        </is>
      </c>
      <c r="C643" t="inlineStr">
        <is>
          <t>PASCO</t>
        </is>
      </c>
      <c r="D643" t="inlineStr">
        <is>
          <t>YANACANCHA</t>
        </is>
      </c>
      <c r="E643" t="n">
        <v>10902</v>
      </c>
      <c r="F643" s="14" t="n">
        <v>0</v>
      </c>
      <c r="G643" s="14" t="n">
        <v>4.6</v>
      </c>
      <c r="H643" s="14" t="n">
        <v>10.91</v>
      </c>
      <c r="I643" s="14" t="n">
        <v>3.43</v>
      </c>
      <c r="J643" s="14" t="n">
        <v>0.08</v>
      </c>
      <c r="K643" s="14" t="n">
        <v>0.24</v>
      </c>
      <c r="L643" s="14" t="n">
        <v>11.63</v>
      </c>
      <c r="M643" s="14" t="n">
        <v>15.84</v>
      </c>
      <c r="N643" s="14" t="n">
        <v>5.23</v>
      </c>
      <c r="O643" s="14" t="n">
        <v>4.82</v>
      </c>
      <c r="P643" s="14" t="n">
        <v>0.83</v>
      </c>
      <c r="Q643" s="14" t="n">
        <v>0.9399999999999999</v>
      </c>
      <c r="R643" s="14" t="n">
        <v>0.02</v>
      </c>
      <c r="S643" s="14" t="n">
        <v>7.22</v>
      </c>
      <c r="T643" s="14" t="n">
        <v>3.05</v>
      </c>
      <c r="U643" s="14" t="n">
        <v>9.880000000000001</v>
      </c>
      <c r="V643" s="14" t="n">
        <v>13.47</v>
      </c>
      <c r="W643" s="14" t="n">
        <v>3.49</v>
      </c>
      <c r="X643" s="14" t="n">
        <v>0.9399999999999999</v>
      </c>
      <c r="Y643" s="14" t="n">
        <v>2.7</v>
      </c>
      <c r="Z643" s="14" t="n">
        <v>0.67</v>
      </c>
      <c r="AA643" s="14" t="n">
        <v>0</v>
      </c>
    </row>
    <row r="644">
      <c r="A644" t="inlineStr">
        <is>
          <t>190201</t>
        </is>
      </c>
      <c r="B644" t="inlineStr">
        <is>
          <t>PASCO</t>
        </is>
      </c>
      <c r="C644" t="inlineStr">
        <is>
          <t>DANIEL ALCIDES CARRION</t>
        </is>
      </c>
      <c r="D644" t="inlineStr">
        <is>
          <t>YANAHUANCA</t>
        </is>
      </c>
      <c r="E644" t="n">
        <v>3381</v>
      </c>
      <c r="F644" s="14" t="n">
        <v>0</v>
      </c>
      <c r="G644" s="14" t="n">
        <v>38.83</v>
      </c>
      <c r="H644" s="14" t="n">
        <v>2.57</v>
      </c>
      <c r="I644" s="14" t="n">
        <v>2.37</v>
      </c>
      <c r="J644" s="14" t="n">
        <v>0</v>
      </c>
      <c r="K644" s="14" t="n">
        <v>0.21</v>
      </c>
      <c r="L644" s="14" t="n">
        <v>7.72</v>
      </c>
      <c r="M644" s="14" t="n">
        <v>13.22</v>
      </c>
      <c r="N644" s="14" t="n">
        <v>4.64</v>
      </c>
      <c r="O644" s="14" t="n">
        <v>3.37</v>
      </c>
      <c r="P644" s="14" t="n">
        <v>0.12</v>
      </c>
      <c r="Q644" s="14" t="n">
        <v>0.15</v>
      </c>
      <c r="R644" s="14" t="n">
        <v>0</v>
      </c>
      <c r="S644" s="14" t="n">
        <v>4.58</v>
      </c>
      <c r="T644" s="14" t="n">
        <v>1.01</v>
      </c>
      <c r="U644" s="14" t="n">
        <v>4.38</v>
      </c>
      <c r="V644" s="14" t="n">
        <v>12.27</v>
      </c>
      <c r="W644" s="14" t="n">
        <v>2.57</v>
      </c>
      <c r="X644" s="14" t="n">
        <v>0.18</v>
      </c>
      <c r="Y644" s="14" t="n">
        <v>1.48</v>
      </c>
      <c r="Z644" s="14" t="n">
        <v>0.33</v>
      </c>
      <c r="AA644" s="14" t="n">
        <v>0</v>
      </c>
    </row>
    <row r="645">
      <c r="A645" t="inlineStr">
        <is>
          <t>190202</t>
        </is>
      </c>
      <c r="B645" t="inlineStr">
        <is>
          <t>PASCO</t>
        </is>
      </c>
      <c r="C645" t="inlineStr">
        <is>
          <t>DANIEL ALCIDES CARRION</t>
        </is>
      </c>
      <c r="D645" t="inlineStr">
        <is>
          <t>CHACAYAN</t>
        </is>
      </c>
      <c r="E645" t="n">
        <v>632</v>
      </c>
      <c r="F645" s="14" t="n">
        <v>0</v>
      </c>
      <c r="G645" s="14" t="n">
        <v>56.33</v>
      </c>
      <c r="H645" s="14" t="n">
        <v>1.9</v>
      </c>
      <c r="I645" s="14" t="n">
        <v>2.85</v>
      </c>
      <c r="J645" s="14" t="n">
        <v>0</v>
      </c>
      <c r="K645" s="14" t="n">
        <v>1.58</v>
      </c>
      <c r="L645" s="14" t="n">
        <v>3.16</v>
      </c>
      <c r="M645" s="14" t="n">
        <v>11.87</v>
      </c>
      <c r="N645" s="14" t="n">
        <v>0.95</v>
      </c>
      <c r="O645" s="14" t="n">
        <v>2.85</v>
      </c>
      <c r="P645" s="14" t="n">
        <v>0</v>
      </c>
      <c r="Q645" s="14" t="n">
        <v>0</v>
      </c>
      <c r="R645" s="14" t="n">
        <v>0</v>
      </c>
      <c r="S645" s="14" t="n">
        <v>2.69</v>
      </c>
      <c r="T645" s="14" t="n">
        <v>1.74</v>
      </c>
      <c r="U645" s="14" t="n">
        <v>4.59</v>
      </c>
      <c r="V645" s="14" t="n">
        <v>5.54</v>
      </c>
      <c r="W645" s="14" t="n">
        <v>0.47</v>
      </c>
      <c r="X645" s="14" t="n">
        <v>0.63</v>
      </c>
      <c r="Y645" s="14" t="n">
        <v>2.53</v>
      </c>
      <c r="Z645" s="14" t="n">
        <v>0.32</v>
      </c>
      <c r="AA645" s="14" t="n">
        <v>0</v>
      </c>
    </row>
    <row r="646">
      <c r="A646" t="inlineStr">
        <is>
          <t>190203</t>
        </is>
      </c>
      <c r="B646" t="inlineStr">
        <is>
          <t>PASCO</t>
        </is>
      </c>
      <c r="C646" t="inlineStr">
        <is>
          <t>DANIEL ALCIDES CARRION</t>
        </is>
      </c>
      <c r="D646" t="inlineStr">
        <is>
          <t>GOYLLARISQUIZGA</t>
        </is>
      </c>
      <c r="E646" t="n">
        <v>472</v>
      </c>
      <c r="F646" s="14" t="n">
        <v>0</v>
      </c>
      <c r="G646" s="14" t="n">
        <v>29.45</v>
      </c>
      <c r="H646" s="14" t="n">
        <v>6.57</v>
      </c>
      <c r="I646" s="14" t="n">
        <v>9.32</v>
      </c>
      <c r="J646" s="14" t="n">
        <v>0.21</v>
      </c>
      <c r="K646" s="14" t="n">
        <v>0</v>
      </c>
      <c r="L646" s="14" t="n">
        <v>4.87</v>
      </c>
      <c r="M646" s="14" t="n">
        <v>12.29</v>
      </c>
      <c r="N646" s="14" t="n">
        <v>8.050000000000001</v>
      </c>
      <c r="O646" s="14" t="n">
        <v>5.51</v>
      </c>
      <c r="P646" s="14" t="n">
        <v>0</v>
      </c>
      <c r="Q646" s="14" t="n">
        <v>0.42</v>
      </c>
      <c r="R646" s="14" t="n">
        <v>0</v>
      </c>
      <c r="S646" s="14" t="n">
        <v>0.64</v>
      </c>
      <c r="T646" s="14" t="n">
        <v>1.06</v>
      </c>
      <c r="U646" s="14" t="n">
        <v>4.87</v>
      </c>
      <c r="V646" s="14" t="n">
        <v>10.59</v>
      </c>
      <c r="W646" s="14" t="n">
        <v>1.06</v>
      </c>
      <c r="X646" s="14" t="n">
        <v>0.64</v>
      </c>
      <c r="Y646" s="14" t="n">
        <v>3.81</v>
      </c>
      <c r="Z646" s="14" t="n">
        <v>0.64</v>
      </c>
      <c r="AA646" s="14" t="n">
        <v>0</v>
      </c>
    </row>
    <row r="647">
      <c r="A647" t="inlineStr">
        <is>
          <t>190204</t>
        </is>
      </c>
      <c r="B647" t="inlineStr">
        <is>
          <t>PASCO</t>
        </is>
      </c>
      <c r="C647" t="inlineStr">
        <is>
          <t>DANIEL ALCIDES CARRION</t>
        </is>
      </c>
      <c r="D647" t="inlineStr">
        <is>
          <t>PAUCAR</t>
        </is>
      </c>
      <c r="E647" t="n">
        <v>505</v>
      </c>
      <c r="F647" s="14" t="n">
        <v>0</v>
      </c>
      <c r="G647" s="14" t="n">
        <v>63.96</v>
      </c>
      <c r="H647" s="14" t="n">
        <v>0.99</v>
      </c>
      <c r="I647" s="14" t="n">
        <v>4.36</v>
      </c>
      <c r="J647" s="14" t="n">
        <v>0</v>
      </c>
      <c r="K647" s="14" t="n">
        <v>0</v>
      </c>
      <c r="L647" s="14" t="n">
        <v>2.97</v>
      </c>
      <c r="M647" s="14" t="n">
        <v>9.699999999999999</v>
      </c>
      <c r="N647" s="14" t="n">
        <v>1.58</v>
      </c>
      <c r="O647" s="14" t="n">
        <v>0.59</v>
      </c>
      <c r="P647" s="14" t="n">
        <v>0</v>
      </c>
      <c r="Q647" s="14" t="n">
        <v>0</v>
      </c>
      <c r="R647" s="14" t="n">
        <v>0</v>
      </c>
      <c r="S647" s="14" t="n">
        <v>1.78</v>
      </c>
      <c r="T647" s="14" t="n">
        <v>0.4</v>
      </c>
      <c r="U647" s="14" t="n">
        <v>4.75</v>
      </c>
      <c r="V647" s="14" t="n">
        <v>5.35</v>
      </c>
      <c r="W647" s="14" t="n">
        <v>0.99</v>
      </c>
      <c r="X647" s="14" t="n">
        <v>0.99</v>
      </c>
      <c r="Y647" s="14" t="n">
        <v>1.39</v>
      </c>
      <c r="Z647" s="14" t="n">
        <v>0.2</v>
      </c>
      <c r="AA647" s="14" t="n">
        <v>0</v>
      </c>
    </row>
    <row r="648">
      <c r="A648" t="inlineStr">
        <is>
          <t>190205</t>
        </is>
      </c>
      <c r="B648" t="inlineStr">
        <is>
          <t>PASCO</t>
        </is>
      </c>
      <c r="C648" t="inlineStr">
        <is>
          <t>DANIEL ALCIDES CARRION</t>
        </is>
      </c>
      <c r="D648" t="inlineStr">
        <is>
          <t>SAN PEDRO DE PILLAO</t>
        </is>
      </c>
      <c r="E648" t="n">
        <v>339</v>
      </c>
      <c r="F648" s="14" t="n">
        <v>0</v>
      </c>
      <c r="G648" s="14" t="n">
        <v>72.27</v>
      </c>
      <c r="H648" s="14" t="n">
        <v>0</v>
      </c>
      <c r="I648" s="14" t="n">
        <v>1.47</v>
      </c>
      <c r="J648" s="14" t="n">
        <v>0</v>
      </c>
      <c r="K648" s="14" t="n">
        <v>0.29</v>
      </c>
      <c r="L648" s="14" t="n">
        <v>0.29</v>
      </c>
      <c r="M648" s="14" t="n">
        <v>3.83</v>
      </c>
      <c r="N648" s="14" t="n">
        <v>2.36</v>
      </c>
      <c r="O648" s="14" t="n">
        <v>2.06</v>
      </c>
      <c r="P648" s="14" t="n">
        <v>0</v>
      </c>
      <c r="Q648" s="14" t="n">
        <v>0.29</v>
      </c>
      <c r="R648" s="14" t="n">
        <v>0</v>
      </c>
      <c r="S648" s="14" t="n">
        <v>0.59</v>
      </c>
      <c r="T648" s="14" t="n">
        <v>0.29</v>
      </c>
      <c r="U648" s="14" t="n">
        <v>4.13</v>
      </c>
      <c r="V648" s="14" t="n">
        <v>10.03</v>
      </c>
      <c r="W648" s="14" t="n">
        <v>0.88</v>
      </c>
      <c r="X648" s="14" t="n">
        <v>0.29</v>
      </c>
      <c r="Y648" s="14" t="n">
        <v>0.88</v>
      </c>
      <c r="Z648" s="14" t="n">
        <v>0</v>
      </c>
      <c r="AA648" s="14" t="n">
        <v>0</v>
      </c>
    </row>
    <row r="649">
      <c r="A649" t="inlineStr">
        <is>
          <t>190206</t>
        </is>
      </c>
      <c r="B649" t="inlineStr">
        <is>
          <t>PASCO</t>
        </is>
      </c>
      <c r="C649" t="inlineStr">
        <is>
          <t>DANIEL ALCIDES CARRION</t>
        </is>
      </c>
      <c r="D649" t="inlineStr">
        <is>
          <t>SANTA ANA DE TUSI</t>
        </is>
      </c>
      <c r="E649" t="n">
        <v>6399</v>
      </c>
      <c r="F649" s="14" t="n">
        <v>0</v>
      </c>
      <c r="G649" s="14" t="n">
        <v>80.40000000000001</v>
      </c>
      <c r="H649" s="14" t="n">
        <v>0.89</v>
      </c>
      <c r="I649" s="14" t="n">
        <v>0.91</v>
      </c>
      <c r="J649" s="14" t="n">
        <v>0</v>
      </c>
      <c r="K649" s="14" t="n">
        <v>0</v>
      </c>
      <c r="L649" s="14" t="n">
        <v>2.64</v>
      </c>
      <c r="M649" s="14" t="n">
        <v>6.06</v>
      </c>
      <c r="N649" s="14" t="n">
        <v>0.91</v>
      </c>
      <c r="O649" s="14" t="n">
        <v>1.61</v>
      </c>
      <c r="P649" s="14" t="n">
        <v>0.05</v>
      </c>
      <c r="Q649" s="14" t="n">
        <v>0.05</v>
      </c>
      <c r="R649" s="14" t="n">
        <v>0</v>
      </c>
      <c r="S649" s="14" t="n">
        <v>0.67</v>
      </c>
      <c r="T649" s="14" t="n">
        <v>0.2</v>
      </c>
      <c r="U649" s="14" t="n">
        <v>0.63</v>
      </c>
      <c r="V649" s="14" t="n">
        <v>2.56</v>
      </c>
      <c r="W649" s="14" t="n">
        <v>0.63</v>
      </c>
      <c r="X649" s="14" t="n">
        <v>0.03</v>
      </c>
      <c r="Y649" s="14" t="n">
        <v>1.38</v>
      </c>
      <c r="Z649" s="14" t="n">
        <v>0.39</v>
      </c>
      <c r="AA649" s="14" t="n">
        <v>0</v>
      </c>
    </row>
    <row r="650">
      <c r="A650" t="inlineStr">
        <is>
          <t>190207</t>
        </is>
      </c>
      <c r="B650" t="inlineStr">
        <is>
          <t>PASCO</t>
        </is>
      </c>
      <c r="C650" t="inlineStr">
        <is>
          <t>DANIEL ALCIDES CARRION</t>
        </is>
      </c>
      <c r="D650" t="inlineStr">
        <is>
          <t>TAPUC</t>
        </is>
      </c>
      <c r="E650" t="n">
        <v>750</v>
      </c>
      <c r="F650" s="14" t="n">
        <v>0</v>
      </c>
      <c r="G650" s="14" t="n">
        <v>55.47</v>
      </c>
      <c r="H650" s="14" t="n">
        <v>1.33</v>
      </c>
      <c r="I650" s="14" t="n">
        <v>2.4</v>
      </c>
      <c r="J650" s="14" t="n">
        <v>0</v>
      </c>
      <c r="K650" s="14" t="n">
        <v>0</v>
      </c>
      <c r="L650" s="14" t="n">
        <v>3.6</v>
      </c>
      <c r="M650" s="14" t="n">
        <v>10.53</v>
      </c>
      <c r="N650" s="14" t="n">
        <v>2.53</v>
      </c>
      <c r="O650" s="14" t="n">
        <v>1.6</v>
      </c>
      <c r="P650" s="14" t="n">
        <v>0</v>
      </c>
      <c r="Q650" s="14" t="n">
        <v>0.13</v>
      </c>
      <c r="R650" s="14" t="n">
        <v>0</v>
      </c>
      <c r="S650" s="14" t="n">
        <v>2.67</v>
      </c>
      <c r="T650" s="14" t="n">
        <v>0.27</v>
      </c>
      <c r="U650" s="14" t="n">
        <v>6.93</v>
      </c>
      <c r="V650" s="14" t="n">
        <v>10.27</v>
      </c>
      <c r="W650" s="14" t="n">
        <v>1.73</v>
      </c>
      <c r="X650" s="14" t="n">
        <v>0</v>
      </c>
      <c r="Y650" s="14" t="n">
        <v>0.53</v>
      </c>
      <c r="Z650" s="14" t="n">
        <v>0</v>
      </c>
      <c r="AA650" s="14" t="n">
        <v>0</v>
      </c>
    </row>
    <row r="651">
      <c r="A651" t="inlineStr">
        <is>
          <t>190208</t>
        </is>
      </c>
      <c r="B651" t="inlineStr">
        <is>
          <t>PASCO</t>
        </is>
      </c>
      <c r="C651" t="inlineStr">
        <is>
          <t>DANIEL ALCIDES CARRION</t>
        </is>
      </c>
      <c r="D651" t="inlineStr">
        <is>
          <t>VILCABAMBA</t>
        </is>
      </c>
      <c r="E651" t="n">
        <v>703</v>
      </c>
      <c r="F651" s="14" t="n">
        <v>0</v>
      </c>
      <c r="G651" s="14" t="n">
        <v>51.49</v>
      </c>
      <c r="H651" s="14" t="n">
        <v>1.28</v>
      </c>
      <c r="I651" s="14" t="n">
        <v>4.84</v>
      </c>
      <c r="J651" s="14" t="n">
        <v>0</v>
      </c>
      <c r="K651" s="14" t="n">
        <v>0</v>
      </c>
      <c r="L651" s="14" t="n">
        <v>3.41</v>
      </c>
      <c r="M651" s="14" t="n">
        <v>15.22</v>
      </c>
      <c r="N651" s="14" t="n">
        <v>5.69</v>
      </c>
      <c r="O651" s="14" t="n">
        <v>2.7</v>
      </c>
      <c r="P651" s="14" t="n">
        <v>0</v>
      </c>
      <c r="Q651" s="14" t="n">
        <v>0</v>
      </c>
      <c r="R651" s="14" t="n">
        <v>0</v>
      </c>
      <c r="S651" s="14" t="n">
        <v>2.28</v>
      </c>
      <c r="T651" s="14" t="n">
        <v>0.43</v>
      </c>
      <c r="U651" s="14" t="n">
        <v>2.28</v>
      </c>
      <c r="V651" s="14" t="n">
        <v>7.68</v>
      </c>
      <c r="W651" s="14" t="n">
        <v>1.28</v>
      </c>
      <c r="X651" s="14" t="n">
        <v>0.28</v>
      </c>
      <c r="Y651" s="14" t="n">
        <v>1</v>
      </c>
      <c r="Z651" s="14" t="n">
        <v>0.14</v>
      </c>
      <c r="AA651" s="14" t="n">
        <v>0</v>
      </c>
    </row>
    <row r="652">
      <c r="A652" t="inlineStr">
        <is>
          <t>190301</t>
        </is>
      </c>
      <c r="B652" t="inlineStr">
        <is>
          <t>PASCO</t>
        </is>
      </c>
      <c r="C652" t="inlineStr">
        <is>
          <t>OXAPAMPA</t>
        </is>
      </c>
      <c r="D652" t="inlineStr">
        <is>
          <t>OXAPAMPA</t>
        </is>
      </c>
      <c r="E652" t="n">
        <v>7592</v>
      </c>
      <c r="F652" s="14" t="n">
        <v>0</v>
      </c>
      <c r="G652" s="14" t="n">
        <v>30.49</v>
      </c>
      <c r="H652" s="14" t="n">
        <v>0.12</v>
      </c>
      <c r="I652" s="14" t="n">
        <v>6.18</v>
      </c>
      <c r="J652" s="14" t="n">
        <v>0.07000000000000001</v>
      </c>
      <c r="K652" s="14" t="n">
        <v>0.08</v>
      </c>
      <c r="L652" s="14" t="n">
        <v>6.76</v>
      </c>
      <c r="M652" s="14" t="n">
        <v>15.33</v>
      </c>
      <c r="N652" s="14" t="n">
        <v>6.14</v>
      </c>
      <c r="O652" s="14" t="n">
        <v>6.61</v>
      </c>
      <c r="P652" s="14" t="n">
        <v>0.7</v>
      </c>
      <c r="Q652" s="14" t="n">
        <v>1</v>
      </c>
      <c r="R652" s="14" t="n">
        <v>0.18</v>
      </c>
      <c r="S652" s="14" t="n">
        <v>3.17</v>
      </c>
      <c r="T652" s="14" t="n">
        <v>1.8</v>
      </c>
      <c r="U652" s="14" t="n">
        <v>7.14</v>
      </c>
      <c r="V652" s="14" t="n">
        <v>7.46</v>
      </c>
      <c r="W652" s="14" t="n">
        <v>2.75</v>
      </c>
      <c r="X652" s="14" t="n">
        <v>0.57</v>
      </c>
      <c r="Y652" s="14" t="n">
        <v>1.87</v>
      </c>
      <c r="Z652" s="14" t="n">
        <v>1.58</v>
      </c>
      <c r="AA652" s="14" t="n">
        <v>0</v>
      </c>
    </row>
    <row r="653">
      <c r="A653" t="inlineStr">
        <is>
          <t>190302</t>
        </is>
      </c>
      <c r="B653" t="inlineStr">
        <is>
          <t>PASCO</t>
        </is>
      </c>
      <c r="C653" t="inlineStr">
        <is>
          <t>OXAPAMPA</t>
        </is>
      </c>
      <c r="D653" t="inlineStr">
        <is>
          <t>CHONTABAMBA</t>
        </is>
      </c>
      <c r="E653" t="n">
        <v>2286</v>
      </c>
      <c r="F653" s="14" t="n">
        <v>0</v>
      </c>
      <c r="G653" s="14" t="n">
        <v>43.31</v>
      </c>
      <c r="H653" s="14" t="n">
        <v>0.52</v>
      </c>
      <c r="I653" s="14" t="n">
        <v>3.98</v>
      </c>
      <c r="J653" s="14" t="n">
        <v>0.09</v>
      </c>
      <c r="K653" s="14" t="n">
        <v>0.31</v>
      </c>
      <c r="L653" s="14" t="n">
        <v>9.01</v>
      </c>
      <c r="M653" s="14" t="n">
        <v>12.07</v>
      </c>
      <c r="N653" s="14" t="n">
        <v>5.73</v>
      </c>
      <c r="O653" s="14" t="n">
        <v>6.08</v>
      </c>
      <c r="P653" s="14" t="n">
        <v>0.22</v>
      </c>
      <c r="Q653" s="14" t="n">
        <v>0.52</v>
      </c>
      <c r="R653" s="14" t="n">
        <v>0.09</v>
      </c>
      <c r="S653" s="14" t="n">
        <v>2.41</v>
      </c>
      <c r="T653" s="14" t="n">
        <v>1.97</v>
      </c>
      <c r="U653" s="14" t="n">
        <v>5.12</v>
      </c>
      <c r="V653" s="14" t="n">
        <v>5.03</v>
      </c>
      <c r="W653" s="14" t="n">
        <v>1.22</v>
      </c>
      <c r="X653" s="14" t="n">
        <v>0.22</v>
      </c>
      <c r="Y653" s="14" t="n">
        <v>0.96</v>
      </c>
      <c r="Z653" s="14" t="n">
        <v>1.09</v>
      </c>
      <c r="AA653" s="14" t="n">
        <v>0.04</v>
      </c>
    </row>
    <row r="654">
      <c r="A654" t="inlineStr">
        <is>
          <t>190303</t>
        </is>
      </c>
      <c r="B654" t="inlineStr">
        <is>
          <t>PASCO</t>
        </is>
      </c>
      <c r="C654" t="inlineStr">
        <is>
          <t>OXAPAMPA</t>
        </is>
      </c>
      <c r="D654" t="inlineStr">
        <is>
          <t>HUANCABAMBA</t>
        </is>
      </c>
      <c r="E654" t="n">
        <v>2630</v>
      </c>
      <c r="F654" s="14" t="n">
        <v>0</v>
      </c>
      <c r="G654" s="14" t="n">
        <v>75.93000000000001</v>
      </c>
      <c r="H654" s="14" t="n">
        <v>0.11</v>
      </c>
      <c r="I654" s="14" t="n">
        <v>1.33</v>
      </c>
      <c r="J654" s="14" t="n">
        <v>0.04</v>
      </c>
      <c r="K654" s="14" t="n">
        <v>0</v>
      </c>
      <c r="L654" s="14" t="n">
        <v>3.8</v>
      </c>
      <c r="M654" s="14" t="n">
        <v>5.25</v>
      </c>
      <c r="N654" s="14" t="n">
        <v>2.47</v>
      </c>
      <c r="O654" s="14" t="n">
        <v>2.28</v>
      </c>
      <c r="P654" s="14" t="n">
        <v>0.11</v>
      </c>
      <c r="Q654" s="14" t="n">
        <v>0.19</v>
      </c>
      <c r="R654" s="14" t="n">
        <v>0</v>
      </c>
      <c r="S654" s="14" t="n">
        <v>0.72</v>
      </c>
      <c r="T654" s="14" t="n">
        <v>0.04</v>
      </c>
      <c r="U654" s="14" t="n">
        <v>2.51</v>
      </c>
      <c r="V654" s="14" t="n">
        <v>2.74</v>
      </c>
      <c r="W654" s="14" t="n">
        <v>1.33</v>
      </c>
      <c r="X654" s="14" t="n">
        <v>0.08</v>
      </c>
      <c r="Y654" s="14" t="n">
        <v>0.57</v>
      </c>
      <c r="Z654" s="14" t="n">
        <v>0.49</v>
      </c>
      <c r="AA654" s="14" t="n">
        <v>0</v>
      </c>
    </row>
    <row r="655">
      <c r="A655" t="inlineStr">
        <is>
          <t>190304</t>
        </is>
      </c>
      <c r="B655" t="inlineStr">
        <is>
          <t>PASCO</t>
        </is>
      </c>
      <c r="C655" t="inlineStr">
        <is>
          <t>OXAPAMPA</t>
        </is>
      </c>
      <c r="D655" t="inlineStr">
        <is>
          <t>PALCAZU</t>
        </is>
      </c>
      <c r="E655" t="n">
        <v>2801</v>
      </c>
      <c r="F655" s="14" t="n">
        <v>0</v>
      </c>
      <c r="G655" s="14" t="n">
        <v>63.66</v>
      </c>
      <c r="H655" s="14" t="n">
        <v>0</v>
      </c>
      <c r="I655" s="14" t="n">
        <v>2.28</v>
      </c>
      <c r="J655" s="14" t="n">
        <v>0.07000000000000001</v>
      </c>
      <c r="K655" s="14" t="n">
        <v>0.04</v>
      </c>
      <c r="L655" s="14" t="n">
        <v>3.5</v>
      </c>
      <c r="M655" s="14" t="n">
        <v>9</v>
      </c>
      <c r="N655" s="14" t="n">
        <v>3.28</v>
      </c>
      <c r="O655" s="14" t="n">
        <v>3.78</v>
      </c>
      <c r="P655" s="14" t="n">
        <v>0.07000000000000001</v>
      </c>
      <c r="Q655" s="14" t="n">
        <v>0.14</v>
      </c>
      <c r="R655" s="14" t="n">
        <v>0</v>
      </c>
      <c r="S655" s="14" t="n">
        <v>1.21</v>
      </c>
      <c r="T655" s="14" t="n">
        <v>0.57</v>
      </c>
      <c r="U655" s="14" t="n">
        <v>3.07</v>
      </c>
      <c r="V655" s="14" t="n">
        <v>5.86</v>
      </c>
      <c r="W655" s="14" t="n">
        <v>1.57</v>
      </c>
      <c r="X655" s="14" t="n">
        <v>0.36</v>
      </c>
      <c r="Y655" s="14" t="n">
        <v>1.04</v>
      </c>
      <c r="Z655" s="14" t="n">
        <v>0.5</v>
      </c>
      <c r="AA655" s="14" t="n">
        <v>0</v>
      </c>
    </row>
    <row r="656">
      <c r="A656" t="inlineStr">
        <is>
          <t>190305</t>
        </is>
      </c>
      <c r="B656" t="inlineStr">
        <is>
          <t>PASCO</t>
        </is>
      </c>
      <c r="C656" t="inlineStr">
        <is>
          <t>OXAPAMPA</t>
        </is>
      </c>
      <c r="D656" t="inlineStr">
        <is>
          <t>POZUZO</t>
        </is>
      </c>
      <c r="E656" t="n">
        <v>1726</v>
      </c>
      <c r="F656" s="14" t="n">
        <v>0</v>
      </c>
      <c r="G656" s="14" t="n">
        <v>55.27</v>
      </c>
      <c r="H656" s="14" t="n">
        <v>0</v>
      </c>
      <c r="I656" s="14" t="n">
        <v>4.81</v>
      </c>
      <c r="J656" s="14" t="n">
        <v>0.23</v>
      </c>
      <c r="K656" s="14" t="n">
        <v>0.06</v>
      </c>
      <c r="L656" s="14" t="n">
        <v>5.45</v>
      </c>
      <c r="M656" s="14" t="n">
        <v>8.23</v>
      </c>
      <c r="N656" s="14" t="n">
        <v>2.72</v>
      </c>
      <c r="O656" s="14" t="n">
        <v>3.24</v>
      </c>
      <c r="P656" s="14" t="n">
        <v>0</v>
      </c>
      <c r="Q656" s="14" t="n">
        <v>0.29</v>
      </c>
      <c r="R656" s="14" t="n">
        <v>0.06</v>
      </c>
      <c r="S656" s="14" t="n">
        <v>1.56</v>
      </c>
      <c r="T656" s="14" t="n">
        <v>0.58</v>
      </c>
      <c r="U656" s="14" t="n">
        <v>6.49</v>
      </c>
      <c r="V656" s="14" t="n">
        <v>7.3</v>
      </c>
      <c r="W656" s="14" t="n">
        <v>2.09</v>
      </c>
      <c r="X656" s="14" t="n">
        <v>0.17</v>
      </c>
      <c r="Y656" s="14" t="n">
        <v>0.7</v>
      </c>
      <c r="Z656" s="14" t="n">
        <v>0.75</v>
      </c>
      <c r="AA656" s="14" t="n">
        <v>0</v>
      </c>
    </row>
    <row r="657">
      <c r="A657" t="inlineStr">
        <is>
          <t>190306</t>
        </is>
      </c>
      <c r="B657" t="inlineStr">
        <is>
          <t>PASCO</t>
        </is>
      </c>
      <c r="C657" t="inlineStr">
        <is>
          <t>OXAPAMPA</t>
        </is>
      </c>
      <c r="D657" t="inlineStr">
        <is>
          <t>PUERTO BERMUDEZ</t>
        </is>
      </c>
      <c r="E657" t="n">
        <v>7029</v>
      </c>
      <c r="F657" s="14" t="n">
        <v>0</v>
      </c>
      <c r="G657" s="14" t="n">
        <v>66.88</v>
      </c>
      <c r="H657" s="14" t="n">
        <v>0.04</v>
      </c>
      <c r="I657" s="14" t="n">
        <v>1.54</v>
      </c>
      <c r="J657" s="14" t="n">
        <v>0</v>
      </c>
      <c r="K657" s="14" t="n">
        <v>0.04</v>
      </c>
      <c r="L657" s="14" t="n">
        <v>5.52</v>
      </c>
      <c r="M657" s="14" t="n">
        <v>8.25</v>
      </c>
      <c r="N657" s="14" t="n">
        <v>2.43</v>
      </c>
      <c r="O657" s="14" t="n">
        <v>3.07</v>
      </c>
      <c r="P657" s="14" t="n">
        <v>0.07000000000000001</v>
      </c>
      <c r="Q657" s="14" t="n">
        <v>0.27</v>
      </c>
      <c r="R657" s="14" t="n">
        <v>0.01</v>
      </c>
      <c r="S657" s="14" t="n">
        <v>1.02</v>
      </c>
      <c r="T657" s="14" t="n">
        <v>0.48</v>
      </c>
      <c r="U657" s="14" t="n">
        <v>2.38</v>
      </c>
      <c r="V657" s="14" t="n">
        <v>5.68</v>
      </c>
      <c r="W657" s="14" t="n">
        <v>0.91</v>
      </c>
      <c r="X657" s="14" t="n">
        <v>0.17</v>
      </c>
      <c r="Y657" s="14" t="n">
        <v>0.65</v>
      </c>
      <c r="Z657" s="14" t="n">
        <v>0.57</v>
      </c>
      <c r="AA657" s="14" t="n">
        <v>0</v>
      </c>
    </row>
    <row r="658">
      <c r="A658" t="inlineStr">
        <is>
          <t>190307</t>
        </is>
      </c>
      <c r="B658" t="inlineStr">
        <is>
          <t>PASCO</t>
        </is>
      </c>
      <c r="C658" t="inlineStr">
        <is>
          <t>OXAPAMPA</t>
        </is>
      </c>
      <c r="D658" t="inlineStr">
        <is>
          <t>VILLA RICA</t>
        </is>
      </c>
      <c r="E658" t="n">
        <v>7834</v>
      </c>
      <c r="F658" s="14" t="n">
        <v>0</v>
      </c>
      <c r="G658" s="14" t="n">
        <v>45.98</v>
      </c>
      <c r="H658" s="14" t="n">
        <v>0.23</v>
      </c>
      <c r="I658" s="14" t="n">
        <v>3.91</v>
      </c>
      <c r="J658" s="14" t="n">
        <v>0.05</v>
      </c>
      <c r="K658" s="14" t="n">
        <v>0.05</v>
      </c>
      <c r="L658" s="14" t="n">
        <v>4.38</v>
      </c>
      <c r="M658" s="14" t="n">
        <v>14.19</v>
      </c>
      <c r="N658" s="14" t="n">
        <v>7.01</v>
      </c>
      <c r="O658" s="14" t="n">
        <v>6.08</v>
      </c>
      <c r="P658" s="14" t="n">
        <v>0.49</v>
      </c>
      <c r="Q658" s="14" t="n">
        <v>0.89</v>
      </c>
      <c r="R658" s="14" t="n">
        <v>0.08</v>
      </c>
      <c r="S658" s="14" t="n">
        <v>2.64</v>
      </c>
      <c r="T658" s="14" t="n">
        <v>0.92</v>
      </c>
      <c r="U658" s="14" t="n">
        <v>2.72</v>
      </c>
      <c r="V658" s="14" t="n">
        <v>5.49</v>
      </c>
      <c r="W658" s="14" t="n">
        <v>1.8</v>
      </c>
      <c r="X658" s="14" t="n">
        <v>0.28</v>
      </c>
      <c r="Y658" s="14" t="n">
        <v>1.76</v>
      </c>
      <c r="Z658" s="14" t="n">
        <v>1.06</v>
      </c>
      <c r="AA658" s="14" t="n">
        <v>0</v>
      </c>
    </row>
    <row r="659">
      <c r="A659" t="inlineStr">
        <is>
          <t>190308</t>
        </is>
      </c>
      <c r="B659" t="inlineStr">
        <is>
          <t>PASCO</t>
        </is>
      </c>
      <c r="C659" t="inlineStr">
        <is>
          <t>OXAPAMPA</t>
        </is>
      </c>
      <c r="D659" t="inlineStr">
        <is>
          <t>CONSTITUCION</t>
        </is>
      </c>
      <c r="E659" t="n">
        <v>5627</v>
      </c>
      <c r="F659" s="14" t="n">
        <v>0</v>
      </c>
      <c r="G659" s="14" t="n">
        <v>57.38</v>
      </c>
      <c r="H659" s="14" t="n">
        <v>0.07000000000000001</v>
      </c>
      <c r="I659" s="14" t="n">
        <v>2.27</v>
      </c>
      <c r="J659" s="14" t="n">
        <v>0.07000000000000001</v>
      </c>
      <c r="K659" s="14" t="n">
        <v>0.04</v>
      </c>
      <c r="L659" s="14" t="n">
        <v>4.44</v>
      </c>
      <c r="M659" s="14" t="n">
        <v>13.29</v>
      </c>
      <c r="N659" s="14" t="n">
        <v>4.37</v>
      </c>
      <c r="O659" s="14" t="n">
        <v>4.51</v>
      </c>
      <c r="P659" s="14" t="n">
        <v>0.2</v>
      </c>
      <c r="Q659" s="14" t="n">
        <v>0.14</v>
      </c>
      <c r="R659" s="14" t="n">
        <v>0.05</v>
      </c>
      <c r="S659" s="14" t="n">
        <v>1.94</v>
      </c>
      <c r="T659" s="14" t="n">
        <v>1.23</v>
      </c>
      <c r="U659" s="14" t="n">
        <v>2.26</v>
      </c>
      <c r="V659" s="14" t="n">
        <v>3.93</v>
      </c>
      <c r="W659" s="14" t="n">
        <v>0.91</v>
      </c>
      <c r="X659" s="14" t="n">
        <v>0.09</v>
      </c>
      <c r="Y659" s="14" t="n">
        <v>2.13</v>
      </c>
      <c r="Z659" s="14" t="n">
        <v>0.68</v>
      </c>
      <c r="AA659" s="14" t="n">
        <v>0</v>
      </c>
    </row>
    <row r="660">
      <c r="A660" t="inlineStr">
        <is>
          <t>200101</t>
        </is>
      </c>
      <c r="B660" t="inlineStr">
        <is>
          <t>PIURA</t>
        </is>
      </c>
      <c r="C660" t="inlineStr">
        <is>
          <t>PIURA</t>
        </is>
      </c>
      <c r="D660" t="inlineStr">
        <is>
          <t>PIURA</t>
        </is>
      </c>
      <c r="E660" t="n">
        <v>71480</v>
      </c>
      <c r="F660" s="14" t="n">
        <v>0.094</v>
      </c>
      <c r="G660" s="14" t="n">
        <v>6.44</v>
      </c>
      <c r="H660" s="14" t="n">
        <v>0.64</v>
      </c>
      <c r="I660" s="14" t="n">
        <v>5.19</v>
      </c>
      <c r="J660" s="14" t="n">
        <v>0.17</v>
      </c>
      <c r="K660" s="14" t="n">
        <v>0.26</v>
      </c>
      <c r="L660" s="14" t="n">
        <v>7.8</v>
      </c>
      <c r="M660" s="14" t="n">
        <v>23.24</v>
      </c>
      <c r="N660" s="14" t="n">
        <v>7.93</v>
      </c>
      <c r="O660" s="14" t="n">
        <v>6.01</v>
      </c>
      <c r="P660" s="14" t="n">
        <v>1.11</v>
      </c>
      <c r="Q660" s="14" t="n">
        <v>1.99</v>
      </c>
      <c r="R660" s="14" t="n">
        <v>0.38</v>
      </c>
      <c r="S660" s="14" t="n">
        <v>10.32</v>
      </c>
      <c r="T660" s="14" t="n">
        <v>3.33</v>
      </c>
      <c r="U660" s="14" t="n">
        <v>4.96</v>
      </c>
      <c r="V660" s="14" t="n">
        <v>8.5</v>
      </c>
      <c r="W660" s="14" t="n">
        <v>3.87</v>
      </c>
      <c r="X660" s="14" t="n">
        <v>1.15</v>
      </c>
      <c r="Y660" s="14" t="n">
        <v>5.1</v>
      </c>
      <c r="Z660" s="14" t="n">
        <v>1.59</v>
      </c>
      <c r="AA660" s="14" t="n">
        <v>0</v>
      </c>
    </row>
    <row r="661">
      <c r="A661" t="inlineStr">
        <is>
          <t>200104</t>
        </is>
      </c>
      <c r="B661" t="inlineStr">
        <is>
          <t>PIURA</t>
        </is>
      </c>
      <c r="C661" t="inlineStr">
        <is>
          <t>PIURA</t>
        </is>
      </c>
      <c r="D661" t="inlineStr">
        <is>
          <t>CASTILLA</t>
        </is>
      </c>
      <c r="E661" t="n">
        <v>67131</v>
      </c>
      <c r="F661" s="14" t="n">
        <v>0</v>
      </c>
      <c r="G661" s="14" t="n">
        <v>7.6</v>
      </c>
      <c r="H661" s="14" t="n">
        <v>0.37</v>
      </c>
      <c r="I661" s="14" t="n">
        <v>8.140000000000001</v>
      </c>
      <c r="J661" s="14" t="n">
        <v>0.11</v>
      </c>
      <c r="K661" s="14" t="n">
        <v>0.38</v>
      </c>
      <c r="L661" s="14" t="n">
        <v>7.8</v>
      </c>
      <c r="M661" s="14" t="n">
        <v>21.37</v>
      </c>
      <c r="N661" s="14" t="n">
        <v>12.4</v>
      </c>
      <c r="O661" s="14" t="n">
        <v>6.83</v>
      </c>
      <c r="P661" s="14" t="n">
        <v>0.87</v>
      </c>
      <c r="Q661" s="14" t="n">
        <v>1.33</v>
      </c>
      <c r="R661" s="14" t="n">
        <v>0.19</v>
      </c>
      <c r="S661" s="14" t="n">
        <v>6.87</v>
      </c>
      <c r="T661" s="14" t="n">
        <v>4.42</v>
      </c>
      <c r="U661" s="14" t="n">
        <v>4.52</v>
      </c>
      <c r="V661" s="14" t="n">
        <v>7.14</v>
      </c>
      <c r="W661" s="14" t="n">
        <v>3.5</v>
      </c>
      <c r="X661" s="14" t="n">
        <v>1</v>
      </c>
      <c r="Y661" s="14" t="n">
        <v>3.17</v>
      </c>
      <c r="Z661" s="14" t="n">
        <v>1.99</v>
      </c>
      <c r="AA661" s="14" t="n">
        <v>0</v>
      </c>
    </row>
    <row r="662">
      <c r="A662" t="inlineStr">
        <is>
          <t>200105</t>
        </is>
      </c>
      <c r="B662" t="inlineStr">
        <is>
          <t>PIURA</t>
        </is>
      </c>
      <c r="C662" t="inlineStr">
        <is>
          <t>PIURA</t>
        </is>
      </c>
      <c r="D662" t="inlineStr">
        <is>
          <t>CATACAOS</t>
        </is>
      </c>
      <c r="E662" t="n">
        <v>27042</v>
      </c>
      <c r="F662" s="14" t="n">
        <v>0.063</v>
      </c>
      <c r="G662" s="14" t="n">
        <v>20.77</v>
      </c>
      <c r="H662" s="14" t="n">
        <v>0.22</v>
      </c>
      <c r="I662" s="14" t="n">
        <v>10.6</v>
      </c>
      <c r="J662" s="14" t="n">
        <v>0.13</v>
      </c>
      <c r="K662" s="14" t="n">
        <v>0.33</v>
      </c>
      <c r="L662" s="14" t="n">
        <v>11.6</v>
      </c>
      <c r="M662" s="14" t="n">
        <v>17.72</v>
      </c>
      <c r="N662" s="14" t="n">
        <v>11.82</v>
      </c>
      <c r="O662" s="14" t="n">
        <v>5.49</v>
      </c>
      <c r="P662" s="14" t="n">
        <v>0.51</v>
      </c>
      <c r="Q662" s="14" t="n">
        <v>0.54</v>
      </c>
      <c r="R662" s="14" t="n">
        <v>0.04</v>
      </c>
      <c r="S662" s="14" t="n">
        <v>3.32</v>
      </c>
      <c r="T662" s="14" t="n">
        <v>3.13</v>
      </c>
      <c r="U662" s="14" t="n">
        <v>2.61</v>
      </c>
      <c r="V662" s="14" t="n">
        <v>4.26</v>
      </c>
      <c r="W662" s="14" t="n">
        <v>1.6</v>
      </c>
      <c r="X662" s="14" t="n">
        <v>0.87</v>
      </c>
      <c r="Y662" s="14" t="n">
        <v>2.7</v>
      </c>
      <c r="Z662" s="14" t="n">
        <v>1.73</v>
      </c>
      <c r="AA662" s="14" t="n">
        <v>0</v>
      </c>
    </row>
    <row r="663">
      <c r="A663" t="inlineStr">
        <is>
          <t>200107</t>
        </is>
      </c>
      <c r="B663" t="inlineStr">
        <is>
          <t>PIURA</t>
        </is>
      </c>
      <c r="C663" t="inlineStr">
        <is>
          <t>PIURA</t>
        </is>
      </c>
      <c r="D663" t="inlineStr">
        <is>
          <t>CURA MORI</t>
        </is>
      </c>
      <c r="E663" t="n">
        <v>5380</v>
      </c>
      <c r="F663" s="14" t="n">
        <v>0</v>
      </c>
      <c r="G663" s="14" t="n">
        <v>60.91</v>
      </c>
      <c r="H663" s="14" t="n">
        <v>0.15</v>
      </c>
      <c r="I663" s="14" t="n">
        <v>5.09</v>
      </c>
      <c r="J663" s="14" t="n">
        <v>0.04</v>
      </c>
      <c r="K663" s="14" t="n">
        <v>0.17</v>
      </c>
      <c r="L663" s="14" t="n">
        <v>5.19</v>
      </c>
      <c r="M663" s="14" t="n">
        <v>8.48</v>
      </c>
      <c r="N663" s="14" t="n">
        <v>6.12</v>
      </c>
      <c r="O663" s="14" t="n">
        <v>2.3</v>
      </c>
      <c r="P663" s="14" t="n">
        <v>0.2</v>
      </c>
      <c r="Q663" s="14" t="n">
        <v>0.13</v>
      </c>
      <c r="R663" s="14" t="n">
        <v>0</v>
      </c>
      <c r="S663" s="14" t="n">
        <v>1.12</v>
      </c>
      <c r="T663" s="14" t="n">
        <v>1.95</v>
      </c>
      <c r="U663" s="14" t="n">
        <v>1.97</v>
      </c>
      <c r="V663" s="14" t="n">
        <v>1.47</v>
      </c>
      <c r="W663" s="14" t="n">
        <v>1.21</v>
      </c>
      <c r="X663" s="14" t="n">
        <v>0.22</v>
      </c>
      <c r="Y663" s="14" t="n">
        <v>1.41</v>
      </c>
      <c r="Z663" s="14" t="n">
        <v>1.88</v>
      </c>
      <c r="AA663" s="14" t="n">
        <v>0</v>
      </c>
    </row>
    <row r="664">
      <c r="A664" t="inlineStr">
        <is>
          <t>200108</t>
        </is>
      </c>
      <c r="B664" t="inlineStr">
        <is>
          <t>PIURA</t>
        </is>
      </c>
      <c r="C664" t="inlineStr">
        <is>
          <t>PIURA</t>
        </is>
      </c>
      <c r="D664" t="inlineStr">
        <is>
          <t>EL TALLAN</t>
        </is>
      </c>
      <c r="E664" t="n">
        <v>1794</v>
      </c>
      <c r="F664" s="14" t="n">
        <v>0</v>
      </c>
      <c r="G664" s="14" t="n">
        <v>67.22</v>
      </c>
      <c r="H664" s="14" t="n">
        <v>0.11</v>
      </c>
      <c r="I664" s="14" t="n">
        <v>6.63</v>
      </c>
      <c r="J664" s="14" t="n">
        <v>0</v>
      </c>
      <c r="K664" s="14" t="n">
        <v>0.06</v>
      </c>
      <c r="L664" s="14" t="n">
        <v>4.74</v>
      </c>
      <c r="M664" s="14" t="n">
        <v>5.3</v>
      </c>
      <c r="N664" s="14" t="n">
        <v>2.01</v>
      </c>
      <c r="O664" s="14" t="n">
        <v>4.29</v>
      </c>
      <c r="P664" s="14" t="n">
        <v>0</v>
      </c>
      <c r="Q664" s="14" t="n">
        <v>0.06</v>
      </c>
      <c r="R664" s="14" t="n">
        <v>0</v>
      </c>
      <c r="S664" s="14" t="n">
        <v>0.95</v>
      </c>
      <c r="T664" s="14" t="n">
        <v>1.06</v>
      </c>
      <c r="U664" s="14" t="n">
        <v>2.9</v>
      </c>
      <c r="V664" s="14" t="n">
        <v>1.51</v>
      </c>
      <c r="W664" s="14" t="n">
        <v>0.33</v>
      </c>
      <c r="X664" s="14" t="n">
        <v>0.17</v>
      </c>
      <c r="Y664" s="14" t="n">
        <v>0.5600000000000001</v>
      </c>
      <c r="Z664" s="14" t="n">
        <v>2.12</v>
      </c>
      <c r="AA664" s="14" t="n">
        <v>0</v>
      </c>
    </row>
    <row r="665">
      <c r="A665" t="inlineStr">
        <is>
          <t>200109</t>
        </is>
      </c>
      <c r="B665" t="inlineStr">
        <is>
          <t>PIURA</t>
        </is>
      </c>
      <c r="C665" t="inlineStr">
        <is>
          <t>PIURA</t>
        </is>
      </c>
      <c r="D665" t="inlineStr">
        <is>
          <t>LA ARENA</t>
        </is>
      </c>
      <c r="E665" t="n">
        <v>12093</v>
      </c>
      <c r="F665" s="14" t="n">
        <v>0</v>
      </c>
      <c r="G665" s="14" t="n">
        <v>55.57</v>
      </c>
      <c r="H665" s="14" t="n">
        <v>0.29</v>
      </c>
      <c r="I665" s="14" t="n">
        <v>5.22</v>
      </c>
      <c r="J665" s="14" t="n">
        <v>0.04</v>
      </c>
      <c r="K665" s="14" t="n">
        <v>0.12</v>
      </c>
      <c r="L665" s="14" t="n">
        <v>4.7</v>
      </c>
      <c r="M665" s="14" t="n">
        <v>10.46</v>
      </c>
      <c r="N665" s="14" t="n">
        <v>7.79</v>
      </c>
      <c r="O665" s="14" t="n">
        <v>4.23</v>
      </c>
      <c r="P665" s="14" t="n">
        <v>0.22</v>
      </c>
      <c r="Q665" s="14" t="n">
        <v>0.31</v>
      </c>
      <c r="R665" s="14" t="n">
        <v>0</v>
      </c>
      <c r="S665" s="14" t="n">
        <v>0.9399999999999999</v>
      </c>
      <c r="T665" s="14" t="n">
        <v>1.11</v>
      </c>
      <c r="U665" s="14" t="n">
        <v>2.76</v>
      </c>
      <c r="V665" s="14" t="n">
        <v>2.34</v>
      </c>
      <c r="W665" s="14" t="n">
        <v>0.84</v>
      </c>
      <c r="X665" s="14" t="n">
        <v>0.34</v>
      </c>
      <c r="Y665" s="14" t="n">
        <v>1.38</v>
      </c>
      <c r="Z665" s="14" t="n">
        <v>1.35</v>
      </c>
      <c r="AA665" s="14" t="n">
        <v>0</v>
      </c>
    </row>
    <row r="666">
      <c r="A666" t="inlineStr">
        <is>
          <t>200110</t>
        </is>
      </c>
      <c r="B666" t="inlineStr">
        <is>
          <t>PIURA</t>
        </is>
      </c>
      <c r="C666" t="inlineStr">
        <is>
          <t>PIURA</t>
        </is>
      </c>
      <c r="D666" t="inlineStr">
        <is>
          <t>LA UNION</t>
        </is>
      </c>
      <c r="E666" t="n">
        <v>13303</v>
      </c>
      <c r="F666" s="14" t="n">
        <v>0</v>
      </c>
      <c r="G666" s="14" t="n">
        <v>35.23</v>
      </c>
      <c r="H666" s="14" t="n">
        <v>0.41</v>
      </c>
      <c r="I666" s="14" t="n">
        <v>6.6</v>
      </c>
      <c r="J666" s="14" t="n">
        <v>0.05</v>
      </c>
      <c r="K666" s="14" t="n">
        <v>0.23</v>
      </c>
      <c r="L666" s="14" t="n">
        <v>6.01</v>
      </c>
      <c r="M666" s="14" t="n">
        <v>15.68</v>
      </c>
      <c r="N666" s="14" t="n">
        <v>10.13</v>
      </c>
      <c r="O666" s="14" t="n">
        <v>4.6</v>
      </c>
      <c r="P666" s="14" t="n">
        <v>0.36</v>
      </c>
      <c r="Q666" s="14" t="n">
        <v>0.65</v>
      </c>
      <c r="R666" s="14" t="n">
        <v>0.01</v>
      </c>
      <c r="S666" s="14" t="n">
        <v>2.07</v>
      </c>
      <c r="T666" s="14" t="n">
        <v>1.38</v>
      </c>
      <c r="U666" s="14" t="n">
        <v>5.83</v>
      </c>
      <c r="V666" s="14" t="n">
        <v>5.06</v>
      </c>
      <c r="W666" s="14" t="n">
        <v>1.6</v>
      </c>
      <c r="X666" s="14" t="n">
        <v>0.51</v>
      </c>
      <c r="Y666" s="14" t="n">
        <v>2.01</v>
      </c>
      <c r="Z666" s="14" t="n">
        <v>1.56</v>
      </c>
      <c r="AA666" s="14" t="n">
        <v>0</v>
      </c>
    </row>
    <row r="667">
      <c r="A667" t="inlineStr">
        <is>
          <t>200111</t>
        </is>
      </c>
      <c r="B667" t="inlineStr">
        <is>
          <t>PIURA</t>
        </is>
      </c>
      <c r="C667" t="inlineStr">
        <is>
          <t>PIURA</t>
        </is>
      </c>
      <c r="D667" t="inlineStr">
        <is>
          <t>LAS LOMAS</t>
        </is>
      </c>
      <c r="E667" t="n">
        <v>8124</v>
      </c>
      <c r="F667" s="14" t="n">
        <v>0</v>
      </c>
      <c r="G667" s="14" t="n">
        <v>60.5</v>
      </c>
      <c r="H667" s="14" t="n">
        <v>1.23</v>
      </c>
      <c r="I667" s="14" t="n">
        <v>2.47</v>
      </c>
      <c r="J667" s="14" t="n">
        <v>0.05</v>
      </c>
      <c r="K667" s="14" t="n">
        <v>0.1</v>
      </c>
      <c r="L667" s="14" t="n">
        <v>3.56</v>
      </c>
      <c r="M667" s="14" t="n">
        <v>9.77</v>
      </c>
      <c r="N667" s="14" t="n">
        <v>7.36</v>
      </c>
      <c r="O667" s="14" t="n">
        <v>3.93</v>
      </c>
      <c r="P667" s="14" t="n">
        <v>0.3</v>
      </c>
      <c r="Q667" s="14" t="n">
        <v>0.28</v>
      </c>
      <c r="R667" s="14" t="n">
        <v>0.01</v>
      </c>
      <c r="S667" s="14" t="n">
        <v>0.9</v>
      </c>
      <c r="T667" s="14" t="n">
        <v>0.79</v>
      </c>
      <c r="U667" s="14" t="n">
        <v>3.3</v>
      </c>
      <c r="V667" s="14" t="n">
        <v>2.66</v>
      </c>
      <c r="W667" s="14" t="n">
        <v>0.75</v>
      </c>
      <c r="X667" s="14" t="n">
        <v>0.16</v>
      </c>
      <c r="Y667" s="14" t="n">
        <v>1.24</v>
      </c>
      <c r="Z667" s="14" t="n">
        <v>0.64</v>
      </c>
      <c r="AA667" s="14" t="n">
        <v>0</v>
      </c>
    </row>
    <row r="668">
      <c r="A668" t="inlineStr">
        <is>
          <t>200114</t>
        </is>
      </c>
      <c r="B668" t="inlineStr">
        <is>
          <t>PIURA</t>
        </is>
      </c>
      <c r="C668" t="inlineStr">
        <is>
          <t>PIURA</t>
        </is>
      </c>
      <c r="D668" t="inlineStr">
        <is>
          <t>TAMBO GRANDE</t>
        </is>
      </c>
      <c r="E668" t="n">
        <v>33704</v>
      </c>
      <c r="F668" s="14" t="n">
        <v>0</v>
      </c>
      <c r="G668" s="14" t="n">
        <v>62.7</v>
      </c>
      <c r="H668" s="14" t="n">
        <v>0.07000000000000001</v>
      </c>
      <c r="I668" s="14" t="n">
        <v>2.81</v>
      </c>
      <c r="J668" s="14" t="n">
        <v>0.02</v>
      </c>
      <c r="K668" s="14" t="n">
        <v>0.11</v>
      </c>
      <c r="L668" s="14" t="n">
        <v>4.76</v>
      </c>
      <c r="M668" s="14" t="n">
        <v>9.609999999999999</v>
      </c>
      <c r="N668" s="14" t="n">
        <v>6.14</v>
      </c>
      <c r="O668" s="14" t="n">
        <v>2.47</v>
      </c>
      <c r="P668" s="14" t="n">
        <v>0.15</v>
      </c>
      <c r="Q668" s="14" t="n">
        <v>0.26</v>
      </c>
      <c r="R668" s="14" t="n">
        <v>0.01</v>
      </c>
      <c r="S668" s="14" t="n">
        <v>1.47</v>
      </c>
      <c r="T668" s="14" t="n">
        <v>1.93</v>
      </c>
      <c r="U668" s="14" t="n">
        <v>1.17</v>
      </c>
      <c r="V668" s="14" t="n">
        <v>2.71</v>
      </c>
      <c r="W668" s="14" t="n">
        <v>0.71</v>
      </c>
      <c r="X668" s="14" t="n">
        <v>0.27</v>
      </c>
      <c r="Y668" s="14" t="n">
        <v>1.9</v>
      </c>
      <c r="Z668" s="14" t="n">
        <v>0.72</v>
      </c>
      <c r="AA668" s="14" t="n">
        <v>0</v>
      </c>
    </row>
    <row r="669">
      <c r="A669" t="inlineStr">
        <is>
          <t>200115</t>
        </is>
      </c>
      <c r="B669" t="inlineStr">
        <is>
          <t>PIURA</t>
        </is>
      </c>
      <c r="C669" t="inlineStr">
        <is>
          <t>PIURA</t>
        </is>
      </c>
      <c r="D669" t="inlineStr">
        <is>
          <t>VEINTISEIS DE OCTUBRE</t>
        </is>
      </c>
      <c r="E669" t="n">
        <v>68400</v>
      </c>
      <c r="F669" s="14" t="n">
        <v>0</v>
      </c>
      <c r="G669" s="14" t="n">
        <v>3.74</v>
      </c>
      <c r="H669" s="14" t="n">
        <v>0.21</v>
      </c>
      <c r="I669" s="14" t="n">
        <v>6.7</v>
      </c>
      <c r="J669" s="14" t="n">
        <v>0.13</v>
      </c>
      <c r="K669" s="14" t="n">
        <v>0.28</v>
      </c>
      <c r="L669" s="14" t="n">
        <v>8.23</v>
      </c>
      <c r="M669" s="14" t="n">
        <v>24.19</v>
      </c>
      <c r="N669" s="14" t="n">
        <v>14.77</v>
      </c>
      <c r="O669" s="14" t="n">
        <v>7.82</v>
      </c>
      <c r="P669" s="14" t="n">
        <v>0.86</v>
      </c>
      <c r="Q669" s="14" t="n">
        <v>1.15</v>
      </c>
      <c r="R669" s="14" t="n">
        <v>0.1</v>
      </c>
      <c r="S669" s="14" t="n">
        <v>6.26</v>
      </c>
      <c r="T669" s="14" t="n">
        <v>4.46</v>
      </c>
      <c r="U669" s="14" t="n">
        <v>4.23</v>
      </c>
      <c r="V669" s="14" t="n">
        <v>6.96</v>
      </c>
      <c r="W669" s="14" t="n">
        <v>2.88</v>
      </c>
      <c r="X669" s="14" t="n">
        <v>0.98</v>
      </c>
      <c r="Y669" s="14" t="n">
        <v>4.07</v>
      </c>
      <c r="Z669" s="14" t="n">
        <v>1.96</v>
      </c>
      <c r="AA669" s="14" t="n">
        <v>0</v>
      </c>
    </row>
    <row r="670">
      <c r="A670" t="inlineStr">
        <is>
          <t>200201</t>
        </is>
      </c>
      <c r="B670" t="inlineStr">
        <is>
          <t>PIURA</t>
        </is>
      </c>
      <c r="C670" t="inlineStr">
        <is>
          <t>AYABACA</t>
        </is>
      </c>
      <c r="D670" t="inlineStr">
        <is>
          <t>AYABACA</t>
        </is>
      </c>
      <c r="E670" t="n">
        <v>9945</v>
      </c>
      <c r="F670" s="14" t="n">
        <v>0</v>
      </c>
      <c r="G670" s="14" t="n">
        <v>66.61</v>
      </c>
      <c r="H670" s="14" t="n">
        <v>0.11</v>
      </c>
      <c r="I670" s="14" t="n">
        <v>1.66</v>
      </c>
      <c r="J670" s="14" t="n">
        <v>0.01</v>
      </c>
      <c r="K670" s="14" t="n">
        <v>0.03</v>
      </c>
      <c r="L670" s="14" t="n">
        <v>2.36</v>
      </c>
      <c r="M670" s="14" t="n">
        <v>9.85</v>
      </c>
      <c r="N670" s="14" t="n">
        <v>1.67</v>
      </c>
      <c r="O670" s="14" t="n">
        <v>2.72</v>
      </c>
      <c r="P670" s="14" t="n">
        <v>0.18</v>
      </c>
      <c r="Q670" s="14" t="n">
        <v>0.15</v>
      </c>
      <c r="R670" s="14" t="n">
        <v>0.02</v>
      </c>
      <c r="S670" s="14" t="n">
        <v>2.05</v>
      </c>
      <c r="T670" s="14" t="n">
        <v>0.88</v>
      </c>
      <c r="U670" s="14" t="n">
        <v>1.88</v>
      </c>
      <c r="V670" s="14" t="n">
        <v>6.01</v>
      </c>
      <c r="W670" s="14" t="n">
        <v>0.89</v>
      </c>
      <c r="X670" s="14" t="n">
        <v>0.06</v>
      </c>
      <c r="Y670" s="14" t="n">
        <v>1.45</v>
      </c>
      <c r="Z670" s="14" t="n">
        <v>1.39</v>
      </c>
      <c r="AA670" s="14" t="n">
        <v>0</v>
      </c>
    </row>
    <row r="671">
      <c r="A671" t="inlineStr">
        <is>
          <t>200202</t>
        </is>
      </c>
      <c r="B671" t="inlineStr">
        <is>
          <t>PIURA</t>
        </is>
      </c>
      <c r="C671" t="inlineStr">
        <is>
          <t>AYABACA</t>
        </is>
      </c>
      <c r="D671" t="inlineStr">
        <is>
          <t>FRIAS</t>
        </is>
      </c>
      <c r="E671" t="n">
        <v>4353</v>
      </c>
      <c r="F671" s="14" t="n">
        <v>0</v>
      </c>
      <c r="G671" s="14" t="n">
        <v>80.29000000000001</v>
      </c>
      <c r="H671" s="14" t="n">
        <v>0.16</v>
      </c>
      <c r="I671" s="14" t="n">
        <v>1.72</v>
      </c>
      <c r="J671" s="14" t="n">
        <v>0.02</v>
      </c>
      <c r="K671" s="14" t="n">
        <v>0.05</v>
      </c>
      <c r="L671" s="14" t="n">
        <v>1.77</v>
      </c>
      <c r="M671" s="14" t="n">
        <v>4.41</v>
      </c>
      <c r="N671" s="14" t="n">
        <v>1.03</v>
      </c>
      <c r="O671" s="14" t="n">
        <v>1.24</v>
      </c>
      <c r="P671" s="14" t="n">
        <v>0.21</v>
      </c>
      <c r="Q671" s="14" t="n">
        <v>0.05</v>
      </c>
      <c r="R671" s="14" t="n">
        <v>0</v>
      </c>
      <c r="S671" s="14" t="n">
        <v>0.6899999999999999</v>
      </c>
      <c r="T671" s="14" t="n">
        <v>0.3</v>
      </c>
      <c r="U671" s="14" t="n">
        <v>1.24</v>
      </c>
      <c r="V671" s="14" t="n">
        <v>4.5</v>
      </c>
      <c r="W671" s="14" t="n">
        <v>0.96</v>
      </c>
      <c r="X671" s="14" t="n">
        <v>0.23</v>
      </c>
      <c r="Y671" s="14" t="n">
        <v>0.64</v>
      </c>
      <c r="Z671" s="14" t="n">
        <v>0.48</v>
      </c>
      <c r="AA671" s="14" t="n">
        <v>0</v>
      </c>
    </row>
    <row r="672">
      <c r="A672" t="inlineStr">
        <is>
          <t>200203</t>
        </is>
      </c>
      <c r="B672" t="inlineStr">
        <is>
          <t>PIURA</t>
        </is>
      </c>
      <c r="C672" t="inlineStr">
        <is>
          <t>AYABACA</t>
        </is>
      </c>
      <c r="D672" t="inlineStr">
        <is>
          <t>JILILI</t>
        </is>
      </c>
      <c r="E672" t="n">
        <v>777</v>
      </c>
      <c r="F672" s="14" t="n">
        <v>0</v>
      </c>
      <c r="G672" s="14" t="n">
        <v>82.88</v>
      </c>
      <c r="H672" s="14" t="n">
        <v>0</v>
      </c>
      <c r="I672" s="14" t="n">
        <v>1.67</v>
      </c>
      <c r="J672" s="14" t="n">
        <v>0.13</v>
      </c>
      <c r="K672" s="14" t="n">
        <v>0</v>
      </c>
      <c r="L672" s="14" t="n">
        <v>1.16</v>
      </c>
      <c r="M672" s="14" t="n">
        <v>2.57</v>
      </c>
      <c r="N672" s="14" t="n">
        <v>0.77</v>
      </c>
      <c r="O672" s="14" t="n">
        <v>0.9</v>
      </c>
      <c r="P672" s="14" t="n">
        <v>0</v>
      </c>
      <c r="Q672" s="14" t="n">
        <v>0.13</v>
      </c>
      <c r="R672" s="14" t="n">
        <v>0</v>
      </c>
      <c r="S672" s="14" t="n">
        <v>0.64</v>
      </c>
      <c r="T672" s="14" t="n">
        <v>0.77</v>
      </c>
      <c r="U672" s="14" t="n">
        <v>1.54</v>
      </c>
      <c r="V672" s="14" t="n">
        <v>3.73</v>
      </c>
      <c r="W672" s="14" t="n">
        <v>1.03</v>
      </c>
      <c r="X672" s="14" t="n">
        <v>0.13</v>
      </c>
      <c r="Y672" s="14" t="n">
        <v>1.54</v>
      </c>
      <c r="Z672" s="14" t="n">
        <v>0.39</v>
      </c>
      <c r="AA672" s="14" t="n">
        <v>0</v>
      </c>
    </row>
    <row r="673">
      <c r="A673" t="inlineStr">
        <is>
          <t>200204</t>
        </is>
      </c>
      <c r="B673" t="inlineStr">
        <is>
          <t>PIURA</t>
        </is>
      </c>
      <c r="C673" t="inlineStr">
        <is>
          <t>AYABACA</t>
        </is>
      </c>
      <c r="D673" t="inlineStr">
        <is>
          <t>LAGUNAS</t>
        </is>
      </c>
      <c r="E673" t="n">
        <v>649</v>
      </c>
      <c r="F673" s="14" t="n">
        <v>0</v>
      </c>
      <c r="G673" s="14" t="n">
        <v>75.65000000000001</v>
      </c>
      <c r="H673" s="14" t="n">
        <v>0</v>
      </c>
      <c r="I673" s="14" t="n">
        <v>1.08</v>
      </c>
      <c r="J673" s="14" t="n">
        <v>0</v>
      </c>
      <c r="K673" s="14" t="n">
        <v>0</v>
      </c>
      <c r="L673" s="14" t="n">
        <v>2.62</v>
      </c>
      <c r="M673" s="14" t="n">
        <v>2.47</v>
      </c>
      <c r="N673" s="14" t="n">
        <v>3.24</v>
      </c>
      <c r="O673" s="14" t="n">
        <v>1.23</v>
      </c>
      <c r="P673" s="14" t="n">
        <v>0</v>
      </c>
      <c r="Q673" s="14" t="n">
        <v>0.15</v>
      </c>
      <c r="R673" s="14" t="n">
        <v>0</v>
      </c>
      <c r="S673" s="14" t="n">
        <v>0.62</v>
      </c>
      <c r="T673" s="14" t="n">
        <v>0.77</v>
      </c>
      <c r="U673" s="14" t="n">
        <v>2.31</v>
      </c>
      <c r="V673" s="14" t="n">
        <v>7.4</v>
      </c>
      <c r="W673" s="14" t="n">
        <v>2</v>
      </c>
      <c r="X673" s="14" t="n">
        <v>0.15</v>
      </c>
      <c r="Y673" s="14" t="n">
        <v>0.31</v>
      </c>
      <c r="Z673" s="14" t="n">
        <v>0</v>
      </c>
      <c r="AA673" s="14" t="n">
        <v>0</v>
      </c>
    </row>
    <row r="674">
      <c r="A674" t="inlineStr">
        <is>
          <t>200205</t>
        </is>
      </c>
      <c r="B674" t="inlineStr">
        <is>
          <t>PIURA</t>
        </is>
      </c>
      <c r="C674" t="inlineStr">
        <is>
          <t>AYABACA</t>
        </is>
      </c>
      <c r="D674" t="inlineStr">
        <is>
          <t>MONTERO</t>
        </is>
      </c>
      <c r="E674" t="n">
        <v>1877</v>
      </c>
      <c r="F674" s="14" t="n">
        <v>0</v>
      </c>
      <c r="G674" s="14" t="n">
        <v>70.27</v>
      </c>
      <c r="H674" s="14" t="n">
        <v>0</v>
      </c>
      <c r="I674" s="14" t="n">
        <v>2.29</v>
      </c>
      <c r="J674" s="14" t="n">
        <v>0.05</v>
      </c>
      <c r="K674" s="14" t="n">
        <v>0</v>
      </c>
      <c r="L674" s="14" t="n">
        <v>2.56</v>
      </c>
      <c r="M674" s="14" t="n">
        <v>6.5</v>
      </c>
      <c r="N674" s="14" t="n">
        <v>2.93</v>
      </c>
      <c r="O674" s="14" t="n">
        <v>2.77</v>
      </c>
      <c r="P674" s="14" t="n">
        <v>0.05</v>
      </c>
      <c r="Q674" s="14" t="n">
        <v>0.75</v>
      </c>
      <c r="R674" s="14" t="n">
        <v>0</v>
      </c>
      <c r="S674" s="14" t="n">
        <v>1.49</v>
      </c>
      <c r="T674" s="14" t="n">
        <v>0.64</v>
      </c>
      <c r="U674" s="14" t="n">
        <v>2.08</v>
      </c>
      <c r="V674" s="14" t="n">
        <v>4.58</v>
      </c>
      <c r="W674" s="14" t="n">
        <v>1.28</v>
      </c>
      <c r="X674" s="14" t="n">
        <v>0</v>
      </c>
      <c r="Y674" s="14" t="n">
        <v>0.6899999999999999</v>
      </c>
      <c r="Z674" s="14" t="n">
        <v>1.07</v>
      </c>
      <c r="AA674" s="14" t="n">
        <v>0</v>
      </c>
    </row>
    <row r="675">
      <c r="A675" t="inlineStr">
        <is>
          <t>200206</t>
        </is>
      </c>
      <c r="B675" t="inlineStr">
        <is>
          <t>PIURA</t>
        </is>
      </c>
      <c r="C675" t="inlineStr">
        <is>
          <t>AYABACA</t>
        </is>
      </c>
      <c r="D675" t="inlineStr">
        <is>
          <t>PACAIPAMPA</t>
        </is>
      </c>
      <c r="E675" t="n">
        <v>4927</v>
      </c>
      <c r="F675" s="14" t="n">
        <v>0</v>
      </c>
      <c r="G675" s="14" t="n">
        <v>77.29000000000001</v>
      </c>
      <c r="H675" s="14" t="n">
        <v>0.08</v>
      </c>
      <c r="I675" s="14" t="n">
        <v>1.89</v>
      </c>
      <c r="J675" s="14" t="n">
        <v>0</v>
      </c>
      <c r="K675" s="14" t="n">
        <v>0</v>
      </c>
      <c r="L675" s="14" t="n">
        <v>2.78</v>
      </c>
      <c r="M675" s="14" t="n">
        <v>4.38</v>
      </c>
      <c r="N675" s="14" t="n">
        <v>1.38</v>
      </c>
      <c r="O675" s="14" t="n">
        <v>1.18</v>
      </c>
      <c r="P675" s="14" t="n">
        <v>0.1</v>
      </c>
      <c r="Q675" s="14" t="n">
        <v>0.16</v>
      </c>
      <c r="R675" s="14" t="n">
        <v>0</v>
      </c>
      <c r="S675" s="14" t="n">
        <v>0.55</v>
      </c>
      <c r="T675" s="14" t="n">
        <v>0.2</v>
      </c>
      <c r="U675" s="14" t="n">
        <v>1.52</v>
      </c>
      <c r="V675" s="14" t="n">
        <v>6.21</v>
      </c>
      <c r="W675" s="14" t="n">
        <v>1.24</v>
      </c>
      <c r="X675" s="14" t="n">
        <v>0.02</v>
      </c>
      <c r="Y675" s="14" t="n">
        <v>0.53</v>
      </c>
      <c r="Z675" s="14" t="n">
        <v>0.49</v>
      </c>
      <c r="AA675" s="14" t="n">
        <v>0</v>
      </c>
    </row>
    <row r="676">
      <c r="A676" t="inlineStr">
        <is>
          <t>200207</t>
        </is>
      </c>
      <c r="B676" t="inlineStr">
        <is>
          <t>PIURA</t>
        </is>
      </c>
      <c r="C676" t="inlineStr">
        <is>
          <t>AYABACA</t>
        </is>
      </c>
      <c r="D676" t="inlineStr">
        <is>
          <t>PAIMAS</t>
        </is>
      </c>
      <c r="E676" t="n">
        <v>2541</v>
      </c>
      <c r="F676" s="14" t="n">
        <v>0</v>
      </c>
      <c r="G676" s="14" t="n">
        <v>68.75</v>
      </c>
      <c r="H676" s="14" t="n">
        <v>0.24</v>
      </c>
      <c r="I676" s="14" t="n">
        <v>1.53</v>
      </c>
      <c r="J676" s="14" t="n">
        <v>0</v>
      </c>
      <c r="K676" s="14" t="n">
        <v>0.12</v>
      </c>
      <c r="L676" s="14" t="n">
        <v>2.48</v>
      </c>
      <c r="M676" s="14" t="n">
        <v>8.539999999999999</v>
      </c>
      <c r="N676" s="14" t="n">
        <v>3.86</v>
      </c>
      <c r="O676" s="14" t="n">
        <v>5.16</v>
      </c>
      <c r="P676" s="14" t="n">
        <v>0.12</v>
      </c>
      <c r="Q676" s="14" t="n">
        <v>0.24</v>
      </c>
      <c r="R676" s="14" t="n">
        <v>0.04</v>
      </c>
      <c r="S676" s="14" t="n">
        <v>0.79</v>
      </c>
      <c r="T676" s="14" t="n">
        <v>0.43</v>
      </c>
      <c r="U676" s="14" t="n">
        <v>1.61</v>
      </c>
      <c r="V676" s="14" t="n">
        <v>3.82</v>
      </c>
      <c r="W676" s="14" t="n">
        <v>1.02</v>
      </c>
      <c r="X676" s="14" t="n">
        <v>0</v>
      </c>
      <c r="Y676" s="14" t="n">
        <v>0.98</v>
      </c>
      <c r="Z676" s="14" t="n">
        <v>0.28</v>
      </c>
      <c r="AA676" s="14" t="n">
        <v>0</v>
      </c>
    </row>
    <row r="677">
      <c r="A677" t="inlineStr">
        <is>
          <t>200208</t>
        </is>
      </c>
      <c r="B677" t="inlineStr">
        <is>
          <t>PIURA</t>
        </is>
      </c>
      <c r="C677" t="inlineStr">
        <is>
          <t>AYABACA</t>
        </is>
      </c>
      <c r="D677" t="inlineStr">
        <is>
          <t>SAPILLICA</t>
        </is>
      </c>
      <c r="E677" t="n">
        <v>1769</v>
      </c>
      <c r="F677" s="14" t="n">
        <v>0</v>
      </c>
      <c r="G677" s="14" t="n">
        <v>80.61</v>
      </c>
      <c r="H677" s="14" t="n">
        <v>0.11</v>
      </c>
      <c r="I677" s="14" t="n">
        <v>0.96</v>
      </c>
      <c r="J677" s="14" t="n">
        <v>0</v>
      </c>
      <c r="K677" s="14" t="n">
        <v>0</v>
      </c>
      <c r="L677" s="14" t="n">
        <v>1.36</v>
      </c>
      <c r="M677" s="14" t="n">
        <v>4.47</v>
      </c>
      <c r="N677" s="14" t="n">
        <v>1.07</v>
      </c>
      <c r="O677" s="14" t="n">
        <v>1.81</v>
      </c>
      <c r="P677" s="14" t="n">
        <v>0.06</v>
      </c>
      <c r="Q677" s="14" t="n">
        <v>0</v>
      </c>
      <c r="R677" s="14" t="n">
        <v>0</v>
      </c>
      <c r="S677" s="14" t="n">
        <v>0.23</v>
      </c>
      <c r="T677" s="14" t="n">
        <v>0.34</v>
      </c>
      <c r="U677" s="14" t="n">
        <v>4.07</v>
      </c>
      <c r="V677" s="14" t="n">
        <v>3.56</v>
      </c>
      <c r="W677" s="14" t="n">
        <v>0.85</v>
      </c>
      <c r="X677" s="14" t="n">
        <v>0</v>
      </c>
      <c r="Y677" s="14" t="n">
        <v>0.4</v>
      </c>
      <c r="Z677" s="14" t="n">
        <v>0.11</v>
      </c>
      <c r="AA677" s="14" t="n">
        <v>0</v>
      </c>
    </row>
    <row r="678">
      <c r="A678" t="inlineStr">
        <is>
          <t>200209</t>
        </is>
      </c>
      <c r="B678" t="inlineStr">
        <is>
          <t>PIURA</t>
        </is>
      </c>
      <c r="C678" t="inlineStr">
        <is>
          <t>AYABACA</t>
        </is>
      </c>
      <c r="D678" t="inlineStr">
        <is>
          <t>SICCHEZ</t>
        </is>
      </c>
      <c r="E678" t="n">
        <v>521</v>
      </c>
      <c r="F678" s="14" t="n">
        <v>0</v>
      </c>
      <c r="G678" s="14" t="n">
        <v>71.40000000000001</v>
      </c>
      <c r="H678" s="14" t="n">
        <v>0</v>
      </c>
      <c r="I678" s="14" t="n">
        <v>0.77</v>
      </c>
      <c r="J678" s="14" t="n">
        <v>0</v>
      </c>
      <c r="K678" s="14" t="n">
        <v>0</v>
      </c>
      <c r="L678" s="14" t="n">
        <v>3.45</v>
      </c>
      <c r="M678" s="14" t="n">
        <v>3.84</v>
      </c>
      <c r="N678" s="14" t="n">
        <v>2.5</v>
      </c>
      <c r="O678" s="14" t="n">
        <v>1.73</v>
      </c>
      <c r="P678" s="14" t="n">
        <v>0</v>
      </c>
      <c r="Q678" s="14" t="n">
        <v>0</v>
      </c>
      <c r="R678" s="14" t="n">
        <v>0</v>
      </c>
      <c r="S678" s="14" t="n">
        <v>0.58</v>
      </c>
      <c r="T678" s="14" t="n">
        <v>0.19</v>
      </c>
      <c r="U678" s="14" t="n">
        <v>5.37</v>
      </c>
      <c r="V678" s="14" t="n">
        <v>7.68</v>
      </c>
      <c r="W678" s="14" t="n">
        <v>1.15</v>
      </c>
      <c r="X678" s="14" t="n">
        <v>0.19</v>
      </c>
      <c r="Y678" s="14" t="n">
        <v>0.58</v>
      </c>
      <c r="Z678" s="14" t="n">
        <v>0.58</v>
      </c>
      <c r="AA678" s="14" t="n">
        <v>0</v>
      </c>
    </row>
    <row r="679">
      <c r="A679" t="inlineStr">
        <is>
          <t>200210</t>
        </is>
      </c>
      <c r="B679" t="inlineStr">
        <is>
          <t>PIURA</t>
        </is>
      </c>
      <c r="C679" t="inlineStr">
        <is>
          <t>AYABACA</t>
        </is>
      </c>
      <c r="D679" t="inlineStr">
        <is>
          <t>SUYO</t>
        </is>
      </c>
      <c r="E679" t="n">
        <v>3416</v>
      </c>
      <c r="F679" s="14" t="n">
        <v>0</v>
      </c>
      <c r="G679" s="14" t="n">
        <v>69.06</v>
      </c>
      <c r="H679" s="14" t="n">
        <v>1.32</v>
      </c>
      <c r="I679" s="14" t="n">
        <v>1.79</v>
      </c>
      <c r="J679" s="14" t="n">
        <v>0.03</v>
      </c>
      <c r="K679" s="14" t="n">
        <v>0.06</v>
      </c>
      <c r="L679" s="14" t="n">
        <v>1.35</v>
      </c>
      <c r="M679" s="14" t="n">
        <v>8.43</v>
      </c>
      <c r="N679" s="14" t="n">
        <v>3.31</v>
      </c>
      <c r="O679" s="14" t="n">
        <v>3.43</v>
      </c>
      <c r="P679" s="14" t="n">
        <v>0.18</v>
      </c>
      <c r="Q679" s="14" t="n">
        <v>0.18</v>
      </c>
      <c r="R679" s="14" t="n">
        <v>0</v>
      </c>
      <c r="S679" s="14" t="n">
        <v>0.97</v>
      </c>
      <c r="T679" s="14" t="n">
        <v>1.02</v>
      </c>
      <c r="U679" s="14" t="n">
        <v>1.93</v>
      </c>
      <c r="V679" s="14" t="n">
        <v>3.34</v>
      </c>
      <c r="W679" s="14" t="n">
        <v>0.61</v>
      </c>
      <c r="X679" s="14" t="n">
        <v>0.12</v>
      </c>
      <c r="Y679" s="14" t="n">
        <v>2.28</v>
      </c>
      <c r="Z679" s="14" t="n">
        <v>0.61</v>
      </c>
      <c r="AA679" s="14" t="n">
        <v>0</v>
      </c>
    </row>
    <row r="680">
      <c r="A680" t="inlineStr">
        <is>
          <t>200301</t>
        </is>
      </c>
      <c r="B680" t="inlineStr">
        <is>
          <t>PIURA</t>
        </is>
      </c>
      <c r="C680" t="inlineStr">
        <is>
          <t>HUANCABAMBA</t>
        </is>
      </c>
      <c r="D680" t="inlineStr">
        <is>
          <t>HUANCABAMBA</t>
        </is>
      </c>
      <c r="E680" t="n">
        <v>9683</v>
      </c>
      <c r="F680" s="14" t="n">
        <v>0</v>
      </c>
      <c r="G680" s="14" t="n">
        <v>55.22</v>
      </c>
      <c r="H680" s="14" t="n">
        <v>0.18</v>
      </c>
      <c r="I680" s="14" t="n">
        <v>3.18</v>
      </c>
      <c r="J680" s="14" t="n">
        <v>0.05</v>
      </c>
      <c r="K680" s="14" t="n">
        <v>0.07000000000000001</v>
      </c>
      <c r="L680" s="14" t="n">
        <v>3.57</v>
      </c>
      <c r="M680" s="14" t="n">
        <v>10.32</v>
      </c>
      <c r="N680" s="14" t="n">
        <v>4.39</v>
      </c>
      <c r="O680" s="14" t="n">
        <v>2.66</v>
      </c>
      <c r="P680" s="14" t="n">
        <v>0.23</v>
      </c>
      <c r="Q680" s="14" t="n">
        <v>0.45</v>
      </c>
      <c r="R680" s="14" t="n">
        <v>0.03</v>
      </c>
      <c r="S680" s="14" t="n">
        <v>1.91</v>
      </c>
      <c r="T680" s="14" t="n">
        <v>0.86</v>
      </c>
      <c r="U680" s="14" t="n">
        <v>3.03</v>
      </c>
      <c r="V680" s="14" t="n">
        <v>9.25</v>
      </c>
      <c r="W680" s="14" t="n">
        <v>1.64</v>
      </c>
      <c r="X680" s="14" t="n">
        <v>0.2</v>
      </c>
      <c r="Y680" s="14" t="n">
        <v>1.35</v>
      </c>
      <c r="Z680" s="14" t="n">
        <v>1.4</v>
      </c>
      <c r="AA680" s="14" t="n">
        <v>0</v>
      </c>
    </row>
    <row r="681">
      <c r="A681" t="inlineStr">
        <is>
          <t>200302</t>
        </is>
      </c>
      <c r="B681" t="inlineStr">
        <is>
          <t>PIURA</t>
        </is>
      </c>
      <c r="C681" t="inlineStr">
        <is>
          <t>HUANCABAMBA</t>
        </is>
      </c>
      <c r="D681" t="inlineStr">
        <is>
          <t>CANCHAQUE</t>
        </is>
      </c>
      <c r="E681" t="n">
        <v>2469</v>
      </c>
      <c r="F681" s="14" t="n">
        <v>0</v>
      </c>
      <c r="G681" s="14" t="n">
        <v>60.79</v>
      </c>
      <c r="H681" s="14" t="n">
        <v>0.12</v>
      </c>
      <c r="I681" s="14" t="n">
        <v>2.19</v>
      </c>
      <c r="J681" s="14" t="n">
        <v>0.04</v>
      </c>
      <c r="K681" s="14" t="n">
        <v>0</v>
      </c>
      <c r="L681" s="14" t="n">
        <v>5.55</v>
      </c>
      <c r="M681" s="14" t="n">
        <v>8.1</v>
      </c>
      <c r="N681" s="14" t="n">
        <v>2.75</v>
      </c>
      <c r="O681" s="14" t="n">
        <v>3.73</v>
      </c>
      <c r="P681" s="14" t="n">
        <v>0.12</v>
      </c>
      <c r="Q681" s="14" t="n">
        <v>0.53</v>
      </c>
      <c r="R681" s="14" t="n">
        <v>0</v>
      </c>
      <c r="S681" s="14" t="n">
        <v>1.26</v>
      </c>
      <c r="T681" s="14" t="n">
        <v>1.22</v>
      </c>
      <c r="U681" s="14" t="n">
        <v>2.88</v>
      </c>
      <c r="V681" s="14" t="n">
        <v>6.68</v>
      </c>
      <c r="W681" s="14" t="n">
        <v>2.23</v>
      </c>
      <c r="X681" s="14" t="n">
        <v>0.24</v>
      </c>
      <c r="Y681" s="14" t="n">
        <v>0.61</v>
      </c>
      <c r="Z681" s="14" t="n">
        <v>0.97</v>
      </c>
      <c r="AA681" s="14" t="n">
        <v>0</v>
      </c>
    </row>
    <row r="682">
      <c r="A682" t="inlineStr">
        <is>
          <t>200303</t>
        </is>
      </c>
      <c r="B682" t="inlineStr">
        <is>
          <t>PIURA</t>
        </is>
      </c>
      <c r="C682" t="inlineStr">
        <is>
          <t>HUANCABAMBA</t>
        </is>
      </c>
      <c r="D682" t="inlineStr">
        <is>
          <t>EL CARMEN DE LA FRONTERA</t>
        </is>
      </c>
      <c r="E682" t="n">
        <v>3105</v>
      </c>
      <c r="F682" s="14" t="n">
        <v>0</v>
      </c>
      <c r="G682" s="14" t="n">
        <v>82.77</v>
      </c>
      <c r="H682" s="14" t="n">
        <v>0.1</v>
      </c>
      <c r="I682" s="14" t="n">
        <v>3.86</v>
      </c>
      <c r="J682" s="14" t="n">
        <v>0</v>
      </c>
      <c r="K682" s="14" t="n">
        <v>0.1</v>
      </c>
      <c r="L682" s="14" t="n">
        <v>1.13</v>
      </c>
      <c r="M682" s="14" t="n">
        <v>4.12</v>
      </c>
      <c r="N682" s="14" t="n">
        <v>1</v>
      </c>
      <c r="O682" s="14" t="n">
        <v>0.68</v>
      </c>
      <c r="P682" s="14" t="n">
        <v>0.03</v>
      </c>
      <c r="Q682" s="14" t="n">
        <v>0</v>
      </c>
      <c r="R682" s="14" t="n">
        <v>0</v>
      </c>
      <c r="S682" s="14" t="n">
        <v>0.84</v>
      </c>
      <c r="T682" s="14" t="n">
        <v>0.45</v>
      </c>
      <c r="U682" s="14" t="n">
        <v>0.77</v>
      </c>
      <c r="V682" s="14" t="n">
        <v>2.35</v>
      </c>
      <c r="W682" s="14" t="n">
        <v>0.74</v>
      </c>
      <c r="X682" s="14" t="n">
        <v>0.06</v>
      </c>
      <c r="Y682" s="14" t="n">
        <v>0.45</v>
      </c>
      <c r="Z682" s="14" t="n">
        <v>0.55</v>
      </c>
      <c r="AA682" s="14" t="n">
        <v>0</v>
      </c>
    </row>
    <row r="683">
      <c r="A683" t="inlineStr">
        <is>
          <t>200304</t>
        </is>
      </c>
      <c r="B683" t="inlineStr">
        <is>
          <t>PIURA</t>
        </is>
      </c>
      <c r="C683" t="inlineStr">
        <is>
          <t>HUANCABAMBA</t>
        </is>
      </c>
      <c r="D683" t="inlineStr">
        <is>
          <t>HUARMACA</t>
        </is>
      </c>
      <c r="E683" t="n">
        <v>9355</v>
      </c>
      <c r="F683" s="14" t="n">
        <v>0</v>
      </c>
      <c r="G683" s="14" t="n">
        <v>75.81</v>
      </c>
      <c r="H683" s="14" t="n">
        <v>0.07000000000000001</v>
      </c>
      <c r="I683" s="14" t="n">
        <v>1.3</v>
      </c>
      <c r="J683" s="14" t="n">
        <v>0.02</v>
      </c>
      <c r="K683" s="14" t="n">
        <v>0.06</v>
      </c>
      <c r="L683" s="14" t="n">
        <v>4.16</v>
      </c>
      <c r="M683" s="14" t="n">
        <v>5.72</v>
      </c>
      <c r="N683" s="14" t="n">
        <v>1.33</v>
      </c>
      <c r="O683" s="14" t="n">
        <v>1.43</v>
      </c>
      <c r="P683" s="14" t="n">
        <v>0.05</v>
      </c>
      <c r="Q683" s="14" t="n">
        <v>0.06</v>
      </c>
      <c r="R683" s="14" t="n">
        <v>0</v>
      </c>
      <c r="S683" s="14" t="n">
        <v>0.93</v>
      </c>
      <c r="T683" s="14" t="n">
        <v>0.64</v>
      </c>
      <c r="U683" s="14" t="n">
        <v>1.41</v>
      </c>
      <c r="V683" s="14" t="n">
        <v>4.78</v>
      </c>
      <c r="W683" s="14" t="n">
        <v>1.03</v>
      </c>
      <c r="X683" s="14" t="n">
        <v>0.02</v>
      </c>
      <c r="Y683" s="14" t="n">
        <v>0.64</v>
      </c>
      <c r="Z683" s="14" t="n">
        <v>0.52</v>
      </c>
      <c r="AA683" s="14" t="n">
        <v>0</v>
      </c>
    </row>
    <row r="684">
      <c r="A684" t="inlineStr">
        <is>
          <t>200305</t>
        </is>
      </c>
      <c r="B684" t="inlineStr">
        <is>
          <t>PIURA</t>
        </is>
      </c>
      <c r="C684" t="inlineStr">
        <is>
          <t>HUANCABAMBA</t>
        </is>
      </c>
      <c r="D684" t="inlineStr">
        <is>
          <t>LALAQUIZ</t>
        </is>
      </c>
      <c r="E684" t="n">
        <v>1310</v>
      </c>
      <c r="F684" s="14" t="n">
        <v>0</v>
      </c>
      <c r="G684" s="14" t="n">
        <v>87.86</v>
      </c>
      <c r="H684" s="14" t="n">
        <v>0.08</v>
      </c>
      <c r="I684" s="14" t="n">
        <v>0.46</v>
      </c>
      <c r="J684" s="14" t="n">
        <v>0</v>
      </c>
      <c r="K684" s="14" t="n">
        <v>0.15</v>
      </c>
      <c r="L684" s="14" t="n">
        <v>1.3</v>
      </c>
      <c r="M684" s="14" t="n">
        <v>3.05</v>
      </c>
      <c r="N684" s="14" t="n">
        <v>0.23</v>
      </c>
      <c r="O684" s="14" t="n">
        <v>0.53</v>
      </c>
      <c r="P684" s="14" t="n">
        <v>0.08</v>
      </c>
      <c r="Q684" s="14" t="n">
        <v>0</v>
      </c>
      <c r="R684" s="14" t="n">
        <v>0</v>
      </c>
      <c r="S684" s="14" t="n">
        <v>0.53</v>
      </c>
      <c r="T684" s="14" t="n">
        <v>0.38</v>
      </c>
      <c r="U684" s="14" t="n">
        <v>0.61</v>
      </c>
      <c r="V684" s="14" t="n">
        <v>1.98</v>
      </c>
      <c r="W684" s="14" t="n">
        <v>1.6</v>
      </c>
      <c r="X684" s="14" t="n">
        <v>0.08</v>
      </c>
      <c r="Y684" s="14" t="n">
        <v>0.31</v>
      </c>
      <c r="Z684" s="14" t="n">
        <v>0.76</v>
      </c>
      <c r="AA684" s="14" t="n">
        <v>0</v>
      </c>
    </row>
    <row r="685">
      <c r="A685" t="inlineStr">
        <is>
          <t>200306</t>
        </is>
      </c>
      <c r="B685" t="inlineStr">
        <is>
          <t>PIURA</t>
        </is>
      </c>
      <c r="C685" t="inlineStr">
        <is>
          <t>HUANCABAMBA</t>
        </is>
      </c>
      <c r="D685" t="inlineStr">
        <is>
          <t>SAN MIGUEL DE EL FAIQUE</t>
        </is>
      </c>
      <c r="E685" t="n">
        <v>2674</v>
      </c>
      <c r="F685" s="14" t="n">
        <v>0</v>
      </c>
      <c r="G685" s="14" t="n">
        <v>77.11</v>
      </c>
      <c r="H685" s="14" t="n">
        <v>0.15</v>
      </c>
      <c r="I685" s="14" t="n">
        <v>1.65</v>
      </c>
      <c r="J685" s="14" t="n">
        <v>0</v>
      </c>
      <c r="K685" s="14" t="n">
        <v>0</v>
      </c>
      <c r="L685" s="14" t="n">
        <v>1.83</v>
      </c>
      <c r="M685" s="14" t="n">
        <v>5.46</v>
      </c>
      <c r="N685" s="14" t="n">
        <v>2.17</v>
      </c>
      <c r="O685" s="14" t="n">
        <v>2.06</v>
      </c>
      <c r="P685" s="14" t="n">
        <v>0.11</v>
      </c>
      <c r="Q685" s="14" t="n">
        <v>0.19</v>
      </c>
      <c r="R685" s="14" t="n">
        <v>0</v>
      </c>
      <c r="S685" s="14" t="n">
        <v>0.5600000000000001</v>
      </c>
      <c r="T685" s="14" t="n">
        <v>0.5600000000000001</v>
      </c>
      <c r="U685" s="14" t="n">
        <v>1.72</v>
      </c>
      <c r="V685" s="14" t="n">
        <v>3.52</v>
      </c>
      <c r="W685" s="14" t="n">
        <v>1.42</v>
      </c>
      <c r="X685" s="14" t="n">
        <v>0.11</v>
      </c>
      <c r="Y685" s="14" t="n">
        <v>0.75</v>
      </c>
      <c r="Z685" s="14" t="n">
        <v>0.64</v>
      </c>
      <c r="AA685" s="14" t="n">
        <v>0</v>
      </c>
    </row>
    <row r="686">
      <c r="A686" t="inlineStr">
        <is>
          <t>200307</t>
        </is>
      </c>
      <c r="B686" t="inlineStr">
        <is>
          <t>PIURA</t>
        </is>
      </c>
      <c r="C686" t="inlineStr">
        <is>
          <t>HUANCABAMBA</t>
        </is>
      </c>
      <c r="D686" t="inlineStr">
        <is>
          <t>SONDOR</t>
        </is>
      </c>
      <c r="E686" t="n">
        <v>1896</v>
      </c>
      <c r="F686" s="14" t="n">
        <v>0</v>
      </c>
      <c r="G686" s="14" t="n">
        <v>76.58</v>
      </c>
      <c r="H686" s="14" t="n">
        <v>0</v>
      </c>
      <c r="I686" s="14" t="n">
        <v>1.27</v>
      </c>
      <c r="J686" s="14" t="n">
        <v>0</v>
      </c>
      <c r="K686" s="14" t="n">
        <v>0.05</v>
      </c>
      <c r="L686" s="14" t="n">
        <v>3.22</v>
      </c>
      <c r="M686" s="14" t="n">
        <v>4.17</v>
      </c>
      <c r="N686" s="14" t="n">
        <v>3.64</v>
      </c>
      <c r="O686" s="14" t="n">
        <v>1.11</v>
      </c>
      <c r="P686" s="14" t="n">
        <v>0</v>
      </c>
      <c r="Q686" s="14" t="n">
        <v>0.05</v>
      </c>
      <c r="R686" s="14" t="n">
        <v>0</v>
      </c>
      <c r="S686" s="14" t="n">
        <v>0.79</v>
      </c>
      <c r="T686" s="14" t="n">
        <v>0.63</v>
      </c>
      <c r="U686" s="14" t="n">
        <v>1.64</v>
      </c>
      <c r="V686" s="14" t="n">
        <v>5.01</v>
      </c>
      <c r="W686" s="14" t="n">
        <v>1.27</v>
      </c>
      <c r="X686" s="14" t="n">
        <v>0.16</v>
      </c>
      <c r="Y686" s="14" t="n">
        <v>0.26</v>
      </c>
      <c r="Z686" s="14" t="n">
        <v>0.16</v>
      </c>
      <c r="AA686" s="14" t="n">
        <v>0</v>
      </c>
    </row>
    <row r="687">
      <c r="A687" t="inlineStr">
        <is>
          <t>200308</t>
        </is>
      </c>
      <c r="B687" t="inlineStr">
        <is>
          <t>PIURA</t>
        </is>
      </c>
      <c r="C687" t="inlineStr">
        <is>
          <t>HUANCABAMBA</t>
        </is>
      </c>
      <c r="D687" t="inlineStr">
        <is>
          <t>SONDORILLO</t>
        </is>
      </c>
      <c r="E687" t="n">
        <v>3062</v>
      </c>
      <c r="F687" s="14" t="n">
        <v>0</v>
      </c>
      <c r="G687" s="14" t="n">
        <v>83.51000000000001</v>
      </c>
      <c r="H687" s="14" t="n">
        <v>0.1</v>
      </c>
      <c r="I687" s="14" t="n">
        <v>1.44</v>
      </c>
      <c r="J687" s="14" t="n">
        <v>0</v>
      </c>
      <c r="K687" s="14" t="n">
        <v>0</v>
      </c>
      <c r="L687" s="14" t="n">
        <v>7.58</v>
      </c>
      <c r="M687" s="14" t="n">
        <v>1.6</v>
      </c>
      <c r="N687" s="14" t="n">
        <v>1.01</v>
      </c>
      <c r="O687" s="14" t="n">
        <v>0.85</v>
      </c>
      <c r="P687" s="14" t="n">
        <v>0.03</v>
      </c>
      <c r="Q687" s="14" t="n">
        <v>0</v>
      </c>
      <c r="R687" s="14" t="n">
        <v>0</v>
      </c>
      <c r="S687" s="14" t="n">
        <v>0.5600000000000001</v>
      </c>
      <c r="T687" s="14" t="n">
        <v>0.26</v>
      </c>
      <c r="U687" s="14" t="n">
        <v>0.72</v>
      </c>
      <c r="V687" s="14" t="n">
        <v>1.31</v>
      </c>
      <c r="W687" s="14" t="n">
        <v>0.33</v>
      </c>
      <c r="X687" s="14" t="n">
        <v>0</v>
      </c>
      <c r="Y687" s="14" t="n">
        <v>0.36</v>
      </c>
      <c r="Z687" s="14" t="n">
        <v>0.36</v>
      </c>
      <c r="AA687" s="14" t="n">
        <v>0</v>
      </c>
    </row>
    <row r="688">
      <c r="A688" t="inlineStr">
        <is>
          <t>200401</t>
        </is>
      </c>
      <c r="B688" t="inlineStr">
        <is>
          <t>PIURA</t>
        </is>
      </c>
      <c r="C688" t="inlineStr">
        <is>
          <t>MORROPON</t>
        </is>
      </c>
      <c r="D688" t="inlineStr">
        <is>
          <t>CHULUCANAS</t>
        </is>
      </c>
      <c r="E688" t="n">
        <v>27897</v>
      </c>
      <c r="F688" s="14" t="n">
        <v>0</v>
      </c>
      <c r="G688" s="14" t="n">
        <v>40.22</v>
      </c>
      <c r="H688" s="14" t="n">
        <v>0.16</v>
      </c>
      <c r="I688" s="14" t="n">
        <v>5.52</v>
      </c>
      <c r="J688" s="14" t="n">
        <v>0.06</v>
      </c>
      <c r="K688" s="14" t="n">
        <v>0.23</v>
      </c>
      <c r="L688" s="14" t="n">
        <v>5.33</v>
      </c>
      <c r="M688" s="14" t="n">
        <v>15.01</v>
      </c>
      <c r="N688" s="14" t="n">
        <v>10.59</v>
      </c>
      <c r="O688" s="14" t="n">
        <v>4.69</v>
      </c>
      <c r="P688" s="14" t="n">
        <v>0.31</v>
      </c>
      <c r="Q688" s="14" t="n">
        <v>0.61</v>
      </c>
      <c r="R688" s="14" t="n">
        <v>0.04</v>
      </c>
      <c r="S688" s="14" t="n">
        <v>2.49</v>
      </c>
      <c r="T688" s="14" t="n">
        <v>1.88</v>
      </c>
      <c r="U688" s="14" t="n">
        <v>2.58</v>
      </c>
      <c r="V688" s="14" t="n">
        <v>4.22</v>
      </c>
      <c r="W688" s="14" t="n">
        <v>1.75</v>
      </c>
      <c r="X688" s="14" t="n">
        <v>0.4</v>
      </c>
      <c r="Y688" s="14" t="n">
        <v>2.45</v>
      </c>
      <c r="Z688" s="14" t="n">
        <v>1.48</v>
      </c>
      <c r="AA688" s="14" t="n">
        <v>0</v>
      </c>
    </row>
    <row r="689">
      <c r="A689" t="inlineStr">
        <is>
          <t>200402</t>
        </is>
      </c>
      <c r="B689" t="inlineStr">
        <is>
          <t>PIURA</t>
        </is>
      </c>
      <c r="C689" t="inlineStr">
        <is>
          <t>MORROPON</t>
        </is>
      </c>
      <c r="D689" t="inlineStr">
        <is>
          <t>BUENOS AIRES</t>
        </is>
      </c>
      <c r="E689" t="n">
        <v>3000</v>
      </c>
      <c r="F689" s="14" t="n">
        <v>0</v>
      </c>
      <c r="G689" s="14" t="n">
        <v>60.97</v>
      </c>
      <c r="H689" s="14" t="n">
        <v>0.03</v>
      </c>
      <c r="I689" s="14" t="n">
        <v>3.53</v>
      </c>
      <c r="J689" s="14" t="n">
        <v>0.07000000000000001</v>
      </c>
      <c r="K689" s="14" t="n">
        <v>0.07000000000000001</v>
      </c>
      <c r="L689" s="14" t="n">
        <v>2.93</v>
      </c>
      <c r="M689" s="14" t="n">
        <v>10.63</v>
      </c>
      <c r="N689" s="14" t="n">
        <v>4.87</v>
      </c>
      <c r="O689" s="14" t="n">
        <v>3.03</v>
      </c>
      <c r="P689" s="14" t="n">
        <v>0.27</v>
      </c>
      <c r="Q689" s="14" t="n">
        <v>0.2</v>
      </c>
      <c r="R689" s="14" t="n">
        <v>0.03</v>
      </c>
      <c r="S689" s="14" t="n">
        <v>2</v>
      </c>
      <c r="T689" s="14" t="n">
        <v>1.07</v>
      </c>
      <c r="U689" s="14" t="n">
        <v>2.97</v>
      </c>
      <c r="V689" s="14" t="n">
        <v>4.27</v>
      </c>
      <c r="W689" s="14" t="n">
        <v>1.2</v>
      </c>
      <c r="X689" s="14" t="n">
        <v>0.07000000000000001</v>
      </c>
      <c r="Y689" s="14" t="n">
        <v>1.07</v>
      </c>
      <c r="Z689" s="14" t="n">
        <v>0.73</v>
      </c>
      <c r="AA689" s="14" t="n">
        <v>0</v>
      </c>
    </row>
    <row r="690">
      <c r="A690" t="inlineStr">
        <is>
          <t>200403</t>
        </is>
      </c>
      <c r="B690" t="inlineStr">
        <is>
          <t>PIURA</t>
        </is>
      </c>
      <c r="C690" t="inlineStr">
        <is>
          <t>MORROPON</t>
        </is>
      </c>
      <c r="D690" t="inlineStr">
        <is>
          <t>CHALACO</t>
        </is>
      </c>
      <c r="E690" t="n">
        <v>2581</v>
      </c>
      <c r="F690" s="14" t="n">
        <v>0</v>
      </c>
      <c r="G690" s="14" t="n">
        <v>71.79000000000001</v>
      </c>
      <c r="H690" s="14" t="n">
        <v>0.08</v>
      </c>
      <c r="I690" s="14" t="n">
        <v>2.4</v>
      </c>
      <c r="J690" s="14" t="n">
        <v>0.04</v>
      </c>
      <c r="K690" s="14" t="n">
        <v>0.19</v>
      </c>
      <c r="L690" s="14" t="n">
        <v>4.53</v>
      </c>
      <c r="M690" s="14" t="n">
        <v>5.27</v>
      </c>
      <c r="N690" s="14" t="n">
        <v>1.47</v>
      </c>
      <c r="O690" s="14" t="n">
        <v>2.32</v>
      </c>
      <c r="P690" s="14" t="n">
        <v>0.04</v>
      </c>
      <c r="Q690" s="14" t="n">
        <v>0.27</v>
      </c>
      <c r="R690" s="14" t="n">
        <v>0.08</v>
      </c>
      <c r="S690" s="14" t="n">
        <v>0.93</v>
      </c>
      <c r="T690" s="14" t="n">
        <v>0.77</v>
      </c>
      <c r="U690" s="14" t="n">
        <v>1.08</v>
      </c>
      <c r="V690" s="14" t="n">
        <v>4.88</v>
      </c>
      <c r="W690" s="14" t="n">
        <v>2.01</v>
      </c>
      <c r="X690" s="14" t="n">
        <v>0.12</v>
      </c>
      <c r="Y690" s="14" t="n">
        <v>0.7</v>
      </c>
      <c r="Z690" s="14" t="n">
        <v>1.01</v>
      </c>
      <c r="AA690" s="14" t="n">
        <v>0</v>
      </c>
    </row>
    <row r="691">
      <c r="A691" t="inlineStr">
        <is>
          <t>200404</t>
        </is>
      </c>
      <c r="B691" t="inlineStr">
        <is>
          <t>PIURA</t>
        </is>
      </c>
      <c r="C691" t="inlineStr">
        <is>
          <t>MORROPON</t>
        </is>
      </c>
      <c r="D691" t="inlineStr">
        <is>
          <t>LA MATANZA</t>
        </is>
      </c>
      <c r="E691" t="n">
        <v>4230</v>
      </c>
      <c r="F691" s="14" t="n">
        <v>0</v>
      </c>
      <c r="G691" s="14" t="n">
        <v>66.08</v>
      </c>
      <c r="H691" s="14" t="n">
        <v>0.05</v>
      </c>
      <c r="I691" s="14" t="n">
        <v>2.77</v>
      </c>
      <c r="J691" s="14" t="n">
        <v>0.02</v>
      </c>
      <c r="K691" s="14" t="n">
        <v>0.09</v>
      </c>
      <c r="L691" s="14" t="n">
        <v>5.32</v>
      </c>
      <c r="M691" s="14" t="n">
        <v>8.35</v>
      </c>
      <c r="N691" s="14" t="n">
        <v>4.28</v>
      </c>
      <c r="O691" s="14" t="n">
        <v>2.67</v>
      </c>
      <c r="P691" s="14" t="n">
        <v>0.21</v>
      </c>
      <c r="Q691" s="14" t="n">
        <v>0.26</v>
      </c>
      <c r="R691" s="14" t="n">
        <v>0</v>
      </c>
      <c r="S691" s="14" t="n">
        <v>1.65</v>
      </c>
      <c r="T691" s="14" t="n">
        <v>1.39</v>
      </c>
      <c r="U691" s="14" t="n">
        <v>1.06</v>
      </c>
      <c r="V691" s="14" t="n">
        <v>2.22</v>
      </c>
      <c r="W691" s="14" t="n">
        <v>0.59</v>
      </c>
      <c r="X691" s="14" t="n">
        <v>0.24</v>
      </c>
      <c r="Y691" s="14" t="n">
        <v>1.75</v>
      </c>
      <c r="Z691" s="14" t="n">
        <v>0.99</v>
      </c>
      <c r="AA691" s="14" t="n">
        <v>0</v>
      </c>
    </row>
    <row r="692">
      <c r="A692" t="inlineStr">
        <is>
          <t>200405</t>
        </is>
      </c>
      <c r="B692" t="inlineStr">
        <is>
          <t>PIURA</t>
        </is>
      </c>
      <c r="C692" t="inlineStr">
        <is>
          <t>MORROPON</t>
        </is>
      </c>
      <c r="D692" t="inlineStr">
        <is>
          <t>MORROPON</t>
        </is>
      </c>
      <c r="E692" t="n">
        <v>4987</v>
      </c>
      <c r="F692" s="14" t="n">
        <v>0</v>
      </c>
      <c r="G692" s="14" t="n">
        <v>42.77</v>
      </c>
      <c r="H692" s="14" t="n">
        <v>0.08</v>
      </c>
      <c r="I692" s="14" t="n">
        <v>3.21</v>
      </c>
      <c r="J692" s="14" t="n">
        <v>0.04</v>
      </c>
      <c r="K692" s="14" t="n">
        <v>0.24</v>
      </c>
      <c r="L692" s="14" t="n">
        <v>6.2</v>
      </c>
      <c r="M692" s="14" t="n">
        <v>14.66</v>
      </c>
      <c r="N692" s="14" t="n">
        <v>7.16</v>
      </c>
      <c r="O692" s="14" t="n">
        <v>4.37</v>
      </c>
      <c r="P692" s="14" t="n">
        <v>0.1</v>
      </c>
      <c r="Q692" s="14" t="n">
        <v>0.5</v>
      </c>
      <c r="R692" s="14" t="n">
        <v>0.04</v>
      </c>
      <c r="S692" s="14" t="n">
        <v>2.15</v>
      </c>
      <c r="T692" s="14" t="n">
        <v>1.6</v>
      </c>
      <c r="U692" s="14" t="n">
        <v>2.31</v>
      </c>
      <c r="V692" s="14" t="n">
        <v>7.36</v>
      </c>
      <c r="W692" s="14" t="n">
        <v>1.78</v>
      </c>
      <c r="X692" s="14" t="n">
        <v>0.28</v>
      </c>
      <c r="Y692" s="14" t="n">
        <v>3.29</v>
      </c>
      <c r="Z692" s="14" t="n">
        <v>1.86</v>
      </c>
      <c r="AA692" s="14" t="n">
        <v>0</v>
      </c>
    </row>
    <row r="693">
      <c r="A693" t="inlineStr">
        <is>
          <t>200406</t>
        </is>
      </c>
      <c r="B693" t="inlineStr">
        <is>
          <t>PIURA</t>
        </is>
      </c>
      <c r="C693" t="inlineStr">
        <is>
          <t>MORROPON</t>
        </is>
      </c>
      <c r="D693" t="inlineStr">
        <is>
          <t>SALITRAL</t>
        </is>
      </c>
      <c r="E693" t="n">
        <v>2523</v>
      </c>
      <c r="F693" s="14" t="n">
        <v>0</v>
      </c>
      <c r="G693" s="14" t="n">
        <v>63.85</v>
      </c>
      <c r="H693" s="14" t="n">
        <v>0.12</v>
      </c>
      <c r="I693" s="14" t="n">
        <v>3.05</v>
      </c>
      <c r="J693" s="14" t="n">
        <v>0</v>
      </c>
      <c r="K693" s="14" t="n">
        <v>0.04</v>
      </c>
      <c r="L693" s="14" t="n">
        <v>2.89</v>
      </c>
      <c r="M693" s="14" t="n">
        <v>10.54</v>
      </c>
      <c r="N693" s="14" t="n">
        <v>4.68</v>
      </c>
      <c r="O693" s="14" t="n">
        <v>3.37</v>
      </c>
      <c r="P693" s="14" t="n">
        <v>0.12</v>
      </c>
      <c r="Q693" s="14" t="n">
        <v>0.08</v>
      </c>
      <c r="R693" s="14" t="n">
        <v>0</v>
      </c>
      <c r="S693" s="14" t="n">
        <v>1.31</v>
      </c>
      <c r="T693" s="14" t="n">
        <v>0.67</v>
      </c>
      <c r="U693" s="14" t="n">
        <v>1.47</v>
      </c>
      <c r="V693" s="14" t="n">
        <v>3.25</v>
      </c>
      <c r="W693" s="14" t="n">
        <v>1.19</v>
      </c>
      <c r="X693" s="14" t="n">
        <v>0.08</v>
      </c>
      <c r="Y693" s="14" t="n">
        <v>2.26</v>
      </c>
      <c r="Z693" s="14" t="n">
        <v>1.03</v>
      </c>
      <c r="AA693" s="14" t="n">
        <v>0</v>
      </c>
    </row>
    <row r="694">
      <c r="A694" t="inlineStr">
        <is>
          <t>200407</t>
        </is>
      </c>
      <c r="B694" t="inlineStr">
        <is>
          <t>PIURA</t>
        </is>
      </c>
      <c r="C694" t="inlineStr">
        <is>
          <t>MORROPON</t>
        </is>
      </c>
      <c r="D694" t="inlineStr">
        <is>
          <t>SAN JUAN DE BIGOTE</t>
        </is>
      </c>
      <c r="E694" t="n">
        <v>1540</v>
      </c>
      <c r="F694" s="14" t="n">
        <v>0</v>
      </c>
      <c r="G694" s="14" t="n">
        <v>66.62</v>
      </c>
      <c r="H694" s="14" t="n">
        <v>0.13</v>
      </c>
      <c r="I694" s="14" t="n">
        <v>2.4</v>
      </c>
      <c r="J694" s="14" t="n">
        <v>0</v>
      </c>
      <c r="K694" s="14" t="n">
        <v>0</v>
      </c>
      <c r="L694" s="14" t="n">
        <v>5.26</v>
      </c>
      <c r="M694" s="14" t="n">
        <v>8.51</v>
      </c>
      <c r="N694" s="14" t="n">
        <v>3.44</v>
      </c>
      <c r="O694" s="14" t="n">
        <v>2.4</v>
      </c>
      <c r="P694" s="14" t="n">
        <v>0.06</v>
      </c>
      <c r="Q694" s="14" t="n">
        <v>0</v>
      </c>
      <c r="R694" s="14" t="n">
        <v>0.06</v>
      </c>
      <c r="S694" s="14" t="n">
        <v>0.97</v>
      </c>
      <c r="T694" s="14" t="n">
        <v>0.71</v>
      </c>
      <c r="U694" s="14" t="n">
        <v>3.18</v>
      </c>
      <c r="V694" s="14" t="n">
        <v>3.96</v>
      </c>
      <c r="W694" s="14" t="n">
        <v>0.91</v>
      </c>
      <c r="X694" s="14" t="n">
        <v>0.06</v>
      </c>
      <c r="Y694" s="14" t="n">
        <v>0.97</v>
      </c>
      <c r="Z694" s="14" t="n">
        <v>0.32</v>
      </c>
      <c r="AA694" s="14" t="n">
        <v>0</v>
      </c>
    </row>
    <row r="695">
      <c r="A695" t="inlineStr">
        <is>
          <t>200408</t>
        </is>
      </c>
      <c r="B695" t="inlineStr">
        <is>
          <t>PIURA</t>
        </is>
      </c>
      <c r="C695" t="inlineStr">
        <is>
          <t>MORROPON</t>
        </is>
      </c>
      <c r="D695" t="inlineStr">
        <is>
          <t>SANTA CATALINA DE MOSSA</t>
        </is>
      </c>
      <c r="E695" t="n">
        <v>1265</v>
      </c>
      <c r="F695" s="14" t="n">
        <v>0</v>
      </c>
      <c r="G695" s="14" t="n">
        <v>70.83</v>
      </c>
      <c r="H695" s="14" t="n">
        <v>0.08</v>
      </c>
      <c r="I695" s="14" t="n">
        <v>1.11</v>
      </c>
      <c r="J695" s="14" t="n">
        <v>0</v>
      </c>
      <c r="K695" s="14" t="n">
        <v>0.16</v>
      </c>
      <c r="L695" s="14" t="n">
        <v>3.56</v>
      </c>
      <c r="M695" s="14" t="n">
        <v>6.4</v>
      </c>
      <c r="N695" s="14" t="n">
        <v>2.21</v>
      </c>
      <c r="O695" s="14" t="n">
        <v>2.77</v>
      </c>
      <c r="P695" s="14" t="n">
        <v>0.08</v>
      </c>
      <c r="Q695" s="14" t="n">
        <v>0.08</v>
      </c>
      <c r="R695" s="14" t="n">
        <v>0</v>
      </c>
      <c r="S695" s="14" t="n">
        <v>1.03</v>
      </c>
      <c r="T695" s="14" t="n">
        <v>1.03</v>
      </c>
      <c r="U695" s="14" t="n">
        <v>3.56</v>
      </c>
      <c r="V695" s="14" t="n">
        <v>3.08</v>
      </c>
      <c r="W695" s="14" t="n">
        <v>1.9</v>
      </c>
      <c r="X695" s="14" t="n">
        <v>0.08</v>
      </c>
      <c r="Y695" s="14" t="n">
        <v>0.79</v>
      </c>
      <c r="Z695" s="14" t="n">
        <v>1.26</v>
      </c>
      <c r="AA695" s="14" t="n">
        <v>0</v>
      </c>
    </row>
    <row r="696">
      <c r="A696" t="inlineStr">
        <is>
          <t>200409</t>
        </is>
      </c>
      <c r="B696" t="inlineStr">
        <is>
          <t>PIURA</t>
        </is>
      </c>
      <c r="C696" t="inlineStr">
        <is>
          <t>MORROPON</t>
        </is>
      </c>
      <c r="D696" t="inlineStr">
        <is>
          <t>SANTO DOMINGO</t>
        </is>
      </c>
      <c r="E696" t="n">
        <v>1662</v>
      </c>
      <c r="F696" s="14" t="n">
        <v>0</v>
      </c>
      <c r="G696" s="14" t="n">
        <v>60.35</v>
      </c>
      <c r="H696" s="14" t="n">
        <v>0.12</v>
      </c>
      <c r="I696" s="14" t="n">
        <v>2.53</v>
      </c>
      <c r="J696" s="14" t="n">
        <v>0</v>
      </c>
      <c r="K696" s="14" t="n">
        <v>0.12</v>
      </c>
      <c r="L696" s="14" t="n">
        <v>4.99</v>
      </c>
      <c r="M696" s="14" t="n">
        <v>8.6</v>
      </c>
      <c r="N696" s="14" t="n">
        <v>3.31</v>
      </c>
      <c r="O696" s="14" t="n">
        <v>2.77</v>
      </c>
      <c r="P696" s="14" t="n">
        <v>0.24</v>
      </c>
      <c r="Q696" s="14" t="n">
        <v>0.18</v>
      </c>
      <c r="R696" s="14" t="n">
        <v>0</v>
      </c>
      <c r="S696" s="14" t="n">
        <v>2.05</v>
      </c>
      <c r="T696" s="14" t="n">
        <v>1.08</v>
      </c>
      <c r="U696" s="14" t="n">
        <v>2.11</v>
      </c>
      <c r="V696" s="14" t="n">
        <v>7.04</v>
      </c>
      <c r="W696" s="14" t="n">
        <v>2.05</v>
      </c>
      <c r="X696" s="14" t="n">
        <v>0.12</v>
      </c>
      <c r="Y696" s="14" t="n">
        <v>1.56</v>
      </c>
      <c r="Z696" s="14" t="n">
        <v>0.78</v>
      </c>
      <c r="AA696" s="14" t="n">
        <v>0</v>
      </c>
    </row>
    <row r="697">
      <c r="A697" t="inlineStr">
        <is>
          <t>200410</t>
        </is>
      </c>
      <c r="B697" t="inlineStr">
        <is>
          <t>PIURA</t>
        </is>
      </c>
      <c r="C697" t="inlineStr">
        <is>
          <t>MORROPON</t>
        </is>
      </c>
      <c r="D697" t="inlineStr">
        <is>
          <t>YAMANGO</t>
        </is>
      </c>
      <c r="E697" t="n">
        <v>2656</v>
      </c>
      <c r="F697" s="14" t="n">
        <v>0</v>
      </c>
      <c r="G697" s="14" t="n">
        <v>80.69</v>
      </c>
      <c r="H697" s="14" t="n">
        <v>0.08</v>
      </c>
      <c r="I697" s="14" t="n">
        <v>1.09</v>
      </c>
      <c r="J697" s="14" t="n">
        <v>0</v>
      </c>
      <c r="K697" s="14" t="n">
        <v>0.04</v>
      </c>
      <c r="L697" s="14" t="n">
        <v>1.77</v>
      </c>
      <c r="M697" s="14" t="n">
        <v>7.3</v>
      </c>
      <c r="N697" s="14" t="n">
        <v>0.75</v>
      </c>
      <c r="O697" s="14" t="n">
        <v>0.9399999999999999</v>
      </c>
      <c r="P697" s="14" t="n">
        <v>0.04</v>
      </c>
      <c r="Q697" s="14" t="n">
        <v>0</v>
      </c>
      <c r="R697" s="14" t="n">
        <v>0</v>
      </c>
      <c r="S697" s="14" t="n">
        <v>1.02</v>
      </c>
      <c r="T697" s="14" t="n">
        <v>0.11</v>
      </c>
      <c r="U697" s="14" t="n">
        <v>0.68</v>
      </c>
      <c r="V697" s="14" t="n">
        <v>2.79</v>
      </c>
      <c r="W697" s="14" t="n">
        <v>0.87</v>
      </c>
      <c r="X697" s="14" t="n">
        <v>0.08</v>
      </c>
      <c r="Y697" s="14" t="n">
        <v>1.39</v>
      </c>
      <c r="Z697" s="14" t="n">
        <v>0.38</v>
      </c>
      <c r="AA697" s="14" t="n">
        <v>0</v>
      </c>
    </row>
    <row r="698">
      <c r="A698" t="inlineStr">
        <is>
          <t>200501</t>
        </is>
      </c>
      <c r="B698" t="inlineStr">
        <is>
          <t>PIURA</t>
        </is>
      </c>
      <c r="C698" t="inlineStr">
        <is>
          <t>PAITA</t>
        </is>
      </c>
      <c r="D698" t="inlineStr">
        <is>
          <t>PAITA</t>
        </is>
      </c>
      <c r="E698" t="n">
        <v>30275</v>
      </c>
      <c r="F698" s="14" t="n">
        <v>2.6</v>
      </c>
      <c r="G698" s="14" t="n">
        <v>18.27</v>
      </c>
      <c r="H698" s="14" t="n">
        <v>0.21</v>
      </c>
      <c r="I698" s="14" t="n">
        <v>11.38</v>
      </c>
      <c r="J698" s="14" t="n">
        <v>0.13</v>
      </c>
      <c r="K698" s="14" t="n">
        <v>0.33</v>
      </c>
      <c r="L698" s="14" t="n">
        <v>6.42</v>
      </c>
      <c r="M698" s="14" t="n">
        <v>17.64</v>
      </c>
      <c r="N698" s="14" t="n">
        <v>17.72</v>
      </c>
      <c r="O698" s="14" t="n">
        <v>5.9</v>
      </c>
      <c r="P698" s="14" t="n">
        <v>0.44</v>
      </c>
      <c r="Q698" s="14" t="n">
        <v>0.68</v>
      </c>
      <c r="R698" s="14" t="n">
        <v>0.05</v>
      </c>
      <c r="S698" s="14" t="n">
        <v>3.79</v>
      </c>
      <c r="T698" s="14" t="n">
        <v>4.04</v>
      </c>
      <c r="U698" s="14" t="n">
        <v>2.94</v>
      </c>
      <c r="V698" s="14" t="n">
        <v>3.96</v>
      </c>
      <c r="W698" s="14" t="n">
        <v>1.27</v>
      </c>
      <c r="X698" s="14" t="n">
        <v>0.68</v>
      </c>
      <c r="Y698" s="14" t="n">
        <v>3.31</v>
      </c>
      <c r="Z698" s="14" t="n">
        <v>0.85</v>
      </c>
      <c r="AA698" s="14" t="n">
        <v>0</v>
      </c>
    </row>
    <row r="699">
      <c r="A699" t="inlineStr">
        <is>
          <t>200502</t>
        </is>
      </c>
      <c r="B699" t="inlineStr">
        <is>
          <t>PIURA</t>
        </is>
      </c>
      <c r="C699" t="inlineStr">
        <is>
          <t>PAITA</t>
        </is>
      </c>
      <c r="D699" t="inlineStr">
        <is>
          <t>AMOTAPE</t>
        </is>
      </c>
      <c r="E699" t="n">
        <v>678</v>
      </c>
      <c r="F699" s="14" t="n">
        <v>0</v>
      </c>
      <c r="G699" s="14" t="n">
        <v>43.66</v>
      </c>
      <c r="H699" s="14" t="n">
        <v>0</v>
      </c>
      <c r="I699" s="14" t="n">
        <v>7.52</v>
      </c>
      <c r="J699" s="14" t="n">
        <v>0</v>
      </c>
      <c r="K699" s="14" t="n">
        <v>0.29</v>
      </c>
      <c r="L699" s="14" t="n">
        <v>8.85</v>
      </c>
      <c r="M699" s="14" t="n">
        <v>8.26</v>
      </c>
      <c r="N699" s="14" t="n">
        <v>8.109999999999999</v>
      </c>
      <c r="O699" s="14" t="n">
        <v>3.83</v>
      </c>
      <c r="P699" s="14" t="n">
        <v>0</v>
      </c>
      <c r="Q699" s="14" t="n">
        <v>0.29</v>
      </c>
      <c r="R699" s="14" t="n">
        <v>0</v>
      </c>
      <c r="S699" s="14" t="n">
        <v>0.59</v>
      </c>
      <c r="T699" s="14" t="n">
        <v>5.31</v>
      </c>
      <c r="U699" s="14" t="n">
        <v>5.16</v>
      </c>
      <c r="V699" s="14" t="n">
        <v>4.72</v>
      </c>
      <c r="W699" s="14" t="n">
        <v>1.92</v>
      </c>
      <c r="X699" s="14" t="n">
        <v>0.29</v>
      </c>
      <c r="Y699" s="14" t="n">
        <v>1.03</v>
      </c>
      <c r="Z699" s="14" t="n">
        <v>0.15</v>
      </c>
      <c r="AA699" s="14" t="n">
        <v>0</v>
      </c>
    </row>
    <row r="700">
      <c r="A700" t="inlineStr">
        <is>
          <t>200503</t>
        </is>
      </c>
      <c r="B700" t="inlineStr">
        <is>
          <t>PIURA</t>
        </is>
      </c>
      <c r="C700" t="inlineStr">
        <is>
          <t>PAITA</t>
        </is>
      </c>
      <c r="D700" t="inlineStr">
        <is>
          <t>ARENAL</t>
        </is>
      </c>
      <c r="E700" t="n">
        <v>331</v>
      </c>
      <c r="F700" s="14" t="n">
        <v>0</v>
      </c>
      <c r="G700" s="14" t="n">
        <v>27.19</v>
      </c>
      <c r="H700" s="14" t="n">
        <v>0</v>
      </c>
      <c r="I700" s="14" t="n">
        <v>6.95</v>
      </c>
      <c r="J700" s="14" t="n">
        <v>0</v>
      </c>
      <c r="K700" s="14" t="n">
        <v>1.81</v>
      </c>
      <c r="L700" s="14" t="n">
        <v>14.2</v>
      </c>
      <c r="M700" s="14" t="n">
        <v>4.83</v>
      </c>
      <c r="N700" s="14" t="n">
        <v>11.78</v>
      </c>
      <c r="O700" s="14" t="n">
        <v>5.14</v>
      </c>
      <c r="P700" s="14" t="n">
        <v>0.3</v>
      </c>
      <c r="Q700" s="14" t="n">
        <v>0</v>
      </c>
      <c r="R700" s="14" t="n">
        <v>0</v>
      </c>
      <c r="S700" s="14" t="n">
        <v>2.11</v>
      </c>
      <c r="T700" s="14" t="n">
        <v>6.34</v>
      </c>
      <c r="U700" s="14" t="n">
        <v>7.55</v>
      </c>
      <c r="V700" s="14" t="n">
        <v>6.04</v>
      </c>
      <c r="W700" s="14" t="n">
        <v>1.51</v>
      </c>
      <c r="X700" s="14" t="n">
        <v>0.6</v>
      </c>
      <c r="Y700" s="14" t="n">
        <v>3.02</v>
      </c>
      <c r="Z700" s="14" t="n">
        <v>0.6</v>
      </c>
      <c r="AA700" s="14" t="n">
        <v>0</v>
      </c>
    </row>
    <row r="701">
      <c r="A701" t="inlineStr">
        <is>
          <t>200504</t>
        </is>
      </c>
      <c r="B701" t="inlineStr">
        <is>
          <t>PIURA</t>
        </is>
      </c>
      <c r="C701" t="inlineStr">
        <is>
          <t>PAITA</t>
        </is>
      </c>
      <c r="D701" t="inlineStr">
        <is>
          <t>COLAN</t>
        </is>
      </c>
      <c r="E701" t="n">
        <v>4843</v>
      </c>
      <c r="F701" s="14" t="n">
        <v>0</v>
      </c>
      <c r="G701" s="14" t="n">
        <v>37.72</v>
      </c>
      <c r="H701" s="14" t="n">
        <v>1.01</v>
      </c>
      <c r="I701" s="14" t="n">
        <v>6.07</v>
      </c>
      <c r="J701" s="14" t="n">
        <v>0.1</v>
      </c>
      <c r="K701" s="14" t="n">
        <v>0.37</v>
      </c>
      <c r="L701" s="14" t="n">
        <v>8.359999999999999</v>
      </c>
      <c r="M701" s="14" t="n">
        <v>11.44</v>
      </c>
      <c r="N701" s="14" t="n">
        <v>9.19</v>
      </c>
      <c r="O701" s="14" t="n">
        <v>4.83</v>
      </c>
      <c r="P701" s="14" t="n">
        <v>0.33</v>
      </c>
      <c r="Q701" s="14" t="n">
        <v>0.39</v>
      </c>
      <c r="R701" s="14" t="n">
        <v>0.06</v>
      </c>
      <c r="S701" s="14" t="n">
        <v>2.66</v>
      </c>
      <c r="T701" s="14" t="n">
        <v>4.52</v>
      </c>
      <c r="U701" s="14" t="n">
        <v>3.96</v>
      </c>
      <c r="V701" s="14" t="n">
        <v>3.94</v>
      </c>
      <c r="W701" s="14" t="n">
        <v>1.12</v>
      </c>
      <c r="X701" s="14" t="n">
        <v>0.23</v>
      </c>
      <c r="Y701" s="14" t="n">
        <v>2.7</v>
      </c>
      <c r="Z701" s="14" t="n">
        <v>0.97</v>
      </c>
      <c r="AA701" s="14" t="n">
        <v>0</v>
      </c>
    </row>
    <row r="702">
      <c r="A702" t="inlineStr">
        <is>
          <t>200505</t>
        </is>
      </c>
      <c r="B702" t="inlineStr">
        <is>
          <t>PIURA</t>
        </is>
      </c>
      <c r="C702" t="inlineStr">
        <is>
          <t>PAITA</t>
        </is>
      </c>
      <c r="D702" t="inlineStr">
        <is>
          <t>LA HUACA</t>
        </is>
      </c>
      <c r="E702" t="n">
        <v>4366</v>
      </c>
      <c r="F702" s="14" t="n">
        <v>0</v>
      </c>
      <c r="G702" s="14" t="n">
        <v>39.3</v>
      </c>
      <c r="H702" s="14" t="n">
        <v>0.11</v>
      </c>
      <c r="I702" s="14" t="n">
        <v>13.4</v>
      </c>
      <c r="J702" s="14" t="n">
        <v>0.21</v>
      </c>
      <c r="K702" s="14" t="n">
        <v>0.39</v>
      </c>
      <c r="L702" s="14" t="n">
        <v>5.22</v>
      </c>
      <c r="M702" s="14" t="n">
        <v>11.45</v>
      </c>
      <c r="N702" s="14" t="n">
        <v>9.69</v>
      </c>
      <c r="O702" s="14" t="n">
        <v>2.77</v>
      </c>
      <c r="P702" s="14" t="n">
        <v>0.21</v>
      </c>
      <c r="Q702" s="14" t="n">
        <v>0.37</v>
      </c>
      <c r="R702" s="14" t="n">
        <v>0</v>
      </c>
      <c r="S702" s="14" t="n">
        <v>1.42</v>
      </c>
      <c r="T702" s="14" t="n">
        <v>3.11</v>
      </c>
      <c r="U702" s="14" t="n">
        <v>4.17</v>
      </c>
      <c r="V702" s="14" t="n">
        <v>4.33</v>
      </c>
      <c r="W702" s="14" t="n">
        <v>1.19</v>
      </c>
      <c r="X702" s="14" t="n">
        <v>0.53</v>
      </c>
      <c r="Y702" s="14" t="n">
        <v>1.19</v>
      </c>
      <c r="Z702" s="14" t="n">
        <v>0.9399999999999999</v>
      </c>
      <c r="AA702" s="14" t="n">
        <v>0</v>
      </c>
    </row>
    <row r="703">
      <c r="A703" t="inlineStr">
        <is>
          <t>200506</t>
        </is>
      </c>
      <c r="B703" t="inlineStr">
        <is>
          <t>PIURA</t>
        </is>
      </c>
      <c r="C703" t="inlineStr">
        <is>
          <t>PAITA</t>
        </is>
      </c>
      <c r="D703" t="inlineStr">
        <is>
          <t>TAMARINDO</t>
        </is>
      </c>
      <c r="E703" t="n">
        <v>1524</v>
      </c>
      <c r="F703" s="14" t="n">
        <v>0</v>
      </c>
      <c r="G703" s="14" t="n">
        <v>41.93</v>
      </c>
      <c r="H703" s="14" t="n">
        <v>0.13</v>
      </c>
      <c r="I703" s="14" t="n">
        <v>12.2</v>
      </c>
      <c r="J703" s="14" t="n">
        <v>0</v>
      </c>
      <c r="K703" s="14" t="n">
        <v>0.26</v>
      </c>
      <c r="L703" s="14" t="n">
        <v>7.15</v>
      </c>
      <c r="M703" s="14" t="n">
        <v>11.42</v>
      </c>
      <c r="N703" s="14" t="n">
        <v>7.15</v>
      </c>
      <c r="O703" s="14" t="n">
        <v>3.22</v>
      </c>
      <c r="P703" s="14" t="n">
        <v>0.39</v>
      </c>
      <c r="Q703" s="14" t="n">
        <v>0.26</v>
      </c>
      <c r="R703" s="14" t="n">
        <v>0</v>
      </c>
      <c r="S703" s="14" t="n">
        <v>0.92</v>
      </c>
      <c r="T703" s="14" t="n">
        <v>2.23</v>
      </c>
      <c r="U703" s="14" t="n">
        <v>4.46</v>
      </c>
      <c r="V703" s="14" t="n">
        <v>4.07</v>
      </c>
      <c r="W703" s="14" t="n">
        <v>0.72</v>
      </c>
      <c r="X703" s="14" t="n">
        <v>0.39</v>
      </c>
      <c r="Y703" s="14" t="n">
        <v>1.44</v>
      </c>
      <c r="Z703" s="14" t="n">
        <v>1.64</v>
      </c>
      <c r="AA703" s="14" t="n">
        <v>0</v>
      </c>
    </row>
    <row r="704">
      <c r="A704" t="inlineStr">
        <is>
          <t>200507</t>
        </is>
      </c>
      <c r="B704" t="inlineStr">
        <is>
          <t>PIURA</t>
        </is>
      </c>
      <c r="C704" t="inlineStr">
        <is>
          <t>PAITA</t>
        </is>
      </c>
      <c r="D704" t="inlineStr">
        <is>
          <t>VICHAYAL</t>
        </is>
      </c>
      <c r="E704" t="n">
        <v>1590</v>
      </c>
      <c r="F704" s="14" t="n">
        <v>0</v>
      </c>
      <c r="G704" s="14" t="n">
        <v>58.3</v>
      </c>
      <c r="H704" s="14" t="n">
        <v>0.31</v>
      </c>
      <c r="I704" s="14" t="n">
        <v>4.34</v>
      </c>
      <c r="J704" s="14" t="n">
        <v>0.06</v>
      </c>
      <c r="K704" s="14" t="n">
        <v>0.19</v>
      </c>
      <c r="L704" s="14" t="n">
        <v>4.4</v>
      </c>
      <c r="M704" s="14" t="n">
        <v>10.82</v>
      </c>
      <c r="N704" s="14" t="n">
        <v>5.66</v>
      </c>
      <c r="O704" s="14" t="n">
        <v>2.01</v>
      </c>
      <c r="P704" s="14" t="n">
        <v>0.13</v>
      </c>
      <c r="Q704" s="14" t="n">
        <v>0.06</v>
      </c>
      <c r="R704" s="14" t="n">
        <v>0</v>
      </c>
      <c r="S704" s="14" t="n">
        <v>0.6899999999999999</v>
      </c>
      <c r="T704" s="14" t="n">
        <v>3.33</v>
      </c>
      <c r="U704" s="14" t="n">
        <v>3.71</v>
      </c>
      <c r="V704" s="14" t="n">
        <v>2.89</v>
      </c>
      <c r="W704" s="14" t="n">
        <v>0.82</v>
      </c>
      <c r="X704" s="14" t="n">
        <v>0.06</v>
      </c>
      <c r="Y704" s="14" t="n">
        <v>1.76</v>
      </c>
      <c r="Z704" s="14" t="n">
        <v>0.44</v>
      </c>
      <c r="AA704" s="14" t="n">
        <v>0</v>
      </c>
    </row>
    <row r="705">
      <c r="A705" t="inlineStr">
        <is>
          <t>200601</t>
        </is>
      </c>
      <c r="B705" t="inlineStr">
        <is>
          <t>PIURA</t>
        </is>
      </c>
      <c r="C705" t="inlineStr">
        <is>
          <t>SULLANA</t>
        </is>
      </c>
      <c r="D705" t="inlineStr">
        <is>
          <t>SULLANA</t>
        </is>
      </c>
      <c r="E705" t="n">
        <v>66067</v>
      </c>
      <c r="F705" s="14" t="n">
        <v>0</v>
      </c>
      <c r="G705" s="14" t="n">
        <v>13.85</v>
      </c>
      <c r="H705" s="14" t="n">
        <v>0.19</v>
      </c>
      <c r="I705" s="14" t="n">
        <v>6.45</v>
      </c>
      <c r="J705" s="14" t="n">
        <v>0.09</v>
      </c>
      <c r="K705" s="14" t="n">
        <v>0.43</v>
      </c>
      <c r="L705" s="14" t="n">
        <v>7.43</v>
      </c>
      <c r="M705" s="14" t="n">
        <v>24.74</v>
      </c>
      <c r="N705" s="14" t="n">
        <v>12.86</v>
      </c>
      <c r="O705" s="14" t="n">
        <v>6.04</v>
      </c>
      <c r="P705" s="14" t="n">
        <v>0.54</v>
      </c>
      <c r="Q705" s="14" t="n">
        <v>1.19</v>
      </c>
      <c r="R705" s="14" t="n">
        <v>0.09</v>
      </c>
      <c r="S705" s="14" t="n">
        <v>4.99</v>
      </c>
      <c r="T705" s="14" t="n">
        <v>2.75</v>
      </c>
      <c r="U705" s="14" t="n">
        <v>2.93</v>
      </c>
      <c r="V705" s="14" t="n">
        <v>7.97</v>
      </c>
      <c r="W705" s="14" t="n">
        <v>2.54</v>
      </c>
      <c r="X705" s="14" t="n">
        <v>0.63</v>
      </c>
      <c r="Y705" s="14" t="n">
        <v>3.13</v>
      </c>
      <c r="Z705" s="14" t="n">
        <v>1.15</v>
      </c>
      <c r="AA705" s="14" t="n">
        <v>0</v>
      </c>
    </row>
    <row r="706">
      <c r="A706" t="inlineStr">
        <is>
          <t>200602</t>
        </is>
      </c>
      <c r="B706" t="inlineStr">
        <is>
          <t>PIURA</t>
        </is>
      </c>
      <c r="C706" t="inlineStr">
        <is>
          <t>SULLANA</t>
        </is>
      </c>
      <c r="D706" t="inlineStr">
        <is>
          <t>BELLAVISTA</t>
        </is>
      </c>
      <c r="E706" t="n">
        <v>14598</v>
      </c>
      <c r="F706" s="14" t="n">
        <v>0</v>
      </c>
      <c r="G706" s="14" t="n">
        <v>7.02</v>
      </c>
      <c r="H706" s="14" t="n">
        <v>0.18</v>
      </c>
      <c r="I706" s="14" t="n">
        <v>6.79</v>
      </c>
      <c r="J706" s="14" t="n">
        <v>0.08</v>
      </c>
      <c r="K706" s="14" t="n">
        <v>0.39</v>
      </c>
      <c r="L706" s="14" t="n">
        <v>8.460000000000001</v>
      </c>
      <c r="M706" s="14" t="n">
        <v>28.97</v>
      </c>
      <c r="N706" s="14" t="n">
        <v>17.13</v>
      </c>
      <c r="O706" s="14" t="n">
        <v>5.71</v>
      </c>
      <c r="P706" s="14" t="n">
        <v>0.38</v>
      </c>
      <c r="Q706" s="14" t="n">
        <v>0.91</v>
      </c>
      <c r="R706" s="14" t="n">
        <v>0.03</v>
      </c>
      <c r="S706" s="14" t="n">
        <v>3.25</v>
      </c>
      <c r="T706" s="14" t="n">
        <v>3.03</v>
      </c>
      <c r="U706" s="14" t="n">
        <v>3.35</v>
      </c>
      <c r="V706" s="14" t="n">
        <v>7.17</v>
      </c>
      <c r="W706" s="14" t="n">
        <v>1.96</v>
      </c>
      <c r="X706" s="14" t="n">
        <v>0.9</v>
      </c>
      <c r="Y706" s="14" t="n">
        <v>2.97</v>
      </c>
      <c r="Z706" s="14" t="n">
        <v>1.32</v>
      </c>
      <c r="AA706" s="14" t="n">
        <v>0</v>
      </c>
    </row>
    <row r="707">
      <c r="A707" t="inlineStr">
        <is>
          <t>200603</t>
        </is>
      </c>
      <c r="B707" t="inlineStr">
        <is>
          <t>PIURA</t>
        </is>
      </c>
      <c r="C707" t="inlineStr">
        <is>
          <t>SULLANA</t>
        </is>
      </c>
      <c r="D707" t="inlineStr">
        <is>
          <t>IGNACIO ESCUDERO</t>
        </is>
      </c>
      <c r="E707" t="n">
        <v>6555</v>
      </c>
      <c r="F707" s="14" t="n">
        <v>0</v>
      </c>
      <c r="G707" s="14" t="n">
        <v>46.41</v>
      </c>
      <c r="H707" s="14" t="n">
        <v>0.32</v>
      </c>
      <c r="I707" s="14" t="n">
        <v>9.050000000000001</v>
      </c>
      <c r="J707" s="14" t="n">
        <v>0.06</v>
      </c>
      <c r="K707" s="14" t="n">
        <v>0.12</v>
      </c>
      <c r="L707" s="14" t="n">
        <v>5.78</v>
      </c>
      <c r="M707" s="14" t="n">
        <v>13.07</v>
      </c>
      <c r="N707" s="14" t="n">
        <v>7.58</v>
      </c>
      <c r="O707" s="14" t="n">
        <v>3.07</v>
      </c>
      <c r="P707" s="14" t="n">
        <v>0.27</v>
      </c>
      <c r="Q707" s="14" t="n">
        <v>0.49</v>
      </c>
      <c r="R707" s="14" t="n">
        <v>0.05</v>
      </c>
      <c r="S707" s="14" t="n">
        <v>1.65</v>
      </c>
      <c r="T707" s="14" t="n">
        <v>1.78</v>
      </c>
      <c r="U707" s="14" t="n">
        <v>3.05</v>
      </c>
      <c r="V707" s="14" t="n">
        <v>2.88</v>
      </c>
      <c r="W707" s="14" t="n">
        <v>1.1</v>
      </c>
      <c r="X707" s="14" t="n">
        <v>0.17</v>
      </c>
      <c r="Y707" s="14" t="n">
        <v>1.92</v>
      </c>
      <c r="Z707" s="14" t="n">
        <v>1.17</v>
      </c>
      <c r="AA707" s="14" t="n">
        <v>0</v>
      </c>
    </row>
    <row r="708">
      <c r="A708" t="inlineStr">
        <is>
          <t>200604</t>
        </is>
      </c>
      <c r="B708" t="inlineStr">
        <is>
          <t>PIURA</t>
        </is>
      </c>
      <c r="C708" t="inlineStr">
        <is>
          <t>SULLANA</t>
        </is>
      </c>
      <c r="D708" t="inlineStr">
        <is>
          <t>LANCONES</t>
        </is>
      </c>
      <c r="E708" t="n">
        <v>3034</v>
      </c>
      <c r="F708" s="14" t="n">
        <v>0</v>
      </c>
      <c r="G708" s="14" t="n">
        <v>81.15000000000001</v>
      </c>
      <c r="H708" s="14" t="n">
        <v>0</v>
      </c>
      <c r="I708" s="14" t="n">
        <v>1.75</v>
      </c>
      <c r="J708" s="14" t="n">
        <v>0.03</v>
      </c>
      <c r="K708" s="14" t="n">
        <v>0.26</v>
      </c>
      <c r="L708" s="14" t="n">
        <v>2.54</v>
      </c>
      <c r="M708" s="14" t="n">
        <v>3.39</v>
      </c>
      <c r="N708" s="14" t="n">
        <v>1.91</v>
      </c>
      <c r="O708" s="14" t="n">
        <v>1.52</v>
      </c>
      <c r="P708" s="14" t="n">
        <v>0.03</v>
      </c>
      <c r="Q708" s="14" t="n">
        <v>0.1</v>
      </c>
      <c r="R708" s="14" t="n">
        <v>0</v>
      </c>
      <c r="S708" s="14" t="n">
        <v>1.19</v>
      </c>
      <c r="T708" s="14" t="n">
        <v>1.15</v>
      </c>
      <c r="U708" s="14" t="n">
        <v>1.85</v>
      </c>
      <c r="V708" s="14" t="n">
        <v>0.99</v>
      </c>
      <c r="W708" s="14" t="n">
        <v>0.26</v>
      </c>
      <c r="X708" s="14" t="n">
        <v>0</v>
      </c>
      <c r="Y708" s="14" t="n">
        <v>1.32</v>
      </c>
      <c r="Z708" s="14" t="n">
        <v>0.5600000000000001</v>
      </c>
      <c r="AA708" s="14" t="n">
        <v>0</v>
      </c>
    </row>
    <row r="709">
      <c r="A709" t="inlineStr">
        <is>
          <t>200605</t>
        </is>
      </c>
      <c r="B709" t="inlineStr">
        <is>
          <t>PIURA</t>
        </is>
      </c>
      <c r="C709" t="inlineStr">
        <is>
          <t>SULLANA</t>
        </is>
      </c>
      <c r="D709" t="inlineStr">
        <is>
          <t>MARCAVELICA</t>
        </is>
      </c>
      <c r="E709" t="n">
        <v>10121</v>
      </c>
      <c r="F709" s="14" t="n">
        <v>0</v>
      </c>
      <c r="G709" s="14" t="n">
        <v>46.98</v>
      </c>
      <c r="H709" s="14" t="n">
        <v>0.13</v>
      </c>
      <c r="I709" s="14" t="n">
        <v>5.48</v>
      </c>
      <c r="J709" s="14" t="n">
        <v>0.11</v>
      </c>
      <c r="K709" s="14" t="n">
        <v>0.24</v>
      </c>
      <c r="L709" s="14" t="n">
        <v>4.79</v>
      </c>
      <c r="M709" s="14" t="n">
        <v>14.32</v>
      </c>
      <c r="N709" s="14" t="n">
        <v>9.050000000000001</v>
      </c>
      <c r="O709" s="14" t="n">
        <v>4.21</v>
      </c>
      <c r="P709" s="14" t="n">
        <v>0.26</v>
      </c>
      <c r="Q709" s="14" t="n">
        <v>0.62</v>
      </c>
      <c r="R709" s="14" t="n">
        <v>0.01</v>
      </c>
      <c r="S709" s="14" t="n">
        <v>1.79</v>
      </c>
      <c r="T709" s="14" t="n">
        <v>2.16</v>
      </c>
      <c r="U709" s="14" t="n">
        <v>2.61</v>
      </c>
      <c r="V709" s="14" t="n">
        <v>3.12</v>
      </c>
      <c r="W709" s="14" t="n">
        <v>1.05</v>
      </c>
      <c r="X709" s="14" t="n">
        <v>0.38</v>
      </c>
      <c r="Y709" s="14" t="n">
        <v>1.6</v>
      </c>
      <c r="Z709" s="14" t="n">
        <v>1.1</v>
      </c>
      <c r="AA709" s="14" t="n">
        <v>0</v>
      </c>
    </row>
    <row r="710">
      <c r="A710" t="inlineStr">
        <is>
          <t>200606</t>
        </is>
      </c>
      <c r="B710" t="inlineStr">
        <is>
          <t>PIURA</t>
        </is>
      </c>
      <c r="C710" t="inlineStr">
        <is>
          <t>SULLANA</t>
        </is>
      </c>
      <c r="D710" t="inlineStr">
        <is>
          <t>MIGUEL CHECA</t>
        </is>
      </c>
      <c r="E710" t="n">
        <v>2907</v>
      </c>
      <c r="F710" s="14" t="n">
        <v>0</v>
      </c>
      <c r="G710" s="14" t="n">
        <v>44.96</v>
      </c>
      <c r="H710" s="14" t="n">
        <v>0.21</v>
      </c>
      <c r="I710" s="14" t="n">
        <v>8.19</v>
      </c>
      <c r="J710" s="14" t="n">
        <v>0</v>
      </c>
      <c r="K710" s="14" t="n">
        <v>0.24</v>
      </c>
      <c r="L710" s="14" t="n">
        <v>6.81</v>
      </c>
      <c r="M710" s="14" t="n">
        <v>11.7</v>
      </c>
      <c r="N710" s="14" t="n">
        <v>7.46</v>
      </c>
      <c r="O710" s="14" t="n">
        <v>3.3</v>
      </c>
      <c r="P710" s="14" t="n">
        <v>0.24</v>
      </c>
      <c r="Q710" s="14" t="n">
        <v>0.41</v>
      </c>
      <c r="R710" s="14" t="n">
        <v>0.03</v>
      </c>
      <c r="S710" s="14" t="n">
        <v>1.86</v>
      </c>
      <c r="T710" s="14" t="n">
        <v>2.68</v>
      </c>
      <c r="U710" s="14" t="n">
        <v>2.68</v>
      </c>
      <c r="V710" s="14" t="n">
        <v>2.96</v>
      </c>
      <c r="W710" s="14" t="n">
        <v>1.24</v>
      </c>
      <c r="X710" s="14" t="n">
        <v>0.28</v>
      </c>
      <c r="Y710" s="14" t="n">
        <v>3.58</v>
      </c>
      <c r="Z710" s="14" t="n">
        <v>1.17</v>
      </c>
      <c r="AA710" s="14" t="n">
        <v>0</v>
      </c>
    </row>
    <row r="711">
      <c r="A711" t="inlineStr">
        <is>
          <t>200607</t>
        </is>
      </c>
      <c r="B711" t="inlineStr">
        <is>
          <t>PIURA</t>
        </is>
      </c>
      <c r="C711" t="inlineStr">
        <is>
          <t>SULLANA</t>
        </is>
      </c>
      <c r="D711" t="inlineStr">
        <is>
          <t>QUERECOTILLO</t>
        </is>
      </c>
      <c r="E711" t="n">
        <v>8479</v>
      </c>
      <c r="F711" s="14" t="n">
        <v>0</v>
      </c>
      <c r="G711" s="14" t="n">
        <v>51.54</v>
      </c>
      <c r="H711" s="14" t="n">
        <v>0.85</v>
      </c>
      <c r="I711" s="14" t="n">
        <v>4.79</v>
      </c>
      <c r="J711" s="14" t="n">
        <v>0.08</v>
      </c>
      <c r="K711" s="14" t="n">
        <v>0.15</v>
      </c>
      <c r="L711" s="14" t="n">
        <v>5.13</v>
      </c>
      <c r="M711" s="14" t="n">
        <v>11.11</v>
      </c>
      <c r="N711" s="14" t="n">
        <v>6.88</v>
      </c>
      <c r="O711" s="14" t="n">
        <v>2.85</v>
      </c>
      <c r="P711" s="14" t="n">
        <v>0.24</v>
      </c>
      <c r="Q711" s="14" t="n">
        <v>0.47</v>
      </c>
      <c r="R711" s="14" t="n">
        <v>0.01</v>
      </c>
      <c r="S711" s="14" t="n">
        <v>1.91</v>
      </c>
      <c r="T711" s="14" t="n">
        <v>2.3</v>
      </c>
      <c r="U711" s="14" t="n">
        <v>2.84</v>
      </c>
      <c r="V711" s="14" t="n">
        <v>4.18</v>
      </c>
      <c r="W711" s="14" t="n">
        <v>0.9</v>
      </c>
      <c r="X711" s="14" t="n">
        <v>0.29</v>
      </c>
      <c r="Y711" s="14" t="n">
        <v>2.61</v>
      </c>
      <c r="Z711" s="14" t="n">
        <v>0.87</v>
      </c>
      <c r="AA711" s="14" t="n">
        <v>0</v>
      </c>
    </row>
    <row r="712">
      <c r="A712" t="inlineStr">
        <is>
          <t>200608</t>
        </is>
      </c>
      <c r="B712" t="inlineStr">
        <is>
          <t>PIURA</t>
        </is>
      </c>
      <c r="C712" t="inlineStr">
        <is>
          <t>SULLANA</t>
        </is>
      </c>
      <c r="D712" t="inlineStr">
        <is>
          <t>SALITRAL</t>
        </is>
      </c>
      <c r="E712" t="n">
        <v>2747</v>
      </c>
      <c r="F712" s="14" t="n">
        <v>0</v>
      </c>
      <c r="G712" s="14" t="n">
        <v>41.79</v>
      </c>
      <c r="H712" s="14" t="n">
        <v>0.11</v>
      </c>
      <c r="I712" s="14" t="n">
        <v>6.99</v>
      </c>
      <c r="J712" s="14" t="n">
        <v>0</v>
      </c>
      <c r="K712" s="14" t="n">
        <v>0.18</v>
      </c>
      <c r="L712" s="14" t="n">
        <v>3.2</v>
      </c>
      <c r="M712" s="14" t="n">
        <v>14.56</v>
      </c>
      <c r="N712" s="14" t="n">
        <v>7.28</v>
      </c>
      <c r="O712" s="14" t="n">
        <v>3.9</v>
      </c>
      <c r="P712" s="14" t="n">
        <v>0.11</v>
      </c>
      <c r="Q712" s="14" t="n">
        <v>0.84</v>
      </c>
      <c r="R712" s="14" t="n">
        <v>0</v>
      </c>
      <c r="S712" s="14" t="n">
        <v>2.18</v>
      </c>
      <c r="T712" s="14" t="n">
        <v>4.37</v>
      </c>
      <c r="U712" s="14" t="n">
        <v>2.69</v>
      </c>
      <c r="V712" s="14" t="n">
        <v>5.57</v>
      </c>
      <c r="W712" s="14" t="n">
        <v>2.95</v>
      </c>
      <c r="X712" s="14" t="n">
        <v>0.22</v>
      </c>
      <c r="Y712" s="14" t="n">
        <v>1.71</v>
      </c>
      <c r="Z712" s="14" t="n">
        <v>1.35</v>
      </c>
      <c r="AA712" s="14" t="n">
        <v>0</v>
      </c>
    </row>
    <row r="713">
      <c r="A713" t="inlineStr">
        <is>
          <t>200701</t>
        </is>
      </c>
      <c r="B713" t="inlineStr">
        <is>
          <t>PIURA</t>
        </is>
      </c>
      <c r="C713" t="inlineStr">
        <is>
          <t>TALARA</t>
        </is>
      </c>
      <c r="D713" t="inlineStr">
        <is>
          <t>PARIÑAS</t>
        </is>
      </c>
      <c r="E713" t="n">
        <v>38503</v>
      </c>
      <c r="F713" s="14" t="n">
        <v>0</v>
      </c>
      <c r="G713" s="14" t="n">
        <v>6.04</v>
      </c>
      <c r="H713" s="14" t="n">
        <v>1.8</v>
      </c>
      <c r="I713" s="14" t="n">
        <v>10.37</v>
      </c>
      <c r="J713" s="14" t="n">
        <v>0.23</v>
      </c>
      <c r="K713" s="14" t="n">
        <v>0.47</v>
      </c>
      <c r="L713" s="14" t="n">
        <v>13.53</v>
      </c>
      <c r="M713" s="14" t="n">
        <v>19.12</v>
      </c>
      <c r="N713" s="14" t="n">
        <v>12.38</v>
      </c>
      <c r="O713" s="14" t="n">
        <v>7.36</v>
      </c>
      <c r="P713" s="14" t="n">
        <v>0.61</v>
      </c>
      <c r="Q713" s="14" t="n">
        <v>0.72</v>
      </c>
      <c r="R713" s="14" t="n">
        <v>0.05</v>
      </c>
      <c r="S713" s="14" t="n">
        <v>6.38</v>
      </c>
      <c r="T713" s="14" t="n">
        <v>5.62</v>
      </c>
      <c r="U713" s="14" t="n">
        <v>3.33</v>
      </c>
      <c r="V713" s="14" t="n">
        <v>4.32</v>
      </c>
      <c r="W713" s="14" t="n">
        <v>1.8</v>
      </c>
      <c r="X713" s="14" t="n">
        <v>0.72</v>
      </c>
      <c r="Y713" s="14" t="n">
        <v>3.98</v>
      </c>
      <c r="Z713" s="14" t="n">
        <v>1.18</v>
      </c>
      <c r="AA713" s="14" t="n">
        <v>0</v>
      </c>
    </row>
    <row r="714">
      <c r="A714" t="inlineStr">
        <is>
          <t>200702</t>
        </is>
      </c>
      <c r="B714" t="inlineStr">
        <is>
          <t>PIURA</t>
        </is>
      </c>
      <c r="C714" t="inlineStr">
        <is>
          <t>TALARA</t>
        </is>
      </c>
      <c r="D714" t="inlineStr">
        <is>
          <t>EL ALTO</t>
        </is>
      </c>
      <c r="E714" t="n">
        <v>3252</v>
      </c>
      <c r="F714" s="14" t="n">
        <v>0</v>
      </c>
      <c r="G714" s="14" t="n">
        <v>11.07</v>
      </c>
      <c r="H714" s="14" t="n">
        <v>6.73</v>
      </c>
      <c r="I714" s="14" t="n">
        <v>8.49</v>
      </c>
      <c r="J714" s="14" t="n">
        <v>0.31</v>
      </c>
      <c r="K714" s="14" t="n">
        <v>0.52</v>
      </c>
      <c r="L714" s="14" t="n">
        <v>10.33</v>
      </c>
      <c r="M714" s="14" t="n">
        <v>15.47</v>
      </c>
      <c r="N714" s="14" t="n">
        <v>10.73</v>
      </c>
      <c r="O714" s="14" t="n">
        <v>7.38</v>
      </c>
      <c r="P714" s="14" t="n">
        <v>0.34</v>
      </c>
      <c r="Q714" s="14" t="n">
        <v>0.68</v>
      </c>
      <c r="R714" s="14" t="n">
        <v>0.09</v>
      </c>
      <c r="S714" s="14" t="n">
        <v>4.43</v>
      </c>
      <c r="T714" s="14" t="n">
        <v>7.69</v>
      </c>
      <c r="U714" s="14" t="n">
        <v>7.44</v>
      </c>
      <c r="V714" s="14" t="n">
        <v>3.51</v>
      </c>
      <c r="W714" s="14" t="n">
        <v>1.2</v>
      </c>
      <c r="X714" s="14" t="n">
        <v>0.55</v>
      </c>
      <c r="Y714" s="14" t="n">
        <v>2.31</v>
      </c>
      <c r="Z714" s="14" t="n">
        <v>0.74</v>
      </c>
      <c r="AA714" s="14" t="n">
        <v>0</v>
      </c>
    </row>
    <row r="715">
      <c r="A715" t="inlineStr">
        <is>
          <t>200703</t>
        </is>
      </c>
      <c r="B715" t="inlineStr">
        <is>
          <t>PIURA</t>
        </is>
      </c>
      <c r="C715" t="inlineStr">
        <is>
          <t>TALARA</t>
        </is>
      </c>
      <c r="D715" t="inlineStr">
        <is>
          <t>LA BREA</t>
        </is>
      </c>
      <c r="E715" t="n">
        <v>4448</v>
      </c>
      <c r="F715" s="14" t="n">
        <v>0</v>
      </c>
      <c r="G715" s="14" t="n">
        <v>8.140000000000001</v>
      </c>
      <c r="H715" s="14" t="n">
        <v>2.88</v>
      </c>
      <c r="I715" s="14" t="n">
        <v>10.66</v>
      </c>
      <c r="J715" s="14" t="n">
        <v>0.2</v>
      </c>
      <c r="K715" s="14" t="n">
        <v>0.22</v>
      </c>
      <c r="L715" s="14" t="n">
        <v>10.86</v>
      </c>
      <c r="M715" s="14" t="n">
        <v>17.31</v>
      </c>
      <c r="N715" s="14" t="n">
        <v>10.39</v>
      </c>
      <c r="O715" s="14" t="n">
        <v>7.91</v>
      </c>
      <c r="P715" s="14" t="n">
        <v>0.7</v>
      </c>
      <c r="Q715" s="14" t="n">
        <v>0.9399999999999999</v>
      </c>
      <c r="R715" s="14" t="n">
        <v>0.02</v>
      </c>
      <c r="S715" s="14" t="n">
        <v>5.35</v>
      </c>
      <c r="T715" s="14" t="n">
        <v>5.87</v>
      </c>
      <c r="U715" s="14" t="n">
        <v>5.67</v>
      </c>
      <c r="V715" s="14" t="n">
        <v>4.88</v>
      </c>
      <c r="W715" s="14" t="n">
        <v>1.64</v>
      </c>
      <c r="X715" s="14" t="n">
        <v>0.74</v>
      </c>
      <c r="Y715" s="14" t="n">
        <v>4.36</v>
      </c>
      <c r="Z715" s="14" t="n">
        <v>1.26</v>
      </c>
      <c r="AA715" s="14" t="n">
        <v>0</v>
      </c>
    </row>
    <row r="716">
      <c r="A716" t="inlineStr">
        <is>
          <t>200704</t>
        </is>
      </c>
      <c r="B716" t="inlineStr">
        <is>
          <t>PIURA</t>
        </is>
      </c>
      <c r="C716" t="inlineStr">
        <is>
          <t>TALARA</t>
        </is>
      </c>
      <c r="D716" t="inlineStr">
        <is>
          <t>LOBITOS</t>
        </is>
      </c>
      <c r="E716" t="n">
        <v>620</v>
      </c>
      <c r="F716" s="14" t="n">
        <v>0</v>
      </c>
      <c r="G716" s="14" t="n">
        <v>13.39</v>
      </c>
      <c r="H716" s="14" t="n">
        <v>0.97</v>
      </c>
      <c r="I716" s="14" t="n">
        <v>3.23</v>
      </c>
      <c r="J716" s="14" t="n">
        <v>0</v>
      </c>
      <c r="K716" s="14" t="n">
        <v>0</v>
      </c>
      <c r="L716" s="14" t="n">
        <v>5</v>
      </c>
      <c r="M716" s="14" t="n">
        <v>7.9</v>
      </c>
      <c r="N716" s="14" t="n">
        <v>4.03</v>
      </c>
      <c r="O716" s="14" t="n">
        <v>10.97</v>
      </c>
      <c r="P716" s="14" t="n">
        <v>0.16</v>
      </c>
      <c r="Q716" s="14" t="n">
        <v>0.16</v>
      </c>
      <c r="R716" s="14" t="n">
        <v>0.16</v>
      </c>
      <c r="S716" s="14" t="n">
        <v>4.03</v>
      </c>
      <c r="T716" s="14" t="n">
        <v>12.42</v>
      </c>
      <c r="U716" s="14" t="n">
        <v>30.81</v>
      </c>
      <c r="V716" s="14" t="n">
        <v>2.9</v>
      </c>
      <c r="W716" s="14" t="n">
        <v>0.48</v>
      </c>
      <c r="X716" s="14" t="n">
        <v>0.16</v>
      </c>
      <c r="Y716" s="14" t="n">
        <v>2.1</v>
      </c>
      <c r="Z716" s="14" t="n">
        <v>1.13</v>
      </c>
      <c r="AA716" s="14" t="n">
        <v>0</v>
      </c>
    </row>
    <row r="717">
      <c r="A717" t="inlineStr">
        <is>
          <t>200705</t>
        </is>
      </c>
      <c r="B717" t="inlineStr">
        <is>
          <t>PIURA</t>
        </is>
      </c>
      <c r="C717" t="inlineStr">
        <is>
          <t>TALARA</t>
        </is>
      </c>
      <c r="D717" t="inlineStr">
        <is>
          <t>LOS ORGANOS</t>
        </is>
      </c>
      <c r="E717" t="n">
        <v>4368</v>
      </c>
      <c r="F717" s="14" t="n">
        <v>0.6870000000000001</v>
      </c>
      <c r="G717" s="14" t="n">
        <v>14.15</v>
      </c>
      <c r="H717" s="14" t="n">
        <v>1.51</v>
      </c>
      <c r="I717" s="14" t="n">
        <v>5.95</v>
      </c>
      <c r="J717" s="14" t="n">
        <v>0.09</v>
      </c>
      <c r="K717" s="14" t="n">
        <v>0.5</v>
      </c>
      <c r="L717" s="14" t="n">
        <v>8.220000000000001</v>
      </c>
      <c r="M717" s="14" t="n">
        <v>16.76</v>
      </c>
      <c r="N717" s="14" t="n">
        <v>12.55</v>
      </c>
      <c r="O717" s="14" t="n">
        <v>13.67</v>
      </c>
      <c r="P717" s="14" t="n">
        <v>0.46</v>
      </c>
      <c r="Q717" s="14" t="n">
        <v>0.6899999999999999</v>
      </c>
      <c r="R717" s="14" t="n">
        <v>0.16</v>
      </c>
      <c r="S717" s="14" t="n">
        <v>3.41</v>
      </c>
      <c r="T717" s="14" t="n">
        <v>7.07</v>
      </c>
      <c r="U717" s="14" t="n">
        <v>3.87</v>
      </c>
      <c r="V717" s="14" t="n">
        <v>4.28</v>
      </c>
      <c r="W717" s="14" t="n">
        <v>1.47</v>
      </c>
      <c r="X717" s="14" t="n">
        <v>0.62</v>
      </c>
      <c r="Y717" s="14" t="n">
        <v>2.95</v>
      </c>
      <c r="Z717" s="14" t="n">
        <v>1.63</v>
      </c>
      <c r="AA717" s="14" t="n">
        <v>0</v>
      </c>
    </row>
    <row r="718">
      <c r="A718" t="inlineStr">
        <is>
          <t>200706</t>
        </is>
      </c>
      <c r="B718" t="inlineStr">
        <is>
          <t>PIURA</t>
        </is>
      </c>
      <c r="C718" t="inlineStr">
        <is>
          <t>TALARA</t>
        </is>
      </c>
      <c r="D718" t="inlineStr">
        <is>
          <t>MANCORA</t>
        </is>
      </c>
      <c r="E718" t="n">
        <v>5306</v>
      </c>
      <c r="F718" s="14" t="n">
        <v>0</v>
      </c>
      <c r="G718" s="14" t="n">
        <v>8.970000000000001</v>
      </c>
      <c r="H718" s="14" t="n">
        <v>0.25</v>
      </c>
      <c r="I718" s="14" t="n">
        <v>7.07</v>
      </c>
      <c r="J718" s="14" t="n">
        <v>0.11</v>
      </c>
      <c r="K718" s="14" t="n">
        <v>0.32</v>
      </c>
      <c r="L718" s="14" t="n">
        <v>10.31</v>
      </c>
      <c r="M718" s="14" t="n">
        <v>16.89</v>
      </c>
      <c r="N718" s="14" t="n">
        <v>12.7</v>
      </c>
      <c r="O718" s="14" t="n">
        <v>17.79</v>
      </c>
      <c r="P718" s="14" t="n">
        <v>0.45</v>
      </c>
      <c r="Q718" s="14" t="n">
        <v>0.6</v>
      </c>
      <c r="R718" s="14" t="n">
        <v>0.13</v>
      </c>
      <c r="S718" s="14" t="n">
        <v>3.37</v>
      </c>
      <c r="T718" s="14" t="n">
        <v>6.41</v>
      </c>
      <c r="U718" s="14" t="n">
        <v>3.2</v>
      </c>
      <c r="V718" s="14" t="n">
        <v>4.5</v>
      </c>
      <c r="W718" s="14" t="n">
        <v>1.23</v>
      </c>
      <c r="X718" s="14" t="n">
        <v>0.72</v>
      </c>
      <c r="Y718" s="14" t="n">
        <v>3.66</v>
      </c>
      <c r="Z718" s="14" t="n">
        <v>1.32</v>
      </c>
      <c r="AA718" s="14" t="n">
        <v>0</v>
      </c>
    </row>
    <row r="719">
      <c r="A719" t="inlineStr">
        <is>
          <t>200801</t>
        </is>
      </c>
      <c r="B719" t="inlineStr">
        <is>
          <t>PIURA</t>
        </is>
      </c>
      <c r="C719" t="inlineStr">
        <is>
          <t>SECHURA</t>
        </is>
      </c>
      <c r="D719" t="inlineStr">
        <is>
          <t>SECHURA</t>
        </is>
      </c>
      <c r="E719" t="n">
        <v>15919</v>
      </c>
      <c r="F719" s="14" t="n">
        <v>2.739</v>
      </c>
      <c r="G719" s="14" t="n">
        <v>25.92</v>
      </c>
      <c r="H719" s="14" t="n">
        <v>2.25</v>
      </c>
      <c r="I719" s="14" t="n">
        <v>8.25</v>
      </c>
      <c r="J719" s="14" t="n">
        <v>0.11</v>
      </c>
      <c r="K719" s="14" t="n">
        <v>0.24</v>
      </c>
      <c r="L719" s="14" t="n">
        <v>5.41</v>
      </c>
      <c r="M719" s="14" t="n">
        <v>18.09</v>
      </c>
      <c r="N719" s="14" t="n">
        <v>12.84</v>
      </c>
      <c r="O719" s="14" t="n">
        <v>7.24</v>
      </c>
      <c r="P719" s="14" t="n">
        <v>0.47</v>
      </c>
      <c r="Q719" s="14" t="n">
        <v>0.58</v>
      </c>
      <c r="R719" s="14" t="n">
        <v>0.04</v>
      </c>
      <c r="S719" s="14" t="n">
        <v>3.17</v>
      </c>
      <c r="T719" s="14" t="n">
        <v>2.53</v>
      </c>
      <c r="U719" s="14" t="n">
        <v>3.56</v>
      </c>
      <c r="V719" s="14" t="n">
        <v>3.59</v>
      </c>
      <c r="W719" s="14" t="n">
        <v>1.19</v>
      </c>
      <c r="X719" s="14" t="n">
        <v>1</v>
      </c>
      <c r="Y719" s="14" t="n">
        <v>2.07</v>
      </c>
      <c r="Z719" s="14" t="n">
        <v>1.43</v>
      </c>
      <c r="AA719" s="14" t="n">
        <v>0</v>
      </c>
    </row>
    <row r="720">
      <c r="A720" t="inlineStr">
        <is>
          <t>200802</t>
        </is>
      </c>
      <c r="B720" t="inlineStr">
        <is>
          <t>PIURA</t>
        </is>
      </c>
      <c r="C720" t="inlineStr">
        <is>
          <t>SECHURA</t>
        </is>
      </c>
      <c r="D720" t="inlineStr">
        <is>
          <t>BELLAVISTA DE LA UNION</t>
        </is>
      </c>
      <c r="E720" t="n">
        <v>1636</v>
      </c>
      <c r="F720" s="14" t="n">
        <v>0</v>
      </c>
      <c r="G720" s="14" t="n">
        <v>39.91</v>
      </c>
      <c r="H720" s="14" t="n">
        <v>0.31</v>
      </c>
      <c r="I720" s="14" t="n">
        <v>4.28</v>
      </c>
      <c r="J720" s="14" t="n">
        <v>0.12</v>
      </c>
      <c r="K720" s="14" t="n">
        <v>0.06</v>
      </c>
      <c r="L720" s="14" t="n">
        <v>7.52</v>
      </c>
      <c r="M720" s="14" t="n">
        <v>12.9</v>
      </c>
      <c r="N720" s="14" t="n">
        <v>11.74</v>
      </c>
      <c r="O720" s="14" t="n">
        <v>3</v>
      </c>
      <c r="P720" s="14" t="n">
        <v>0.18</v>
      </c>
      <c r="Q720" s="14" t="n">
        <v>0.79</v>
      </c>
      <c r="R720" s="14" t="n">
        <v>0</v>
      </c>
      <c r="S720" s="14" t="n">
        <v>1.22</v>
      </c>
      <c r="T720" s="14" t="n">
        <v>1.04</v>
      </c>
      <c r="U720" s="14" t="n">
        <v>4.22</v>
      </c>
      <c r="V720" s="14" t="n">
        <v>6.72</v>
      </c>
      <c r="W720" s="14" t="n">
        <v>1.59</v>
      </c>
      <c r="X720" s="14" t="n">
        <v>1.34</v>
      </c>
      <c r="Y720" s="14" t="n">
        <v>1.83</v>
      </c>
      <c r="Z720" s="14" t="n">
        <v>1.22</v>
      </c>
      <c r="AA720" s="14" t="n">
        <v>0</v>
      </c>
    </row>
    <row r="721">
      <c r="A721" t="inlineStr">
        <is>
          <t>200803</t>
        </is>
      </c>
      <c r="B721" t="inlineStr">
        <is>
          <t>PIURA</t>
        </is>
      </c>
      <c r="C721" t="inlineStr">
        <is>
          <t>SECHURA</t>
        </is>
      </c>
      <c r="D721" t="inlineStr">
        <is>
          <t>BERNAL</t>
        </is>
      </c>
      <c r="E721" t="n">
        <v>2285</v>
      </c>
      <c r="F721" s="14" t="n">
        <v>0</v>
      </c>
      <c r="G721" s="14" t="n">
        <v>42.45</v>
      </c>
      <c r="H721" s="14" t="n">
        <v>0.74</v>
      </c>
      <c r="I721" s="14" t="n">
        <v>10.72</v>
      </c>
      <c r="J721" s="14" t="n">
        <v>0</v>
      </c>
      <c r="K721" s="14" t="n">
        <v>0.04</v>
      </c>
      <c r="L721" s="14" t="n">
        <v>4.42</v>
      </c>
      <c r="M721" s="14" t="n">
        <v>10.81</v>
      </c>
      <c r="N721" s="14" t="n">
        <v>9.58</v>
      </c>
      <c r="O721" s="14" t="n">
        <v>5.12</v>
      </c>
      <c r="P721" s="14" t="n">
        <v>0.26</v>
      </c>
      <c r="Q721" s="14" t="n">
        <v>0.57</v>
      </c>
      <c r="R721" s="14" t="n">
        <v>0</v>
      </c>
      <c r="S721" s="14" t="n">
        <v>1.01</v>
      </c>
      <c r="T721" s="14" t="n">
        <v>1.01</v>
      </c>
      <c r="U721" s="14" t="n">
        <v>4.2</v>
      </c>
      <c r="V721" s="14" t="n">
        <v>3.24</v>
      </c>
      <c r="W721" s="14" t="n">
        <v>1.62</v>
      </c>
      <c r="X721" s="14" t="n">
        <v>1.84</v>
      </c>
      <c r="Y721" s="14" t="n">
        <v>0.92</v>
      </c>
      <c r="Z721" s="14" t="n">
        <v>1.44</v>
      </c>
      <c r="AA721" s="14" t="n">
        <v>0</v>
      </c>
    </row>
    <row r="722">
      <c r="A722" t="inlineStr">
        <is>
          <t>200804</t>
        </is>
      </c>
      <c r="B722" t="inlineStr">
        <is>
          <t>PIURA</t>
        </is>
      </c>
      <c r="C722" t="inlineStr">
        <is>
          <t>SECHURA</t>
        </is>
      </c>
      <c r="D722" t="inlineStr">
        <is>
          <t>CRISTO NOS VALGA</t>
        </is>
      </c>
      <c r="E722" t="n">
        <v>1292</v>
      </c>
      <c r="F722" s="14" t="n">
        <v>0</v>
      </c>
      <c r="G722" s="14" t="n">
        <v>54.72</v>
      </c>
      <c r="H722" s="14" t="n">
        <v>1.63</v>
      </c>
      <c r="I722" s="14" t="n">
        <v>3.56</v>
      </c>
      <c r="J722" s="14" t="n">
        <v>0</v>
      </c>
      <c r="K722" s="14" t="n">
        <v>0.7</v>
      </c>
      <c r="L722" s="14" t="n">
        <v>10.76</v>
      </c>
      <c r="M722" s="14" t="n">
        <v>7.89</v>
      </c>
      <c r="N722" s="14" t="n">
        <v>7.04</v>
      </c>
      <c r="O722" s="14" t="n">
        <v>1.32</v>
      </c>
      <c r="P722" s="14" t="n">
        <v>0</v>
      </c>
      <c r="Q722" s="14" t="n">
        <v>0.15</v>
      </c>
      <c r="R722" s="14" t="n">
        <v>0</v>
      </c>
      <c r="S722" s="14" t="n">
        <v>2.32</v>
      </c>
      <c r="T722" s="14" t="n">
        <v>1.7</v>
      </c>
      <c r="U722" s="14" t="n">
        <v>2.94</v>
      </c>
      <c r="V722" s="14" t="n">
        <v>3.02</v>
      </c>
      <c r="W722" s="14" t="n">
        <v>1.08</v>
      </c>
      <c r="X722" s="14" t="n">
        <v>0.54</v>
      </c>
      <c r="Y722" s="14" t="n">
        <v>0.39</v>
      </c>
      <c r="Z722" s="14" t="n">
        <v>0.23</v>
      </c>
      <c r="AA722" s="14" t="n">
        <v>0</v>
      </c>
    </row>
    <row r="723">
      <c r="A723" t="inlineStr">
        <is>
          <t>200805</t>
        </is>
      </c>
      <c r="B723" t="inlineStr">
        <is>
          <t>PIURA</t>
        </is>
      </c>
      <c r="C723" t="inlineStr">
        <is>
          <t>SECHURA</t>
        </is>
      </c>
      <c r="D723" t="inlineStr">
        <is>
          <t>VICE</t>
        </is>
      </c>
      <c r="E723" t="n">
        <v>3644</v>
      </c>
      <c r="F723" s="14" t="n">
        <v>5.543</v>
      </c>
      <c r="G723" s="14" t="n">
        <v>43.94</v>
      </c>
      <c r="H723" s="14" t="n">
        <v>0.36</v>
      </c>
      <c r="I723" s="14" t="n">
        <v>4.86</v>
      </c>
      <c r="J723" s="14" t="n">
        <v>0</v>
      </c>
      <c r="K723" s="14" t="n">
        <v>0.27</v>
      </c>
      <c r="L723" s="14" t="n">
        <v>6.31</v>
      </c>
      <c r="M723" s="14" t="n">
        <v>10.32</v>
      </c>
      <c r="N723" s="14" t="n">
        <v>11.5</v>
      </c>
      <c r="O723" s="14" t="n">
        <v>2.39</v>
      </c>
      <c r="P723" s="14" t="n">
        <v>0.33</v>
      </c>
      <c r="Q723" s="14" t="n">
        <v>0.44</v>
      </c>
      <c r="R723" s="14" t="n">
        <v>0.03</v>
      </c>
      <c r="S723" s="14" t="n">
        <v>3.51</v>
      </c>
      <c r="T723" s="14" t="n">
        <v>1.81</v>
      </c>
      <c r="U723" s="14" t="n">
        <v>4.67</v>
      </c>
      <c r="V723" s="14" t="n">
        <v>4.67</v>
      </c>
      <c r="W723" s="14" t="n">
        <v>1.43</v>
      </c>
      <c r="X723" s="14" t="n">
        <v>0.44</v>
      </c>
      <c r="Y723" s="14" t="n">
        <v>1.43</v>
      </c>
      <c r="Z723" s="14" t="n">
        <v>1.32</v>
      </c>
      <c r="AA723" s="14" t="n">
        <v>0</v>
      </c>
    </row>
    <row r="724">
      <c r="A724" t="inlineStr">
        <is>
          <t>200806</t>
        </is>
      </c>
      <c r="B724" t="inlineStr">
        <is>
          <t>PIURA</t>
        </is>
      </c>
      <c r="C724" t="inlineStr">
        <is>
          <t>SECHURA</t>
        </is>
      </c>
      <c r="D724" t="inlineStr">
        <is>
          <t>RINCONADA LLICUAR</t>
        </is>
      </c>
      <c r="E724" t="n">
        <v>956</v>
      </c>
      <c r="F724" s="14" t="n">
        <v>0</v>
      </c>
      <c r="G724" s="14" t="n">
        <v>42.78</v>
      </c>
      <c r="H724" s="14" t="n">
        <v>1.15</v>
      </c>
      <c r="I724" s="14" t="n">
        <v>3.77</v>
      </c>
      <c r="J724" s="14" t="n">
        <v>0</v>
      </c>
      <c r="K724" s="14" t="n">
        <v>0.31</v>
      </c>
      <c r="L724" s="14" t="n">
        <v>6.17</v>
      </c>
      <c r="M724" s="14" t="n">
        <v>11.72</v>
      </c>
      <c r="N724" s="14" t="n">
        <v>8.470000000000001</v>
      </c>
      <c r="O724" s="14" t="n">
        <v>2.82</v>
      </c>
      <c r="P724" s="14" t="n">
        <v>0.1</v>
      </c>
      <c r="Q724" s="14" t="n">
        <v>1.05</v>
      </c>
      <c r="R724" s="14" t="n">
        <v>0</v>
      </c>
      <c r="S724" s="14" t="n">
        <v>1.88</v>
      </c>
      <c r="T724" s="14" t="n">
        <v>2.41</v>
      </c>
      <c r="U724" s="14" t="n">
        <v>6.49</v>
      </c>
      <c r="V724" s="14" t="n">
        <v>6.28</v>
      </c>
      <c r="W724" s="14" t="n">
        <v>0.9399999999999999</v>
      </c>
      <c r="X724" s="14" t="n">
        <v>1.05</v>
      </c>
      <c r="Y724" s="14" t="n">
        <v>1.67</v>
      </c>
      <c r="Z724" s="14" t="n">
        <v>0.9399999999999999</v>
      </c>
      <c r="AA724" s="14" t="n">
        <v>0</v>
      </c>
    </row>
    <row r="725">
      <c r="A725" t="inlineStr">
        <is>
          <t>210101</t>
        </is>
      </c>
      <c r="B725" t="inlineStr">
        <is>
          <t>PUNO</t>
        </is>
      </c>
      <c r="C725" t="inlineStr">
        <is>
          <t>PUNO</t>
        </is>
      </c>
      <c r="D725" t="inlineStr">
        <is>
          <t>PUNO</t>
        </is>
      </c>
      <c r="E725" t="n">
        <v>62023</v>
      </c>
      <c r="F725" s="14" t="n">
        <v>0</v>
      </c>
      <c r="G725" s="14" t="n">
        <v>5.44</v>
      </c>
      <c r="H725" s="14" t="n">
        <v>0.6</v>
      </c>
      <c r="I725" s="14" t="n">
        <v>6.42</v>
      </c>
      <c r="J725" s="14" t="n">
        <v>0.17</v>
      </c>
      <c r="K725" s="14" t="n">
        <v>0.17</v>
      </c>
      <c r="L725" s="14" t="n">
        <v>8.300000000000001</v>
      </c>
      <c r="M725" s="14" t="n">
        <v>18.93</v>
      </c>
      <c r="N725" s="14" t="n">
        <v>7.85</v>
      </c>
      <c r="O725" s="14" t="n">
        <v>7.24</v>
      </c>
      <c r="P725" s="14" t="n">
        <v>1.12</v>
      </c>
      <c r="Q725" s="14" t="n">
        <v>1.54</v>
      </c>
      <c r="R725" s="14" t="n">
        <v>0.1</v>
      </c>
      <c r="S725" s="14" t="n">
        <v>6.7</v>
      </c>
      <c r="T725" s="14" t="n">
        <v>2.96</v>
      </c>
      <c r="U725" s="14" t="n">
        <v>9.25</v>
      </c>
      <c r="V725" s="14" t="n">
        <v>14.37</v>
      </c>
      <c r="W725" s="14" t="n">
        <v>4.72</v>
      </c>
      <c r="X725" s="14" t="n">
        <v>1.08</v>
      </c>
      <c r="Y725" s="14" t="n">
        <v>2.32</v>
      </c>
      <c r="Z725" s="14" t="n">
        <v>0.71</v>
      </c>
      <c r="AA725" s="14" t="n">
        <v>0</v>
      </c>
    </row>
    <row r="726">
      <c r="A726" t="inlineStr">
        <is>
          <t>210102</t>
        </is>
      </c>
      <c r="B726" t="inlineStr">
        <is>
          <t>PUNO</t>
        </is>
      </c>
      <c r="C726" t="inlineStr">
        <is>
          <t>PUNO</t>
        </is>
      </c>
      <c r="D726" t="inlineStr">
        <is>
          <t>ACORA</t>
        </is>
      </c>
      <c r="E726" t="n">
        <v>8826</v>
      </c>
      <c r="F726" s="14" t="n">
        <v>0</v>
      </c>
      <c r="G726" s="14" t="n">
        <v>79.12</v>
      </c>
      <c r="H726" s="14" t="n">
        <v>0.27</v>
      </c>
      <c r="I726" s="14" t="n">
        <v>1.96</v>
      </c>
      <c r="J726" s="14" t="n">
        <v>0.02</v>
      </c>
      <c r="K726" s="14" t="n">
        <v>0</v>
      </c>
      <c r="L726" s="14" t="n">
        <v>5.08</v>
      </c>
      <c r="M726" s="14" t="n">
        <v>4.6</v>
      </c>
      <c r="N726" s="14" t="n">
        <v>2.12</v>
      </c>
      <c r="O726" s="14" t="n">
        <v>1.14</v>
      </c>
      <c r="P726" s="14" t="n">
        <v>0.05</v>
      </c>
      <c r="Q726" s="14" t="n">
        <v>0.09</v>
      </c>
      <c r="R726" s="14" t="n">
        <v>0</v>
      </c>
      <c r="S726" s="14" t="n">
        <v>0.73</v>
      </c>
      <c r="T726" s="14" t="n">
        <v>0.34</v>
      </c>
      <c r="U726" s="14" t="n">
        <v>1.36</v>
      </c>
      <c r="V726" s="14" t="n">
        <v>1.85</v>
      </c>
      <c r="W726" s="14" t="n">
        <v>0.5</v>
      </c>
      <c r="X726" s="14" t="n">
        <v>0.19</v>
      </c>
      <c r="Y726" s="14" t="n">
        <v>0.46</v>
      </c>
      <c r="Z726" s="14" t="n">
        <v>0.12</v>
      </c>
      <c r="AA726" s="14" t="n">
        <v>0</v>
      </c>
    </row>
    <row r="727">
      <c r="A727" t="inlineStr">
        <is>
          <t>210103</t>
        </is>
      </c>
      <c r="B727" t="inlineStr">
        <is>
          <t>PUNO</t>
        </is>
      </c>
      <c r="C727" t="inlineStr">
        <is>
          <t>PUNO</t>
        </is>
      </c>
      <c r="D727" t="inlineStr">
        <is>
          <t>AMANTANI</t>
        </is>
      </c>
      <c r="E727" t="n">
        <v>1364</v>
      </c>
      <c r="F727" s="14" t="n">
        <v>0</v>
      </c>
      <c r="G727" s="14" t="n">
        <v>72.87</v>
      </c>
      <c r="H727" s="14" t="n">
        <v>0.15</v>
      </c>
      <c r="I727" s="14" t="n">
        <v>16.2</v>
      </c>
      <c r="J727" s="14" t="n">
        <v>0</v>
      </c>
      <c r="K727" s="14" t="n">
        <v>0</v>
      </c>
      <c r="L727" s="14" t="n">
        <v>0.8100000000000001</v>
      </c>
      <c r="M727" s="14" t="n">
        <v>3.89</v>
      </c>
      <c r="N727" s="14" t="n">
        <v>0.95</v>
      </c>
      <c r="O727" s="14" t="n">
        <v>2.42</v>
      </c>
      <c r="P727" s="14" t="n">
        <v>0</v>
      </c>
      <c r="Q727" s="14" t="n">
        <v>0</v>
      </c>
      <c r="R727" s="14" t="n">
        <v>0</v>
      </c>
      <c r="S727" s="14" t="n">
        <v>0.07000000000000001</v>
      </c>
      <c r="T727" s="14" t="n">
        <v>0.07000000000000001</v>
      </c>
      <c r="U727" s="14" t="n">
        <v>0.88</v>
      </c>
      <c r="V727" s="14" t="n">
        <v>0.73</v>
      </c>
      <c r="W727" s="14" t="n">
        <v>0.37</v>
      </c>
      <c r="X727" s="14" t="n">
        <v>0.07000000000000001</v>
      </c>
      <c r="Y727" s="14" t="n">
        <v>0.29</v>
      </c>
      <c r="Z727" s="14" t="n">
        <v>0.22</v>
      </c>
      <c r="AA727" s="14" t="n">
        <v>0</v>
      </c>
    </row>
    <row r="728">
      <c r="A728" t="inlineStr">
        <is>
          <t>210104</t>
        </is>
      </c>
      <c r="B728" t="inlineStr">
        <is>
          <t>PUNO</t>
        </is>
      </c>
      <c r="C728" t="inlineStr">
        <is>
          <t>PUNO</t>
        </is>
      </c>
      <c r="D728" t="inlineStr">
        <is>
          <t>ATUNCOLLA</t>
        </is>
      </c>
      <c r="E728" t="n">
        <v>1676</v>
      </c>
      <c r="F728" s="14" t="n">
        <v>0</v>
      </c>
      <c r="G728" s="14" t="n">
        <v>76.31</v>
      </c>
      <c r="H728" s="14" t="n">
        <v>0.42</v>
      </c>
      <c r="I728" s="14" t="n">
        <v>5.67</v>
      </c>
      <c r="J728" s="14" t="n">
        <v>0</v>
      </c>
      <c r="K728" s="14" t="n">
        <v>0</v>
      </c>
      <c r="L728" s="14" t="n">
        <v>5.55</v>
      </c>
      <c r="M728" s="14" t="n">
        <v>3.94</v>
      </c>
      <c r="N728" s="14" t="n">
        <v>2.39</v>
      </c>
      <c r="O728" s="14" t="n">
        <v>1.79</v>
      </c>
      <c r="P728" s="14" t="n">
        <v>0.18</v>
      </c>
      <c r="Q728" s="14" t="n">
        <v>0.18</v>
      </c>
      <c r="R728" s="14" t="n">
        <v>0</v>
      </c>
      <c r="S728" s="14" t="n">
        <v>0.18</v>
      </c>
      <c r="T728" s="14" t="n">
        <v>0.48</v>
      </c>
      <c r="U728" s="14" t="n">
        <v>0.89</v>
      </c>
      <c r="V728" s="14" t="n">
        <v>1.19</v>
      </c>
      <c r="W728" s="14" t="n">
        <v>0.36</v>
      </c>
      <c r="X728" s="14" t="n">
        <v>0.12</v>
      </c>
      <c r="Y728" s="14" t="n">
        <v>0.18</v>
      </c>
      <c r="Z728" s="14" t="n">
        <v>0.18</v>
      </c>
      <c r="AA728" s="14" t="n">
        <v>0</v>
      </c>
    </row>
    <row r="729">
      <c r="A729" t="inlineStr">
        <is>
          <t>210105</t>
        </is>
      </c>
      <c r="B729" t="inlineStr">
        <is>
          <t>PUNO</t>
        </is>
      </c>
      <c r="C729" t="inlineStr">
        <is>
          <t>PUNO</t>
        </is>
      </c>
      <c r="D729" t="inlineStr">
        <is>
          <t>CAPACHICA</t>
        </is>
      </c>
      <c r="E729" t="n">
        <v>2334</v>
      </c>
      <c r="F729" s="14" t="n">
        <v>0</v>
      </c>
      <c r="G729" s="14" t="n">
        <v>73.95</v>
      </c>
      <c r="H729" s="14" t="n">
        <v>0.26</v>
      </c>
      <c r="I729" s="14" t="n">
        <v>2.53</v>
      </c>
      <c r="J729" s="14" t="n">
        <v>0</v>
      </c>
      <c r="K729" s="14" t="n">
        <v>0.04</v>
      </c>
      <c r="L729" s="14" t="n">
        <v>7.46</v>
      </c>
      <c r="M729" s="14" t="n">
        <v>6.34</v>
      </c>
      <c r="N729" s="14" t="n">
        <v>2.74</v>
      </c>
      <c r="O729" s="14" t="n">
        <v>1.63</v>
      </c>
      <c r="P729" s="14" t="n">
        <v>0</v>
      </c>
      <c r="Q729" s="14" t="n">
        <v>0</v>
      </c>
      <c r="R729" s="14" t="n">
        <v>0</v>
      </c>
      <c r="S729" s="14" t="n">
        <v>0.43</v>
      </c>
      <c r="T729" s="14" t="n">
        <v>0.64</v>
      </c>
      <c r="U729" s="14" t="n">
        <v>1.2</v>
      </c>
      <c r="V729" s="14" t="n">
        <v>1.37</v>
      </c>
      <c r="W729" s="14" t="n">
        <v>0.17</v>
      </c>
      <c r="X729" s="14" t="n">
        <v>0.21</v>
      </c>
      <c r="Y729" s="14" t="n">
        <v>0.8100000000000001</v>
      </c>
      <c r="Z729" s="14" t="n">
        <v>0.21</v>
      </c>
      <c r="AA729" s="14" t="n">
        <v>0</v>
      </c>
    </row>
    <row r="730">
      <c r="A730" t="inlineStr">
        <is>
          <t>210106</t>
        </is>
      </c>
      <c r="B730" t="inlineStr">
        <is>
          <t>PUNO</t>
        </is>
      </c>
      <c r="C730" t="inlineStr">
        <is>
          <t>PUNO</t>
        </is>
      </c>
      <c r="D730" t="inlineStr">
        <is>
          <t>CHUCUITO</t>
        </is>
      </c>
      <c r="E730" t="n">
        <v>1998</v>
      </c>
      <c r="F730" s="14" t="n">
        <v>0</v>
      </c>
      <c r="G730" s="14" t="n">
        <v>59.66</v>
      </c>
      <c r="H730" s="14" t="n">
        <v>0.4</v>
      </c>
      <c r="I730" s="14" t="n">
        <v>4.65</v>
      </c>
      <c r="J730" s="14" t="n">
        <v>0</v>
      </c>
      <c r="K730" s="14" t="n">
        <v>0.05</v>
      </c>
      <c r="L730" s="14" t="n">
        <v>7.31</v>
      </c>
      <c r="M730" s="14" t="n">
        <v>7.86</v>
      </c>
      <c r="N730" s="14" t="n">
        <v>4.85</v>
      </c>
      <c r="O730" s="14" t="n">
        <v>3.3</v>
      </c>
      <c r="P730" s="14" t="n">
        <v>0.35</v>
      </c>
      <c r="Q730" s="14" t="n">
        <v>0.15</v>
      </c>
      <c r="R730" s="14" t="n">
        <v>0</v>
      </c>
      <c r="S730" s="14" t="n">
        <v>1.25</v>
      </c>
      <c r="T730" s="14" t="n">
        <v>0.6</v>
      </c>
      <c r="U730" s="14" t="n">
        <v>2.05</v>
      </c>
      <c r="V730" s="14" t="n">
        <v>3.9</v>
      </c>
      <c r="W730" s="14" t="n">
        <v>0.9</v>
      </c>
      <c r="X730" s="14" t="n">
        <v>0.4</v>
      </c>
      <c r="Y730" s="14" t="n">
        <v>1.65</v>
      </c>
      <c r="Z730" s="14" t="n">
        <v>0.6</v>
      </c>
      <c r="AA730" s="14" t="n">
        <v>0.05</v>
      </c>
    </row>
    <row r="731">
      <c r="A731" t="inlineStr">
        <is>
          <t>210107</t>
        </is>
      </c>
      <c r="B731" t="inlineStr">
        <is>
          <t>PUNO</t>
        </is>
      </c>
      <c r="C731" t="inlineStr">
        <is>
          <t>PUNO</t>
        </is>
      </c>
      <c r="D731" t="inlineStr">
        <is>
          <t>COATA</t>
        </is>
      </c>
      <c r="E731" t="n">
        <v>761</v>
      </c>
      <c r="F731" s="14" t="n">
        <v>0</v>
      </c>
      <c r="G731" s="14" t="n">
        <v>74.64</v>
      </c>
      <c r="H731" s="14" t="n">
        <v>1.31</v>
      </c>
      <c r="I731" s="14" t="n">
        <v>3.55</v>
      </c>
      <c r="J731" s="14" t="n">
        <v>0</v>
      </c>
      <c r="K731" s="14" t="n">
        <v>0</v>
      </c>
      <c r="L731" s="14" t="n">
        <v>5.91</v>
      </c>
      <c r="M731" s="14" t="n">
        <v>4.2</v>
      </c>
      <c r="N731" s="14" t="n">
        <v>2.37</v>
      </c>
      <c r="O731" s="14" t="n">
        <v>1.45</v>
      </c>
      <c r="P731" s="14" t="n">
        <v>0</v>
      </c>
      <c r="Q731" s="14" t="n">
        <v>0</v>
      </c>
      <c r="R731" s="14" t="n">
        <v>0</v>
      </c>
      <c r="S731" s="14" t="n">
        <v>0.66</v>
      </c>
      <c r="T731" s="14" t="n">
        <v>0.26</v>
      </c>
      <c r="U731" s="14" t="n">
        <v>2.37</v>
      </c>
      <c r="V731" s="14" t="n">
        <v>1.18</v>
      </c>
      <c r="W731" s="14" t="n">
        <v>0.79</v>
      </c>
      <c r="X731" s="14" t="n">
        <v>0</v>
      </c>
      <c r="Y731" s="14" t="n">
        <v>0.92</v>
      </c>
      <c r="Z731" s="14" t="n">
        <v>0.39</v>
      </c>
      <c r="AA731" s="14" t="n">
        <v>0</v>
      </c>
    </row>
    <row r="732">
      <c r="A732" t="inlineStr">
        <is>
          <t>210108</t>
        </is>
      </c>
      <c r="B732" t="inlineStr">
        <is>
          <t>PUNO</t>
        </is>
      </c>
      <c r="C732" t="inlineStr">
        <is>
          <t>PUNO</t>
        </is>
      </c>
      <c r="D732" t="inlineStr">
        <is>
          <t>HUATA</t>
        </is>
      </c>
      <c r="E732" t="n">
        <v>843</v>
      </c>
      <c r="F732" s="14" t="n">
        <v>0</v>
      </c>
      <c r="G732" s="14" t="n">
        <v>68.20999999999999</v>
      </c>
      <c r="H732" s="14" t="n">
        <v>0.83</v>
      </c>
      <c r="I732" s="14" t="n">
        <v>2.73</v>
      </c>
      <c r="J732" s="14" t="n">
        <v>0</v>
      </c>
      <c r="K732" s="14" t="n">
        <v>0</v>
      </c>
      <c r="L732" s="14" t="n">
        <v>5.1</v>
      </c>
      <c r="M732" s="14" t="n">
        <v>12.81</v>
      </c>
      <c r="N732" s="14" t="n">
        <v>2.25</v>
      </c>
      <c r="O732" s="14" t="n">
        <v>0.95</v>
      </c>
      <c r="P732" s="14" t="n">
        <v>0</v>
      </c>
      <c r="Q732" s="14" t="n">
        <v>0.12</v>
      </c>
      <c r="R732" s="14" t="n">
        <v>0</v>
      </c>
      <c r="S732" s="14" t="n">
        <v>0.83</v>
      </c>
      <c r="T732" s="14" t="n">
        <v>1.19</v>
      </c>
      <c r="U732" s="14" t="n">
        <v>2.85</v>
      </c>
      <c r="V732" s="14" t="n">
        <v>0.59</v>
      </c>
      <c r="W732" s="14" t="n">
        <v>0.12</v>
      </c>
      <c r="X732" s="14" t="n">
        <v>0</v>
      </c>
      <c r="Y732" s="14" t="n">
        <v>1.3</v>
      </c>
      <c r="Z732" s="14" t="n">
        <v>0.12</v>
      </c>
      <c r="AA732" s="14" t="n">
        <v>0</v>
      </c>
    </row>
    <row r="733">
      <c r="A733" t="inlineStr">
        <is>
          <t>210109</t>
        </is>
      </c>
      <c r="B733" t="inlineStr">
        <is>
          <t>PUNO</t>
        </is>
      </c>
      <c r="C733" t="inlineStr">
        <is>
          <t>PUNO</t>
        </is>
      </c>
      <c r="D733" t="inlineStr">
        <is>
          <t>MAÑAZO</t>
        </is>
      </c>
      <c r="E733" t="n">
        <v>1698</v>
      </c>
      <c r="F733" s="14" t="n">
        <v>0</v>
      </c>
      <c r="G733" s="14" t="n">
        <v>54.18</v>
      </c>
      <c r="H733" s="14" t="n">
        <v>2.24</v>
      </c>
      <c r="I733" s="14" t="n">
        <v>3.24</v>
      </c>
      <c r="J733" s="14" t="n">
        <v>0</v>
      </c>
      <c r="K733" s="14" t="n">
        <v>0</v>
      </c>
      <c r="L733" s="14" t="n">
        <v>8.6</v>
      </c>
      <c r="M733" s="14" t="n">
        <v>13.84</v>
      </c>
      <c r="N733" s="14" t="n">
        <v>4.36</v>
      </c>
      <c r="O733" s="14" t="n">
        <v>3.06</v>
      </c>
      <c r="P733" s="14" t="n">
        <v>0.29</v>
      </c>
      <c r="Q733" s="14" t="n">
        <v>0.53</v>
      </c>
      <c r="R733" s="14" t="n">
        <v>0</v>
      </c>
      <c r="S733" s="14" t="n">
        <v>1.06</v>
      </c>
      <c r="T733" s="14" t="n">
        <v>0.77</v>
      </c>
      <c r="U733" s="14" t="n">
        <v>2.06</v>
      </c>
      <c r="V733" s="14" t="n">
        <v>3.24</v>
      </c>
      <c r="W733" s="14" t="n">
        <v>0.77</v>
      </c>
      <c r="X733" s="14" t="n">
        <v>0.24</v>
      </c>
      <c r="Y733" s="14" t="n">
        <v>1.18</v>
      </c>
      <c r="Z733" s="14" t="n">
        <v>0.35</v>
      </c>
      <c r="AA733" s="14" t="n">
        <v>0</v>
      </c>
    </row>
    <row r="734">
      <c r="A734" t="inlineStr">
        <is>
          <t>210110</t>
        </is>
      </c>
      <c r="B734" t="inlineStr">
        <is>
          <t>PUNO</t>
        </is>
      </c>
      <c r="C734" t="inlineStr">
        <is>
          <t>PUNO</t>
        </is>
      </c>
      <c r="D734" t="inlineStr">
        <is>
          <t>PAUCARCOLLA</t>
        </is>
      </c>
      <c r="E734" t="n">
        <v>1311</v>
      </c>
      <c r="F734" s="14" t="n">
        <v>0</v>
      </c>
      <c r="G734" s="14" t="n">
        <v>70.48</v>
      </c>
      <c r="H734" s="14" t="n">
        <v>0.46</v>
      </c>
      <c r="I734" s="14" t="n">
        <v>1.98</v>
      </c>
      <c r="J734" s="14" t="n">
        <v>0.08</v>
      </c>
      <c r="K734" s="14" t="n">
        <v>0</v>
      </c>
      <c r="L734" s="14" t="n">
        <v>8.77</v>
      </c>
      <c r="M734" s="14" t="n">
        <v>5.11</v>
      </c>
      <c r="N734" s="14" t="n">
        <v>3.89</v>
      </c>
      <c r="O734" s="14" t="n">
        <v>1.68</v>
      </c>
      <c r="P734" s="14" t="n">
        <v>0</v>
      </c>
      <c r="Q734" s="14" t="n">
        <v>0.46</v>
      </c>
      <c r="R734" s="14" t="n">
        <v>0</v>
      </c>
      <c r="S734" s="14" t="n">
        <v>0.92</v>
      </c>
      <c r="T734" s="14" t="n">
        <v>0.76</v>
      </c>
      <c r="U734" s="14" t="n">
        <v>2.21</v>
      </c>
      <c r="V734" s="14" t="n">
        <v>1.53</v>
      </c>
      <c r="W734" s="14" t="n">
        <v>0.38</v>
      </c>
      <c r="X734" s="14" t="n">
        <v>0.15</v>
      </c>
      <c r="Y734" s="14" t="n">
        <v>0.53</v>
      </c>
      <c r="Z734" s="14" t="n">
        <v>0.61</v>
      </c>
      <c r="AA734" s="14" t="n">
        <v>0</v>
      </c>
    </row>
    <row r="735">
      <c r="A735" t="inlineStr">
        <is>
          <t>210111</t>
        </is>
      </c>
      <c r="B735" t="inlineStr">
        <is>
          <t>PUNO</t>
        </is>
      </c>
      <c r="C735" t="inlineStr">
        <is>
          <t>PUNO</t>
        </is>
      </c>
      <c r="D735" t="inlineStr">
        <is>
          <t>PICHACANI</t>
        </is>
      </c>
      <c r="E735" t="n">
        <v>1873</v>
      </c>
      <c r="F735" s="14" t="n">
        <v>0</v>
      </c>
      <c r="G735" s="14" t="n">
        <v>52.59</v>
      </c>
      <c r="H735" s="14" t="n">
        <v>0.32</v>
      </c>
      <c r="I735" s="14" t="n">
        <v>8.81</v>
      </c>
      <c r="J735" s="14" t="n">
        <v>0</v>
      </c>
      <c r="K735" s="14" t="n">
        <v>0.05</v>
      </c>
      <c r="L735" s="14" t="n">
        <v>12.6</v>
      </c>
      <c r="M735" s="14" t="n">
        <v>7.1</v>
      </c>
      <c r="N735" s="14" t="n">
        <v>6.78</v>
      </c>
      <c r="O735" s="14" t="n">
        <v>2.83</v>
      </c>
      <c r="P735" s="14" t="n">
        <v>0.05</v>
      </c>
      <c r="Q735" s="14" t="n">
        <v>0.05</v>
      </c>
      <c r="R735" s="14" t="n">
        <v>0</v>
      </c>
      <c r="S735" s="14" t="n">
        <v>0.75</v>
      </c>
      <c r="T735" s="14" t="n">
        <v>0.91</v>
      </c>
      <c r="U735" s="14" t="n">
        <v>2.4</v>
      </c>
      <c r="V735" s="14" t="n">
        <v>1.49</v>
      </c>
      <c r="W735" s="14" t="n">
        <v>0.59</v>
      </c>
      <c r="X735" s="14" t="n">
        <v>0.16</v>
      </c>
      <c r="Y735" s="14" t="n">
        <v>2.08</v>
      </c>
      <c r="Z735" s="14" t="n">
        <v>0.43</v>
      </c>
      <c r="AA735" s="14" t="n">
        <v>0</v>
      </c>
    </row>
    <row r="736">
      <c r="A736" t="inlineStr">
        <is>
          <t>210112</t>
        </is>
      </c>
      <c r="B736" t="inlineStr">
        <is>
          <t>PUNO</t>
        </is>
      </c>
      <c r="C736" t="inlineStr">
        <is>
          <t>PUNO</t>
        </is>
      </c>
      <c r="D736" t="inlineStr">
        <is>
          <t>PLATERIA</t>
        </is>
      </c>
      <c r="E736" t="n">
        <v>2650</v>
      </c>
      <c r="F736" s="14" t="n">
        <v>0</v>
      </c>
      <c r="G736" s="14" t="n">
        <v>78.72</v>
      </c>
      <c r="H736" s="14" t="n">
        <v>0.11</v>
      </c>
      <c r="I736" s="14" t="n">
        <v>4.23</v>
      </c>
      <c r="J736" s="14" t="n">
        <v>0.08</v>
      </c>
      <c r="K736" s="14" t="n">
        <v>0</v>
      </c>
      <c r="L736" s="14" t="n">
        <v>3.85</v>
      </c>
      <c r="M736" s="14" t="n">
        <v>2.91</v>
      </c>
      <c r="N736" s="14" t="n">
        <v>2.45</v>
      </c>
      <c r="O736" s="14" t="n">
        <v>0.91</v>
      </c>
      <c r="P736" s="14" t="n">
        <v>0.08</v>
      </c>
      <c r="Q736" s="14" t="n">
        <v>0.15</v>
      </c>
      <c r="R736" s="14" t="n">
        <v>0</v>
      </c>
      <c r="S736" s="14" t="n">
        <v>0.23</v>
      </c>
      <c r="T736" s="14" t="n">
        <v>0.3</v>
      </c>
      <c r="U736" s="14" t="n">
        <v>1.62</v>
      </c>
      <c r="V736" s="14" t="n">
        <v>3.4</v>
      </c>
      <c r="W736" s="14" t="n">
        <v>0.26</v>
      </c>
      <c r="X736" s="14" t="n">
        <v>0.34</v>
      </c>
      <c r="Y736" s="14" t="n">
        <v>0.19</v>
      </c>
      <c r="Z736" s="14" t="n">
        <v>0.19</v>
      </c>
      <c r="AA736" s="14" t="n">
        <v>0</v>
      </c>
    </row>
    <row r="737">
      <c r="A737" t="inlineStr">
        <is>
          <t>210113</t>
        </is>
      </c>
      <c r="B737" t="inlineStr">
        <is>
          <t>PUNO</t>
        </is>
      </c>
      <c r="C737" t="inlineStr">
        <is>
          <t>PUNO</t>
        </is>
      </c>
      <c r="D737" t="inlineStr">
        <is>
          <t>SAN ANTONIO</t>
        </is>
      </c>
      <c r="E737" t="n">
        <v>1097</v>
      </c>
      <c r="F737" s="14" t="n">
        <v>0</v>
      </c>
      <c r="G737" s="14" t="n">
        <v>76.03</v>
      </c>
      <c r="H737" s="14" t="n">
        <v>0.09</v>
      </c>
      <c r="I737" s="14" t="n">
        <v>1.09</v>
      </c>
      <c r="J737" s="14" t="n">
        <v>0</v>
      </c>
      <c r="K737" s="14" t="n">
        <v>0</v>
      </c>
      <c r="L737" s="14" t="n">
        <v>10.85</v>
      </c>
      <c r="M737" s="14" t="n">
        <v>5.65</v>
      </c>
      <c r="N737" s="14" t="n">
        <v>1.91</v>
      </c>
      <c r="O737" s="14" t="n">
        <v>1.37</v>
      </c>
      <c r="P737" s="14" t="n">
        <v>0</v>
      </c>
      <c r="Q737" s="14" t="n">
        <v>0</v>
      </c>
      <c r="R737" s="14" t="n">
        <v>0</v>
      </c>
      <c r="S737" s="14" t="n">
        <v>0.27</v>
      </c>
      <c r="T737" s="14" t="n">
        <v>0.18</v>
      </c>
      <c r="U737" s="14" t="n">
        <v>0.64</v>
      </c>
      <c r="V737" s="14" t="n">
        <v>1.37</v>
      </c>
      <c r="W737" s="14" t="n">
        <v>0.27</v>
      </c>
      <c r="X737" s="14" t="n">
        <v>0</v>
      </c>
      <c r="Y737" s="14" t="n">
        <v>0.09</v>
      </c>
      <c r="Z737" s="14" t="n">
        <v>0.18</v>
      </c>
      <c r="AA737" s="14" t="n">
        <v>0</v>
      </c>
    </row>
    <row r="738">
      <c r="A738" t="inlineStr">
        <is>
          <t>210114</t>
        </is>
      </c>
      <c r="B738" t="inlineStr">
        <is>
          <t>PUNO</t>
        </is>
      </c>
      <c r="C738" t="inlineStr">
        <is>
          <t>PUNO</t>
        </is>
      </c>
      <c r="D738" t="inlineStr">
        <is>
          <t>TIQUILLACA</t>
        </is>
      </c>
      <c r="E738" t="n">
        <v>551</v>
      </c>
      <c r="F738" s="14" t="n">
        <v>0</v>
      </c>
      <c r="G738" s="14" t="n">
        <v>72.41</v>
      </c>
      <c r="H738" s="14" t="n">
        <v>0</v>
      </c>
      <c r="I738" s="14" t="n">
        <v>2.72</v>
      </c>
      <c r="J738" s="14" t="n">
        <v>0</v>
      </c>
      <c r="K738" s="14" t="n">
        <v>0</v>
      </c>
      <c r="L738" s="14" t="n">
        <v>7.99</v>
      </c>
      <c r="M738" s="14" t="n">
        <v>5.26</v>
      </c>
      <c r="N738" s="14" t="n">
        <v>2</v>
      </c>
      <c r="O738" s="14" t="n">
        <v>0.91</v>
      </c>
      <c r="P738" s="14" t="n">
        <v>0</v>
      </c>
      <c r="Q738" s="14" t="n">
        <v>0</v>
      </c>
      <c r="R738" s="14" t="n">
        <v>0</v>
      </c>
      <c r="S738" s="14" t="n">
        <v>1.27</v>
      </c>
      <c r="T738" s="14" t="n">
        <v>0.18</v>
      </c>
      <c r="U738" s="14" t="n">
        <v>4.17</v>
      </c>
      <c r="V738" s="14" t="n">
        <v>1.63</v>
      </c>
      <c r="W738" s="14" t="n">
        <v>0.54</v>
      </c>
      <c r="X738" s="14" t="n">
        <v>0.18</v>
      </c>
      <c r="Y738" s="14" t="n">
        <v>0.54</v>
      </c>
      <c r="Z738" s="14" t="n">
        <v>0.18</v>
      </c>
      <c r="AA738" s="14" t="n">
        <v>0</v>
      </c>
    </row>
    <row r="739">
      <c r="A739" t="inlineStr">
        <is>
          <t>210115</t>
        </is>
      </c>
      <c r="B739" t="inlineStr">
        <is>
          <t>PUNO</t>
        </is>
      </c>
      <c r="C739" t="inlineStr">
        <is>
          <t>PUNO</t>
        </is>
      </c>
      <c r="D739" t="inlineStr">
        <is>
          <t>VILQUE</t>
        </is>
      </c>
      <c r="E739" t="n">
        <v>621</v>
      </c>
      <c r="F739" s="14" t="n">
        <v>0</v>
      </c>
      <c r="G739" s="14" t="n">
        <v>71.98</v>
      </c>
      <c r="H739" s="14" t="n">
        <v>1.45</v>
      </c>
      <c r="I739" s="14" t="n">
        <v>1.77</v>
      </c>
      <c r="J739" s="14" t="n">
        <v>0</v>
      </c>
      <c r="K739" s="14" t="n">
        <v>0</v>
      </c>
      <c r="L739" s="14" t="n">
        <v>6.6</v>
      </c>
      <c r="M739" s="14" t="n">
        <v>5.15</v>
      </c>
      <c r="N739" s="14" t="n">
        <v>1.61</v>
      </c>
      <c r="O739" s="14" t="n">
        <v>2.09</v>
      </c>
      <c r="P739" s="14" t="n">
        <v>0.16</v>
      </c>
      <c r="Q739" s="14" t="n">
        <v>0</v>
      </c>
      <c r="R739" s="14" t="n">
        <v>0</v>
      </c>
      <c r="S739" s="14" t="n">
        <v>1.45</v>
      </c>
      <c r="T739" s="14" t="n">
        <v>0.8100000000000001</v>
      </c>
      <c r="U739" s="14" t="n">
        <v>0.97</v>
      </c>
      <c r="V739" s="14" t="n">
        <v>3.22</v>
      </c>
      <c r="W739" s="14" t="n">
        <v>0.16</v>
      </c>
      <c r="X739" s="14" t="n">
        <v>0</v>
      </c>
      <c r="Y739" s="14" t="n">
        <v>2.25</v>
      </c>
      <c r="Z739" s="14" t="n">
        <v>0.32</v>
      </c>
      <c r="AA739" s="14" t="n">
        <v>0</v>
      </c>
    </row>
    <row r="740">
      <c r="A740" t="inlineStr">
        <is>
          <t>210201</t>
        </is>
      </c>
      <c r="B740" t="inlineStr">
        <is>
          <t>PUNO</t>
        </is>
      </c>
      <c r="C740" t="inlineStr">
        <is>
          <t>AZANGARO</t>
        </is>
      </c>
      <c r="D740" t="inlineStr">
        <is>
          <t>AZANGARO</t>
        </is>
      </c>
      <c r="E740" t="n">
        <v>9014</v>
      </c>
      <c r="F740" s="14" t="n">
        <v>0</v>
      </c>
      <c r="G740" s="14" t="n">
        <v>37.82</v>
      </c>
      <c r="H740" s="14" t="n">
        <v>1.11</v>
      </c>
      <c r="I740" s="14" t="n">
        <v>1.97</v>
      </c>
      <c r="J740" s="14" t="n">
        <v>0.13</v>
      </c>
      <c r="K740" s="14" t="n">
        <v>0.06</v>
      </c>
      <c r="L740" s="14" t="n">
        <v>12.01</v>
      </c>
      <c r="M740" s="14" t="n">
        <v>11.53</v>
      </c>
      <c r="N740" s="14" t="n">
        <v>4.56</v>
      </c>
      <c r="O740" s="14" t="n">
        <v>3.43</v>
      </c>
      <c r="P740" s="14" t="n">
        <v>0.27</v>
      </c>
      <c r="Q740" s="14" t="n">
        <v>0.5</v>
      </c>
      <c r="R740" s="14" t="n">
        <v>0</v>
      </c>
      <c r="S740" s="14" t="n">
        <v>1.75</v>
      </c>
      <c r="T740" s="14" t="n">
        <v>0.52</v>
      </c>
      <c r="U740" s="14" t="n">
        <v>4.67</v>
      </c>
      <c r="V740" s="14" t="n">
        <v>15.41</v>
      </c>
      <c r="W740" s="14" t="n">
        <v>2.23</v>
      </c>
      <c r="X740" s="14" t="n">
        <v>0.31</v>
      </c>
      <c r="Y740" s="14" t="n">
        <v>1.44</v>
      </c>
      <c r="Z740" s="14" t="n">
        <v>0.28</v>
      </c>
      <c r="AA740" s="14" t="n">
        <v>0</v>
      </c>
    </row>
    <row r="741">
      <c r="A741" t="inlineStr">
        <is>
          <t>210202</t>
        </is>
      </c>
      <c r="B741" t="inlineStr">
        <is>
          <t>PUNO</t>
        </is>
      </c>
      <c r="C741" t="inlineStr">
        <is>
          <t>AZANGARO</t>
        </is>
      </c>
      <c r="D741" t="inlineStr">
        <is>
          <t>ACHAYA</t>
        </is>
      </c>
      <c r="E741" t="n">
        <v>1296</v>
      </c>
      <c r="F741" s="14" t="n">
        <v>0</v>
      </c>
      <c r="G741" s="14" t="n">
        <v>94.91</v>
      </c>
      <c r="H741" s="14" t="n">
        <v>0.08</v>
      </c>
      <c r="I741" s="14" t="n">
        <v>0.6899999999999999</v>
      </c>
      <c r="J741" s="14" t="n">
        <v>0</v>
      </c>
      <c r="K741" s="14" t="n">
        <v>0</v>
      </c>
      <c r="L741" s="14" t="n">
        <v>1.54</v>
      </c>
      <c r="M741" s="14" t="n">
        <v>1.39</v>
      </c>
      <c r="N741" s="14" t="n">
        <v>0.15</v>
      </c>
      <c r="O741" s="14" t="n">
        <v>0.31</v>
      </c>
      <c r="P741" s="14" t="n">
        <v>0</v>
      </c>
      <c r="Q741" s="14" t="n">
        <v>0</v>
      </c>
      <c r="R741" s="14" t="n">
        <v>0</v>
      </c>
      <c r="S741" s="14" t="n">
        <v>0.08</v>
      </c>
      <c r="T741" s="14" t="n">
        <v>0</v>
      </c>
      <c r="U741" s="14" t="n">
        <v>0.15</v>
      </c>
      <c r="V741" s="14" t="n">
        <v>0.54</v>
      </c>
      <c r="W741" s="14" t="n">
        <v>0.08</v>
      </c>
      <c r="X741" s="14" t="n">
        <v>0</v>
      </c>
      <c r="Y741" s="14" t="n">
        <v>0.08</v>
      </c>
      <c r="Z741" s="14" t="n">
        <v>0</v>
      </c>
      <c r="AA741" s="14" t="n">
        <v>0</v>
      </c>
    </row>
    <row r="742">
      <c r="A742" t="inlineStr">
        <is>
          <t>210203</t>
        </is>
      </c>
      <c r="B742" t="inlineStr">
        <is>
          <t>PUNO</t>
        </is>
      </c>
      <c r="C742" t="inlineStr">
        <is>
          <t>AZANGARO</t>
        </is>
      </c>
      <c r="D742" t="inlineStr">
        <is>
          <t>ARAPA</t>
        </is>
      </c>
      <c r="E742" t="n">
        <v>2593</v>
      </c>
      <c r="F742" s="14" t="n">
        <v>0</v>
      </c>
      <c r="G742" s="14" t="n">
        <v>82.22</v>
      </c>
      <c r="H742" s="14" t="n">
        <v>0.8100000000000001</v>
      </c>
      <c r="I742" s="14" t="n">
        <v>0.85</v>
      </c>
      <c r="J742" s="14" t="n">
        <v>0.12</v>
      </c>
      <c r="K742" s="14" t="n">
        <v>0</v>
      </c>
      <c r="L742" s="14" t="n">
        <v>3.16</v>
      </c>
      <c r="M742" s="14" t="n">
        <v>4.17</v>
      </c>
      <c r="N742" s="14" t="n">
        <v>1.39</v>
      </c>
      <c r="O742" s="14" t="n">
        <v>0.93</v>
      </c>
      <c r="P742" s="14" t="n">
        <v>0.08</v>
      </c>
      <c r="Q742" s="14" t="n">
        <v>0</v>
      </c>
      <c r="R742" s="14" t="n">
        <v>0</v>
      </c>
      <c r="S742" s="14" t="n">
        <v>0.77</v>
      </c>
      <c r="T742" s="14" t="n">
        <v>0.35</v>
      </c>
      <c r="U742" s="14" t="n">
        <v>1.54</v>
      </c>
      <c r="V742" s="14" t="n">
        <v>1.97</v>
      </c>
      <c r="W742" s="14" t="n">
        <v>0.62</v>
      </c>
      <c r="X742" s="14" t="n">
        <v>0.08</v>
      </c>
      <c r="Y742" s="14" t="n">
        <v>0.73</v>
      </c>
      <c r="Z742" s="14" t="n">
        <v>0.23</v>
      </c>
      <c r="AA742" s="14" t="n">
        <v>0</v>
      </c>
    </row>
    <row r="743">
      <c r="A743" t="inlineStr">
        <is>
          <t>210204</t>
        </is>
      </c>
      <c r="B743" t="inlineStr">
        <is>
          <t>PUNO</t>
        </is>
      </c>
      <c r="C743" t="inlineStr">
        <is>
          <t>AZANGARO</t>
        </is>
      </c>
      <c r="D743" t="inlineStr">
        <is>
          <t>ASILLO</t>
        </is>
      </c>
      <c r="E743" t="n">
        <v>3680</v>
      </c>
      <c r="F743" s="14" t="n">
        <v>0</v>
      </c>
      <c r="G743" s="14" t="n">
        <v>70.19</v>
      </c>
      <c r="H743" s="14" t="n">
        <v>0.63</v>
      </c>
      <c r="I743" s="14" t="n">
        <v>1.41</v>
      </c>
      <c r="J743" s="14" t="n">
        <v>0</v>
      </c>
      <c r="K743" s="14" t="n">
        <v>0.03</v>
      </c>
      <c r="L743" s="14" t="n">
        <v>4.57</v>
      </c>
      <c r="M743" s="14" t="n">
        <v>10.22</v>
      </c>
      <c r="N743" s="14" t="n">
        <v>1.9</v>
      </c>
      <c r="O743" s="14" t="n">
        <v>2.07</v>
      </c>
      <c r="P743" s="14" t="n">
        <v>0.08</v>
      </c>
      <c r="Q743" s="14" t="n">
        <v>0.08</v>
      </c>
      <c r="R743" s="14" t="n">
        <v>0</v>
      </c>
      <c r="S743" s="14" t="n">
        <v>0.92</v>
      </c>
      <c r="T743" s="14" t="n">
        <v>0.27</v>
      </c>
      <c r="U743" s="14" t="n">
        <v>1.49</v>
      </c>
      <c r="V743" s="14" t="n">
        <v>4.27</v>
      </c>
      <c r="W743" s="14" t="n">
        <v>0.54</v>
      </c>
      <c r="X743" s="14" t="n">
        <v>0.14</v>
      </c>
      <c r="Y743" s="14" t="n">
        <v>1.06</v>
      </c>
      <c r="Z743" s="14" t="n">
        <v>0.14</v>
      </c>
      <c r="AA743" s="14" t="n">
        <v>0</v>
      </c>
    </row>
    <row r="744">
      <c r="A744" t="inlineStr">
        <is>
          <t>210205</t>
        </is>
      </c>
      <c r="B744" t="inlineStr">
        <is>
          <t>PUNO</t>
        </is>
      </c>
      <c r="C744" t="inlineStr">
        <is>
          <t>AZANGARO</t>
        </is>
      </c>
      <c r="D744" t="inlineStr">
        <is>
          <t>CAMINACA</t>
        </is>
      </c>
      <c r="E744" t="n">
        <v>1075</v>
      </c>
      <c r="F744" s="14" t="n">
        <v>0</v>
      </c>
      <c r="G744" s="14" t="n">
        <v>86.7</v>
      </c>
      <c r="H744" s="14" t="n">
        <v>0</v>
      </c>
      <c r="I744" s="14" t="n">
        <v>0.84</v>
      </c>
      <c r="J744" s="14" t="n">
        <v>0</v>
      </c>
      <c r="K744" s="14" t="n">
        <v>0</v>
      </c>
      <c r="L744" s="14" t="n">
        <v>3.63</v>
      </c>
      <c r="M744" s="14" t="n">
        <v>4.09</v>
      </c>
      <c r="N744" s="14" t="n">
        <v>1.86</v>
      </c>
      <c r="O744" s="14" t="n">
        <v>1.49</v>
      </c>
      <c r="P744" s="14" t="n">
        <v>0</v>
      </c>
      <c r="Q744" s="14" t="n">
        <v>0</v>
      </c>
      <c r="R744" s="14" t="n">
        <v>0</v>
      </c>
      <c r="S744" s="14" t="n">
        <v>0.09</v>
      </c>
      <c r="T744" s="14" t="n">
        <v>0.09</v>
      </c>
      <c r="U744" s="14" t="n">
        <v>0.47</v>
      </c>
      <c r="V744" s="14" t="n">
        <v>0.19</v>
      </c>
      <c r="W744" s="14" t="n">
        <v>0.09</v>
      </c>
      <c r="X744" s="14" t="n">
        <v>0</v>
      </c>
      <c r="Y744" s="14" t="n">
        <v>0.47</v>
      </c>
      <c r="Z744" s="14" t="n">
        <v>0</v>
      </c>
      <c r="AA744" s="14" t="n">
        <v>0</v>
      </c>
    </row>
    <row r="745">
      <c r="A745" t="inlineStr">
        <is>
          <t>210206</t>
        </is>
      </c>
      <c r="B745" t="inlineStr">
        <is>
          <t>PUNO</t>
        </is>
      </c>
      <c r="C745" t="inlineStr">
        <is>
          <t>AZANGARO</t>
        </is>
      </c>
      <c r="D745" t="inlineStr">
        <is>
          <t>CHUPA</t>
        </is>
      </c>
      <c r="E745" t="n">
        <v>1960</v>
      </c>
      <c r="F745" s="14" t="n">
        <v>0</v>
      </c>
      <c r="G745" s="14" t="n">
        <v>78.01000000000001</v>
      </c>
      <c r="H745" s="14" t="n">
        <v>0.41</v>
      </c>
      <c r="I745" s="14" t="n">
        <v>0.71</v>
      </c>
      <c r="J745" s="14" t="n">
        <v>0</v>
      </c>
      <c r="K745" s="14" t="n">
        <v>0</v>
      </c>
      <c r="L745" s="14" t="n">
        <v>3.47</v>
      </c>
      <c r="M745" s="14" t="n">
        <v>4.29</v>
      </c>
      <c r="N745" s="14" t="n">
        <v>0.46</v>
      </c>
      <c r="O745" s="14" t="n">
        <v>0.77</v>
      </c>
      <c r="P745" s="14" t="n">
        <v>0</v>
      </c>
      <c r="Q745" s="14" t="n">
        <v>0.1</v>
      </c>
      <c r="R745" s="14" t="n">
        <v>0</v>
      </c>
      <c r="S745" s="14" t="n">
        <v>1.17</v>
      </c>
      <c r="T745" s="14" t="n">
        <v>0.2</v>
      </c>
      <c r="U745" s="14" t="n">
        <v>0.5600000000000001</v>
      </c>
      <c r="V745" s="14" t="n">
        <v>8.210000000000001</v>
      </c>
      <c r="W745" s="14" t="n">
        <v>0.92</v>
      </c>
      <c r="X745" s="14" t="n">
        <v>0.1</v>
      </c>
      <c r="Y745" s="14" t="n">
        <v>0.5600000000000001</v>
      </c>
      <c r="Z745" s="14" t="n">
        <v>0.05</v>
      </c>
      <c r="AA745" s="14" t="n">
        <v>0</v>
      </c>
    </row>
    <row r="746">
      <c r="A746" t="inlineStr">
        <is>
          <t>210207</t>
        </is>
      </c>
      <c r="B746" t="inlineStr">
        <is>
          <t>PUNO</t>
        </is>
      </c>
      <c r="C746" t="inlineStr">
        <is>
          <t>AZANGARO</t>
        </is>
      </c>
      <c r="D746" t="inlineStr">
        <is>
          <t>JOSE DOMINGO CHOQUEHUANCA</t>
        </is>
      </c>
      <c r="E746" t="n">
        <v>1123</v>
      </c>
      <c r="F746" s="14" t="n">
        <v>0</v>
      </c>
      <c r="G746" s="14" t="n">
        <v>32.41</v>
      </c>
      <c r="H746" s="14" t="n">
        <v>0.36</v>
      </c>
      <c r="I746" s="14" t="n">
        <v>19.59</v>
      </c>
      <c r="J746" s="14" t="n">
        <v>0</v>
      </c>
      <c r="K746" s="14" t="n">
        <v>0</v>
      </c>
      <c r="L746" s="14" t="n">
        <v>10.06</v>
      </c>
      <c r="M746" s="14" t="n">
        <v>16.47</v>
      </c>
      <c r="N746" s="14" t="n">
        <v>5.08</v>
      </c>
      <c r="O746" s="14" t="n">
        <v>3.83</v>
      </c>
      <c r="P746" s="14" t="n">
        <v>0</v>
      </c>
      <c r="Q746" s="14" t="n">
        <v>0.27</v>
      </c>
      <c r="R746" s="14" t="n">
        <v>0</v>
      </c>
      <c r="S746" s="14" t="n">
        <v>1.07</v>
      </c>
      <c r="T746" s="14" t="n">
        <v>0.62</v>
      </c>
      <c r="U746" s="14" t="n">
        <v>1.96</v>
      </c>
      <c r="V746" s="14" t="n">
        <v>5.43</v>
      </c>
      <c r="W746" s="14" t="n">
        <v>1.16</v>
      </c>
      <c r="X746" s="14" t="n">
        <v>0.36</v>
      </c>
      <c r="Y746" s="14" t="n">
        <v>0.98</v>
      </c>
      <c r="Z746" s="14" t="n">
        <v>0.36</v>
      </c>
      <c r="AA746" s="14" t="n">
        <v>0</v>
      </c>
    </row>
    <row r="747">
      <c r="A747" t="inlineStr">
        <is>
          <t>210208</t>
        </is>
      </c>
      <c r="B747" t="inlineStr">
        <is>
          <t>PUNO</t>
        </is>
      </c>
      <c r="C747" t="inlineStr">
        <is>
          <t>AZANGARO</t>
        </is>
      </c>
      <c r="D747" t="inlineStr">
        <is>
          <t>MUÑANI</t>
        </is>
      </c>
      <c r="E747" t="n">
        <v>1345</v>
      </c>
      <c r="F747" s="14" t="n">
        <v>0</v>
      </c>
      <c r="G747" s="14" t="n">
        <v>72.64</v>
      </c>
      <c r="H747" s="14" t="n">
        <v>0.45</v>
      </c>
      <c r="I747" s="14" t="n">
        <v>1.34</v>
      </c>
      <c r="J747" s="14" t="n">
        <v>0</v>
      </c>
      <c r="K747" s="14" t="n">
        <v>0.07000000000000001</v>
      </c>
      <c r="L747" s="14" t="n">
        <v>9.52</v>
      </c>
      <c r="M747" s="14" t="n">
        <v>6.47</v>
      </c>
      <c r="N747" s="14" t="n">
        <v>1.49</v>
      </c>
      <c r="O747" s="14" t="n">
        <v>1.26</v>
      </c>
      <c r="P747" s="14" t="n">
        <v>0.15</v>
      </c>
      <c r="Q747" s="14" t="n">
        <v>0</v>
      </c>
      <c r="R747" s="14" t="n">
        <v>0</v>
      </c>
      <c r="S747" s="14" t="n">
        <v>0.37</v>
      </c>
      <c r="T747" s="14" t="n">
        <v>0.3</v>
      </c>
      <c r="U747" s="14" t="n">
        <v>0.97</v>
      </c>
      <c r="V747" s="14" t="n">
        <v>1.93</v>
      </c>
      <c r="W747" s="14" t="n">
        <v>0.59</v>
      </c>
      <c r="X747" s="14" t="n">
        <v>0.22</v>
      </c>
      <c r="Y747" s="14" t="n">
        <v>1.86</v>
      </c>
      <c r="Z747" s="14" t="n">
        <v>0.37</v>
      </c>
      <c r="AA747" s="14" t="n">
        <v>0</v>
      </c>
    </row>
    <row r="748">
      <c r="A748" t="inlineStr">
        <is>
          <t>210209</t>
        </is>
      </c>
      <c r="B748" t="inlineStr">
        <is>
          <t>PUNO</t>
        </is>
      </c>
      <c r="C748" t="inlineStr">
        <is>
          <t>AZANGARO</t>
        </is>
      </c>
      <c r="D748" t="inlineStr">
        <is>
          <t>POTONI</t>
        </is>
      </c>
      <c r="E748" t="n">
        <v>976</v>
      </c>
      <c r="F748" s="14" t="n">
        <v>0</v>
      </c>
      <c r="G748" s="14" t="n">
        <v>72.23</v>
      </c>
      <c r="H748" s="14" t="n">
        <v>1.02</v>
      </c>
      <c r="I748" s="14" t="n">
        <v>1.64</v>
      </c>
      <c r="J748" s="14" t="n">
        <v>0</v>
      </c>
      <c r="K748" s="14" t="n">
        <v>0</v>
      </c>
      <c r="L748" s="14" t="n">
        <v>10.35</v>
      </c>
      <c r="M748" s="14" t="n">
        <v>4.41</v>
      </c>
      <c r="N748" s="14" t="n">
        <v>0.61</v>
      </c>
      <c r="O748" s="14" t="n">
        <v>1.13</v>
      </c>
      <c r="P748" s="14" t="n">
        <v>0</v>
      </c>
      <c r="Q748" s="14" t="n">
        <v>0</v>
      </c>
      <c r="R748" s="14" t="n">
        <v>0</v>
      </c>
      <c r="S748" s="14" t="n">
        <v>1.43</v>
      </c>
      <c r="T748" s="14" t="n">
        <v>0.2</v>
      </c>
      <c r="U748" s="14" t="n">
        <v>1.74</v>
      </c>
      <c r="V748" s="14" t="n">
        <v>3.38</v>
      </c>
      <c r="W748" s="14" t="n">
        <v>0.51</v>
      </c>
      <c r="X748" s="14" t="n">
        <v>0</v>
      </c>
      <c r="Y748" s="14" t="n">
        <v>1.23</v>
      </c>
      <c r="Z748" s="14" t="n">
        <v>0.1</v>
      </c>
      <c r="AA748" s="14" t="n">
        <v>0</v>
      </c>
    </row>
    <row r="749">
      <c r="A749" t="inlineStr">
        <is>
          <t>210210</t>
        </is>
      </c>
      <c r="B749" t="inlineStr">
        <is>
          <t>PUNO</t>
        </is>
      </c>
      <c r="C749" t="inlineStr">
        <is>
          <t>AZANGARO</t>
        </is>
      </c>
      <c r="D749" t="inlineStr">
        <is>
          <t>SAMAN</t>
        </is>
      </c>
      <c r="E749" t="n">
        <v>4775</v>
      </c>
      <c r="F749" s="14" t="n">
        <v>0</v>
      </c>
      <c r="G749" s="14" t="n">
        <v>90.39</v>
      </c>
      <c r="H749" s="14" t="n">
        <v>0.15</v>
      </c>
      <c r="I749" s="14" t="n">
        <v>0.73</v>
      </c>
      <c r="J749" s="14" t="n">
        <v>0</v>
      </c>
      <c r="K749" s="14" t="n">
        <v>0.02</v>
      </c>
      <c r="L749" s="14" t="n">
        <v>2.6</v>
      </c>
      <c r="M749" s="14" t="n">
        <v>1.95</v>
      </c>
      <c r="N749" s="14" t="n">
        <v>1.97</v>
      </c>
      <c r="O749" s="14" t="n">
        <v>0.6899999999999999</v>
      </c>
      <c r="P749" s="14" t="n">
        <v>0</v>
      </c>
      <c r="Q749" s="14" t="n">
        <v>0</v>
      </c>
      <c r="R749" s="14" t="n">
        <v>0</v>
      </c>
      <c r="S749" s="14" t="n">
        <v>0.21</v>
      </c>
      <c r="T749" s="14" t="n">
        <v>0.13</v>
      </c>
      <c r="U749" s="14" t="n">
        <v>0.5</v>
      </c>
      <c r="V749" s="14" t="n">
        <v>0.44</v>
      </c>
      <c r="W749" s="14" t="n">
        <v>0.02</v>
      </c>
      <c r="X749" s="14" t="n">
        <v>0</v>
      </c>
      <c r="Y749" s="14" t="n">
        <v>0.15</v>
      </c>
      <c r="Z749" s="14" t="n">
        <v>0.06</v>
      </c>
      <c r="AA749" s="14" t="n">
        <v>0</v>
      </c>
    </row>
    <row r="750">
      <c r="A750" t="inlineStr">
        <is>
          <t>210211</t>
        </is>
      </c>
      <c r="B750" t="inlineStr">
        <is>
          <t>PUNO</t>
        </is>
      </c>
      <c r="C750" t="inlineStr">
        <is>
          <t>AZANGARO</t>
        </is>
      </c>
      <c r="D750" t="inlineStr">
        <is>
          <t>SAN ANTON</t>
        </is>
      </c>
      <c r="E750" t="n">
        <v>1511</v>
      </c>
      <c r="F750" s="14" t="n">
        <v>0</v>
      </c>
      <c r="G750" s="14" t="n">
        <v>62.81</v>
      </c>
      <c r="H750" s="14" t="n">
        <v>2.45</v>
      </c>
      <c r="I750" s="14" t="n">
        <v>1.19</v>
      </c>
      <c r="J750" s="14" t="n">
        <v>0.2</v>
      </c>
      <c r="K750" s="14" t="n">
        <v>0</v>
      </c>
      <c r="L750" s="14" t="n">
        <v>7.35</v>
      </c>
      <c r="M750" s="14" t="n">
        <v>12.84</v>
      </c>
      <c r="N750" s="14" t="n">
        <v>3.51</v>
      </c>
      <c r="O750" s="14" t="n">
        <v>1.26</v>
      </c>
      <c r="P750" s="14" t="n">
        <v>0.13</v>
      </c>
      <c r="Q750" s="14" t="n">
        <v>0.26</v>
      </c>
      <c r="R750" s="14" t="n">
        <v>0</v>
      </c>
      <c r="S750" s="14" t="n">
        <v>0.73</v>
      </c>
      <c r="T750" s="14" t="n">
        <v>0.2</v>
      </c>
      <c r="U750" s="14" t="n">
        <v>3.31</v>
      </c>
      <c r="V750" s="14" t="n">
        <v>2.18</v>
      </c>
      <c r="W750" s="14" t="n">
        <v>0.4</v>
      </c>
      <c r="X750" s="14" t="n">
        <v>0.13</v>
      </c>
      <c r="Y750" s="14" t="n">
        <v>0.93</v>
      </c>
      <c r="Z750" s="14" t="n">
        <v>0.13</v>
      </c>
      <c r="AA750" s="14" t="n">
        <v>0</v>
      </c>
    </row>
    <row r="751">
      <c r="A751" t="inlineStr">
        <is>
          <t>210212</t>
        </is>
      </c>
      <c r="B751" t="inlineStr">
        <is>
          <t>PUNO</t>
        </is>
      </c>
      <c r="C751" t="inlineStr">
        <is>
          <t>AZANGARO</t>
        </is>
      </c>
      <c r="D751" t="inlineStr">
        <is>
          <t>SAN JOSE</t>
        </is>
      </c>
      <c r="E751" t="n">
        <v>1394</v>
      </c>
      <c r="F751" s="14" t="n">
        <v>0</v>
      </c>
      <c r="G751" s="14" t="n">
        <v>86.15000000000001</v>
      </c>
      <c r="H751" s="14" t="n">
        <v>0.65</v>
      </c>
      <c r="I751" s="14" t="n">
        <v>0.65</v>
      </c>
      <c r="J751" s="14" t="n">
        <v>0</v>
      </c>
      <c r="K751" s="14" t="n">
        <v>0</v>
      </c>
      <c r="L751" s="14" t="n">
        <v>3.66</v>
      </c>
      <c r="M751" s="14" t="n">
        <v>3.87</v>
      </c>
      <c r="N751" s="14" t="n">
        <v>0.43</v>
      </c>
      <c r="O751" s="14" t="n">
        <v>0.65</v>
      </c>
      <c r="P751" s="14" t="n">
        <v>0</v>
      </c>
      <c r="Q751" s="14" t="n">
        <v>0.07000000000000001</v>
      </c>
      <c r="R751" s="14" t="n">
        <v>0</v>
      </c>
      <c r="S751" s="14" t="n">
        <v>0.36</v>
      </c>
      <c r="T751" s="14" t="n">
        <v>0.36</v>
      </c>
      <c r="U751" s="14" t="n">
        <v>1.08</v>
      </c>
      <c r="V751" s="14" t="n">
        <v>1.15</v>
      </c>
      <c r="W751" s="14" t="n">
        <v>0.43</v>
      </c>
      <c r="X751" s="14" t="n">
        <v>0</v>
      </c>
      <c r="Y751" s="14" t="n">
        <v>0.43</v>
      </c>
      <c r="Z751" s="14" t="n">
        <v>0.07000000000000001</v>
      </c>
      <c r="AA751" s="14" t="n">
        <v>0</v>
      </c>
    </row>
    <row r="752">
      <c r="A752" t="inlineStr">
        <is>
          <t>210213</t>
        </is>
      </c>
      <c r="B752" t="inlineStr">
        <is>
          <t>PUNO</t>
        </is>
      </c>
      <c r="C752" t="inlineStr">
        <is>
          <t>AZANGARO</t>
        </is>
      </c>
      <c r="D752" t="inlineStr">
        <is>
          <t>SAN JUAN DE SALINAS</t>
        </is>
      </c>
      <c r="E752" t="n">
        <v>795</v>
      </c>
      <c r="F752" s="14" t="n">
        <v>0</v>
      </c>
      <c r="G752" s="14" t="n">
        <v>79.75</v>
      </c>
      <c r="H752" s="14" t="n">
        <v>0.63</v>
      </c>
      <c r="I752" s="14" t="n">
        <v>0.38</v>
      </c>
      <c r="J752" s="14" t="n">
        <v>0.13</v>
      </c>
      <c r="K752" s="14" t="n">
        <v>0</v>
      </c>
      <c r="L752" s="14" t="n">
        <v>8.18</v>
      </c>
      <c r="M752" s="14" t="n">
        <v>1.26</v>
      </c>
      <c r="N752" s="14" t="n">
        <v>2.26</v>
      </c>
      <c r="O752" s="14" t="n">
        <v>1.51</v>
      </c>
      <c r="P752" s="14" t="n">
        <v>0</v>
      </c>
      <c r="Q752" s="14" t="n">
        <v>0.13</v>
      </c>
      <c r="R752" s="14" t="n">
        <v>0</v>
      </c>
      <c r="S752" s="14" t="n">
        <v>0.25</v>
      </c>
      <c r="T752" s="14" t="n">
        <v>0</v>
      </c>
      <c r="U752" s="14" t="n">
        <v>1.89</v>
      </c>
      <c r="V752" s="14" t="n">
        <v>2.89</v>
      </c>
      <c r="W752" s="14" t="n">
        <v>0.13</v>
      </c>
      <c r="X752" s="14" t="n">
        <v>0.25</v>
      </c>
      <c r="Y752" s="14" t="n">
        <v>0.13</v>
      </c>
      <c r="Z752" s="14" t="n">
        <v>0.25</v>
      </c>
      <c r="AA752" s="14" t="n">
        <v>0</v>
      </c>
    </row>
    <row r="753">
      <c r="A753" t="inlineStr">
        <is>
          <t>210214</t>
        </is>
      </c>
      <c r="B753" t="inlineStr">
        <is>
          <t>PUNO</t>
        </is>
      </c>
      <c r="C753" t="inlineStr">
        <is>
          <t>AZANGARO</t>
        </is>
      </c>
      <c r="D753" t="inlineStr">
        <is>
          <t>SANTIAGO DE PUPUJA</t>
        </is>
      </c>
      <c r="E753" t="n">
        <v>1718</v>
      </c>
      <c r="F753" s="14" t="n">
        <v>0</v>
      </c>
      <c r="G753" s="14" t="n">
        <v>87.89</v>
      </c>
      <c r="H753" s="14" t="n">
        <v>0</v>
      </c>
      <c r="I753" s="14" t="n">
        <v>1.63</v>
      </c>
      <c r="J753" s="14" t="n">
        <v>0</v>
      </c>
      <c r="K753" s="14" t="n">
        <v>0</v>
      </c>
      <c r="L753" s="14" t="n">
        <v>2.91</v>
      </c>
      <c r="M753" s="14" t="n">
        <v>2.15</v>
      </c>
      <c r="N753" s="14" t="n">
        <v>1.05</v>
      </c>
      <c r="O753" s="14" t="n">
        <v>0.35</v>
      </c>
      <c r="P753" s="14" t="n">
        <v>0</v>
      </c>
      <c r="Q753" s="14" t="n">
        <v>0.06</v>
      </c>
      <c r="R753" s="14" t="n">
        <v>0</v>
      </c>
      <c r="S753" s="14" t="n">
        <v>0.23</v>
      </c>
      <c r="T753" s="14" t="n">
        <v>0.17</v>
      </c>
      <c r="U753" s="14" t="n">
        <v>0.52</v>
      </c>
      <c r="V753" s="14" t="n">
        <v>2.56</v>
      </c>
      <c r="W753" s="14" t="n">
        <v>0.23</v>
      </c>
      <c r="X753" s="14" t="n">
        <v>0</v>
      </c>
      <c r="Y753" s="14" t="n">
        <v>0.17</v>
      </c>
      <c r="Z753" s="14" t="n">
        <v>0.06</v>
      </c>
      <c r="AA753" s="14" t="n">
        <v>0</v>
      </c>
    </row>
    <row r="754">
      <c r="A754" t="inlineStr">
        <is>
          <t>210215</t>
        </is>
      </c>
      <c r="B754" t="inlineStr">
        <is>
          <t>PUNO</t>
        </is>
      </c>
      <c r="C754" t="inlineStr">
        <is>
          <t>AZANGARO</t>
        </is>
      </c>
      <c r="D754" t="inlineStr">
        <is>
          <t>TIRAPATA</t>
        </is>
      </c>
      <c r="E754" t="n">
        <v>877</v>
      </c>
      <c r="F754" s="14" t="n">
        <v>0</v>
      </c>
      <c r="G754" s="14" t="n">
        <v>83.34999999999999</v>
      </c>
      <c r="H754" s="14" t="n">
        <v>0.68</v>
      </c>
      <c r="I754" s="14" t="n">
        <v>1.48</v>
      </c>
      <c r="J754" s="14" t="n">
        <v>0</v>
      </c>
      <c r="K754" s="14" t="n">
        <v>0.11</v>
      </c>
      <c r="L754" s="14" t="n">
        <v>2.62</v>
      </c>
      <c r="M754" s="14" t="n">
        <v>5.13</v>
      </c>
      <c r="N754" s="14" t="n">
        <v>0.57</v>
      </c>
      <c r="O754" s="14" t="n">
        <v>0.57</v>
      </c>
      <c r="P754" s="14" t="n">
        <v>0.11</v>
      </c>
      <c r="Q754" s="14" t="n">
        <v>0</v>
      </c>
      <c r="R754" s="14" t="n">
        <v>0</v>
      </c>
      <c r="S754" s="14" t="n">
        <v>0.23</v>
      </c>
      <c r="T754" s="14" t="n">
        <v>0.23</v>
      </c>
      <c r="U754" s="14" t="n">
        <v>2.39</v>
      </c>
      <c r="V754" s="14" t="n">
        <v>1.37</v>
      </c>
      <c r="W754" s="14" t="n">
        <v>0.57</v>
      </c>
      <c r="X754" s="14" t="n">
        <v>0.11</v>
      </c>
      <c r="Y754" s="14" t="n">
        <v>0.46</v>
      </c>
      <c r="Z754" s="14" t="n">
        <v>0</v>
      </c>
      <c r="AA754" s="14" t="n">
        <v>0</v>
      </c>
    </row>
    <row r="755">
      <c r="A755" t="inlineStr">
        <is>
          <t>210301</t>
        </is>
      </c>
      <c r="B755" t="inlineStr">
        <is>
          <t>PUNO</t>
        </is>
      </c>
      <c r="C755" t="inlineStr">
        <is>
          <t>CARABAYA</t>
        </is>
      </c>
      <c r="D755" t="inlineStr">
        <is>
          <t>MACUSANI</t>
        </is>
      </c>
      <c r="E755" t="n">
        <v>3673</v>
      </c>
      <c r="F755" s="14" t="n">
        <v>0</v>
      </c>
      <c r="G755" s="14" t="n">
        <v>30.27</v>
      </c>
      <c r="H755" s="14" t="n">
        <v>1.74</v>
      </c>
      <c r="I755" s="14" t="n">
        <v>3.73</v>
      </c>
      <c r="J755" s="14" t="n">
        <v>0</v>
      </c>
      <c r="K755" s="14" t="n">
        <v>0.03</v>
      </c>
      <c r="L755" s="14" t="n">
        <v>16.91</v>
      </c>
      <c r="M755" s="14" t="n">
        <v>18.95</v>
      </c>
      <c r="N755" s="14" t="n">
        <v>4.38</v>
      </c>
      <c r="O755" s="14" t="n">
        <v>4.47</v>
      </c>
      <c r="P755" s="14" t="n">
        <v>0.35</v>
      </c>
      <c r="Q755" s="14" t="n">
        <v>0.63</v>
      </c>
      <c r="R755" s="14" t="n">
        <v>0.03</v>
      </c>
      <c r="S755" s="14" t="n">
        <v>2.15</v>
      </c>
      <c r="T755" s="14" t="n">
        <v>1.17</v>
      </c>
      <c r="U755" s="14" t="n">
        <v>4.25</v>
      </c>
      <c r="V755" s="14" t="n">
        <v>5.25</v>
      </c>
      <c r="W755" s="14" t="n">
        <v>1.8</v>
      </c>
      <c r="X755" s="14" t="n">
        <v>0.25</v>
      </c>
      <c r="Y755" s="14" t="n">
        <v>3.1</v>
      </c>
      <c r="Z755" s="14" t="n">
        <v>0.54</v>
      </c>
      <c r="AA755" s="14" t="n">
        <v>0</v>
      </c>
    </row>
    <row r="756">
      <c r="A756" t="inlineStr">
        <is>
          <t>210302</t>
        </is>
      </c>
      <c r="B756" t="inlineStr">
        <is>
          <t>PUNO</t>
        </is>
      </c>
      <c r="C756" t="inlineStr">
        <is>
          <t>CARABAYA</t>
        </is>
      </c>
      <c r="D756" t="inlineStr">
        <is>
          <t>AJOYANI</t>
        </is>
      </c>
      <c r="E756" t="n">
        <v>557</v>
      </c>
      <c r="F756" s="14" t="n">
        <v>0</v>
      </c>
      <c r="G756" s="14" t="n">
        <v>43.09</v>
      </c>
      <c r="H756" s="14" t="n">
        <v>9.16</v>
      </c>
      <c r="I756" s="14" t="n">
        <v>3.95</v>
      </c>
      <c r="J756" s="14" t="n">
        <v>0</v>
      </c>
      <c r="K756" s="14" t="n">
        <v>0.18</v>
      </c>
      <c r="L756" s="14" t="n">
        <v>13.29</v>
      </c>
      <c r="M756" s="14" t="n">
        <v>9.869999999999999</v>
      </c>
      <c r="N756" s="14" t="n">
        <v>4.67</v>
      </c>
      <c r="O756" s="14" t="n">
        <v>3.05</v>
      </c>
      <c r="P756" s="14" t="n">
        <v>0</v>
      </c>
      <c r="Q756" s="14" t="n">
        <v>0</v>
      </c>
      <c r="R756" s="14" t="n">
        <v>0</v>
      </c>
      <c r="S756" s="14" t="n">
        <v>1.8</v>
      </c>
      <c r="T756" s="14" t="n">
        <v>0.72</v>
      </c>
      <c r="U756" s="14" t="n">
        <v>4.67</v>
      </c>
      <c r="V756" s="14" t="n">
        <v>1.62</v>
      </c>
      <c r="W756" s="14" t="n">
        <v>0.9</v>
      </c>
      <c r="X756" s="14" t="n">
        <v>0.36</v>
      </c>
      <c r="Y756" s="14" t="n">
        <v>2.51</v>
      </c>
      <c r="Z756" s="14" t="n">
        <v>0.18</v>
      </c>
      <c r="AA756" s="14" t="n">
        <v>0</v>
      </c>
    </row>
    <row r="757">
      <c r="A757" t="inlineStr">
        <is>
          <t>210303</t>
        </is>
      </c>
      <c r="B757" t="inlineStr">
        <is>
          <t>PUNO</t>
        </is>
      </c>
      <c r="C757" t="inlineStr">
        <is>
          <t>CARABAYA</t>
        </is>
      </c>
      <c r="D757" t="inlineStr">
        <is>
          <t>AYAPATA</t>
        </is>
      </c>
      <c r="E757" t="n">
        <v>4478</v>
      </c>
      <c r="F757" s="14" t="n">
        <v>0</v>
      </c>
      <c r="G757" s="14" t="n">
        <v>89.93000000000001</v>
      </c>
      <c r="H757" s="14" t="n">
        <v>0.42</v>
      </c>
      <c r="I757" s="14" t="n">
        <v>0.49</v>
      </c>
      <c r="J757" s="14" t="n">
        <v>0</v>
      </c>
      <c r="K757" s="14" t="n">
        <v>0.02</v>
      </c>
      <c r="L757" s="14" t="n">
        <v>0.78</v>
      </c>
      <c r="M757" s="14" t="n">
        <v>2.57</v>
      </c>
      <c r="N757" s="14" t="n">
        <v>0.9399999999999999</v>
      </c>
      <c r="O757" s="14" t="n">
        <v>1.54</v>
      </c>
      <c r="P757" s="14" t="n">
        <v>0</v>
      </c>
      <c r="Q757" s="14" t="n">
        <v>0.04</v>
      </c>
      <c r="R757" s="14" t="n">
        <v>0</v>
      </c>
      <c r="S757" s="14" t="n">
        <v>0.22</v>
      </c>
      <c r="T757" s="14" t="n">
        <v>0.25</v>
      </c>
      <c r="U757" s="14" t="n">
        <v>0.87</v>
      </c>
      <c r="V757" s="14" t="n">
        <v>1</v>
      </c>
      <c r="W757" s="14" t="n">
        <v>0.2</v>
      </c>
      <c r="X757" s="14" t="n">
        <v>0.04</v>
      </c>
      <c r="Y757" s="14" t="n">
        <v>0.33</v>
      </c>
      <c r="Z757" s="14" t="n">
        <v>0.33</v>
      </c>
      <c r="AA757" s="14" t="n">
        <v>0</v>
      </c>
    </row>
    <row r="758">
      <c r="A758" t="inlineStr">
        <is>
          <t>210304</t>
        </is>
      </c>
      <c r="B758" t="inlineStr">
        <is>
          <t>PUNO</t>
        </is>
      </c>
      <c r="C758" t="inlineStr">
        <is>
          <t>CARABAYA</t>
        </is>
      </c>
      <c r="D758" t="inlineStr">
        <is>
          <t>COASA</t>
        </is>
      </c>
      <c r="E758" t="n">
        <v>1827</v>
      </c>
      <c r="F758" s="14" t="n">
        <v>0</v>
      </c>
      <c r="G758" s="14" t="n">
        <v>76.3</v>
      </c>
      <c r="H758" s="14" t="n">
        <v>2.46</v>
      </c>
      <c r="I758" s="14" t="n">
        <v>1.15</v>
      </c>
      <c r="J758" s="14" t="n">
        <v>0</v>
      </c>
      <c r="K758" s="14" t="n">
        <v>0</v>
      </c>
      <c r="L758" s="14" t="n">
        <v>4.87</v>
      </c>
      <c r="M758" s="14" t="n">
        <v>5.69</v>
      </c>
      <c r="N758" s="14" t="n">
        <v>0.99</v>
      </c>
      <c r="O758" s="14" t="n">
        <v>1.37</v>
      </c>
      <c r="P758" s="14" t="n">
        <v>0.05</v>
      </c>
      <c r="Q758" s="14" t="n">
        <v>0</v>
      </c>
      <c r="R758" s="14" t="n">
        <v>0</v>
      </c>
      <c r="S758" s="14" t="n">
        <v>0.93</v>
      </c>
      <c r="T758" s="14" t="n">
        <v>0.44</v>
      </c>
      <c r="U758" s="14" t="n">
        <v>0.77</v>
      </c>
      <c r="V758" s="14" t="n">
        <v>2.3</v>
      </c>
      <c r="W758" s="14" t="n">
        <v>0.33</v>
      </c>
      <c r="X758" s="14" t="n">
        <v>0</v>
      </c>
      <c r="Y758" s="14" t="n">
        <v>2.08</v>
      </c>
      <c r="Z758" s="14" t="n">
        <v>0.27</v>
      </c>
      <c r="AA758" s="14" t="n">
        <v>0</v>
      </c>
    </row>
    <row r="759">
      <c r="A759" t="inlineStr">
        <is>
          <t>210305</t>
        </is>
      </c>
      <c r="B759" t="inlineStr">
        <is>
          <t>PUNO</t>
        </is>
      </c>
      <c r="C759" t="inlineStr">
        <is>
          <t>CARABAYA</t>
        </is>
      </c>
      <c r="D759" t="inlineStr">
        <is>
          <t>CORANI</t>
        </is>
      </c>
      <c r="E759" t="n">
        <v>986</v>
      </c>
      <c r="F759" s="14" t="n">
        <v>0</v>
      </c>
      <c r="G759" s="14" t="n">
        <v>71.7</v>
      </c>
      <c r="H759" s="14" t="n">
        <v>1.12</v>
      </c>
      <c r="I759" s="14" t="n">
        <v>1.72</v>
      </c>
      <c r="J759" s="14" t="n">
        <v>0</v>
      </c>
      <c r="K759" s="14" t="n">
        <v>0</v>
      </c>
      <c r="L759" s="14" t="n">
        <v>5.88</v>
      </c>
      <c r="M759" s="14" t="n">
        <v>6.09</v>
      </c>
      <c r="N759" s="14" t="n">
        <v>1.72</v>
      </c>
      <c r="O759" s="14" t="n">
        <v>2.13</v>
      </c>
      <c r="P759" s="14" t="n">
        <v>0</v>
      </c>
      <c r="Q759" s="14" t="n">
        <v>0.1</v>
      </c>
      <c r="R759" s="14" t="n">
        <v>0</v>
      </c>
      <c r="S759" s="14" t="n">
        <v>1.22</v>
      </c>
      <c r="T759" s="14" t="n">
        <v>0.91</v>
      </c>
      <c r="U759" s="14" t="n">
        <v>1.42</v>
      </c>
      <c r="V759" s="14" t="n">
        <v>2.03</v>
      </c>
      <c r="W759" s="14" t="n">
        <v>0.51</v>
      </c>
      <c r="X759" s="14" t="n">
        <v>0</v>
      </c>
      <c r="Y759" s="14" t="n">
        <v>3.25</v>
      </c>
      <c r="Z759" s="14" t="n">
        <v>0.2</v>
      </c>
      <c r="AA759" s="14" t="n">
        <v>0</v>
      </c>
    </row>
    <row r="760">
      <c r="A760" t="inlineStr">
        <is>
          <t>210306</t>
        </is>
      </c>
      <c r="B760" t="inlineStr">
        <is>
          <t>PUNO</t>
        </is>
      </c>
      <c r="C760" t="inlineStr">
        <is>
          <t>CARABAYA</t>
        </is>
      </c>
      <c r="D760" t="inlineStr">
        <is>
          <t>CRUCERO</t>
        </is>
      </c>
      <c r="E760" t="n">
        <v>2574</v>
      </c>
      <c r="F760" s="14" t="n">
        <v>0</v>
      </c>
      <c r="G760" s="14" t="n">
        <v>35.59</v>
      </c>
      <c r="H760" s="14" t="n">
        <v>1.05</v>
      </c>
      <c r="I760" s="14" t="n">
        <v>2.8</v>
      </c>
      <c r="J760" s="14" t="n">
        <v>0</v>
      </c>
      <c r="K760" s="14" t="n">
        <v>0.08</v>
      </c>
      <c r="L760" s="14" t="n">
        <v>16.39</v>
      </c>
      <c r="M760" s="14" t="n">
        <v>16.63</v>
      </c>
      <c r="N760" s="14" t="n">
        <v>5.01</v>
      </c>
      <c r="O760" s="14" t="n">
        <v>3.07</v>
      </c>
      <c r="P760" s="14" t="n">
        <v>0.23</v>
      </c>
      <c r="Q760" s="14" t="n">
        <v>0.7</v>
      </c>
      <c r="R760" s="14" t="n">
        <v>0</v>
      </c>
      <c r="S760" s="14" t="n">
        <v>1.59</v>
      </c>
      <c r="T760" s="14" t="n">
        <v>0.66</v>
      </c>
      <c r="U760" s="14" t="n">
        <v>2.87</v>
      </c>
      <c r="V760" s="14" t="n">
        <v>9.289999999999999</v>
      </c>
      <c r="W760" s="14" t="n">
        <v>1.67</v>
      </c>
      <c r="X760" s="14" t="n">
        <v>0.16</v>
      </c>
      <c r="Y760" s="14" t="n">
        <v>1.32</v>
      </c>
      <c r="Z760" s="14" t="n">
        <v>0.89</v>
      </c>
      <c r="AA760" s="14" t="n">
        <v>0</v>
      </c>
    </row>
    <row r="761">
      <c r="A761" t="inlineStr">
        <is>
          <t>210307</t>
        </is>
      </c>
      <c r="B761" t="inlineStr">
        <is>
          <t>PUNO</t>
        </is>
      </c>
      <c r="C761" t="inlineStr">
        <is>
          <t>CARABAYA</t>
        </is>
      </c>
      <c r="D761" t="inlineStr">
        <is>
          <t>ITUATA</t>
        </is>
      </c>
      <c r="E761" t="n">
        <v>2867</v>
      </c>
      <c r="F761" s="14" t="n">
        <v>0</v>
      </c>
      <c r="G761" s="14" t="n">
        <v>78.27</v>
      </c>
      <c r="H761" s="14" t="n">
        <v>6.45</v>
      </c>
      <c r="I761" s="14" t="n">
        <v>1.12</v>
      </c>
      <c r="J761" s="14" t="n">
        <v>0</v>
      </c>
      <c r="K761" s="14" t="n">
        <v>0</v>
      </c>
      <c r="L761" s="14" t="n">
        <v>1.85</v>
      </c>
      <c r="M761" s="14" t="n">
        <v>4.88</v>
      </c>
      <c r="N761" s="14" t="n">
        <v>1.26</v>
      </c>
      <c r="O761" s="14" t="n">
        <v>2.23</v>
      </c>
      <c r="P761" s="14" t="n">
        <v>0.03</v>
      </c>
      <c r="Q761" s="14" t="n">
        <v>0.1</v>
      </c>
      <c r="R761" s="14" t="n">
        <v>0</v>
      </c>
      <c r="S761" s="14" t="n">
        <v>0.35</v>
      </c>
      <c r="T761" s="14" t="n">
        <v>0.14</v>
      </c>
      <c r="U761" s="14" t="n">
        <v>0.5600000000000001</v>
      </c>
      <c r="V761" s="14" t="n">
        <v>0.24</v>
      </c>
      <c r="W761" s="14" t="n">
        <v>0.38</v>
      </c>
      <c r="X761" s="14" t="n">
        <v>0</v>
      </c>
      <c r="Y761" s="14" t="n">
        <v>1.43</v>
      </c>
      <c r="Z761" s="14" t="n">
        <v>0.7</v>
      </c>
      <c r="AA761" s="14" t="n">
        <v>0</v>
      </c>
    </row>
    <row r="762">
      <c r="A762" t="inlineStr">
        <is>
          <t>210308</t>
        </is>
      </c>
      <c r="B762" t="inlineStr">
        <is>
          <t>PUNO</t>
        </is>
      </c>
      <c r="C762" t="inlineStr">
        <is>
          <t>CARABAYA</t>
        </is>
      </c>
      <c r="D762" t="inlineStr">
        <is>
          <t>OLLACHEA</t>
        </is>
      </c>
      <c r="E762" t="n">
        <v>2282</v>
      </c>
      <c r="F762" s="14" t="n">
        <v>0</v>
      </c>
      <c r="G762" s="14" t="n">
        <v>68.97</v>
      </c>
      <c r="H762" s="14" t="n">
        <v>4.03</v>
      </c>
      <c r="I762" s="14" t="n">
        <v>2.1</v>
      </c>
      <c r="J762" s="14" t="n">
        <v>1.18</v>
      </c>
      <c r="K762" s="14" t="n">
        <v>0</v>
      </c>
      <c r="L762" s="14" t="n">
        <v>4.91</v>
      </c>
      <c r="M762" s="14" t="n">
        <v>8.15</v>
      </c>
      <c r="N762" s="14" t="n">
        <v>1.36</v>
      </c>
      <c r="O762" s="14" t="n">
        <v>2.41</v>
      </c>
      <c r="P762" s="14" t="n">
        <v>0</v>
      </c>
      <c r="Q762" s="14" t="n">
        <v>0</v>
      </c>
      <c r="R762" s="14" t="n">
        <v>0</v>
      </c>
      <c r="S762" s="14" t="n">
        <v>1.31</v>
      </c>
      <c r="T762" s="14" t="n">
        <v>0.48</v>
      </c>
      <c r="U762" s="14" t="n">
        <v>0.57</v>
      </c>
      <c r="V762" s="14" t="n">
        <v>1.49</v>
      </c>
      <c r="W762" s="14" t="n">
        <v>0.48</v>
      </c>
      <c r="X762" s="14" t="n">
        <v>0</v>
      </c>
      <c r="Y762" s="14" t="n">
        <v>1.36</v>
      </c>
      <c r="Z762" s="14" t="n">
        <v>1.18</v>
      </c>
      <c r="AA762" s="14" t="n">
        <v>0</v>
      </c>
    </row>
    <row r="763">
      <c r="A763" t="inlineStr">
        <is>
          <t>210309</t>
        </is>
      </c>
      <c r="B763" t="inlineStr">
        <is>
          <t>PUNO</t>
        </is>
      </c>
      <c r="C763" t="inlineStr">
        <is>
          <t>CARABAYA</t>
        </is>
      </c>
      <c r="D763" t="inlineStr">
        <is>
          <t>SAN GABAN</t>
        </is>
      </c>
      <c r="E763" t="n">
        <v>3394</v>
      </c>
      <c r="F763" s="14" t="n">
        <v>0</v>
      </c>
      <c r="G763" s="14" t="n">
        <v>70.92</v>
      </c>
      <c r="H763" s="14" t="n">
        <v>0.38</v>
      </c>
      <c r="I763" s="14" t="n">
        <v>3.15</v>
      </c>
      <c r="J763" s="14" t="n">
        <v>0.27</v>
      </c>
      <c r="K763" s="14" t="n">
        <v>0</v>
      </c>
      <c r="L763" s="14" t="n">
        <v>7.45</v>
      </c>
      <c r="M763" s="14" t="n">
        <v>4.12</v>
      </c>
      <c r="N763" s="14" t="n">
        <v>2.42</v>
      </c>
      <c r="O763" s="14" t="n">
        <v>1.5</v>
      </c>
      <c r="P763" s="14" t="n">
        <v>0.12</v>
      </c>
      <c r="Q763" s="14" t="n">
        <v>0</v>
      </c>
      <c r="R763" s="14" t="n">
        <v>0.03</v>
      </c>
      <c r="S763" s="14" t="n">
        <v>2.83</v>
      </c>
      <c r="T763" s="14" t="n">
        <v>1</v>
      </c>
      <c r="U763" s="14" t="n">
        <v>0.68</v>
      </c>
      <c r="V763" s="14" t="n">
        <v>1.27</v>
      </c>
      <c r="W763" s="14" t="n">
        <v>0.5</v>
      </c>
      <c r="X763" s="14" t="n">
        <v>0.12</v>
      </c>
      <c r="Y763" s="14" t="n">
        <v>2.65</v>
      </c>
      <c r="Z763" s="14" t="n">
        <v>0.59</v>
      </c>
      <c r="AA763" s="14" t="n">
        <v>0</v>
      </c>
    </row>
    <row r="764">
      <c r="A764" t="inlineStr">
        <is>
          <t>210310</t>
        </is>
      </c>
      <c r="B764" t="inlineStr">
        <is>
          <t>PUNO</t>
        </is>
      </c>
      <c r="C764" t="inlineStr">
        <is>
          <t>CARABAYA</t>
        </is>
      </c>
      <c r="D764" t="inlineStr">
        <is>
          <t>USICAYOS</t>
        </is>
      </c>
      <c r="E764" t="n">
        <v>3436</v>
      </c>
      <c r="F764" s="14" t="n">
        <v>0</v>
      </c>
      <c r="G764" s="14" t="n">
        <v>91.5</v>
      </c>
      <c r="H764" s="14" t="n">
        <v>0.23</v>
      </c>
      <c r="I764" s="14" t="n">
        <v>0.64</v>
      </c>
      <c r="J764" s="14" t="n">
        <v>0</v>
      </c>
      <c r="K764" s="14" t="n">
        <v>0</v>
      </c>
      <c r="L764" s="14" t="n">
        <v>1.43</v>
      </c>
      <c r="M764" s="14" t="n">
        <v>2.3</v>
      </c>
      <c r="N764" s="14" t="n">
        <v>0.44</v>
      </c>
      <c r="O764" s="14" t="n">
        <v>0.17</v>
      </c>
      <c r="P764" s="14" t="n">
        <v>0.06</v>
      </c>
      <c r="Q764" s="14" t="n">
        <v>0.06</v>
      </c>
      <c r="R764" s="14" t="n">
        <v>0.06</v>
      </c>
      <c r="S764" s="14" t="n">
        <v>0.55</v>
      </c>
      <c r="T764" s="14" t="n">
        <v>0.03</v>
      </c>
      <c r="U764" s="14" t="n">
        <v>0.2</v>
      </c>
      <c r="V764" s="14" t="n">
        <v>0.9</v>
      </c>
      <c r="W764" s="14" t="n">
        <v>0.32</v>
      </c>
      <c r="X764" s="14" t="n">
        <v>0</v>
      </c>
      <c r="Y764" s="14" t="n">
        <v>0.96</v>
      </c>
      <c r="Z764" s="14" t="n">
        <v>0.15</v>
      </c>
      <c r="AA764" s="14" t="n">
        <v>0</v>
      </c>
    </row>
    <row r="765">
      <c r="A765" t="inlineStr">
        <is>
          <t>210401</t>
        </is>
      </c>
      <c r="B765" t="inlineStr">
        <is>
          <t>PUNO</t>
        </is>
      </c>
      <c r="C765" t="inlineStr">
        <is>
          <t>CHUCUITO</t>
        </is>
      </c>
      <c r="D765" t="inlineStr">
        <is>
          <t>JULI</t>
        </is>
      </c>
      <c r="E765" t="n">
        <v>6698</v>
      </c>
      <c r="F765" s="14" t="n">
        <v>0</v>
      </c>
      <c r="G765" s="14" t="n">
        <v>54.93</v>
      </c>
      <c r="H765" s="14" t="n">
        <v>0.31</v>
      </c>
      <c r="I765" s="14" t="n">
        <v>5.7</v>
      </c>
      <c r="J765" s="14" t="n">
        <v>0</v>
      </c>
      <c r="K765" s="14" t="n">
        <v>0.01</v>
      </c>
      <c r="L765" s="14" t="n">
        <v>6.61</v>
      </c>
      <c r="M765" s="14" t="n">
        <v>9.609999999999999</v>
      </c>
      <c r="N765" s="14" t="n">
        <v>4.43</v>
      </c>
      <c r="O765" s="14" t="n">
        <v>2.3</v>
      </c>
      <c r="P765" s="14" t="n">
        <v>0.18</v>
      </c>
      <c r="Q765" s="14" t="n">
        <v>0.28</v>
      </c>
      <c r="R765" s="14" t="n">
        <v>0.01</v>
      </c>
      <c r="S765" s="14" t="n">
        <v>1.63</v>
      </c>
      <c r="T765" s="14" t="n">
        <v>0.79</v>
      </c>
      <c r="U765" s="14" t="n">
        <v>2.58</v>
      </c>
      <c r="V765" s="14" t="n">
        <v>7.29</v>
      </c>
      <c r="W765" s="14" t="n">
        <v>1.51</v>
      </c>
      <c r="X765" s="14" t="n">
        <v>0.43</v>
      </c>
      <c r="Y765" s="14" t="n">
        <v>0.99</v>
      </c>
      <c r="Z765" s="14" t="n">
        <v>0.39</v>
      </c>
      <c r="AA765" s="14" t="n">
        <v>0</v>
      </c>
    </row>
    <row r="766">
      <c r="A766" t="inlineStr">
        <is>
          <t>210402</t>
        </is>
      </c>
      <c r="B766" t="inlineStr">
        <is>
          <t>PUNO</t>
        </is>
      </c>
      <c r="C766" t="inlineStr">
        <is>
          <t>CHUCUITO</t>
        </is>
      </c>
      <c r="D766" t="inlineStr">
        <is>
          <t>DESAGUADERO</t>
        </is>
      </c>
      <c r="E766" t="n">
        <v>5344</v>
      </c>
      <c r="F766" s="14" t="n">
        <v>0</v>
      </c>
      <c r="G766" s="14" t="n">
        <v>31.53</v>
      </c>
      <c r="H766" s="14" t="n">
        <v>0.04</v>
      </c>
      <c r="I766" s="14" t="n">
        <v>2.58</v>
      </c>
      <c r="J766" s="14" t="n">
        <v>0</v>
      </c>
      <c r="K766" s="14" t="n">
        <v>0</v>
      </c>
      <c r="L766" s="14" t="n">
        <v>7</v>
      </c>
      <c r="M766" s="14" t="n">
        <v>25.62</v>
      </c>
      <c r="N766" s="14" t="n">
        <v>15.76</v>
      </c>
      <c r="O766" s="14" t="n">
        <v>5.84</v>
      </c>
      <c r="P766" s="14" t="n">
        <v>0.19</v>
      </c>
      <c r="Q766" s="14" t="n">
        <v>0.28</v>
      </c>
      <c r="R766" s="14" t="n">
        <v>0.02</v>
      </c>
      <c r="S766" s="14" t="n">
        <v>1.46</v>
      </c>
      <c r="T766" s="14" t="n">
        <v>0.62</v>
      </c>
      <c r="U766" s="14" t="n">
        <v>1.89</v>
      </c>
      <c r="V766" s="14" t="n">
        <v>2.54</v>
      </c>
      <c r="W766" s="14" t="n">
        <v>0.84</v>
      </c>
      <c r="X766" s="14" t="n">
        <v>0.17</v>
      </c>
      <c r="Y766" s="14" t="n">
        <v>3.18</v>
      </c>
      <c r="Z766" s="14" t="n">
        <v>0.45</v>
      </c>
      <c r="AA766" s="14" t="n">
        <v>0</v>
      </c>
    </row>
    <row r="767">
      <c r="A767" t="inlineStr">
        <is>
          <t>210403</t>
        </is>
      </c>
      <c r="B767" t="inlineStr">
        <is>
          <t>PUNO</t>
        </is>
      </c>
      <c r="C767" t="inlineStr">
        <is>
          <t>CHUCUITO</t>
        </is>
      </c>
      <c r="D767" t="inlineStr">
        <is>
          <t>HUACULLANI</t>
        </is>
      </c>
      <c r="E767" t="n">
        <v>1921</v>
      </c>
      <c r="F767" s="14" t="n">
        <v>0</v>
      </c>
      <c r="G767" s="14" t="n">
        <v>62.62</v>
      </c>
      <c r="H767" s="14" t="n">
        <v>0</v>
      </c>
      <c r="I767" s="14" t="n">
        <v>1.56</v>
      </c>
      <c r="J767" s="14" t="n">
        <v>0.05</v>
      </c>
      <c r="K767" s="14" t="n">
        <v>0</v>
      </c>
      <c r="L767" s="14" t="n">
        <v>15.3</v>
      </c>
      <c r="M767" s="14" t="n">
        <v>6.25</v>
      </c>
      <c r="N767" s="14" t="n">
        <v>0.78</v>
      </c>
      <c r="O767" s="14" t="n">
        <v>2.76</v>
      </c>
      <c r="P767" s="14" t="n">
        <v>0.05</v>
      </c>
      <c r="Q767" s="14" t="n">
        <v>0</v>
      </c>
      <c r="R767" s="14" t="n">
        <v>0</v>
      </c>
      <c r="S767" s="14" t="n">
        <v>0.78</v>
      </c>
      <c r="T767" s="14" t="n">
        <v>0.1</v>
      </c>
      <c r="U767" s="14" t="n">
        <v>1.46</v>
      </c>
      <c r="V767" s="14" t="n">
        <v>5.99</v>
      </c>
      <c r="W767" s="14" t="n">
        <v>0.31</v>
      </c>
      <c r="X767" s="14" t="n">
        <v>0</v>
      </c>
      <c r="Y767" s="14" t="n">
        <v>1.61</v>
      </c>
      <c r="Z767" s="14" t="n">
        <v>0.36</v>
      </c>
      <c r="AA767" s="14" t="n">
        <v>0</v>
      </c>
    </row>
    <row r="768">
      <c r="A768" t="inlineStr">
        <is>
          <t>210404</t>
        </is>
      </c>
      <c r="B768" t="inlineStr">
        <is>
          <t>PUNO</t>
        </is>
      </c>
      <c r="C768" t="inlineStr">
        <is>
          <t>CHUCUITO</t>
        </is>
      </c>
      <c r="D768" t="inlineStr">
        <is>
          <t>KELLUYO</t>
        </is>
      </c>
      <c r="E768" t="n">
        <v>2119</v>
      </c>
      <c r="F768" s="14" t="n">
        <v>0</v>
      </c>
      <c r="G768" s="14" t="n">
        <v>77.81999999999999</v>
      </c>
      <c r="H768" s="14" t="n">
        <v>0</v>
      </c>
      <c r="I768" s="14" t="n">
        <v>0.99</v>
      </c>
      <c r="J768" s="14" t="n">
        <v>0</v>
      </c>
      <c r="K768" s="14" t="n">
        <v>0</v>
      </c>
      <c r="L768" s="14" t="n">
        <v>5</v>
      </c>
      <c r="M768" s="14" t="n">
        <v>5.71</v>
      </c>
      <c r="N768" s="14" t="n">
        <v>2.03</v>
      </c>
      <c r="O768" s="14" t="n">
        <v>0.9399999999999999</v>
      </c>
      <c r="P768" s="14" t="n">
        <v>0.09</v>
      </c>
      <c r="Q768" s="14" t="n">
        <v>0</v>
      </c>
      <c r="R768" s="14" t="n">
        <v>0</v>
      </c>
      <c r="S768" s="14" t="n">
        <v>1.04</v>
      </c>
      <c r="T768" s="14" t="n">
        <v>0.24</v>
      </c>
      <c r="U768" s="14" t="n">
        <v>1.18</v>
      </c>
      <c r="V768" s="14" t="n">
        <v>3.68</v>
      </c>
      <c r="W768" s="14" t="n">
        <v>0.28</v>
      </c>
      <c r="X768" s="14" t="n">
        <v>0.05</v>
      </c>
      <c r="Y768" s="14" t="n">
        <v>0.52</v>
      </c>
      <c r="Z768" s="14" t="n">
        <v>0.42</v>
      </c>
      <c r="AA768" s="14" t="n">
        <v>0</v>
      </c>
    </row>
    <row r="769">
      <c r="A769" t="inlineStr">
        <is>
          <t>210405</t>
        </is>
      </c>
      <c r="B769" t="inlineStr">
        <is>
          <t>PUNO</t>
        </is>
      </c>
      <c r="C769" t="inlineStr">
        <is>
          <t>CHUCUITO</t>
        </is>
      </c>
      <c r="D769" t="inlineStr">
        <is>
          <t>PISACOMA</t>
        </is>
      </c>
      <c r="E769" t="n">
        <v>3034</v>
      </c>
      <c r="F769" s="14" t="n">
        <v>0</v>
      </c>
      <c r="G769" s="14" t="n">
        <v>83.42</v>
      </c>
      <c r="H769" s="14" t="n">
        <v>0</v>
      </c>
      <c r="I769" s="14" t="n">
        <v>1.98</v>
      </c>
      <c r="J769" s="14" t="n">
        <v>0</v>
      </c>
      <c r="K769" s="14" t="n">
        <v>0</v>
      </c>
      <c r="L769" s="14" t="n">
        <v>3.33</v>
      </c>
      <c r="M769" s="14" t="n">
        <v>2.57</v>
      </c>
      <c r="N769" s="14" t="n">
        <v>1.75</v>
      </c>
      <c r="O769" s="14" t="n">
        <v>0.4</v>
      </c>
      <c r="P769" s="14" t="n">
        <v>0.03</v>
      </c>
      <c r="Q769" s="14" t="n">
        <v>0</v>
      </c>
      <c r="R769" s="14" t="n">
        <v>0</v>
      </c>
      <c r="S769" s="14" t="n">
        <v>0.33</v>
      </c>
      <c r="T769" s="14" t="n">
        <v>0.16</v>
      </c>
      <c r="U769" s="14" t="n">
        <v>0.89</v>
      </c>
      <c r="V769" s="14" t="n">
        <v>1.02</v>
      </c>
      <c r="W769" s="14" t="n">
        <v>0.49</v>
      </c>
      <c r="X769" s="14" t="n">
        <v>0.07000000000000001</v>
      </c>
      <c r="Y769" s="14" t="n">
        <v>0.36</v>
      </c>
      <c r="Z769" s="14" t="n">
        <v>3.2</v>
      </c>
      <c r="AA769" s="14" t="n">
        <v>0</v>
      </c>
    </row>
    <row r="770">
      <c r="A770" t="inlineStr">
        <is>
          <t>210406</t>
        </is>
      </c>
      <c r="B770" t="inlineStr">
        <is>
          <t>PUNO</t>
        </is>
      </c>
      <c r="C770" t="inlineStr">
        <is>
          <t>CHUCUITO</t>
        </is>
      </c>
      <c r="D770" t="inlineStr">
        <is>
          <t>POMATA</t>
        </is>
      </c>
      <c r="E770" t="n">
        <v>4047</v>
      </c>
      <c r="F770" s="14" t="n">
        <v>0</v>
      </c>
      <c r="G770" s="14" t="n">
        <v>71.58</v>
      </c>
      <c r="H770" s="14" t="n">
        <v>0.1</v>
      </c>
      <c r="I770" s="14" t="n">
        <v>1.38</v>
      </c>
      <c r="J770" s="14" t="n">
        <v>0.05</v>
      </c>
      <c r="K770" s="14" t="n">
        <v>0.07000000000000001</v>
      </c>
      <c r="L770" s="14" t="n">
        <v>5.61</v>
      </c>
      <c r="M770" s="14" t="n">
        <v>6.13</v>
      </c>
      <c r="N770" s="14" t="n">
        <v>2.74</v>
      </c>
      <c r="O770" s="14" t="n">
        <v>1.58</v>
      </c>
      <c r="P770" s="14" t="n">
        <v>0.07000000000000001</v>
      </c>
      <c r="Q770" s="14" t="n">
        <v>0.2</v>
      </c>
      <c r="R770" s="14" t="n">
        <v>0.02</v>
      </c>
      <c r="S770" s="14" t="n">
        <v>0.52</v>
      </c>
      <c r="T770" s="14" t="n">
        <v>0.3</v>
      </c>
      <c r="U770" s="14" t="n">
        <v>4.5</v>
      </c>
      <c r="V770" s="14" t="n">
        <v>3.56</v>
      </c>
      <c r="W770" s="14" t="n">
        <v>0.52</v>
      </c>
      <c r="X770" s="14" t="n">
        <v>0.12</v>
      </c>
      <c r="Y770" s="14" t="n">
        <v>0.54</v>
      </c>
      <c r="Z770" s="14" t="n">
        <v>0.37</v>
      </c>
      <c r="AA770" s="14" t="n">
        <v>0.02</v>
      </c>
    </row>
    <row r="771">
      <c r="A771" t="inlineStr">
        <is>
          <t>210407</t>
        </is>
      </c>
      <c r="B771" t="inlineStr">
        <is>
          <t>PUNO</t>
        </is>
      </c>
      <c r="C771" t="inlineStr">
        <is>
          <t>CHUCUITO</t>
        </is>
      </c>
      <c r="D771" t="inlineStr">
        <is>
          <t>ZEPITA</t>
        </is>
      </c>
      <c r="E771" t="n">
        <v>5034</v>
      </c>
      <c r="F771" s="14" t="n">
        <v>0</v>
      </c>
      <c r="G771" s="14" t="n">
        <v>83.15000000000001</v>
      </c>
      <c r="H771" s="14" t="n">
        <v>0</v>
      </c>
      <c r="I771" s="14" t="n">
        <v>0.97</v>
      </c>
      <c r="J771" s="14" t="n">
        <v>0</v>
      </c>
      <c r="K771" s="14" t="n">
        <v>0.04</v>
      </c>
      <c r="L771" s="14" t="n">
        <v>3.26</v>
      </c>
      <c r="M771" s="14" t="n">
        <v>4.79</v>
      </c>
      <c r="N771" s="14" t="n">
        <v>2.6</v>
      </c>
      <c r="O771" s="14" t="n">
        <v>1.05</v>
      </c>
      <c r="P771" s="14" t="n">
        <v>0.06</v>
      </c>
      <c r="Q771" s="14" t="n">
        <v>0.14</v>
      </c>
      <c r="R771" s="14" t="n">
        <v>0</v>
      </c>
      <c r="S771" s="14" t="n">
        <v>0.28</v>
      </c>
      <c r="T771" s="14" t="n">
        <v>0.24</v>
      </c>
      <c r="U771" s="14" t="n">
        <v>0.83</v>
      </c>
      <c r="V771" s="14" t="n">
        <v>1.79</v>
      </c>
      <c r="W771" s="14" t="n">
        <v>0.32</v>
      </c>
      <c r="X771" s="14" t="n">
        <v>0.08</v>
      </c>
      <c r="Y771" s="14" t="n">
        <v>0.32</v>
      </c>
      <c r="Z771" s="14" t="n">
        <v>0.08</v>
      </c>
      <c r="AA771" s="14" t="n">
        <v>0</v>
      </c>
    </row>
    <row r="772">
      <c r="A772" t="inlineStr">
        <is>
          <t>210501</t>
        </is>
      </c>
      <c r="B772" t="inlineStr">
        <is>
          <t>PUNO</t>
        </is>
      </c>
      <c r="C772" t="inlineStr">
        <is>
          <t>EL COLLAO</t>
        </is>
      </c>
      <c r="D772" t="inlineStr">
        <is>
          <t>ILAVE</t>
        </is>
      </c>
      <c r="E772" t="n">
        <v>18593</v>
      </c>
      <c r="F772" s="14" t="n">
        <v>0</v>
      </c>
      <c r="G772" s="14" t="n">
        <v>59.83</v>
      </c>
      <c r="H772" s="14" t="n">
        <v>0.21</v>
      </c>
      <c r="I772" s="14" t="n">
        <v>2.25</v>
      </c>
      <c r="J772" s="14" t="n">
        <v>0.02</v>
      </c>
      <c r="K772" s="14" t="n">
        <v>0.08</v>
      </c>
      <c r="L772" s="14" t="n">
        <v>4.04</v>
      </c>
      <c r="M772" s="14" t="n">
        <v>14.15</v>
      </c>
      <c r="N772" s="14" t="n">
        <v>4.46</v>
      </c>
      <c r="O772" s="14" t="n">
        <v>2.21</v>
      </c>
      <c r="P772" s="14" t="n">
        <v>0.2</v>
      </c>
      <c r="Q772" s="14" t="n">
        <v>0.33</v>
      </c>
      <c r="R772" s="14" t="n">
        <v>0</v>
      </c>
      <c r="S772" s="14" t="n">
        <v>1.5</v>
      </c>
      <c r="T772" s="14" t="n">
        <v>0.35</v>
      </c>
      <c r="U772" s="14" t="n">
        <v>3.04</v>
      </c>
      <c r="V772" s="14" t="n">
        <v>4.45</v>
      </c>
      <c r="W772" s="14" t="n">
        <v>1.02</v>
      </c>
      <c r="X772" s="14" t="n">
        <v>0.23</v>
      </c>
      <c r="Y772" s="14" t="n">
        <v>1.34</v>
      </c>
      <c r="Z772" s="14" t="n">
        <v>0.28</v>
      </c>
      <c r="AA772" s="14" t="n">
        <v>0</v>
      </c>
    </row>
    <row r="773">
      <c r="A773" t="inlineStr">
        <is>
          <t>210502</t>
        </is>
      </c>
      <c r="B773" t="inlineStr">
        <is>
          <t>PUNO</t>
        </is>
      </c>
      <c r="C773" t="inlineStr">
        <is>
          <t>EL COLLAO</t>
        </is>
      </c>
      <c r="D773" t="inlineStr">
        <is>
          <t>CAPAZO</t>
        </is>
      </c>
      <c r="E773" t="n">
        <v>523</v>
      </c>
      <c r="F773" s="14" t="n">
        <v>0</v>
      </c>
      <c r="G773" s="14" t="n">
        <v>72.08</v>
      </c>
      <c r="H773" s="14" t="n">
        <v>0.19</v>
      </c>
      <c r="I773" s="14" t="n">
        <v>2.87</v>
      </c>
      <c r="J773" s="14" t="n">
        <v>0</v>
      </c>
      <c r="K773" s="14" t="n">
        <v>0</v>
      </c>
      <c r="L773" s="14" t="n">
        <v>8.220000000000001</v>
      </c>
      <c r="M773" s="14" t="n">
        <v>4.59</v>
      </c>
      <c r="N773" s="14" t="n">
        <v>2.1</v>
      </c>
      <c r="O773" s="14" t="n">
        <v>3.25</v>
      </c>
      <c r="P773" s="14" t="n">
        <v>0</v>
      </c>
      <c r="Q773" s="14" t="n">
        <v>0.38</v>
      </c>
      <c r="R773" s="14" t="n">
        <v>0</v>
      </c>
      <c r="S773" s="14" t="n">
        <v>1.72</v>
      </c>
      <c r="T773" s="14" t="n">
        <v>0</v>
      </c>
      <c r="U773" s="14" t="n">
        <v>3.25</v>
      </c>
      <c r="V773" s="14" t="n">
        <v>0.57</v>
      </c>
      <c r="W773" s="14" t="n">
        <v>0.57</v>
      </c>
      <c r="X773" s="14" t="n">
        <v>0</v>
      </c>
      <c r="Y773" s="14" t="n">
        <v>0.19</v>
      </c>
      <c r="Z773" s="14" t="n">
        <v>0</v>
      </c>
      <c r="AA773" s="14" t="n">
        <v>0</v>
      </c>
    </row>
    <row r="774">
      <c r="A774" t="inlineStr">
        <is>
          <t>210503</t>
        </is>
      </c>
      <c r="B774" t="inlineStr">
        <is>
          <t>PUNO</t>
        </is>
      </c>
      <c r="C774" t="inlineStr">
        <is>
          <t>EL COLLAO</t>
        </is>
      </c>
      <c r="D774" t="inlineStr">
        <is>
          <t>PILCUYO</t>
        </is>
      </c>
      <c r="E774" t="n">
        <v>4859</v>
      </c>
      <c r="F774" s="14" t="n">
        <v>0</v>
      </c>
      <c r="G774" s="14" t="n">
        <v>88.45</v>
      </c>
      <c r="H774" s="14" t="n">
        <v>0.02</v>
      </c>
      <c r="I774" s="14" t="n">
        <v>0.29</v>
      </c>
      <c r="J774" s="14" t="n">
        <v>0</v>
      </c>
      <c r="K774" s="14" t="n">
        <v>0</v>
      </c>
      <c r="L774" s="14" t="n">
        <v>1.73</v>
      </c>
      <c r="M774" s="14" t="n">
        <v>2.8</v>
      </c>
      <c r="N774" s="14" t="n">
        <v>1.81</v>
      </c>
      <c r="O774" s="14" t="n">
        <v>0.62</v>
      </c>
      <c r="P774" s="14" t="n">
        <v>0.04</v>
      </c>
      <c r="Q774" s="14" t="n">
        <v>0.02</v>
      </c>
      <c r="R774" s="14" t="n">
        <v>0</v>
      </c>
      <c r="S774" s="14" t="n">
        <v>0.25</v>
      </c>
      <c r="T774" s="14" t="n">
        <v>0.08</v>
      </c>
      <c r="U774" s="14" t="n">
        <v>0.68</v>
      </c>
      <c r="V774" s="14" t="n">
        <v>2.49</v>
      </c>
      <c r="W774" s="14" t="n">
        <v>0.35</v>
      </c>
      <c r="X774" s="14" t="n">
        <v>0.08</v>
      </c>
      <c r="Y774" s="14" t="n">
        <v>0.19</v>
      </c>
      <c r="Z774" s="14" t="n">
        <v>0.1</v>
      </c>
      <c r="AA774" s="14" t="n">
        <v>0</v>
      </c>
    </row>
    <row r="775">
      <c r="A775" t="inlineStr">
        <is>
          <t>210504</t>
        </is>
      </c>
      <c r="B775" t="inlineStr">
        <is>
          <t>PUNO</t>
        </is>
      </c>
      <c r="C775" t="inlineStr">
        <is>
          <t>EL COLLAO</t>
        </is>
      </c>
      <c r="D775" t="inlineStr">
        <is>
          <t>SANTA ROSA</t>
        </is>
      </c>
      <c r="E775" t="n">
        <v>1569</v>
      </c>
      <c r="F775" s="14" t="n">
        <v>0</v>
      </c>
      <c r="G775" s="14" t="n">
        <v>71.26000000000001</v>
      </c>
      <c r="H775" s="14" t="n">
        <v>0</v>
      </c>
      <c r="I775" s="14" t="n">
        <v>1.72</v>
      </c>
      <c r="J775" s="14" t="n">
        <v>0</v>
      </c>
      <c r="K775" s="14" t="n">
        <v>0</v>
      </c>
      <c r="L775" s="14" t="n">
        <v>9.369999999999999</v>
      </c>
      <c r="M775" s="14" t="n">
        <v>5.04</v>
      </c>
      <c r="N775" s="14" t="n">
        <v>1.85</v>
      </c>
      <c r="O775" s="14" t="n">
        <v>1.85</v>
      </c>
      <c r="P775" s="14" t="n">
        <v>0</v>
      </c>
      <c r="Q775" s="14" t="n">
        <v>0</v>
      </c>
      <c r="R775" s="14" t="n">
        <v>0</v>
      </c>
      <c r="S775" s="14" t="n">
        <v>0.51</v>
      </c>
      <c r="T775" s="14" t="n">
        <v>0.13</v>
      </c>
      <c r="U775" s="14" t="n">
        <v>5.93</v>
      </c>
      <c r="V775" s="14" t="n">
        <v>1.27</v>
      </c>
      <c r="W775" s="14" t="n">
        <v>0.7</v>
      </c>
      <c r="X775" s="14" t="n">
        <v>0.13</v>
      </c>
      <c r="Y775" s="14" t="n">
        <v>0.19</v>
      </c>
      <c r="Z775" s="14" t="n">
        <v>0.06</v>
      </c>
      <c r="AA775" s="14" t="n">
        <v>0</v>
      </c>
    </row>
    <row r="776">
      <c r="A776" t="inlineStr">
        <is>
          <t>210505</t>
        </is>
      </c>
      <c r="B776" t="inlineStr">
        <is>
          <t>PUNO</t>
        </is>
      </c>
      <c r="C776" t="inlineStr">
        <is>
          <t>EL COLLAO</t>
        </is>
      </c>
      <c r="D776" t="inlineStr">
        <is>
          <t>CONDURIRI</t>
        </is>
      </c>
      <c r="E776" t="n">
        <v>920</v>
      </c>
      <c r="F776" s="14" t="n">
        <v>0</v>
      </c>
      <c r="G776" s="14" t="n">
        <v>65.54000000000001</v>
      </c>
      <c r="H776" s="14" t="n">
        <v>0</v>
      </c>
      <c r="I776" s="14" t="n">
        <v>3.7</v>
      </c>
      <c r="J776" s="14" t="n">
        <v>0</v>
      </c>
      <c r="K776" s="14" t="n">
        <v>1.52</v>
      </c>
      <c r="L776" s="14" t="n">
        <v>12.83</v>
      </c>
      <c r="M776" s="14" t="n">
        <v>6.85</v>
      </c>
      <c r="N776" s="14" t="n">
        <v>2.72</v>
      </c>
      <c r="O776" s="14" t="n">
        <v>2.07</v>
      </c>
      <c r="P776" s="14" t="n">
        <v>0</v>
      </c>
      <c r="Q776" s="14" t="n">
        <v>0.22</v>
      </c>
      <c r="R776" s="14" t="n">
        <v>0</v>
      </c>
      <c r="S776" s="14" t="n">
        <v>0.54</v>
      </c>
      <c r="T776" s="14" t="n">
        <v>0.33</v>
      </c>
      <c r="U776" s="14" t="n">
        <v>1.3</v>
      </c>
      <c r="V776" s="14" t="n">
        <v>1.41</v>
      </c>
      <c r="W776" s="14" t="n">
        <v>0.54</v>
      </c>
      <c r="X776" s="14" t="n">
        <v>0</v>
      </c>
      <c r="Y776" s="14" t="n">
        <v>0.11</v>
      </c>
      <c r="Z776" s="14" t="n">
        <v>0.33</v>
      </c>
      <c r="AA776" s="14" t="n">
        <v>0</v>
      </c>
    </row>
    <row r="777">
      <c r="A777" t="inlineStr">
        <is>
          <t>210601</t>
        </is>
      </c>
      <c r="B777" t="inlineStr">
        <is>
          <t>PUNO</t>
        </is>
      </c>
      <c r="C777" t="inlineStr">
        <is>
          <t>HUANCANE</t>
        </is>
      </c>
      <c r="D777" t="inlineStr">
        <is>
          <t>HUANCANE</t>
        </is>
      </c>
      <c r="E777" t="n">
        <v>7650</v>
      </c>
      <c r="F777" s="14" t="n">
        <v>0</v>
      </c>
      <c r="G777" s="14" t="n">
        <v>59.9</v>
      </c>
      <c r="H777" s="14" t="n">
        <v>0.16</v>
      </c>
      <c r="I777" s="14" t="n">
        <v>1.65</v>
      </c>
      <c r="J777" s="14" t="n">
        <v>0.12</v>
      </c>
      <c r="K777" s="14" t="n">
        <v>0.05</v>
      </c>
      <c r="L777" s="14" t="n">
        <v>5.56</v>
      </c>
      <c r="M777" s="14" t="n">
        <v>9.869999999999999</v>
      </c>
      <c r="N777" s="14" t="n">
        <v>3.08</v>
      </c>
      <c r="O777" s="14" t="n">
        <v>3.03</v>
      </c>
      <c r="P777" s="14" t="n">
        <v>0.17</v>
      </c>
      <c r="Q777" s="14" t="n">
        <v>0.48</v>
      </c>
      <c r="R777" s="14" t="n">
        <v>0.03</v>
      </c>
      <c r="S777" s="14" t="n">
        <v>1.08</v>
      </c>
      <c r="T777" s="14" t="n">
        <v>0.58</v>
      </c>
      <c r="U777" s="14" t="n">
        <v>3.33</v>
      </c>
      <c r="V777" s="14" t="n">
        <v>7.67</v>
      </c>
      <c r="W777" s="14" t="n">
        <v>1.59</v>
      </c>
      <c r="X777" s="14" t="n">
        <v>0.21</v>
      </c>
      <c r="Y777" s="14" t="n">
        <v>1.15</v>
      </c>
      <c r="Z777" s="14" t="n">
        <v>0.29</v>
      </c>
      <c r="AA777" s="14" t="n">
        <v>0</v>
      </c>
    </row>
    <row r="778">
      <c r="A778" t="inlineStr">
        <is>
          <t>210602</t>
        </is>
      </c>
      <c r="B778" t="inlineStr">
        <is>
          <t>PUNO</t>
        </is>
      </c>
      <c r="C778" t="inlineStr">
        <is>
          <t>HUANCANE</t>
        </is>
      </c>
      <c r="D778" t="inlineStr">
        <is>
          <t>COJATA</t>
        </is>
      </c>
      <c r="E778" t="n">
        <v>1555</v>
      </c>
      <c r="F778" s="14" t="n">
        <v>0</v>
      </c>
      <c r="G778" s="14" t="n">
        <v>68.23</v>
      </c>
      <c r="H778" s="14" t="n">
        <v>0.71</v>
      </c>
      <c r="I778" s="14" t="n">
        <v>1.29</v>
      </c>
      <c r="J778" s="14" t="n">
        <v>0</v>
      </c>
      <c r="K778" s="14" t="n">
        <v>0</v>
      </c>
      <c r="L778" s="14" t="n">
        <v>4.5</v>
      </c>
      <c r="M778" s="14" t="n">
        <v>16.4</v>
      </c>
      <c r="N778" s="14" t="n">
        <v>1.93</v>
      </c>
      <c r="O778" s="14" t="n">
        <v>2.51</v>
      </c>
      <c r="P778" s="14" t="n">
        <v>0</v>
      </c>
      <c r="Q778" s="14" t="n">
        <v>0.13</v>
      </c>
      <c r="R778" s="14" t="n">
        <v>0</v>
      </c>
      <c r="S778" s="14" t="n">
        <v>0.39</v>
      </c>
      <c r="T778" s="14" t="n">
        <v>0.06</v>
      </c>
      <c r="U778" s="14" t="n">
        <v>1.54</v>
      </c>
      <c r="V778" s="14" t="n">
        <v>1.22</v>
      </c>
      <c r="W778" s="14" t="n">
        <v>0.39</v>
      </c>
      <c r="X778" s="14" t="n">
        <v>0.06</v>
      </c>
      <c r="Y778" s="14" t="n">
        <v>0.51</v>
      </c>
      <c r="Z778" s="14" t="n">
        <v>0.13</v>
      </c>
      <c r="AA778" s="14" t="n">
        <v>0</v>
      </c>
    </row>
    <row r="779">
      <c r="A779" t="inlineStr">
        <is>
          <t>210603</t>
        </is>
      </c>
      <c r="B779" t="inlineStr">
        <is>
          <t>PUNO</t>
        </is>
      </c>
      <c r="C779" t="inlineStr">
        <is>
          <t>HUANCANE</t>
        </is>
      </c>
      <c r="D779" t="inlineStr">
        <is>
          <t>HUATASANI</t>
        </is>
      </c>
      <c r="E779" t="n">
        <v>873</v>
      </c>
      <c r="F779" s="14" t="n">
        <v>0</v>
      </c>
      <c r="G779" s="14" t="n">
        <v>74.91</v>
      </c>
      <c r="H779" s="14" t="n">
        <v>0.57</v>
      </c>
      <c r="I779" s="14" t="n">
        <v>2.06</v>
      </c>
      <c r="J779" s="14" t="n">
        <v>0</v>
      </c>
      <c r="K779" s="14" t="n">
        <v>0</v>
      </c>
      <c r="L779" s="14" t="n">
        <v>3.89</v>
      </c>
      <c r="M779" s="14" t="n">
        <v>5.38</v>
      </c>
      <c r="N779" s="14" t="n">
        <v>3.67</v>
      </c>
      <c r="O779" s="14" t="n">
        <v>2.06</v>
      </c>
      <c r="P779" s="14" t="n">
        <v>0.11</v>
      </c>
      <c r="Q779" s="14" t="n">
        <v>0.11</v>
      </c>
      <c r="R779" s="14" t="n">
        <v>0</v>
      </c>
      <c r="S779" s="14" t="n">
        <v>0.57</v>
      </c>
      <c r="T779" s="14" t="n">
        <v>0.11</v>
      </c>
      <c r="U779" s="14" t="n">
        <v>0.57</v>
      </c>
      <c r="V779" s="14" t="n">
        <v>4.81</v>
      </c>
      <c r="W779" s="14" t="n">
        <v>0.23</v>
      </c>
      <c r="X779" s="14" t="n">
        <v>0</v>
      </c>
      <c r="Y779" s="14" t="n">
        <v>0.57</v>
      </c>
      <c r="Z779" s="14" t="n">
        <v>0.34</v>
      </c>
      <c r="AA779" s="14" t="n">
        <v>0</v>
      </c>
    </row>
    <row r="780">
      <c r="A780" t="inlineStr">
        <is>
          <t>210604</t>
        </is>
      </c>
      <c r="B780" t="inlineStr">
        <is>
          <t>PUNO</t>
        </is>
      </c>
      <c r="C780" t="inlineStr">
        <is>
          <t>HUANCANE</t>
        </is>
      </c>
      <c r="D780" t="inlineStr">
        <is>
          <t>INCHUPALLA</t>
        </is>
      </c>
      <c r="E780" t="n">
        <v>1311</v>
      </c>
      <c r="F780" s="14" t="n">
        <v>0</v>
      </c>
      <c r="G780" s="14" t="n">
        <v>90.62</v>
      </c>
      <c r="H780" s="14" t="n">
        <v>0.6899999999999999</v>
      </c>
      <c r="I780" s="14" t="n">
        <v>0.61</v>
      </c>
      <c r="J780" s="14" t="n">
        <v>0</v>
      </c>
      <c r="K780" s="14" t="n">
        <v>0</v>
      </c>
      <c r="L780" s="14" t="n">
        <v>2.14</v>
      </c>
      <c r="M780" s="14" t="n">
        <v>1.3</v>
      </c>
      <c r="N780" s="14" t="n">
        <v>0.61</v>
      </c>
      <c r="O780" s="14" t="n">
        <v>0.53</v>
      </c>
      <c r="P780" s="14" t="n">
        <v>0</v>
      </c>
      <c r="Q780" s="14" t="n">
        <v>0</v>
      </c>
      <c r="R780" s="14" t="n">
        <v>0</v>
      </c>
      <c r="S780" s="14" t="n">
        <v>0.23</v>
      </c>
      <c r="T780" s="14" t="n">
        <v>0.08</v>
      </c>
      <c r="U780" s="14" t="n">
        <v>0.61</v>
      </c>
      <c r="V780" s="14" t="n">
        <v>1.83</v>
      </c>
      <c r="W780" s="14" t="n">
        <v>0.46</v>
      </c>
      <c r="X780" s="14" t="n">
        <v>0</v>
      </c>
      <c r="Y780" s="14" t="n">
        <v>0.31</v>
      </c>
      <c r="Z780" s="14" t="n">
        <v>0</v>
      </c>
      <c r="AA780" s="14" t="n">
        <v>0</v>
      </c>
    </row>
    <row r="781">
      <c r="A781" t="inlineStr">
        <is>
          <t>210605</t>
        </is>
      </c>
      <c r="B781" t="inlineStr">
        <is>
          <t>PUNO</t>
        </is>
      </c>
      <c r="C781" t="inlineStr">
        <is>
          <t>HUANCANE</t>
        </is>
      </c>
      <c r="D781" t="inlineStr">
        <is>
          <t>PUSI</t>
        </is>
      </c>
      <c r="E781" t="n">
        <v>1365</v>
      </c>
      <c r="F781" s="14" t="n">
        <v>0</v>
      </c>
      <c r="G781" s="14" t="n">
        <v>79.70999999999999</v>
      </c>
      <c r="H781" s="14" t="n">
        <v>0.51</v>
      </c>
      <c r="I781" s="14" t="n">
        <v>1.54</v>
      </c>
      <c r="J781" s="14" t="n">
        <v>0</v>
      </c>
      <c r="K781" s="14" t="n">
        <v>0</v>
      </c>
      <c r="L781" s="14" t="n">
        <v>4.69</v>
      </c>
      <c r="M781" s="14" t="n">
        <v>4.91</v>
      </c>
      <c r="N781" s="14" t="n">
        <v>2.27</v>
      </c>
      <c r="O781" s="14" t="n">
        <v>1.17</v>
      </c>
      <c r="P781" s="14" t="n">
        <v>0.07000000000000001</v>
      </c>
      <c r="Q781" s="14" t="n">
        <v>0</v>
      </c>
      <c r="R781" s="14" t="n">
        <v>0</v>
      </c>
      <c r="S781" s="14" t="n">
        <v>0.22</v>
      </c>
      <c r="T781" s="14" t="n">
        <v>0.29</v>
      </c>
      <c r="U781" s="14" t="n">
        <v>2.64</v>
      </c>
      <c r="V781" s="14" t="n">
        <v>0.88</v>
      </c>
      <c r="W781" s="14" t="n">
        <v>0.59</v>
      </c>
      <c r="X781" s="14" t="n">
        <v>0</v>
      </c>
      <c r="Y781" s="14" t="n">
        <v>0.37</v>
      </c>
      <c r="Z781" s="14" t="n">
        <v>0.15</v>
      </c>
      <c r="AA781" s="14" t="n">
        <v>0</v>
      </c>
    </row>
    <row r="782">
      <c r="A782" t="inlineStr">
        <is>
          <t>210606</t>
        </is>
      </c>
      <c r="B782" t="inlineStr">
        <is>
          <t>PUNO</t>
        </is>
      </c>
      <c r="C782" t="inlineStr">
        <is>
          <t>HUANCANE</t>
        </is>
      </c>
      <c r="D782" t="inlineStr">
        <is>
          <t>ROSASPATA</t>
        </is>
      </c>
      <c r="E782" t="n">
        <v>1849</v>
      </c>
      <c r="F782" s="14" t="n">
        <v>0</v>
      </c>
      <c r="G782" s="14" t="n">
        <v>85.61</v>
      </c>
      <c r="H782" s="14" t="n">
        <v>0.05</v>
      </c>
      <c r="I782" s="14" t="n">
        <v>0.87</v>
      </c>
      <c r="J782" s="14" t="n">
        <v>0</v>
      </c>
      <c r="K782" s="14" t="n">
        <v>0</v>
      </c>
      <c r="L782" s="14" t="n">
        <v>1.73</v>
      </c>
      <c r="M782" s="14" t="n">
        <v>3.95</v>
      </c>
      <c r="N782" s="14" t="n">
        <v>1.57</v>
      </c>
      <c r="O782" s="14" t="n">
        <v>0.27</v>
      </c>
      <c r="P782" s="14" t="n">
        <v>0.05</v>
      </c>
      <c r="Q782" s="14" t="n">
        <v>0.05</v>
      </c>
      <c r="R782" s="14" t="n">
        <v>0</v>
      </c>
      <c r="S782" s="14" t="n">
        <v>0.38</v>
      </c>
      <c r="T782" s="14" t="n">
        <v>0.11</v>
      </c>
      <c r="U782" s="14" t="n">
        <v>1.73</v>
      </c>
      <c r="V782" s="14" t="n">
        <v>2.7</v>
      </c>
      <c r="W782" s="14" t="n">
        <v>0.38</v>
      </c>
      <c r="X782" s="14" t="n">
        <v>0</v>
      </c>
      <c r="Y782" s="14" t="n">
        <v>0.49</v>
      </c>
      <c r="Z782" s="14" t="n">
        <v>0.05</v>
      </c>
      <c r="AA782" s="14" t="n">
        <v>0</v>
      </c>
    </row>
    <row r="783">
      <c r="A783" t="inlineStr">
        <is>
          <t>210607</t>
        </is>
      </c>
      <c r="B783" t="inlineStr">
        <is>
          <t>PUNO</t>
        </is>
      </c>
      <c r="C783" t="inlineStr">
        <is>
          <t>HUANCANE</t>
        </is>
      </c>
      <c r="D783" t="inlineStr">
        <is>
          <t>TARACO</t>
        </is>
      </c>
      <c r="E783" t="n">
        <v>4776</v>
      </c>
      <c r="F783" s="14" t="n">
        <v>0</v>
      </c>
      <c r="G783" s="14" t="n">
        <v>76.88</v>
      </c>
      <c r="H783" s="14" t="n">
        <v>0.23</v>
      </c>
      <c r="I783" s="14" t="n">
        <v>2.37</v>
      </c>
      <c r="J783" s="14" t="n">
        <v>0.02</v>
      </c>
      <c r="K783" s="14" t="n">
        <v>0.04</v>
      </c>
      <c r="L783" s="14" t="n">
        <v>3.69</v>
      </c>
      <c r="M783" s="14" t="n">
        <v>6.07</v>
      </c>
      <c r="N783" s="14" t="n">
        <v>2.18</v>
      </c>
      <c r="O783" s="14" t="n">
        <v>1.65</v>
      </c>
      <c r="P783" s="14" t="n">
        <v>0.1</v>
      </c>
      <c r="Q783" s="14" t="n">
        <v>0.1</v>
      </c>
      <c r="R783" s="14" t="n">
        <v>0</v>
      </c>
      <c r="S783" s="14" t="n">
        <v>0.57</v>
      </c>
      <c r="T783" s="14" t="n">
        <v>0.21</v>
      </c>
      <c r="U783" s="14" t="n">
        <v>2.26</v>
      </c>
      <c r="V783" s="14" t="n">
        <v>2.32</v>
      </c>
      <c r="W783" s="14" t="n">
        <v>0.5</v>
      </c>
      <c r="X783" s="14" t="n">
        <v>0.17</v>
      </c>
      <c r="Y783" s="14" t="n">
        <v>0.44</v>
      </c>
      <c r="Z783" s="14" t="n">
        <v>0.19</v>
      </c>
      <c r="AA783" s="14" t="n">
        <v>0</v>
      </c>
    </row>
    <row r="784">
      <c r="A784" t="inlineStr">
        <is>
          <t>210608</t>
        </is>
      </c>
      <c r="B784" t="inlineStr">
        <is>
          <t>PUNO</t>
        </is>
      </c>
      <c r="C784" t="inlineStr">
        <is>
          <t>HUANCANE</t>
        </is>
      </c>
      <c r="D784" t="inlineStr">
        <is>
          <t>VILQUE CHICO</t>
        </is>
      </c>
      <c r="E784" t="n">
        <v>2757</v>
      </c>
      <c r="F784" s="14" t="n">
        <v>0</v>
      </c>
      <c r="G784" s="14" t="n">
        <v>81.54000000000001</v>
      </c>
      <c r="H784" s="14" t="n">
        <v>0.11</v>
      </c>
      <c r="I784" s="14" t="n">
        <v>2.36</v>
      </c>
      <c r="J784" s="14" t="n">
        <v>0</v>
      </c>
      <c r="K784" s="14" t="n">
        <v>0</v>
      </c>
      <c r="L784" s="14" t="n">
        <v>3.99</v>
      </c>
      <c r="M784" s="14" t="n">
        <v>5.37</v>
      </c>
      <c r="N784" s="14" t="n">
        <v>1.45</v>
      </c>
      <c r="O784" s="14" t="n">
        <v>0.9399999999999999</v>
      </c>
      <c r="P784" s="14" t="n">
        <v>0</v>
      </c>
      <c r="Q784" s="14" t="n">
        <v>0</v>
      </c>
      <c r="R784" s="14" t="n">
        <v>0</v>
      </c>
      <c r="S784" s="14" t="n">
        <v>0.33</v>
      </c>
      <c r="T784" s="14" t="n">
        <v>0.22</v>
      </c>
      <c r="U784" s="14" t="n">
        <v>0.62</v>
      </c>
      <c r="V784" s="14" t="n">
        <v>2.1</v>
      </c>
      <c r="W784" s="14" t="n">
        <v>0.44</v>
      </c>
      <c r="X784" s="14" t="n">
        <v>0.07000000000000001</v>
      </c>
      <c r="Y784" s="14" t="n">
        <v>0.36</v>
      </c>
      <c r="Z784" s="14" t="n">
        <v>0.11</v>
      </c>
      <c r="AA784" s="14" t="n">
        <v>0</v>
      </c>
    </row>
    <row r="785">
      <c r="A785" t="inlineStr">
        <is>
          <t>210701</t>
        </is>
      </c>
      <c r="B785" t="inlineStr">
        <is>
          <t>PUNO</t>
        </is>
      </c>
      <c r="C785" t="inlineStr">
        <is>
          <t>LAMPA</t>
        </is>
      </c>
      <c r="D785" t="inlineStr">
        <is>
          <t>LAMPA</t>
        </is>
      </c>
      <c r="E785" t="n">
        <v>5729</v>
      </c>
      <c r="F785" s="14" t="n">
        <v>0</v>
      </c>
      <c r="G785" s="14" t="n">
        <v>57.24</v>
      </c>
      <c r="H785" s="14" t="n">
        <v>0.77</v>
      </c>
      <c r="I785" s="14" t="n">
        <v>7.49</v>
      </c>
      <c r="J785" s="14" t="n">
        <v>0.02</v>
      </c>
      <c r="K785" s="14" t="n">
        <v>0.05</v>
      </c>
      <c r="L785" s="14" t="n">
        <v>8.380000000000001</v>
      </c>
      <c r="M785" s="14" t="n">
        <v>5.55</v>
      </c>
      <c r="N785" s="14" t="n">
        <v>2.72</v>
      </c>
      <c r="O785" s="14" t="n">
        <v>2.36</v>
      </c>
      <c r="P785" s="14" t="n">
        <v>0.1</v>
      </c>
      <c r="Q785" s="14" t="n">
        <v>0.21</v>
      </c>
      <c r="R785" s="14" t="n">
        <v>0</v>
      </c>
      <c r="S785" s="14" t="n">
        <v>1.12</v>
      </c>
      <c r="T785" s="14" t="n">
        <v>0.52</v>
      </c>
      <c r="U785" s="14" t="n">
        <v>3.68</v>
      </c>
      <c r="V785" s="14" t="n">
        <v>7.61</v>
      </c>
      <c r="W785" s="14" t="n">
        <v>1.06</v>
      </c>
      <c r="X785" s="14" t="n">
        <v>0.21</v>
      </c>
      <c r="Y785" s="14" t="n">
        <v>0.66</v>
      </c>
      <c r="Z785" s="14" t="n">
        <v>0.24</v>
      </c>
      <c r="AA785" s="14" t="n">
        <v>0</v>
      </c>
    </row>
    <row r="786">
      <c r="A786" t="inlineStr">
        <is>
          <t>210702</t>
        </is>
      </c>
      <c r="B786" t="inlineStr">
        <is>
          <t>PUNO</t>
        </is>
      </c>
      <c r="C786" t="inlineStr">
        <is>
          <t>LAMPA</t>
        </is>
      </c>
      <c r="D786" t="inlineStr">
        <is>
          <t>CABANILLA</t>
        </is>
      </c>
      <c r="E786" t="n">
        <v>1705</v>
      </c>
      <c r="F786" s="14" t="n">
        <v>0</v>
      </c>
      <c r="G786" s="14" t="n">
        <v>66.51000000000001</v>
      </c>
      <c r="H786" s="14" t="n">
        <v>4.99</v>
      </c>
      <c r="I786" s="14" t="n">
        <v>2.05</v>
      </c>
      <c r="J786" s="14" t="n">
        <v>0.06</v>
      </c>
      <c r="K786" s="14" t="n">
        <v>0</v>
      </c>
      <c r="L786" s="14" t="n">
        <v>4.93</v>
      </c>
      <c r="M786" s="14" t="n">
        <v>8.74</v>
      </c>
      <c r="N786" s="14" t="n">
        <v>3.4</v>
      </c>
      <c r="O786" s="14" t="n">
        <v>2.64</v>
      </c>
      <c r="P786" s="14" t="n">
        <v>0.12</v>
      </c>
      <c r="Q786" s="14" t="n">
        <v>0.18</v>
      </c>
      <c r="R786" s="14" t="n">
        <v>0</v>
      </c>
      <c r="S786" s="14" t="n">
        <v>0.53</v>
      </c>
      <c r="T786" s="14" t="n">
        <v>0.53</v>
      </c>
      <c r="U786" s="14" t="n">
        <v>1.76</v>
      </c>
      <c r="V786" s="14" t="n">
        <v>1.7</v>
      </c>
      <c r="W786" s="14" t="n">
        <v>0.47</v>
      </c>
      <c r="X786" s="14" t="n">
        <v>0.41</v>
      </c>
      <c r="Y786" s="14" t="n">
        <v>0.59</v>
      </c>
      <c r="Z786" s="14" t="n">
        <v>0.41</v>
      </c>
      <c r="AA786" s="14" t="n">
        <v>0</v>
      </c>
    </row>
    <row r="787">
      <c r="A787" t="inlineStr">
        <is>
          <t>210703</t>
        </is>
      </c>
      <c r="B787" t="inlineStr">
        <is>
          <t>PUNO</t>
        </is>
      </c>
      <c r="C787" t="inlineStr">
        <is>
          <t>LAMPA</t>
        </is>
      </c>
      <c r="D787" t="inlineStr">
        <is>
          <t>CALAPUJA</t>
        </is>
      </c>
      <c r="E787" t="n">
        <v>691</v>
      </c>
      <c r="F787" s="14" t="n">
        <v>0</v>
      </c>
      <c r="G787" s="14" t="n">
        <v>72.20999999999999</v>
      </c>
      <c r="H787" s="14" t="n">
        <v>0.29</v>
      </c>
      <c r="I787" s="14" t="n">
        <v>5.21</v>
      </c>
      <c r="J787" s="14" t="n">
        <v>0</v>
      </c>
      <c r="K787" s="14" t="n">
        <v>0</v>
      </c>
      <c r="L787" s="14" t="n">
        <v>5.93</v>
      </c>
      <c r="M787" s="14" t="n">
        <v>7.53</v>
      </c>
      <c r="N787" s="14" t="n">
        <v>3.62</v>
      </c>
      <c r="O787" s="14" t="n">
        <v>1.88</v>
      </c>
      <c r="P787" s="14" t="n">
        <v>0</v>
      </c>
      <c r="Q787" s="14" t="n">
        <v>0.43</v>
      </c>
      <c r="R787" s="14" t="n">
        <v>0</v>
      </c>
      <c r="S787" s="14" t="n">
        <v>0.58</v>
      </c>
      <c r="T787" s="14" t="n">
        <v>0.29</v>
      </c>
      <c r="U787" s="14" t="n">
        <v>0.72</v>
      </c>
      <c r="V787" s="14" t="n">
        <v>0.87</v>
      </c>
      <c r="W787" s="14" t="n">
        <v>0.29</v>
      </c>
      <c r="X787" s="14" t="n">
        <v>0</v>
      </c>
      <c r="Y787" s="14" t="n">
        <v>0.14</v>
      </c>
      <c r="Z787" s="14" t="n">
        <v>0</v>
      </c>
      <c r="AA787" s="14" t="n">
        <v>0</v>
      </c>
    </row>
    <row r="788">
      <c r="A788" t="inlineStr">
        <is>
          <t>210704</t>
        </is>
      </c>
      <c r="B788" t="inlineStr">
        <is>
          <t>PUNO</t>
        </is>
      </c>
      <c r="C788" t="inlineStr">
        <is>
          <t>LAMPA</t>
        </is>
      </c>
      <c r="D788" t="inlineStr">
        <is>
          <t>NICASIO</t>
        </is>
      </c>
      <c r="E788" t="n">
        <v>669</v>
      </c>
      <c r="F788" s="14" t="n">
        <v>0</v>
      </c>
      <c r="G788" s="14" t="n">
        <v>75.19</v>
      </c>
      <c r="H788" s="14" t="n">
        <v>0.45</v>
      </c>
      <c r="I788" s="14" t="n">
        <v>3.29</v>
      </c>
      <c r="J788" s="14" t="n">
        <v>0</v>
      </c>
      <c r="K788" s="14" t="n">
        <v>0</v>
      </c>
      <c r="L788" s="14" t="n">
        <v>7.32</v>
      </c>
      <c r="M788" s="14" t="n">
        <v>4.04</v>
      </c>
      <c r="N788" s="14" t="n">
        <v>1.64</v>
      </c>
      <c r="O788" s="14" t="n">
        <v>0.6</v>
      </c>
      <c r="P788" s="14" t="n">
        <v>0.15</v>
      </c>
      <c r="Q788" s="14" t="n">
        <v>0</v>
      </c>
      <c r="R788" s="14" t="n">
        <v>0</v>
      </c>
      <c r="S788" s="14" t="n">
        <v>1.79</v>
      </c>
      <c r="T788" s="14" t="n">
        <v>0.3</v>
      </c>
      <c r="U788" s="14" t="n">
        <v>1.64</v>
      </c>
      <c r="V788" s="14" t="n">
        <v>2.69</v>
      </c>
      <c r="W788" s="14" t="n">
        <v>0.15</v>
      </c>
      <c r="X788" s="14" t="n">
        <v>0.45</v>
      </c>
      <c r="Y788" s="14" t="n">
        <v>0.3</v>
      </c>
      <c r="Z788" s="14" t="n">
        <v>0</v>
      </c>
      <c r="AA788" s="14" t="n">
        <v>0</v>
      </c>
    </row>
    <row r="789">
      <c r="A789" t="inlineStr">
        <is>
          <t>210705</t>
        </is>
      </c>
      <c r="B789" t="inlineStr">
        <is>
          <t>PUNO</t>
        </is>
      </c>
      <c r="C789" t="inlineStr">
        <is>
          <t>LAMPA</t>
        </is>
      </c>
      <c r="D789" t="inlineStr">
        <is>
          <t>OCUVIRI</t>
        </is>
      </c>
      <c r="E789" t="n">
        <v>1233</v>
      </c>
      <c r="F789" s="14" t="n">
        <v>0</v>
      </c>
      <c r="G789" s="14" t="n">
        <v>40.88</v>
      </c>
      <c r="H789" s="14" t="n">
        <v>23.28</v>
      </c>
      <c r="I789" s="14" t="n">
        <v>1.62</v>
      </c>
      <c r="J789" s="14" t="n">
        <v>0.16</v>
      </c>
      <c r="K789" s="14" t="n">
        <v>0</v>
      </c>
      <c r="L789" s="14" t="n">
        <v>7.38</v>
      </c>
      <c r="M789" s="14" t="n">
        <v>9.73</v>
      </c>
      <c r="N789" s="14" t="n">
        <v>1.7</v>
      </c>
      <c r="O789" s="14" t="n">
        <v>2.51</v>
      </c>
      <c r="P789" s="14" t="n">
        <v>0.08</v>
      </c>
      <c r="Q789" s="14" t="n">
        <v>0</v>
      </c>
      <c r="R789" s="14" t="n">
        <v>0</v>
      </c>
      <c r="S789" s="14" t="n">
        <v>2.11</v>
      </c>
      <c r="T789" s="14" t="n">
        <v>6.24</v>
      </c>
      <c r="U789" s="14" t="n">
        <v>1.54</v>
      </c>
      <c r="V789" s="14" t="n">
        <v>0.97</v>
      </c>
      <c r="W789" s="14" t="n">
        <v>0.16</v>
      </c>
      <c r="X789" s="14" t="n">
        <v>0</v>
      </c>
      <c r="Y789" s="14" t="n">
        <v>1.3</v>
      </c>
      <c r="Z789" s="14" t="n">
        <v>0.32</v>
      </c>
      <c r="AA789" s="14" t="n">
        <v>0</v>
      </c>
    </row>
    <row r="790">
      <c r="A790" t="inlineStr">
        <is>
          <t>210706</t>
        </is>
      </c>
      <c r="B790" t="inlineStr">
        <is>
          <t>PUNO</t>
        </is>
      </c>
      <c r="C790" t="inlineStr">
        <is>
          <t>LAMPA</t>
        </is>
      </c>
      <c r="D790" t="inlineStr">
        <is>
          <t>PALCA</t>
        </is>
      </c>
      <c r="E790" t="n">
        <v>964</v>
      </c>
      <c r="F790" s="14" t="n">
        <v>0</v>
      </c>
      <c r="G790" s="14" t="n">
        <v>74.69</v>
      </c>
      <c r="H790" s="14" t="n">
        <v>0.62</v>
      </c>
      <c r="I790" s="14" t="n">
        <v>4.98</v>
      </c>
      <c r="J790" s="14" t="n">
        <v>0</v>
      </c>
      <c r="K790" s="14" t="n">
        <v>0</v>
      </c>
      <c r="L790" s="14" t="n">
        <v>6.95</v>
      </c>
      <c r="M790" s="14" t="n">
        <v>5.91</v>
      </c>
      <c r="N790" s="14" t="n">
        <v>0.62</v>
      </c>
      <c r="O790" s="14" t="n">
        <v>2.28</v>
      </c>
      <c r="P790" s="14" t="n">
        <v>0</v>
      </c>
      <c r="Q790" s="14" t="n">
        <v>0</v>
      </c>
      <c r="R790" s="14" t="n">
        <v>0</v>
      </c>
      <c r="S790" s="14" t="n">
        <v>0.31</v>
      </c>
      <c r="T790" s="14" t="n">
        <v>0.1</v>
      </c>
      <c r="U790" s="14" t="n">
        <v>0.83</v>
      </c>
      <c r="V790" s="14" t="n">
        <v>1.56</v>
      </c>
      <c r="W790" s="14" t="n">
        <v>0.41</v>
      </c>
      <c r="X790" s="14" t="n">
        <v>0</v>
      </c>
      <c r="Y790" s="14" t="n">
        <v>0.52</v>
      </c>
      <c r="Z790" s="14" t="n">
        <v>0.21</v>
      </c>
      <c r="AA790" s="14" t="n">
        <v>0</v>
      </c>
    </row>
    <row r="791">
      <c r="A791" t="inlineStr">
        <is>
          <t>210707</t>
        </is>
      </c>
      <c r="B791" t="inlineStr">
        <is>
          <t>PUNO</t>
        </is>
      </c>
      <c r="C791" t="inlineStr">
        <is>
          <t>LAMPA</t>
        </is>
      </c>
      <c r="D791" t="inlineStr">
        <is>
          <t>PARATIA</t>
        </is>
      </c>
      <c r="E791" t="n">
        <v>992</v>
      </c>
      <c r="F791" s="14" t="n">
        <v>0</v>
      </c>
      <c r="G791" s="14" t="n">
        <v>65.63</v>
      </c>
      <c r="H791" s="14" t="n">
        <v>9.68</v>
      </c>
      <c r="I791" s="14" t="n">
        <v>3.73</v>
      </c>
      <c r="J791" s="14" t="n">
        <v>0.1</v>
      </c>
      <c r="K791" s="14" t="n">
        <v>0</v>
      </c>
      <c r="L791" s="14" t="n">
        <v>4.74</v>
      </c>
      <c r="M791" s="14" t="n">
        <v>5.85</v>
      </c>
      <c r="N791" s="14" t="n">
        <v>1.61</v>
      </c>
      <c r="O791" s="14" t="n">
        <v>1.81</v>
      </c>
      <c r="P791" s="14" t="n">
        <v>0.2</v>
      </c>
      <c r="Q791" s="14" t="n">
        <v>0.1</v>
      </c>
      <c r="R791" s="14" t="n">
        <v>0</v>
      </c>
      <c r="S791" s="14" t="n">
        <v>1.01</v>
      </c>
      <c r="T791" s="14" t="n">
        <v>0.4</v>
      </c>
      <c r="U791" s="14" t="n">
        <v>1.61</v>
      </c>
      <c r="V791" s="14" t="n">
        <v>1.81</v>
      </c>
      <c r="W791" s="14" t="n">
        <v>0.71</v>
      </c>
      <c r="X791" s="14" t="n">
        <v>0.1</v>
      </c>
      <c r="Y791" s="14" t="n">
        <v>0.91</v>
      </c>
      <c r="Z791" s="14" t="n">
        <v>0</v>
      </c>
      <c r="AA791" s="14" t="n">
        <v>0</v>
      </c>
    </row>
    <row r="792">
      <c r="A792" t="inlineStr">
        <is>
          <t>210708</t>
        </is>
      </c>
      <c r="B792" t="inlineStr">
        <is>
          <t>PUNO</t>
        </is>
      </c>
      <c r="C792" t="inlineStr">
        <is>
          <t>LAMPA</t>
        </is>
      </c>
      <c r="D792" t="inlineStr">
        <is>
          <t>PUCARA</t>
        </is>
      </c>
      <c r="E792" t="n">
        <v>2427</v>
      </c>
      <c r="F792" s="14" t="n">
        <v>0</v>
      </c>
      <c r="G792" s="14" t="n">
        <v>70.45999999999999</v>
      </c>
      <c r="H792" s="14" t="n">
        <v>0.12</v>
      </c>
      <c r="I792" s="14" t="n">
        <v>14.46</v>
      </c>
      <c r="J792" s="14" t="n">
        <v>0</v>
      </c>
      <c r="K792" s="14" t="n">
        <v>0</v>
      </c>
      <c r="L792" s="14" t="n">
        <v>1.73</v>
      </c>
      <c r="M792" s="14" t="n">
        <v>4.49</v>
      </c>
      <c r="N792" s="14" t="n">
        <v>0.82</v>
      </c>
      <c r="O792" s="14" t="n">
        <v>0.41</v>
      </c>
      <c r="P792" s="14" t="n">
        <v>0.08</v>
      </c>
      <c r="Q792" s="14" t="n">
        <v>0</v>
      </c>
      <c r="R792" s="14" t="n">
        <v>0</v>
      </c>
      <c r="S792" s="14" t="n">
        <v>0.33</v>
      </c>
      <c r="T792" s="14" t="n">
        <v>0.16</v>
      </c>
      <c r="U792" s="14" t="n">
        <v>2.27</v>
      </c>
      <c r="V792" s="14" t="n">
        <v>3.71</v>
      </c>
      <c r="W792" s="14" t="n">
        <v>0.49</v>
      </c>
      <c r="X792" s="14" t="n">
        <v>0</v>
      </c>
      <c r="Y792" s="14" t="n">
        <v>0.29</v>
      </c>
      <c r="Z792" s="14" t="n">
        <v>0.16</v>
      </c>
      <c r="AA792" s="14" t="n">
        <v>0</v>
      </c>
    </row>
    <row r="793">
      <c r="A793" t="inlineStr">
        <is>
          <t>210709</t>
        </is>
      </c>
      <c r="B793" t="inlineStr">
        <is>
          <t>PUNO</t>
        </is>
      </c>
      <c r="C793" t="inlineStr">
        <is>
          <t>LAMPA</t>
        </is>
      </c>
      <c r="D793" t="inlineStr">
        <is>
          <t>SANTA LUCIA</t>
        </is>
      </c>
      <c r="E793" t="n">
        <v>2538</v>
      </c>
      <c r="F793" s="14" t="n">
        <v>0</v>
      </c>
      <c r="G793" s="14" t="n">
        <v>44.88</v>
      </c>
      <c r="H793" s="14" t="n">
        <v>7.09</v>
      </c>
      <c r="I793" s="14" t="n">
        <v>3.51</v>
      </c>
      <c r="J793" s="14" t="n">
        <v>0.04</v>
      </c>
      <c r="K793" s="14" t="n">
        <v>0.04</v>
      </c>
      <c r="L793" s="14" t="n">
        <v>6.46</v>
      </c>
      <c r="M793" s="14" t="n">
        <v>14.66</v>
      </c>
      <c r="N793" s="14" t="n">
        <v>6.3</v>
      </c>
      <c r="O793" s="14" t="n">
        <v>4.69</v>
      </c>
      <c r="P793" s="14" t="n">
        <v>0.28</v>
      </c>
      <c r="Q793" s="14" t="n">
        <v>0.08</v>
      </c>
      <c r="R793" s="14" t="n">
        <v>0.04</v>
      </c>
      <c r="S793" s="14" t="n">
        <v>1.54</v>
      </c>
      <c r="T793" s="14" t="n">
        <v>0.99</v>
      </c>
      <c r="U793" s="14" t="n">
        <v>2.32</v>
      </c>
      <c r="V793" s="14" t="n">
        <v>2.36</v>
      </c>
      <c r="W793" s="14" t="n">
        <v>0.87</v>
      </c>
      <c r="X793" s="14" t="n">
        <v>1.62</v>
      </c>
      <c r="Y793" s="14" t="n">
        <v>2.13</v>
      </c>
      <c r="Z793" s="14" t="n">
        <v>0.12</v>
      </c>
      <c r="AA793" s="14" t="n">
        <v>0</v>
      </c>
    </row>
    <row r="794">
      <c r="A794" t="inlineStr">
        <is>
          <t>210710</t>
        </is>
      </c>
      <c r="B794" t="inlineStr">
        <is>
          <t>PUNO</t>
        </is>
      </c>
      <c r="C794" t="inlineStr">
        <is>
          <t>LAMPA</t>
        </is>
      </c>
      <c r="D794" t="inlineStr">
        <is>
          <t>VILAVILA</t>
        </is>
      </c>
      <c r="E794" t="n">
        <v>535</v>
      </c>
      <c r="F794" s="14" t="n">
        <v>0</v>
      </c>
      <c r="G794" s="14" t="n">
        <v>53.83</v>
      </c>
      <c r="H794" s="14" t="n">
        <v>0.5600000000000001</v>
      </c>
      <c r="I794" s="14" t="n">
        <v>10.47</v>
      </c>
      <c r="J794" s="14" t="n">
        <v>0</v>
      </c>
      <c r="K794" s="14" t="n">
        <v>0.19</v>
      </c>
      <c r="L794" s="14" t="n">
        <v>15.14</v>
      </c>
      <c r="M794" s="14" t="n">
        <v>6.54</v>
      </c>
      <c r="N794" s="14" t="n">
        <v>2.43</v>
      </c>
      <c r="O794" s="14" t="n">
        <v>1.31</v>
      </c>
      <c r="P794" s="14" t="n">
        <v>0.19</v>
      </c>
      <c r="Q794" s="14" t="n">
        <v>0</v>
      </c>
      <c r="R794" s="14" t="n">
        <v>0</v>
      </c>
      <c r="S794" s="14" t="n">
        <v>1.31</v>
      </c>
      <c r="T794" s="14" t="n">
        <v>0.37</v>
      </c>
      <c r="U794" s="14" t="n">
        <v>2.43</v>
      </c>
      <c r="V794" s="14" t="n">
        <v>3.18</v>
      </c>
      <c r="W794" s="14" t="n">
        <v>1.87</v>
      </c>
      <c r="X794" s="14" t="n">
        <v>0</v>
      </c>
      <c r="Y794" s="14" t="n">
        <v>0</v>
      </c>
      <c r="Z794" s="14" t="n">
        <v>0.19</v>
      </c>
      <c r="AA794" s="14" t="n">
        <v>0</v>
      </c>
    </row>
    <row r="795">
      <c r="A795" t="inlineStr">
        <is>
          <t>210801</t>
        </is>
      </c>
      <c r="B795" t="inlineStr">
        <is>
          <t>PUNO</t>
        </is>
      </c>
      <c r="C795" t="inlineStr">
        <is>
          <t>MELGAR</t>
        </is>
      </c>
      <c r="D795" t="inlineStr">
        <is>
          <t>AYAVIRI</t>
        </is>
      </c>
      <c r="E795" t="n">
        <v>9457</v>
      </c>
      <c r="F795" s="14" t="n">
        <v>0</v>
      </c>
      <c r="G795" s="14" t="n">
        <v>21.78</v>
      </c>
      <c r="H795" s="14" t="n">
        <v>0.73</v>
      </c>
      <c r="I795" s="14" t="n">
        <v>4.45</v>
      </c>
      <c r="J795" s="14" t="n">
        <v>0.07000000000000001</v>
      </c>
      <c r="K795" s="14" t="n">
        <v>0.15</v>
      </c>
      <c r="L795" s="14" t="n">
        <v>9.25</v>
      </c>
      <c r="M795" s="14" t="n">
        <v>21.08</v>
      </c>
      <c r="N795" s="14" t="n">
        <v>8.35</v>
      </c>
      <c r="O795" s="14" t="n">
        <v>5.82</v>
      </c>
      <c r="P795" s="14" t="n">
        <v>0.49</v>
      </c>
      <c r="Q795" s="14" t="n">
        <v>1.05</v>
      </c>
      <c r="R795" s="14" t="n">
        <v>0.07000000000000001</v>
      </c>
      <c r="S795" s="14" t="n">
        <v>3.61</v>
      </c>
      <c r="T795" s="14" t="n">
        <v>1.44</v>
      </c>
      <c r="U795" s="14" t="n">
        <v>3.94</v>
      </c>
      <c r="V795" s="14" t="n">
        <v>10.17</v>
      </c>
      <c r="W795" s="14" t="n">
        <v>2.56</v>
      </c>
      <c r="X795" s="14" t="n">
        <v>0.76</v>
      </c>
      <c r="Y795" s="14" t="n">
        <v>3.69</v>
      </c>
      <c r="Z795" s="14" t="n">
        <v>0.53</v>
      </c>
      <c r="AA795" s="14" t="n">
        <v>0</v>
      </c>
    </row>
    <row r="796">
      <c r="A796" t="inlineStr">
        <is>
          <t>210802</t>
        </is>
      </c>
      <c r="B796" t="inlineStr">
        <is>
          <t>PUNO</t>
        </is>
      </c>
      <c r="C796" t="inlineStr">
        <is>
          <t>MELGAR</t>
        </is>
      </c>
      <c r="D796" t="inlineStr">
        <is>
          <t>ANTAUTA</t>
        </is>
      </c>
      <c r="E796" t="n">
        <v>2161</v>
      </c>
      <c r="F796" s="14" t="n">
        <v>0</v>
      </c>
      <c r="G796" s="14" t="n">
        <v>18.46</v>
      </c>
      <c r="H796" s="14" t="n">
        <v>36.46</v>
      </c>
      <c r="I796" s="14" t="n">
        <v>3.42</v>
      </c>
      <c r="J796" s="14" t="n">
        <v>0.19</v>
      </c>
      <c r="K796" s="14" t="n">
        <v>0.37</v>
      </c>
      <c r="L796" s="14" t="n">
        <v>18.23</v>
      </c>
      <c r="M796" s="14" t="n">
        <v>5.41</v>
      </c>
      <c r="N796" s="14" t="n">
        <v>4.72</v>
      </c>
      <c r="O796" s="14" t="n">
        <v>3.79</v>
      </c>
      <c r="P796" s="14" t="n">
        <v>0.05</v>
      </c>
      <c r="Q796" s="14" t="n">
        <v>0.05</v>
      </c>
      <c r="R796" s="14" t="n">
        <v>0.09</v>
      </c>
      <c r="S796" s="14" t="n">
        <v>2.45</v>
      </c>
      <c r="T796" s="14" t="n">
        <v>0.97</v>
      </c>
      <c r="U796" s="14" t="n">
        <v>1.76</v>
      </c>
      <c r="V796" s="14" t="n">
        <v>1.11</v>
      </c>
      <c r="W796" s="14" t="n">
        <v>0.6</v>
      </c>
      <c r="X796" s="14" t="n">
        <v>0.19</v>
      </c>
      <c r="Y796" s="14" t="n">
        <v>1.39</v>
      </c>
      <c r="Z796" s="14" t="n">
        <v>0.28</v>
      </c>
      <c r="AA796" s="14" t="n">
        <v>0</v>
      </c>
    </row>
    <row r="797">
      <c r="A797" t="inlineStr">
        <is>
          <t>210803</t>
        </is>
      </c>
      <c r="B797" t="inlineStr">
        <is>
          <t>PUNO</t>
        </is>
      </c>
      <c r="C797" t="inlineStr">
        <is>
          <t>MELGAR</t>
        </is>
      </c>
      <c r="D797" t="inlineStr">
        <is>
          <t>CUPI</t>
        </is>
      </c>
      <c r="E797" t="n">
        <v>809</v>
      </c>
      <c r="F797" s="14" t="n">
        <v>0</v>
      </c>
      <c r="G797" s="14" t="n">
        <v>66.87</v>
      </c>
      <c r="H797" s="14" t="n">
        <v>0.37</v>
      </c>
      <c r="I797" s="14" t="n">
        <v>2.47</v>
      </c>
      <c r="J797" s="14" t="n">
        <v>0</v>
      </c>
      <c r="K797" s="14" t="n">
        <v>0</v>
      </c>
      <c r="L797" s="14" t="n">
        <v>6.8</v>
      </c>
      <c r="M797" s="14" t="n">
        <v>12.73</v>
      </c>
      <c r="N797" s="14" t="n">
        <v>2.22</v>
      </c>
      <c r="O797" s="14" t="n">
        <v>0.99</v>
      </c>
      <c r="P797" s="14" t="n">
        <v>0.12</v>
      </c>
      <c r="Q797" s="14" t="n">
        <v>0.12</v>
      </c>
      <c r="R797" s="14" t="n">
        <v>0</v>
      </c>
      <c r="S797" s="14" t="n">
        <v>1.36</v>
      </c>
      <c r="T797" s="14" t="n">
        <v>0.62</v>
      </c>
      <c r="U797" s="14" t="n">
        <v>1.24</v>
      </c>
      <c r="V797" s="14" t="n">
        <v>1.98</v>
      </c>
      <c r="W797" s="14" t="n">
        <v>0.87</v>
      </c>
      <c r="X797" s="14" t="n">
        <v>0</v>
      </c>
      <c r="Y797" s="14" t="n">
        <v>0.74</v>
      </c>
      <c r="Z797" s="14" t="n">
        <v>0.49</v>
      </c>
      <c r="AA797" s="14" t="n">
        <v>0</v>
      </c>
    </row>
    <row r="798">
      <c r="A798" t="inlineStr">
        <is>
          <t>210804</t>
        </is>
      </c>
      <c r="B798" t="inlineStr">
        <is>
          <t>PUNO</t>
        </is>
      </c>
      <c r="C798" t="inlineStr">
        <is>
          <t>MELGAR</t>
        </is>
      </c>
      <c r="D798" t="inlineStr">
        <is>
          <t>LLALLI</t>
        </is>
      </c>
      <c r="E798" t="n">
        <v>807</v>
      </c>
      <c r="F798" s="14" t="n">
        <v>0</v>
      </c>
      <c r="G798" s="14" t="n">
        <v>59.85</v>
      </c>
      <c r="H798" s="14" t="n">
        <v>0.74</v>
      </c>
      <c r="I798" s="14" t="n">
        <v>4.09</v>
      </c>
      <c r="J798" s="14" t="n">
        <v>0.12</v>
      </c>
      <c r="K798" s="14" t="n">
        <v>0</v>
      </c>
      <c r="L798" s="14" t="n">
        <v>9.789999999999999</v>
      </c>
      <c r="M798" s="14" t="n">
        <v>12.39</v>
      </c>
      <c r="N798" s="14" t="n">
        <v>1.98</v>
      </c>
      <c r="O798" s="14" t="n">
        <v>3.72</v>
      </c>
      <c r="P798" s="14" t="n">
        <v>0</v>
      </c>
      <c r="Q798" s="14" t="n">
        <v>0.12</v>
      </c>
      <c r="R798" s="14" t="n">
        <v>0</v>
      </c>
      <c r="S798" s="14" t="n">
        <v>1.12</v>
      </c>
      <c r="T798" s="14" t="n">
        <v>0.62</v>
      </c>
      <c r="U798" s="14" t="n">
        <v>1.61</v>
      </c>
      <c r="V798" s="14" t="n">
        <v>2.35</v>
      </c>
      <c r="W798" s="14" t="n">
        <v>0.5</v>
      </c>
      <c r="X798" s="14" t="n">
        <v>0</v>
      </c>
      <c r="Y798" s="14" t="n">
        <v>0.87</v>
      </c>
      <c r="Z798" s="14" t="n">
        <v>0.12</v>
      </c>
      <c r="AA798" s="14" t="n">
        <v>0</v>
      </c>
    </row>
    <row r="799">
      <c r="A799" t="inlineStr">
        <is>
          <t>210805</t>
        </is>
      </c>
      <c r="B799" t="inlineStr">
        <is>
          <t>PUNO</t>
        </is>
      </c>
      <c r="C799" t="inlineStr">
        <is>
          <t>MELGAR</t>
        </is>
      </c>
      <c r="D799" t="inlineStr">
        <is>
          <t>MACARI</t>
        </is>
      </c>
      <c r="E799" t="n">
        <v>2311</v>
      </c>
      <c r="F799" s="14" t="n">
        <v>0</v>
      </c>
      <c r="G799" s="14" t="n">
        <v>66.42</v>
      </c>
      <c r="H799" s="14" t="n">
        <v>0.91</v>
      </c>
      <c r="I799" s="14" t="n">
        <v>2.64</v>
      </c>
      <c r="J799" s="14" t="n">
        <v>0.04</v>
      </c>
      <c r="K799" s="14" t="n">
        <v>0.13</v>
      </c>
      <c r="L799" s="14" t="n">
        <v>8.609999999999999</v>
      </c>
      <c r="M799" s="14" t="n">
        <v>8.57</v>
      </c>
      <c r="N799" s="14" t="n">
        <v>1.69</v>
      </c>
      <c r="O799" s="14" t="n">
        <v>2.34</v>
      </c>
      <c r="P799" s="14" t="n">
        <v>0.13</v>
      </c>
      <c r="Q799" s="14" t="n">
        <v>0.26</v>
      </c>
      <c r="R799" s="14" t="n">
        <v>0</v>
      </c>
      <c r="S799" s="14" t="n">
        <v>1.25</v>
      </c>
      <c r="T799" s="14" t="n">
        <v>0.26</v>
      </c>
      <c r="U799" s="14" t="n">
        <v>1.99</v>
      </c>
      <c r="V799" s="14" t="n">
        <v>1.99</v>
      </c>
      <c r="W799" s="14" t="n">
        <v>1</v>
      </c>
      <c r="X799" s="14" t="n">
        <v>0</v>
      </c>
      <c r="Y799" s="14" t="n">
        <v>1.43</v>
      </c>
      <c r="Z799" s="14" t="n">
        <v>0.35</v>
      </c>
      <c r="AA799" s="14" t="n">
        <v>0</v>
      </c>
    </row>
    <row r="800">
      <c r="A800" t="inlineStr">
        <is>
          <t>210806</t>
        </is>
      </c>
      <c r="B800" t="inlineStr">
        <is>
          <t>PUNO</t>
        </is>
      </c>
      <c r="C800" t="inlineStr">
        <is>
          <t>MELGAR</t>
        </is>
      </c>
      <c r="D800" t="inlineStr">
        <is>
          <t>NUÑOA</t>
        </is>
      </c>
      <c r="E800" t="n">
        <v>2757</v>
      </c>
      <c r="F800" s="14" t="n">
        <v>0</v>
      </c>
      <c r="G800" s="14" t="n">
        <v>68.26000000000001</v>
      </c>
      <c r="H800" s="14" t="n">
        <v>0.25</v>
      </c>
      <c r="I800" s="14" t="n">
        <v>3.08</v>
      </c>
      <c r="J800" s="14" t="n">
        <v>0</v>
      </c>
      <c r="K800" s="14" t="n">
        <v>0</v>
      </c>
      <c r="L800" s="14" t="n">
        <v>6.93</v>
      </c>
      <c r="M800" s="14" t="n">
        <v>7.94</v>
      </c>
      <c r="N800" s="14" t="n">
        <v>2.1</v>
      </c>
      <c r="O800" s="14" t="n">
        <v>2.07</v>
      </c>
      <c r="P800" s="14" t="n">
        <v>0.11</v>
      </c>
      <c r="Q800" s="14" t="n">
        <v>0.15</v>
      </c>
      <c r="R800" s="14" t="n">
        <v>0</v>
      </c>
      <c r="S800" s="14" t="n">
        <v>0.76</v>
      </c>
      <c r="T800" s="14" t="n">
        <v>0.54</v>
      </c>
      <c r="U800" s="14" t="n">
        <v>2.36</v>
      </c>
      <c r="V800" s="14" t="n">
        <v>3.37</v>
      </c>
      <c r="W800" s="14" t="n">
        <v>1.02</v>
      </c>
      <c r="X800" s="14" t="n">
        <v>0.07000000000000001</v>
      </c>
      <c r="Y800" s="14" t="n">
        <v>0.65</v>
      </c>
      <c r="Z800" s="14" t="n">
        <v>0.33</v>
      </c>
      <c r="AA800" s="14" t="n">
        <v>0</v>
      </c>
    </row>
    <row r="801">
      <c r="A801" t="inlineStr">
        <is>
          <t>210807</t>
        </is>
      </c>
      <c r="B801" t="inlineStr">
        <is>
          <t>PUNO</t>
        </is>
      </c>
      <c r="C801" t="inlineStr">
        <is>
          <t>MELGAR</t>
        </is>
      </c>
      <c r="D801" t="inlineStr">
        <is>
          <t>ORURILLO</t>
        </is>
      </c>
      <c r="E801" t="n">
        <v>2267</v>
      </c>
      <c r="F801" s="14" t="n">
        <v>0</v>
      </c>
      <c r="G801" s="14" t="n">
        <v>83.63</v>
      </c>
      <c r="H801" s="14" t="n">
        <v>0.13</v>
      </c>
      <c r="I801" s="14" t="n">
        <v>1.15</v>
      </c>
      <c r="J801" s="14" t="n">
        <v>0</v>
      </c>
      <c r="K801" s="14" t="n">
        <v>0.04</v>
      </c>
      <c r="L801" s="14" t="n">
        <v>3.62</v>
      </c>
      <c r="M801" s="14" t="n">
        <v>4.01</v>
      </c>
      <c r="N801" s="14" t="n">
        <v>1.01</v>
      </c>
      <c r="O801" s="14" t="n">
        <v>0.75</v>
      </c>
      <c r="P801" s="14" t="n">
        <v>0</v>
      </c>
      <c r="Q801" s="14" t="n">
        <v>0.04</v>
      </c>
      <c r="R801" s="14" t="n">
        <v>0</v>
      </c>
      <c r="S801" s="14" t="n">
        <v>0.57</v>
      </c>
      <c r="T801" s="14" t="n">
        <v>0.53</v>
      </c>
      <c r="U801" s="14" t="n">
        <v>1.15</v>
      </c>
      <c r="V801" s="14" t="n">
        <v>2.38</v>
      </c>
      <c r="W801" s="14" t="n">
        <v>0.44</v>
      </c>
      <c r="X801" s="14" t="n">
        <v>0.04</v>
      </c>
      <c r="Y801" s="14" t="n">
        <v>0.44</v>
      </c>
      <c r="Z801" s="14" t="n">
        <v>0.04</v>
      </c>
      <c r="AA801" s="14" t="n">
        <v>0</v>
      </c>
    </row>
    <row r="802">
      <c r="A802" t="inlineStr">
        <is>
          <t>210808</t>
        </is>
      </c>
      <c r="B802" t="inlineStr">
        <is>
          <t>PUNO</t>
        </is>
      </c>
      <c r="C802" t="inlineStr">
        <is>
          <t>MELGAR</t>
        </is>
      </c>
      <c r="D802" t="inlineStr">
        <is>
          <t>SANTA ROSA</t>
        </is>
      </c>
      <c r="E802" t="n">
        <v>1970</v>
      </c>
      <c r="F802" s="14" t="n">
        <v>0</v>
      </c>
      <c r="G802" s="14" t="n">
        <v>54.62</v>
      </c>
      <c r="H802" s="14" t="n">
        <v>0.46</v>
      </c>
      <c r="I802" s="14" t="n">
        <v>3.25</v>
      </c>
      <c r="J802" s="14" t="n">
        <v>0.05</v>
      </c>
      <c r="K802" s="14" t="n">
        <v>0</v>
      </c>
      <c r="L802" s="14" t="n">
        <v>7.26</v>
      </c>
      <c r="M802" s="14" t="n">
        <v>15.53</v>
      </c>
      <c r="N802" s="14" t="n">
        <v>2.69</v>
      </c>
      <c r="O802" s="14" t="n">
        <v>2.64</v>
      </c>
      <c r="P802" s="14" t="n">
        <v>0.05</v>
      </c>
      <c r="Q802" s="14" t="n">
        <v>0.2</v>
      </c>
      <c r="R802" s="14" t="n">
        <v>0.05</v>
      </c>
      <c r="S802" s="14" t="n">
        <v>1.68</v>
      </c>
      <c r="T802" s="14" t="n">
        <v>0.36</v>
      </c>
      <c r="U802" s="14" t="n">
        <v>4.01</v>
      </c>
      <c r="V802" s="14" t="n">
        <v>4.21</v>
      </c>
      <c r="W802" s="14" t="n">
        <v>0.5600000000000001</v>
      </c>
      <c r="X802" s="14" t="n">
        <v>0.3</v>
      </c>
      <c r="Y802" s="14" t="n">
        <v>1.88</v>
      </c>
      <c r="Z802" s="14" t="n">
        <v>0.2</v>
      </c>
      <c r="AA802" s="14" t="n">
        <v>0</v>
      </c>
    </row>
    <row r="803">
      <c r="A803" t="inlineStr">
        <is>
          <t>210809</t>
        </is>
      </c>
      <c r="B803" t="inlineStr">
        <is>
          <t>PUNO</t>
        </is>
      </c>
      <c r="C803" t="inlineStr">
        <is>
          <t>MELGAR</t>
        </is>
      </c>
      <c r="D803" t="inlineStr">
        <is>
          <t>UMACHIRI</t>
        </is>
      </c>
      <c r="E803" t="n">
        <v>1694</v>
      </c>
      <c r="F803" s="14" t="n">
        <v>0</v>
      </c>
      <c r="G803" s="14" t="n">
        <v>76.09</v>
      </c>
      <c r="H803" s="14" t="n">
        <v>0</v>
      </c>
      <c r="I803" s="14" t="n">
        <v>3.78</v>
      </c>
      <c r="J803" s="14" t="n">
        <v>0</v>
      </c>
      <c r="K803" s="14" t="n">
        <v>0</v>
      </c>
      <c r="L803" s="14" t="n">
        <v>5.61</v>
      </c>
      <c r="M803" s="14" t="n">
        <v>5.37</v>
      </c>
      <c r="N803" s="14" t="n">
        <v>1.89</v>
      </c>
      <c r="O803" s="14" t="n">
        <v>1.42</v>
      </c>
      <c r="P803" s="14" t="n">
        <v>0.12</v>
      </c>
      <c r="Q803" s="14" t="n">
        <v>0.18</v>
      </c>
      <c r="R803" s="14" t="n">
        <v>0</v>
      </c>
      <c r="S803" s="14" t="n">
        <v>0.53</v>
      </c>
      <c r="T803" s="14" t="n">
        <v>0.53</v>
      </c>
      <c r="U803" s="14" t="n">
        <v>0.47</v>
      </c>
      <c r="V803" s="14" t="n">
        <v>1.71</v>
      </c>
      <c r="W803" s="14" t="n">
        <v>0.41</v>
      </c>
      <c r="X803" s="14" t="n">
        <v>0.06</v>
      </c>
      <c r="Y803" s="14" t="n">
        <v>0.89</v>
      </c>
      <c r="Z803" s="14" t="n">
        <v>0.9399999999999999</v>
      </c>
      <c r="AA803" s="14" t="n">
        <v>0</v>
      </c>
    </row>
    <row r="804">
      <c r="A804" t="inlineStr">
        <is>
          <t>210901</t>
        </is>
      </c>
      <c r="B804" t="inlineStr">
        <is>
          <t>PUNO</t>
        </is>
      </c>
      <c r="C804" t="inlineStr">
        <is>
          <t>MOHO</t>
        </is>
      </c>
      <c r="D804" t="inlineStr">
        <is>
          <t>MOHO</t>
        </is>
      </c>
      <c r="E804" t="n">
        <v>5071</v>
      </c>
      <c r="F804" s="14" t="n">
        <v>0</v>
      </c>
      <c r="G804" s="14" t="n">
        <v>83.70999999999999</v>
      </c>
      <c r="H804" s="14" t="n">
        <v>0.06</v>
      </c>
      <c r="I804" s="14" t="n">
        <v>1.14</v>
      </c>
      <c r="J804" s="14" t="n">
        <v>0</v>
      </c>
      <c r="K804" s="14" t="n">
        <v>0</v>
      </c>
      <c r="L804" s="14" t="n">
        <v>1.48</v>
      </c>
      <c r="M804" s="14" t="n">
        <v>3.85</v>
      </c>
      <c r="N804" s="14" t="n">
        <v>1.12</v>
      </c>
      <c r="O804" s="14" t="n">
        <v>1.38</v>
      </c>
      <c r="P804" s="14" t="n">
        <v>0.04</v>
      </c>
      <c r="Q804" s="14" t="n">
        <v>0.12</v>
      </c>
      <c r="R804" s="14" t="n">
        <v>0</v>
      </c>
      <c r="S804" s="14" t="n">
        <v>0.75</v>
      </c>
      <c r="T804" s="14" t="n">
        <v>0.26</v>
      </c>
      <c r="U804" s="14" t="n">
        <v>1.4</v>
      </c>
      <c r="V804" s="14" t="n">
        <v>3.31</v>
      </c>
      <c r="W804" s="14" t="n">
        <v>0.47</v>
      </c>
      <c r="X804" s="14" t="n">
        <v>0.04</v>
      </c>
      <c r="Y804" s="14" t="n">
        <v>0.61</v>
      </c>
      <c r="Z804" s="14" t="n">
        <v>0.26</v>
      </c>
      <c r="AA804" s="14" t="n">
        <v>0</v>
      </c>
    </row>
    <row r="805">
      <c r="A805" t="inlineStr">
        <is>
          <t>210902</t>
        </is>
      </c>
      <c r="B805" t="inlineStr">
        <is>
          <t>PUNO</t>
        </is>
      </c>
      <c r="C805" t="inlineStr">
        <is>
          <t>MOHO</t>
        </is>
      </c>
      <c r="D805" t="inlineStr">
        <is>
          <t>CONIMA</t>
        </is>
      </c>
      <c r="E805" t="n">
        <v>1168</v>
      </c>
      <c r="F805" s="14" t="n">
        <v>0</v>
      </c>
      <c r="G805" s="14" t="n">
        <v>86.81999999999999</v>
      </c>
      <c r="H805" s="14" t="n">
        <v>0.17</v>
      </c>
      <c r="I805" s="14" t="n">
        <v>1.46</v>
      </c>
      <c r="J805" s="14" t="n">
        <v>0</v>
      </c>
      <c r="K805" s="14" t="n">
        <v>0</v>
      </c>
      <c r="L805" s="14" t="n">
        <v>1.37</v>
      </c>
      <c r="M805" s="14" t="n">
        <v>2.83</v>
      </c>
      <c r="N805" s="14" t="n">
        <v>0.51</v>
      </c>
      <c r="O805" s="14" t="n">
        <v>0.34</v>
      </c>
      <c r="P805" s="14" t="n">
        <v>0</v>
      </c>
      <c r="Q805" s="14" t="n">
        <v>0</v>
      </c>
      <c r="R805" s="14" t="n">
        <v>0</v>
      </c>
      <c r="S805" s="14" t="n">
        <v>1.11</v>
      </c>
      <c r="T805" s="14" t="n">
        <v>0.43</v>
      </c>
      <c r="U805" s="14" t="n">
        <v>1.11</v>
      </c>
      <c r="V805" s="14" t="n">
        <v>2.57</v>
      </c>
      <c r="W805" s="14" t="n">
        <v>0.51</v>
      </c>
      <c r="X805" s="14" t="n">
        <v>0</v>
      </c>
      <c r="Y805" s="14" t="n">
        <v>0.6</v>
      </c>
      <c r="Z805" s="14" t="n">
        <v>0.17</v>
      </c>
      <c r="AA805" s="14" t="n">
        <v>0</v>
      </c>
    </row>
    <row r="806">
      <c r="A806" t="inlineStr">
        <is>
          <t>210903</t>
        </is>
      </c>
      <c r="B806" t="inlineStr">
        <is>
          <t>PUNO</t>
        </is>
      </c>
      <c r="C806" t="inlineStr">
        <is>
          <t>MOHO</t>
        </is>
      </c>
      <c r="D806" t="inlineStr">
        <is>
          <t>HUAYRAPATA</t>
        </is>
      </c>
      <c r="E806" t="n">
        <v>1001</v>
      </c>
      <c r="F806" s="14" t="n">
        <v>0</v>
      </c>
      <c r="G806" s="14" t="n">
        <v>90.91</v>
      </c>
      <c r="H806" s="14" t="n">
        <v>0</v>
      </c>
      <c r="I806" s="14" t="n">
        <v>0.6</v>
      </c>
      <c r="J806" s="14" t="n">
        <v>0</v>
      </c>
      <c r="K806" s="14" t="n">
        <v>0</v>
      </c>
      <c r="L806" s="14" t="n">
        <v>0.6</v>
      </c>
      <c r="M806" s="14" t="n">
        <v>2.2</v>
      </c>
      <c r="N806" s="14" t="n">
        <v>1.9</v>
      </c>
      <c r="O806" s="14" t="n">
        <v>0.4</v>
      </c>
      <c r="P806" s="14" t="n">
        <v>0</v>
      </c>
      <c r="Q806" s="14" t="n">
        <v>0</v>
      </c>
      <c r="R806" s="14" t="n">
        <v>0</v>
      </c>
      <c r="S806" s="14" t="n">
        <v>0.2</v>
      </c>
      <c r="T806" s="14" t="n">
        <v>0.1</v>
      </c>
      <c r="U806" s="14" t="n">
        <v>0.8</v>
      </c>
      <c r="V806" s="14" t="n">
        <v>1.9</v>
      </c>
      <c r="W806" s="14" t="n">
        <v>0.3</v>
      </c>
      <c r="X806" s="14" t="n">
        <v>0</v>
      </c>
      <c r="Y806" s="14" t="n">
        <v>0</v>
      </c>
      <c r="Z806" s="14" t="n">
        <v>0.1</v>
      </c>
      <c r="AA806" s="14" t="n">
        <v>0</v>
      </c>
    </row>
    <row r="807">
      <c r="A807" t="inlineStr">
        <is>
          <t>210904</t>
        </is>
      </c>
      <c r="B807" t="inlineStr">
        <is>
          <t>PUNO</t>
        </is>
      </c>
      <c r="C807" t="inlineStr">
        <is>
          <t>MOHO</t>
        </is>
      </c>
      <c r="D807" t="inlineStr">
        <is>
          <t>TILALI</t>
        </is>
      </c>
      <c r="E807" t="n">
        <v>1186</v>
      </c>
      <c r="F807" s="14" t="n">
        <v>0</v>
      </c>
      <c r="G807" s="14" t="n">
        <v>90.22</v>
      </c>
      <c r="H807" s="14" t="n">
        <v>0.25</v>
      </c>
      <c r="I807" s="14" t="n">
        <v>0.25</v>
      </c>
      <c r="J807" s="14" t="n">
        <v>0</v>
      </c>
      <c r="K807" s="14" t="n">
        <v>0</v>
      </c>
      <c r="L807" s="14" t="n">
        <v>0.93</v>
      </c>
      <c r="M807" s="14" t="n">
        <v>1.69</v>
      </c>
      <c r="N807" s="14" t="n">
        <v>2.11</v>
      </c>
      <c r="O807" s="14" t="n">
        <v>0.17</v>
      </c>
      <c r="P807" s="14" t="n">
        <v>0.08</v>
      </c>
      <c r="Q807" s="14" t="n">
        <v>0</v>
      </c>
      <c r="R807" s="14" t="n">
        <v>0.08</v>
      </c>
      <c r="S807" s="14" t="n">
        <v>0.17</v>
      </c>
      <c r="T807" s="14" t="n">
        <v>0.25</v>
      </c>
      <c r="U807" s="14" t="n">
        <v>1.43</v>
      </c>
      <c r="V807" s="14" t="n">
        <v>1.77</v>
      </c>
      <c r="W807" s="14" t="n">
        <v>0.25</v>
      </c>
      <c r="X807" s="14" t="n">
        <v>0</v>
      </c>
      <c r="Y807" s="14" t="n">
        <v>0.17</v>
      </c>
      <c r="Z807" s="14" t="n">
        <v>0.17</v>
      </c>
      <c r="AA807" s="14" t="n">
        <v>0</v>
      </c>
    </row>
    <row r="808">
      <c r="A808" t="inlineStr">
        <is>
          <t>211001</t>
        </is>
      </c>
      <c r="B808" t="inlineStr">
        <is>
          <t>PUNO</t>
        </is>
      </c>
      <c r="C808" t="inlineStr">
        <is>
          <t>SAN ANTONIO DE PUTINA</t>
        </is>
      </c>
      <c r="D808" t="inlineStr">
        <is>
          <t>PUTINA</t>
        </is>
      </c>
      <c r="E808" t="n">
        <v>4121</v>
      </c>
      <c r="F808" s="14" t="n">
        <v>0</v>
      </c>
      <c r="G808" s="14" t="n">
        <v>35.26</v>
      </c>
      <c r="H808" s="14" t="n">
        <v>7.45</v>
      </c>
      <c r="I808" s="14" t="n">
        <v>4.13</v>
      </c>
      <c r="J808" s="14" t="n">
        <v>0.02</v>
      </c>
      <c r="K808" s="14" t="n">
        <v>0</v>
      </c>
      <c r="L808" s="14" t="n">
        <v>15.92</v>
      </c>
      <c r="M808" s="14" t="n">
        <v>13.25</v>
      </c>
      <c r="N808" s="14" t="n">
        <v>5.24</v>
      </c>
      <c r="O808" s="14" t="n">
        <v>3.71</v>
      </c>
      <c r="P808" s="14" t="n">
        <v>0.07000000000000001</v>
      </c>
      <c r="Q808" s="14" t="n">
        <v>0.07000000000000001</v>
      </c>
      <c r="R808" s="14" t="n">
        <v>0</v>
      </c>
      <c r="S808" s="14" t="n">
        <v>1.67</v>
      </c>
      <c r="T808" s="14" t="n">
        <v>0.58</v>
      </c>
      <c r="U808" s="14" t="n">
        <v>4.2</v>
      </c>
      <c r="V808" s="14" t="n">
        <v>3.25</v>
      </c>
      <c r="W808" s="14" t="n">
        <v>0.7</v>
      </c>
      <c r="X808" s="14" t="n">
        <v>0.17</v>
      </c>
      <c r="Y808" s="14" t="n">
        <v>3.66</v>
      </c>
      <c r="Z808" s="14" t="n">
        <v>0.63</v>
      </c>
      <c r="AA808" s="14" t="n">
        <v>0</v>
      </c>
    </row>
    <row r="809">
      <c r="A809" t="inlineStr">
        <is>
          <t>211002</t>
        </is>
      </c>
      <c r="B809" t="inlineStr">
        <is>
          <t>PUNO</t>
        </is>
      </c>
      <c r="C809" t="inlineStr">
        <is>
          <t>SAN ANTONIO DE PUTINA</t>
        </is>
      </c>
      <c r="D809" t="inlineStr">
        <is>
          <t>ANANEA</t>
        </is>
      </c>
      <c r="E809" t="n">
        <v>7465</v>
      </c>
      <c r="F809" s="14" t="n">
        <v>0</v>
      </c>
      <c r="G809" s="14" t="n">
        <v>8.609999999999999</v>
      </c>
      <c r="H809" s="14" t="n">
        <v>36.18</v>
      </c>
      <c r="I809" s="14" t="n">
        <v>4.41</v>
      </c>
      <c r="J809" s="14" t="n">
        <v>0.03</v>
      </c>
      <c r="K809" s="14" t="n">
        <v>0.04</v>
      </c>
      <c r="L809" s="14" t="n">
        <v>13.7</v>
      </c>
      <c r="M809" s="14" t="n">
        <v>19.1</v>
      </c>
      <c r="N809" s="14" t="n">
        <v>2.04</v>
      </c>
      <c r="O809" s="14" t="n">
        <v>5.49</v>
      </c>
      <c r="P809" s="14" t="n">
        <v>0.09</v>
      </c>
      <c r="Q809" s="14" t="n">
        <v>0.12</v>
      </c>
      <c r="R809" s="14" t="n">
        <v>0</v>
      </c>
      <c r="S809" s="14" t="n">
        <v>1.23</v>
      </c>
      <c r="T809" s="14" t="n">
        <v>2.76</v>
      </c>
      <c r="U809" s="14" t="n">
        <v>1.37</v>
      </c>
      <c r="V809" s="14" t="n">
        <v>0.35</v>
      </c>
      <c r="W809" s="14" t="n">
        <v>0.15</v>
      </c>
      <c r="X809" s="14" t="n">
        <v>0.12</v>
      </c>
      <c r="Y809" s="14" t="n">
        <v>3.52</v>
      </c>
      <c r="Z809" s="14" t="n">
        <v>0.68</v>
      </c>
      <c r="AA809" s="14" t="n">
        <v>0</v>
      </c>
    </row>
    <row r="810">
      <c r="A810" t="inlineStr">
        <is>
          <t>211003</t>
        </is>
      </c>
      <c r="B810" t="inlineStr">
        <is>
          <t>PUNO</t>
        </is>
      </c>
      <c r="C810" t="inlineStr">
        <is>
          <t>SAN ANTONIO DE PUTINA</t>
        </is>
      </c>
      <c r="D810" t="inlineStr">
        <is>
          <t>PEDRO VILCA APAZA</t>
        </is>
      </c>
      <c r="E810" t="n">
        <v>685</v>
      </c>
      <c r="F810" s="14" t="n">
        <v>0</v>
      </c>
      <c r="G810" s="14" t="n">
        <v>78.25</v>
      </c>
      <c r="H810" s="14" t="n">
        <v>0.88</v>
      </c>
      <c r="I810" s="14" t="n">
        <v>0.73</v>
      </c>
      <c r="J810" s="14" t="n">
        <v>0.15</v>
      </c>
      <c r="K810" s="14" t="n">
        <v>0.15</v>
      </c>
      <c r="L810" s="14" t="n">
        <v>5.99</v>
      </c>
      <c r="M810" s="14" t="n">
        <v>3.94</v>
      </c>
      <c r="N810" s="14" t="n">
        <v>1.46</v>
      </c>
      <c r="O810" s="14" t="n">
        <v>0.58</v>
      </c>
      <c r="P810" s="14" t="n">
        <v>0</v>
      </c>
      <c r="Q810" s="14" t="n">
        <v>0</v>
      </c>
      <c r="R810" s="14" t="n">
        <v>0</v>
      </c>
      <c r="S810" s="14" t="n">
        <v>0.73</v>
      </c>
      <c r="T810" s="14" t="n">
        <v>0.44</v>
      </c>
      <c r="U810" s="14" t="n">
        <v>3.07</v>
      </c>
      <c r="V810" s="14" t="n">
        <v>2.34</v>
      </c>
      <c r="W810" s="14" t="n">
        <v>0.29</v>
      </c>
      <c r="X810" s="14" t="n">
        <v>0</v>
      </c>
      <c r="Y810" s="14" t="n">
        <v>1.02</v>
      </c>
      <c r="Z810" s="14" t="n">
        <v>0</v>
      </c>
      <c r="AA810" s="14" t="n">
        <v>0</v>
      </c>
    </row>
    <row r="811">
      <c r="A811" t="inlineStr">
        <is>
          <t>211004</t>
        </is>
      </c>
      <c r="B811" t="inlineStr">
        <is>
          <t>PUNO</t>
        </is>
      </c>
      <c r="C811" t="inlineStr">
        <is>
          <t>SAN ANTONIO DE PUTINA</t>
        </is>
      </c>
      <c r="D811" t="inlineStr">
        <is>
          <t>QUILCAPUNCU</t>
        </is>
      </c>
      <c r="E811" t="n">
        <v>1184</v>
      </c>
      <c r="F811" s="14" t="n">
        <v>0</v>
      </c>
      <c r="G811" s="14" t="n">
        <v>74.66</v>
      </c>
      <c r="H811" s="14" t="n">
        <v>2.45</v>
      </c>
      <c r="I811" s="14" t="n">
        <v>1.18</v>
      </c>
      <c r="J811" s="14" t="n">
        <v>0.08</v>
      </c>
      <c r="K811" s="14" t="n">
        <v>0</v>
      </c>
      <c r="L811" s="14" t="n">
        <v>7.77</v>
      </c>
      <c r="M811" s="14" t="n">
        <v>4.98</v>
      </c>
      <c r="N811" s="14" t="n">
        <v>1.77</v>
      </c>
      <c r="O811" s="14" t="n">
        <v>0.93</v>
      </c>
      <c r="P811" s="14" t="n">
        <v>0</v>
      </c>
      <c r="Q811" s="14" t="n">
        <v>0</v>
      </c>
      <c r="R811" s="14" t="n">
        <v>0</v>
      </c>
      <c r="S811" s="14" t="n">
        <v>0.93</v>
      </c>
      <c r="T811" s="14" t="n">
        <v>0.25</v>
      </c>
      <c r="U811" s="14" t="n">
        <v>2.2</v>
      </c>
      <c r="V811" s="14" t="n">
        <v>1.18</v>
      </c>
      <c r="W811" s="14" t="n">
        <v>0.59</v>
      </c>
      <c r="X811" s="14" t="n">
        <v>0</v>
      </c>
      <c r="Y811" s="14" t="n">
        <v>0.76</v>
      </c>
      <c r="Z811" s="14" t="n">
        <v>0.25</v>
      </c>
      <c r="AA811" s="14" t="n">
        <v>0</v>
      </c>
    </row>
    <row r="812">
      <c r="A812" t="inlineStr">
        <is>
          <t>211005</t>
        </is>
      </c>
      <c r="B812" t="inlineStr">
        <is>
          <t>PUNO</t>
        </is>
      </c>
      <c r="C812" t="inlineStr">
        <is>
          <t>SAN ANTONIO DE PUTINA</t>
        </is>
      </c>
      <c r="D812" t="inlineStr">
        <is>
          <t>SINA</t>
        </is>
      </c>
      <c r="E812" t="n">
        <v>621</v>
      </c>
      <c r="F812" s="14" t="n">
        <v>0</v>
      </c>
      <c r="G812" s="14" t="n">
        <v>72.79000000000001</v>
      </c>
      <c r="H812" s="14" t="n">
        <v>4.19</v>
      </c>
      <c r="I812" s="14" t="n">
        <v>0.48</v>
      </c>
      <c r="J812" s="14" t="n">
        <v>0</v>
      </c>
      <c r="K812" s="14" t="n">
        <v>0</v>
      </c>
      <c r="L812" s="14" t="n">
        <v>5.15</v>
      </c>
      <c r="M812" s="14" t="n">
        <v>6.6</v>
      </c>
      <c r="N812" s="14" t="n">
        <v>1.77</v>
      </c>
      <c r="O812" s="14" t="n">
        <v>1.45</v>
      </c>
      <c r="P812" s="14" t="n">
        <v>0</v>
      </c>
      <c r="Q812" s="14" t="n">
        <v>0</v>
      </c>
      <c r="R812" s="14" t="n">
        <v>0</v>
      </c>
      <c r="S812" s="14" t="n">
        <v>0.32</v>
      </c>
      <c r="T812" s="14" t="n">
        <v>1.45</v>
      </c>
      <c r="U812" s="14" t="n">
        <v>3.22</v>
      </c>
      <c r="V812" s="14" t="n">
        <v>1.93</v>
      </c>
      <c r="W812" s="14" t="n">
        <v>0.48</v>
      </c>
      <c r="X812" s="14" t="n">
        <v>0</v>
      </c>
      <c r="Y812" s="14" t="n">
        <v>0</v>
      </c>
      <c r="Z812" s="14" t="n">
        <v>0.16</v>
      </c>
      <c r="AA812" s="14" t="n">
        <v>0</v>
      </c>
    </row>
    <row r="813">
      <c r="A813" t="inlineStr">
        <is>
          <t>211101</t>
        </is>
      </c>
      <c r="B813" t="inlineStr">
        <is>
          <t>PUNO</t>
        </is>
      </c>
      <c r="C813" t="inlineStr">
        <is>
          <t>SAN ROMAN</t>
        </is>
      </c>
      <c r="D813" t="inlineStr">
        <is>
          <t>JULIACA</t>
        </is>
      </c>
      <c r="E813" t="n">
        <v>97993</v>
      </c>
      <c r="F813" s="14" t="n">
        <v>0</v>
      </c>
      <c r="G813" s="14" t="n">
        <v>4.27</v>
      </c>
      <c r="H813" s="14" t="n">
        <v>1.27</v>
      </c>
      <c r="I813" s="14" t="n">
        <v>10.3</v>
      </c>
      <c r="J813" s="14" t="n">
        <v>0.09</v>
      </c>
      <c r="K813" s="14" t="n">
        <v>0.16</v>
      </c>
      <c r="L813" s="14" t="n">
        <v>10.17</v>
      </c>
      <c r="M813" s="14" t="n">
        <v>27.91</v>
      </c>
      <c r="N813" s="14" t="n">
        <v>11.7</v>
      </c>
      <c r="O813" s="14" t="n">
        <v>7.16</v>
      </c>
      <c r="P813" s="14" t="n">
        <v>0.8</v>
      </c>
      <c r="Q813" s="14" t="n">
        <v>1.05</v>
      </c>
      <c r="R813" s="14" t="n">
        <v>0.09</v>
      </c>
      <c r="S813" s="14" t="n">
        <v>4.84</v>
      </c>
      <c r="T813" s="14" t="n">
        <v>1.61</v>
      </c>
      <c r="U813" s="14" t="n">
        <v>3.11</v>
      </c>
      <c r="V813" s="14" t="n">
        <v>8.289999999999999</v>
      </c>
      <c r="W813" s="14" t="n">
        <v>2.9</v>
      </c>
      <c r="X813" s="14" t="n">
        <v>0.98</v>
      </c>
      <c r="Y813" s="14" t="n">
        <v>2.61</v>
      </c>
      <c r="Z813" s="14" t="n">
        <v>0.68</v>
      </c>
      <c r="AA813" s="14" t="n">
        <v>0</v>
      </c>
    </row>
    <row r="814">
      <c r="A814" t="inlineStr">
        <is>
          <t>211102</t>
        </is>
      </c>
      <c r="B814" t="inlineStr">
        <is>
          <t>PUNO</t>
        </is>
      </c>
      <c r="C814" t="inlineStr">
        <is>
          <t>SAN ROMAN</t>
        </is>
      </c>
      <c r="D814" t="inlineStr">
        <is>
          <t>CABANA</t>
        </is>
      </c>
      <c r="E814" t="n">
        <v>1733</v>
      </c>
      <c r="F814" s="14" t="n">
        <v>0</v>
      </c>
      <c r="G814" s="14" t="n">
        <v>80.44</v>
      </c>
      <c r="H814" s="14" t="n">
        <v>1.96</v>
      </c>
      <c r="I814" s="14" t="n">
        <v>1.21</v>
      </c>
      <c r="J814" s="14" t="n">
        <v>0</v>
      </c>
      <c r="K814" s="14" t="n">
        <v>0</v>
      </c>
      <c r="L814" s="14" t="n">
        <v>3.92</v>
      </c>
      <c r="M814" s="14" t="n">
        <v>4.5</v>
      </c>
      <c r="N814" s="14" t="n">
        <v>2.54</v>
      </c>
      <c r="O814" s="14" t="n">
        <v>0.8100000000000001</v>
      </c>
      <c r="P814" s="14" t="n">
        <v>0</v>
      </c>
      <c r="Q814" s="14" t="n">
        <v>0.06</v>
      </c>
      <c r="R814" s="14" t="n">
        <v>0</v>
      </c>
      <c r="S814" s="14" t="n">
        <v>1.38</v>
      </c>
      <c r="T814" s="14" t="n">
        <v>0.23</v>
      </c>
      <c r="U814" s="14" t="n">
        <v>0.6899999999999999</v>
      </c>
      <c r="V814" s="14" t="n">
        <v>1.04</v>
      </c>
      <c r="W814" s="14" t="n">
        <v>0.23</v>
      </c>
      <c r="X814" s="14" t="n">
        <v>0.29</v>
      </c>
      <c r="Y814" s="14" t="n">
        <v>0.58</v>
      </c>
      <c r="Z814" s="14" t="n">
        <v>0.12</v>
      </c>
      <c r="AA814" s="14" t="n">
        <v>0</v>
      </c>
    </row>
    <row r="815">
      <c r="A815" t="inlineStr">
        <is>
          <t>211103</t>
        </is>
      </c>
      <c r="B815" t="inlineStr">
        <is>
          <t>PUNO</t>
        </is>
      </c>
      <c r="C815" t="inlineStr">
        <is>
          <t>SAN ROMAN</t>
        </is>
      </c>
      <c r="D815" t="inlineStr">
        <is>
          <t>CABANILLAS</t>
        </is>
      </c>
      <c r="E815" t="n">
        <v>1574</v>
      </c>
      <c r="F815" s="14" t="n">
        <v>0</v>
      </c>
      <c r="G815" s="14" t="n">
        <v>50.57</v>
      </c>
      <c r="H815" s="14" t="n">
        <v>5.4</v>
      </c>
      <c r="I815" s="14" t="n">
        <v>2.8</v>
      </c>
      <c r="J815" s="14" t="n">
        <v>0</v>
      </c>
      <c r="K815" s="14" t="n">
        <v>0</v>
      </c>
      <c r="L815" s="14" t="n">
        <v>7.37</v>
      </c>
      <c r="M815" s="14" t="n">
        <v>12.83</v>
      </c>
      <c r="N815" s="14" t="n">
        <v>3.94</v>
      </c>
      <c r="O815" s="14" t="n">
        <v>4.7</v>
      </c>
      <c r="P815" s="14" t="n">
        <v>0.19</v>
      </c>
      <c r="Q815" s="14" t="n">
        <v>0.25</v>
      </c>
      <c r="R815" s="14" t="n">
        <v>0</v>
      </c>
      <c r="S815" s="14" t="n">
        <v>0.89</v>
      </c>
      <c r="T815" s="14" t="n">
        <v>0.64</v>
      </c>
      <c r="U815" s="14" t="n">
        <v>3.3</v>
      </c>
      <c r="V815" s="14" t="n">
        <v>3.75</v>
      </c>
      <c r="W815" s="14" t="n">
        <v>1.27</v>
      </c>
      <c r="X815" s="14" t="n">
        <v>0.38</v>
      </c>
      <c r="Y815" s="14" t="n">
        <v>1.52</v>
      </c>
      <c r="Z815" s="14" t="n">
        <v>0.19</v>
      </c>
      <c r="AA815" s="14" t="n">
        <v>0</v>
      </c>
    </row>
    <row r="816">
      <c r="A816" t="inlineStr">
        <is>
          <t>211104</t>
        </is>
      </c>
      <c r="B816" t="inlineStr">
        <is>
          <t>PUNO</t>
        </is>
      </c>
      <c r="C816" t="inlineStr">
        <is>
          <t>SAN ROMAN</t>
        </is>
      </c>
      <c r="D816" t="inlineStr">
        <is>
          <t>CARACOTO</t>
        </is>
      </c>
      <c r="E816" t="n">
        <v>2664</v>
      </c>
      <c r="F816" s="14" t="n">
        <v>0</v>
      </c>
      <c r="G816" s="14" t="n">
        <v>55.97</v>
      </c>
      <c r="H816" s="14" t="n">
        <v>0.5600000000000001</v>
      </c>
      <c r="I816" s="14" t="n">
        <v>6.46</v>
      </c>
      <c r="J816" s="14" t="n">
        <v>0</v>
      </c>
      <c r="K816" s="14" t="n">
        <v>0.08</v>
      </c>
      <c r="L816" s="14" t="n">
        <v>9.800000000000001</v>
      </c>
      <c r="M816" s="14" t="n">
        <v>9.31</v>
      </c>
      <c r="N816" s="14" t="n">
        <v>7.73</v>
      </c>
      <c r="O816" s="14" t="n">
        <v>2.78</v>
      </c>
      <c r="P816" s="14" t="n">
        <v>0.15</v>
      </c>
      <c r="Q816" s="14" t="n">
        <v>0.19</v>
      </c>
      <c r="R816" s="14" t="n">
        <v>0</v>
      </c>
      <c r="S816" s="14" t="n">
        <v>0.9</v>
      </c>
      <c r="T816" s="14" t="n">
        <v>1.01</v>
      </c>
      <c r="U816" s="14" t="n">
        <v>1.84</v>
      </c>
      <c r="V816" s="14" t="n">
        <v>1.76</v>
      </c>
      <c r="W816" s="14" t="n">
        <v>0.53</v>
      </c>
      <c r="X816" s="14" t="n">
        <v>0.41</v>
      </c>
      <c r="Y816" s="14" t="n">
        <v>0.38</v>
      </c>
      <c r="Z816" s="14" t="n">
        <v>0.15</v>
      </c>
      <c r="AA816" s="14" t="n">
        <v>0</v>
      </c>
    </row>
    <row r="817">
      <c r="A817" t="inlineStr">
        <is>
          <t>211105</t>
        </is>
      </c>
      <c r="B817" t="inlineStr">
        <is>
          <t>PUNO</t>
        </is>
      </c>
      <c r="C817" t="inlineStr">
        <is>
          <t>SAN ROMAN</t>
        </is>
      </c>
      <c r="D817" t="inlineStr">
        <is>
          <t>SAN MIGUEL</t>
        </is>
      </c>
      <c r="E817" t="n">
        <v>23676</v>
      </c>
      <c r="F817" s="14" t="n">
        <v>0</v>
      </c>
      <c r="G817" s="14" t="n">
        <v>6.54</v>
      </c>
      <c r="H817" s="14" t="n">
        <v>1.4</v>
      </c>
      <c r="I817" s="14" t="n">
        <v>10.36</v>
      </c>
      <c r="J817" s="14" t="n">
        <v>0.04</v>
      </c>
      <c r="K817" s="14" t="n">
        <v>0.13</v>
      </c>
      <c r="L817" s="14" t="n">
        <v>12.45</v>
      </c>
      <c r="M817" s="14" t="n">
        <v>26.06</v>
      </c>
      <c r="N817" s="14" t="n">
        <v>16.75</v>
      </c>
      <c r="O817" s="14" t="n">
        <v>7.58</v>
      </c>
      <c r="P817" s="14" t="n">
        <v>0.51</v>
      </c>
      <c r="Q817" s="14" t="n">
        <v>0.73</v>
      </c>
      <c r="R817" s="14" t="n">
        <v>0.04</v>
      </c>
      <c r="S817" s="14" t="n">
        <v>2.88</v>
      </c>
      <c r="T817" s="14" t="n">
        <v>1.14</v>
      </c>
      <c r="U817" s="14" t="n">
        <v>2.29</v>
      </c>
      <c r="V817" s="14" t="n">
        <v>5.66</v>
      </c>
      <c r="W817" s="14" t="n">
        <v>1.47</v>
      </c>
      <c r="X817" s="14" t="n">
        <v>0.63</v>
      </c>
      <c r="Y817" s="14" t="n">
        <v>2.67</v>
      </c>
      <c r="Z817" s="14" t="n">
        <v>0.67</v>
      </c>
      <c r="AA817" s="14" t="n">
        <v>0</v>
      </c>
    </row>
    <row r="818">
      <c r="A818" t="inlineStr">
        <is>
          <t>211201</t>
        </is>
      </c>
      <c r="B818" t="inlineStr">
        <is>
          <t>PUNO</t>
        </is>
      </c>
      <c r="C818" t="inlineStr">
        <is>
          <t>SANDIA</t>
        </is>
      </c>
      <c r="D818" t="inlineStr">
        <is>
          <t>SANDIA</t>
        </is>
      </c>
      <c r="E818" t="n">
        <v>4206</v>
      </c>
      <c r="F818" s="14" t="n">
        <v>0</v>
      </c>
      <c r="G818" s="14" t="n">
        <v>68.31</v>
      </c>
      <c r="H818" s="14" t="n">
        <v>1.28</v>
      </c>
      <c r="I818" s="14" t="n">
        <v>1.33</v>
      </c>
      <c r="J818" s="14" t="n">
        <v>0.07000000000000001</v>
      </c>
      <c r="K818" s="14" t="n">
        <v>0</v>
      </c>
      <c r="L818" s="14" t="n">
        <v>3.9</v>
      </c>
      <c r="M818" s="14" t="n">
        <v>8.92</v>
      </c>
      <c r="N818" s="14" t="n">
        <v>1.81</v>
      </c>
      <c r="O818" s="14" t="n">
        <v>1.83</v>
      </c>
      <c r="P818" s="14" t="n">
        <v>0.14</v>
      </c>
      <c r="Q818" s="14" t="n">
        <v>0.14</v>
      </c>
      <c r="R818" s="14" t="n">
        <v>0</v>
      </c>
      <c r="S818" s="14" t="n">
        <v>1.83</v>
      </c>
      <c r="T818" s="14" t="n">
        <v>0.5</v>
      </c>
      <c r="U818" s="14" t="n">
        <v>1.95</v>
      </c>
      <c r="V818" s="14" t="n">
        <v>3.95</v>
      </c>
      <c r="W818" s="14" t="n">
        <v>2.12</v>
      </c>
      <c r="X818" s="14" t="n">
        <v>0.12</v>
      </c>
      <c r="Y818" s="14" t="n">
        <v>1.47</v>
      </c>
      <c r="Z818" s="14" t="n">
        <v>0.33</v>
      </c>
      <c r="AA818" s="14" t="n">
        <v>0</v>
      </c>
    </row>
    <row r="819">
      <c r="A819" t="inlineStr">
        <is>
          <t>211202</t>
        </is>
      </c>
      <c r="B819" t="inlineStr">
        <is>
          <t>PUNO</t>
        </is>
      </c>
      <c r="C819" t="inlineStr">
        <is>
          <t>SANDIA</t>
        </is>
      </c>
      <c r="D819" t="inlineStr">
        <is>
          <t>CUYOCUYO</t>
        </is>
      </c>
      <c r="E819" t="n">
        <v>1557</v>
      </c>
      <c r="F819" s="14" t="n">
        <v>0</v>
      </c>
      <c r="G819" s="14" t="n">
        <v>74.5</v>
      </c>
      <c r="H819" s="14" t="n">
        <v>2.7</v>
      </c>
      <c r="I819" s="14" t="n">
        <v>1.61</v>
      </c>
      <c r="J819" s="14" t="n">
        <v>0</v>
      </c>
      <c r="K819" s="14" t="n">
        <v>0</v>
      </c>
      <c r="L819" s="14" t="n">
        <v>3.66</v>
      </c>
      <c r="M819" s="14" t="n">
        <v>5.27</v>
      </c>
      <c r="N819" s="14" t="n">
        <v>2.89</v>
      </c>
      <c r="O819" s="14" t="n">
        <v>0.9</v>
      </c>
      <c r="P819" s="14" t="n">
        <v>0.06</v>
      </c>
      <c r="Q819" s="14" t="n">
        <v>0</v>
      </c>
      <c r="R819" s="14" t="n">
        <v>0</v>
      </c>
      <c r="S819" s="14" t="n">
        <v>0.58</v>
      </c>
      <c r="T819" s="14" t="n">
        <v>0.45</v>
      </c>
      <c r="U819" s="14" t="n">
        <v>1.48</v>
      </c>
      <c r="V819" s="14" t="n">
        <v>3.4</v>
      </c>
      <c r="W819" s="14" t="n">
        <v>0.96</v>
      </c>
      <c r="X819" s="14" t="n">
        <v>0</v>
      </c>
      <c r="Y819" s="14" t="n">
        <v>1.54</v>
      </c>
      <c r="Z819" s="14" t="n">
        <v>0</v>
      </c>
      <c r="AA819" s="14" t="n">
        <v>0</v>
      </c>
    </row>
    <row r="820">
      <c r="A820" t="inlineStr">
        <is>
          <t>211203</t>
        </is>
      </c>
      <c r="B820" t="inlineStr">
        <is>
          <t>PUNO</t>
        </is>
      </c>
      <c r="C820" t="inlineStr">
        <is>
          <t>SANDIA</t>
        </is>
      </c>
      <c r="D820" t="inlineStr">
        <is>
          <t>LIMBANI</t>
        </is>
      </c>
      <c r="E820" t="n">
        <v>1186</v>
      </c>
      <c r="F820" s="14" t="n">
        <v>0</v>
      </c>
      <c r="G820" s="14" t="n">
        <v>58.01</v>
      </c>
      <c r="H820" s="14" t="n">
        <v>25.04</v>
      </c>
      <c r="I820" s="14" t="n">
        <v>0.67</v>
      </c>
      <c r="J820" s="14" t="n">
        <v>0</v>
      </c>
      <c r="K820" s="14" t="n">
        <v>0</v>
      </c>
      <c r="L820" s="14" t="n">
        <v>1.26</v>
      </c>
      <c r="M820" s="14" t="n">
        <v>5.14</v>
      </c>
      <c r="N820" s="14" t="n">
        <v>0.84</v>
      </c>
      <c r="O820" s="14" t="n">
        <v>2.53</v>
      </c>
      <c r="P820" s="14" t="n">
        <v>0</v>
      </c>
      <c r="Q820" s="14" t="n">
        <v>0</v>
      </c>
      <c r="R820" s="14" t="n">
        <v>0</v>
      </c>
      <c r="S820" s="14" t="n">
        <v>0.84</v>
      </c>
      <c r="T820" s="14" t="n">
        <v>0.17</v>
      </c>
      <c r="U820" s="14" t="n">
        <v>1.6</v>
      </c>
      <c r="V820" s="14" t="n">
        <v>1.6</v>
      </c>
      <c r="W820" s="14" t="n">
        <v>0.34</v>
      </c>
      <c r="X820" s="14" t="n">
        <v>0.08</v>
      </c>
      <c r="Y820" s="14" t="n">
        <v>1.01</v>
      </c>
      <c r="Z820" s="14" t="n">
        <v>0.84</v>
      </c>
      <c r="AA820" s="14" t="n">
        <v>0</v>
      </c>
    </row>
    <row r="821">
      <c r="A821" t="inlineStr">
        <is>
          <t>211204</t>
        </is>
      </c>
      <c r="B821" t="inlineStr">
        <is>
          <t>PUNO</t>
        </is>
      </c>
      <c r="C821" t="inlineStr">
        <is>
          <t>SANDIA</t>
        </is>
      </c>
      <c r="D821" t="inlineStr">
        <is>
          <t>PATAMBUCO</t>
        </is>
      </c>
      <c r="E821" t="n">
        <v>1301</v>
      </c>
      <c r="F821" s="14" t="n">
        <v>0</v>
      </c>
      <c r="G821" s="14" t="n">
        <v>92.23999999999999</v>
      </c>
      <c r="H821" s="14" t="n">
        <v>0.54</v>
      </c>
      <c r="I821" s="14" t="n">
        <v>0.23</v>
      </c>
      <c r="J821" s="14" t="n">
        <v>0</v>
      </c>
      <c r="K821" s="14" t="n">
        <v>0</v>
      </c>
      <c r="L821" s="14" t="n">
        <v>1.08</v>
      </c>
      <c r="M821" s="14" t="n">
        <v>1.77</v>
      </c>
      <c r="N821" s="14" t="n">
        <v>0.6899999999999999</v>
      </c>
      <c r="O821" s="14" t="n">
        <v>0.31</v>
      </c>
      <c r="P821" s="14" t="n">
        <v>0.08</v>
      </c>
      <c r="Q821" s="14" t="n">
        <v>0.08</v>
      </c>
      <c r="R821" s="14" t="n">
        <v>0</v>
      </c>
      <c r="S821" s="14" t="n">
        <v>0</v>
      </c>
      <c r="T821" s="14" t="n">
        <v>0.08</v>
      </c>
      <c r="U821" s="14" t="n">
        <v>0.54</v>
      </c>
      <c r="V821" s="14" t="n">
        <v>2</v>
      </c>
      <c r="W821" s="14" t="n">
        <v>0.23</v>
      </c>
      <c r="X821" s="14" t="n">
        <v>0.08</v>
      </c>
      <c r="Y821" s="14" t="n">
        <v>0.08</v>
      </c>
      <c r="Z821" s="14" t="n">
        <v>0</v>
      </c>
      <c r="AA821" s="14" t="n">
        <v>0</v>
      </c>
    </row>
    <row r="822">
      <c r="A822" t="inlineStr">
        <is>
          <t>211205</t>
        </is>
      </c>
      <c r="B822" t="inlineStr">
        <is>
          <t>PUNO</t>
        </is>
      </c>
      <c r="C822" t="inlineStr">
        <is>
          <t>SANDIA</t>
        </is>
      </c>
      <c r="D822" t="inlineStr">
        <is>
          <t>PHARA</t>
        </is>
      </c>
      <c r="E822" t="n">
        <v>2149</v>
      </c>
      <c r="F822" s="14" t="n">
        <v>0</v>
      </c>
      <c r="G822" s="14" t="n">
        <v>83.90000000000001</v>
      </c>
      <c r="H822" s="14" t="n">
        <v>1.91</v>
      </c>
      <c r="I822" s="14" t="n">
        <v>0.37</v>
      </c>
      <c r="J822" s="14" t="n">
        <v>0</v>
      </c>
      <c r="K822" s="14" t="n">
        <v>0</v>
      </c>
      <c r="L822" s="14" t="n">
        <v>3.58</v>
      </c>
      <c r="M822" s="14" t="n">
        <v>4.56</v>
      </c>
      <c r="N822" s="14" t="n">
        <v>0.88</v>
      </c>
      <c r="O822" s="14" t="n">
        <v>1.02</v>
      </c>
      <c r="P822" s="14" t="n">
        <v>0</v>
      </c>
      <c r="Q822" s="14" t="n">
        <v>0</v>
      </c>
      <c r="R822" s="14" t="n">
        <v>0</v>
      </c>
      <c r="S822" s="14" t="n">
        <v>0.37</v>
      </c>
      <c r="T822" s="14" t="n">
        <v>0.14</v>
      </c>
      <c r="U822" s="14" t="n">
        <v>1.16</v>
      </c>
      <c r="V822" s="14" t="n">
        <v>0.98</v>
      </c>
      <c r="W822" s="14" t="n">
        <v>0.23</v>
      </c>
      <c r="X822" s="14" t="n">
        <v>0</v>
      </c>
      <c r="Y822" s="14" t="n">
        <v>0.23</v>
      </c>
      <c r="Z822" s="14" t="n">
        <v>0.65</v>
      </c>
      <c r="AA822" s="14" t="n">
        <v>0</v>
      </c>
    </row>
    <row r="823">
      <c r="A823" t="inlineStr">
        <is>
          <t>211206</t>
        </is>
      </c>
      <c r="B823" t="inlineStr">
        <is>
          <t>PUNO</t>
        </is>
      </c>
      <c r="C823" t="inlineStr">
        <is>
          <t>SANDIA</t>
        </is>
      </c>
      <c r="D823" t="inlineStr">
        <is>
          <t>QUIACA</t>
        </is>
      </c>
      <c r="E823" t="n">
        <v>966</v>
      </c>
      <c r="F823" s="14" t="n">
        <v>0</v>
      </c>
      <c r="G823" s="14" t="n">
        <v>52.8</v>
      </c>
      <c r="H823" s="14" t="n">
        <v>9.83</v>
      </c>
      <c r="I823" s="14" t="n">
        <v>2.07</v>
      </c>
      <c r="J823" s="14" t="n">
        <v>0</v>
      </c>
      <c r="K823" s="14" t="n">
        <v>0</v>
      </c>
      <c r="L823" s="14" t="n">
        <v>3.42</v>
      </c>
      <c r="M823" s="14" t="n">
        <v>16.36</v>
      </c>
      <c r="N823" s="14" t="n">
        <v>2.8</v>
      </c>
      <c r="O823" s="14" t="n">
        <v>1.35</v>
      </c>
      <c r="P823" s="14" t="n">
        <v>0.21</v>
      </c>
      <c r="Q823" s="14" t="n">
        <v>0.1</v>
      </c>
      <c r="R823" s="14" t="n">
        <v>0</v>
      </c>
      <c r="S823" s="14" t="n">
        <v>2.28</v>
      </c>
      <c r="T823" s="14" t="n">
        <v>3.42</v>
      </c>
      <c r="U823" s="14" t="n">
        <v>2.17</v>
      </c>
      <c r="V823" s="14" t="n">
        <v>1.14</v>
      </c>
      <c r="W823" s="14" t="n">
        <v>1.04</v>
      </c>
      <c r="X823" s="14" t="n">
        <v>0.21</v>
      </c>
      <c r="Y823" s="14" t="n">
        <v>0.72</v>
      </c>
      <c r="Z823" s="14" t="n">
        <v>0.1</v>
      </c>
      <c r="AA823" s="14" t="n">
        <v>0</v>
      </c>
    </row>
    <row r="824">
      <c r="A824" t="inlineStr">
        <is>
          <t>211207</t>
        </is>
      </c>
      <c r="B824" t="inlineStr">
        <is>
          <t>PUNO</t>
        </is>
      </c>
      <c r="C824" t="inlineStr">
        <is>
          <t>SANDIA</t>
        </is>
      </c>
      <c r="D824" t="inlineStr">
        <is>
          <t>SAN JUAN DEL ORO</t>
        </is>
      </c>
      <c r="E824" t="n">
        <v>1936</v>
      </c>
      <c r="F824" s="14" t="n">
        <v>0</v>
      </c>
      <c r="G824" s="14" t="n">
        <v>74.54000000000001</v>
      </c>
      <c r="H824" s="14" t="n">
        <v>0.52</v>
      </c>
      <c r="I824" s="14" t="n">
        <v>0.67</v>
      </c>
      <c r="J824" s="14" t="n">
        <v>0.05</v>
      </c>
      <c r="K824" s="14" t="n">
        <v>0.05</v>
      </c>
      <c r="L824" s="14" t="n">
        <v>3.05</v>
      </c>
      <c r="M824" s="14" t="n">
        <v>7.02</v>
      </c>
      <c r="N824" s="14" t="n">
        <v>0.88</v>
      </c>
      <c r="O824" s="14" t="n">
        <v>1.86</v>
      </c>
      <c r="P824" s="14" t="n">
        <v>0.1</v>
      </c>
      <c r="Q824" s="14" t="n">
        <v>0</v>
      </c>
      <c r="R824" s="14" t="n">
        <v>0</v>
      </c>
      <c r="S824" s="14" t="n">
        <v>0.93</v>
      </c>
      <c r="T824" s="14" t="n">
        <v>0.46</v>
      </c>
      <c r="U824" s="14" t="n">
        <v>2.07</v>
      </c>
      <c r="V824" s="14" t="n">
        <v>5.22</v>
      </c>
      <c r="W824" s="14" t="n">
        <v>1.19</v>
      </c>
      <c r="X824" s="14" t="n">
        <v>0.05</v>
      </c>
      <c r="Y824" s="14" t="n">
        <v>1.19</v>
      </c>
      <c r="Z824" s="14" t="n">
        <v>0.15</v>
      </c>
      <c r="AA824" s="14" t="n">
        <v>0</v>
      </c>
    </row>
    <row r="825">
      <c r="A825" t="inlineStr">
        <is>
          <t>211208</t>
        </is>
      </c>
      <c r="B825" t="inlineStr">
        <is>
          <t>PUNO</t>
        </is>
      </c>
      <c r="C825" t="inlineStr">
        <is>
          <t>SANDIA</t>
        </is>
      </c>
      <c r="D825" t="inlineStr">
        <is>
          <t>YANAHUAYA</t>
        </is>
      </c>
      <c r="E825" t="n">
        <v>984</v>
      </c>
      <c r="F825" s="14" t="n">
        <v>0</v>
      </c>
      <c r="G825" s="14" t="n">
        <v>89.13</v>
      </c>
      <c r="H825" s="14" t="n">
        <v>0.41</v>
      </c>
      <c r="I825" s="14" t="n">
        <v>0.3</v>
      </c>
      <c r="J825" s="14" t="n">
        <v>0</v>
      </c>
      <c r="K825" s="14" t="n">
        <v>0</v>
      </c>
      <c r="L825" s="14" t="n">
        <v>1.42</v>
      </c>
      <c r="M825" s="14" t="n">
        <v>2.64</v>
      </c>
      <c r="N825" s="14" t="n">
        <v>0.61</v>
      </c>
      <c r="O825" s="14" t="n">
        <v>1.63</v>
      </c>
      <c r="P825" s="14" t="n">
        <v>0</v>
      </c>
      <c r="Q825" s="14" t="n">
        <v>0</v>
      </c>
      <c r="R825" s="14" t="n">
        <v>0</v>
      </c>
      <c r="S825" s="14" t="n">
        <v>0.41</v>
      </c>
      <c r="T825" s="14" t="n">
        <v>0.1</v>
      </c>
      <c r="U825" s="14" t="n">
        <v>0.2</v>
      </c>
      <c r="V825" s="14" t="n">
        <v>2.24</v>
      </c>
      <c r="W825" s="14" t="n">
        <v>0.8100000000000001</v>
      </c>
      <c r="X825" s="14" t="n">
        <v>0</v>
      </c>
      <c r="Y825" s="14" t="n">
        <v>0.1</v>
      </c>
      <c r="Z825" s="14" t="n">
        <v>0</v>
      </c>
      <c r="AA825" s="14" t="n">
        <v>0</v>
      </c>
    </row>
    <row r="826">
      <c r="A826" t="inlineStr">
        <is>
          <t>211209</t>
        </is>
      </c>
      <c r="B826" t="inlineStr">
        <is>
          <t>PUNO</t>
        </is>
      </c>
      <c r="C826" t="inlineStr">
        <is>
          <t>SANDIA</t>
        </is>
      </c>
      <c r="D826" t="inlineStr">
        <is>
          <t>ALTO INAMBARI</t>
        </is>
      </c>
      <c r="E826" t="n">
        <v>3067</v>
      </c>
      <c r="F826" s="14" t="n">
        <v>0</v>
      </c>
      <c r="G826" s="14" t="n">
        <v>86.63</v>
      </c>
      <c r="H826" s="14" t="n">
        <v>0.82</v>
      </c>
      <c r="I826" s="14" t="n">
        <v>0.59</v>
      </c>
      <c r="J826" s="14" t="n">
        <v>0</v>
      </c>
      <c r="K826" s="14" t="n">
        <v>0</v>
      </c>
      <c r="L826" s="14" t="n">
        <v>1.4</v>
      </c>
      <c r="M826" s="14" t="n">
        <v>4.3</v>
      </c>
      <c r="N826" s="14" t="n">
        <v>1.34</v>
      </c>
      <c r="O826" s="14" t="n">
        <v>0.98</v>
      </c>
      <c r="P826" s="14" t="n">
        <v>0</v>
      </c>
      <c r="Q826" s="14" t="n">
        <v>0.07000000000000001</v>
      </c>
      <c r="R826" s="14" t="n">
        <v>0</v>
      </c>
      <c r="S826" s="14" t="n">
        <v>0.39</v>
      </c>
      <c r="T826" s="14" t="n">
        <v>0.23</v>
      </c>
      <c r="U826" s="14" t="n">
        <v>0.55</v>
      </c>
      <c r="V826" s="14" t="n">
        <v>1.96</v>
      </c>
      <c r="W826" s="14" t="n">
        <v>0.29</v>
      </c>
      <c r="X826" s="14" t="n">
        <v>0</v>
      </c>
      <c r="Y826" s="14" t="n">
        <v>0.2</v>
      </c>
      <c r="Z826" s="14" t="n">
        <v>0.26</v>
      </c>
      <c r="AA826" s="14" t="n">
        <v>0</v>
      </c>
    </row>
    <row r="827">
      <c r="A827" t="inlineStr">
        <is>
          <t>211210</t>
        </is>
      </c>
      <c r="B827" t="inlineStr">
        <is>
          <t>PUNO</t>
        </is>
      </c>
      <c r="C827" t="inlineStr">
        <is>
          <t>SANDIA</t>
        </is>
      </c>
      <c r="D827" t="inlineStr">
        <is>
          <t>SAN PEDRO DE PUTINA PUNCO</t>
        </is>
      </c>
      <c r="E827" t="n">
        <v>5101</v>
      </c>
      <c r="F827" s="14" t="n">
        <v>0</v>
      </c>
      <c r="G827" s="14" t="n">
        <v>88.2</v>
      </c>
      <c r="H827" s="14" t="n">
        <v>0.12</v>
      </c>
      <c r="I827" s="14" t="n">
        <v>0.82</v>
      </c>
      <c r="J827" s="14" t="n">
        <v>0</v>
      </c>
      <c r="K827" s="14" t="n">
        <v>0</v>
      </c>
      <c r="L827" s="14" t="n">
        <v>1.33</v>
      </c>
      <c r="M827" s="14" t="n">
        <v>4.2</v>
      </c>
      <c r="N827" s="14" t="n">
        <v>0.6899999999999999</v>
      </c>
      <c r="O827" s="14" t="n">
        <v>1.27</v>
      </c>
      <c r="P827" s="14" t="n">
        <v>0</v>
      </c>
      <c r="Q827" s="14" t="n">
        <v>0</v>
      </c>
      <c r="R827" s="14" t="n">
        <v>0</v>
      </c>
      <c r="S827" s="14" t="n">
        <v>0.37</v>
      </c>
      <c r="T827" s="14" t="n">
        <v>0.16</v>
      </c>
      <c r="U827" s="14" t="n">
        <v>0.24</v>
      </c>
      <c r="V827" s="14" t="n">
        <v>1.33</v>
      </c>
      <c r="W827" s="14" t="n">
        <v>0.22</v>
      </c>
      <c r="X827" s="14" t="n">
        <v>0.06</v>
      </c>
      <c r="Y827" s="14" t="n">
        <v>0.65</v>
      </c>
      <c r="Z827" s="14" t="n">
        <v>0.35</v>
      </c>
      <c r="AA827" s="14" t="n">
        <v>0</v>
      </c>
    </row>
    <row r="828">
      <c r="A828" t="inlineStr">
        <is>
          <t>211301</t>
        </is>
      </c>
      <c r="B828" t="inlineStr">
        <is>
          <t>PUNO</t>
        </is>
      </c>
      <c r="C828" t="inlineStr">
        <is>
          <t>YUNGUYO</t>
        </is>
      </c>
      <c r="D828" t="inlineStr">
        <is>
          <t>YUNGUYO</t>
        </is>
      </c>
      <c r="E828" t="n">
        <v>8936</v>
      </c>
      <c r="F828" s="14" t="n">
        <v>0</v>
      </c>
      <c r="G828" s="14" t="n">
        <v>51.02</v>
      </c>
      <c r="H828" s="14" t="n">
        <v>0.12</v>
      </c>
      <c r="I828" s="14" t="n">
        <v>4.29</v>
      </c>
      <c r="J828" s="14" t="n">
        <v>0</v>
      </c>
      <c r="K828" s="14" t="n">
        <v>0.02</v>
      </c>
      <c r="L828" s="14" t="n">
        <v>5.07</v>
      </c>
      <c r="M828" s="14" t="n">
        <v>18.2</v>
      </c>
      <c r="N828" s="14" t="n">
        <v>3.85</v>
      </c>
      <c r="O828" s="14" t="n">
        <v>2.61</v>
      </c>
      <c r="P828" s="14" t="n">
        <v>0.19</v>
      </c>
      <c r="Q828" s="14" t="n">
        <v>0.45</v>
      </c>
      <c r="R828" s="14" t="n">
        <v>0</v>
      </c>
      <c r="S828" s="14" t="n">
        <v>2.36</v>
      </c>
      <c r="T828" s="14" t="n">
        <v>0.57</v>
      </c>
      <c r="U828" s="14" t="n">
        <v>2.06</v>
      </c>
      <c r="V828" s="14" t="n">
        <v>5.14</v>
      </c>
      <c r="W828" s="14" t="n">
        <v>1.1</v>
      </c>
      <c r="X828" s="14" t="n">
        <v>0.37</v>
      </c>
      <c r="Y828" s="14" t="n">
        <v>2.24</v>
      </c>
      <c r="Z828" s="14" t="n">
        <v>0.36</v>
      </c>
      <c r="AA828" s="14" t="n">
        <v>0</v>
      </c>
    </row>
    <row r="829">
      <c r="A829" t="inlineStr">
        <is>
          <t>211302</t>
        </is>
      </c>
      <c r="B829" t="inlineStr">
        <is>
          <t>PUNO</t>
        </is>
      </c>
      <c r="C829" t="inlineStr">
        <is>
          <t>YUNGUYO</t>
        </is>
      </c>
      <c r="D829" t="inlineStr">
        <is>
          <t>ANAPIA</t>
        </is>
      </c>
      <c r="E829" t="n">
        <v>1120</v>
      </c>
      <c r="F829" s="14" t="n">
        <v>0</v>
      </c>
      <c r="G829" s="14" t="n">
        <v>91.7</v>
      </c>
      <c r="H829" s="14" t="n">
        <v>0</v>
      </c>
      <c r="I829" s="14" t="n">
        <v>0.36</v>
      </c>
      <c r="J829" s="14" t="n">
        <v>0</v>
      </c>
      <c r="K829" s="14" t="n">
        <v>0</v>
      </c>
      <c r="L829" s="14" t="n">
        <v>4.02</v>
      </c>
      <c r="M829" s="14" t="n">
        <v>1.25</v>
      </c>
      <c r="N829" s="14" t="n">
        <v>0</v>
      </c>
      <c r="O829" s="14" t="n">
        <v>0</v>
      </c>
      <c r="P829" s="14" t="n">
        <v>0</v>
      </c>
      <c r="Q829" s="14" t="n">
        <v>0</v>
      </c>
      <c r="R829" s="14" t="n">
        <v>0</v>
      </c>
      <c r="S829" s="14" t="n">
        <v>0.09</v>
      </c>
      <c r="T829" s="14" t="n">
        <v>0</v>
      </c>
      <c r="U829" s="14" t="n">
        <v>1.88</v>
      </c>
      <c r="V829" s="14" t="n">
        <v>0.36</v>
      </c>
      <c r="W829" s="14" t="n">
        <v>0.36</v>
      </c>
      <c r="X829" s="14" t="n">
        <v>0</v>
      </c>
      <c r="Y829" s="14" t="n">
        <v>0</v>
      </c>
      <c r="Z829" s="14" t="n">
        <v>0</v>
      </c>
      <c r="AA829" s="14" t="n">
        <v>0</v>
      </c>
    </row>
    <row r="830">
      <c r="A830" t="inlineStr">
        <is>
          <t>211303</t>
        </is>
      </c>
      <c r="B830" t="inlineStr">
        <is>
          <t>PUNO</t>
        </is>
      </c>
      <c r="C830" t="inlineStr">
        <is>
          <t>YUNGUYO</t>
        </is>
      </c>
      <c r="D830" t="inlineStr">
        <is>
          <t>COPANI</t>
        </is>
      </c>
      <c r="E830" t="n">
        <v>1726</v>
      </c>
      <c r="F830" s="14" t="n">
        <v>0</v>
      </c>
      <c r="G830" s="14" t="n">
        <v>90.20999999999999</v>
      </c>
      <c r="H830" s="14" t="n">
        <v>0</v>
      </c>
      <c r="I830" s="14" t="n">
        <v>1.68</v>
      </c>
      <c r="J830" s="14" t="n">
        <v>0</v>
      </c>
      <c r="K830" s="14" t="n">
        <v>0</v>
      </c>
      <c r="L830" s="14" t="n">
        <v>2.26</v>
      </c>
      <c r="M830" s="14" t="n">
        <v>1.39</v>
      </c>
      <c r="N830" s="14" t="n">
        <v>1.97</v>
      </c>
      <c r="O830" s="14" t="n">
        <v>0.12</v>
      </c>
      <c r="P830" s="14" t="n">
        <v>0</v>
      </c>
      <c r="Q830" s="14" t="n">
        <v>0</v>
      </c>
      <c r="R830" s="14" t="n">
        <v>0</v>
      </c>
      <c r="S830" s="14" t="n">
        <v>0.12</v>
      </c>
      <c r="T830" s="14" t="n">
        <v>0</v>
      </c>
      <c r="U830" s="14" t="n">
        <v>0.52</v>
      </c>
      <c r="V830" s="14" t="n">
        <v>1.27</v>
      </c>
      <c r="W830" s="14" t="n">
        <v>0.23</v>
      </c>
      <c r="X830" s="14" t="n">
        <v>0</v>
      </c>
      <c r="Y830" s="14" t="n">
        <v>0.17</v>
      </c>
      <c r="Z830" s="14" t="n">
        <v>0.06</v>
      </c>
      <c r="AA830" s="14" t="n">
        <v>0</v>
      </c>
    </row>
    <row r="831">
      <c r="A831" t="inlineStr">
        <is>
          <t>211304</t>
        </is>
      </c>
      <c r="B831" t="inlineStr">
        <is>
          <t>PUNO</t>
        </is>
      </c>
      <c r="C831" t="inlineStr">
        <is>
          <t>YUNGUYO</t>
        </is>
      </c>
      <c r="D831" t="inlineStr">
        <is>
          <t>CUTURAPI</t>
        </is>
      </c>
      <c r="E831" t="n">
        <v>356</v>
      </c>
      <c r="F831" s="14" t="n">
        <v>0</v>
      </c>
      <c r="G831" s="14" t="n">
        <v>66.01000000000001</v>
      </c>
      <c r="H831" s="14" t="n">
        <v>0</v>
      </c>
      <c r="I831" s="14" t="n">
        <v>2.81</v>
      </c>
      <c r="J831" s="14" t="n">
        <v>0</v>
      </c>
      <c r="K831" s="14" t="n">
        <v>0</v>
      </c>
      <c r="L831" s="14" t="n">
        <v>1.4</v>
      </c>
      <c r="M831" s="14" t="n">
        <v>15.45</v>
      </c>
      <c r="N831" s="14" t="n">
        <v>1.97</v>
      </c>
      <c r="O831" s="14" t="n">
        <v>0.5600000000000001</v>
      </c>
      <c r="P831" s="14" t="n">
        <v>0</v>
      </c>
      <c r="Q831" s="14" t="n">
        <v>0</v>
      </c>
      <c r="R831" s="14" t="n">
        <v>0</v>
      </c>
      <c r="S831" s="14" t="n">
        <v>1.4</v>
      </c>
      <c r="T831" s="14" t="n">
        <v>0</v>
      </c>
      <c r="U831" s="14" t="n">
        <v>4.21</v>
      </c>
      <c r="V831" s="14" t="n">
        <v>5.06</v>
      </c>
      <c r="W831" s="14" t="n">
        <v>0.5600000000000001</v>
      </c>
      <c r="X831" s="14" t="n">
        <v>0</v>
      </c>
      <c r="Y831" s="14" t="n">
        <v>0.28</v>
      </c>
      <c r="Z831" s="14" t="n">
        <v>0.28</v>
      </c>
      <c r="AA831" s="14" t="n">
        <v>0</v>
      </c>
    </row>
    <row r="832">
      <c r="A832" t="inlineStr">
        <is>
          <t>211305</t>
        </is>
      </c>
      <c r="B832" t="inlineStr">
        <is>
          <t>PUNO</t>
        </is>
      </c>
      <c r="C832" t="inlineStr">
        <is>
          <t>YUNGUYO</t>
        </is>
      </c>
      <c r="D832" t="inlineStr">
        <is>
          <t>OLLARAYA</t>
        </is>
      </c>
      <c r="E832" t="n">
        <v>953</v>
      </c>
      <c r="F832" s="14" t="n">
        <v>0</v>
      </c>
      <c r="G832" s="14" t="n">
        <v>87.72</v>
      </c>
      <c r="H832" s="14" t="n">
        <v>0</v>
      </c>
      <c r="I832" s="14" t="n">
        <v>4.2</v>
      </c>
      <c r="J832" s="14" t="n">
        <v>0.1</v>
      </c>
      <c r="K832" s="14" t="n">
        <v>0</v>
      </c>
      <c r="L832" s="14" t="n">
        <v>1.15</v>
      </c>
      <c r="M832" s="14" t="n">
        <v>2.52</v>
      </c>
      <c r="N832" s="14" t="n">
        <v>1.26</v>
      </c>
      <c r="O832" s="14" t="n">
        <v>0.42</v>
      </c>
      <c r="P832" s="14" t="n">
        <v>0</v>
      </c>
      <c r="Q832" s="14" t="n">
        <v>0</v>
      </c>
      <c r="R832" s="14" t="n">
        <v>0</v>
      </c>
      <c r="S832" s="14" t="n">
        <v>0.52</v>
      </c>
      <c r="T832" s="14" t="n">
        <v>0.1</v>
      </c>
      <c r="U832" s="14" t="n">
        <v>0.21</v>
      </c>
      <c r="V832" s="14" t="n">
        <v>0.9399999999999999</v>
      </c>
      <c r="W832" s="14" t="n">
        <v>0.52</v>
      </c>
      <c r="X832" s="14" t="n">
        <v>0</v>
      </c>
      <c r="Y832" s="14" t="n">
        <v>0.21</v>
      </c>
      <c r="Z832" s="14" t="n">
        <v>0.1</v>
      </c>
      <c r="AA832" s="14" t="n">
        <v>0</v>
      </c>
    </row>
    <row r="833">
      <c r="A833" t="inlineStr">
        <is>
          <t>211306</t>
        </is>
      </c>
      <c r="B833" t="inlineStr">
        <is>
          <t>PUNO</t>
        </is>
      </c>
      <c r="C833" t="inlineStr">
        <is>
          <t>YUNGUYO</t>
        </is>
      </c>
      <c r="D833" t="inlineStr">
        <is>
          <t>TINICACHI</t>
        </is>
      </c>
      <c r="E833" t="n">
        <v>351</v>
      </c>
      <c r="F833" s="14" t="n">
        <v>0</v>
      </c>
      <c r="G833" s="14" t="n">
        <v>78.92</v>
      </c>
      <c r="H833" s="14" t="n">
        <v>1.14</v>
      </c>
      <c r="I833" s="14" t="n">
        <v>3.7</v>
      </c>
      <c r="J833" s="14" t="n">
        <v>0</v>
      </c>
      <c r="K833" s="14" t="n">
        <v>0</v>
      </c>
      <c r="L833" s="14" t="n">
        <v>3.42</v>
      </c>
      <c r="M833" s="14" t="n">
        <v>6.84</v>
      </c>
      <c r="N833" s="14" t="n">
        <v>0.57</v>
      </c>
      <c r="O833" s="14" t="n">
        <v>0</v>
      </c>
      <c r="P833" s="14" t="n">
        <v>0</v>
      </c>
      <c r="Q833" s="14" t="n">
        <v>0</v>
      </c>
      <c r="R833" s="14" t="n">
        <v>0</v>
      </c>
      <c r="S833" s="14" t="n">
        <v>1.71</v>
      </c>
      <c r="T833" s="14" t="n">
        <v>0</v>
      </c>
      <c r="U833" s="14" t="n">
        <v>2.28</v>
      </c>
      <c r="V833" s="14" t="n">
        <v>0.57</v>
      </c>
      <c r="W833" s="14" t="n">
        <v>0.28</v>
      </c>
      <c r="X833" s="14" t="n">
        <v>0</v>
      </c>
      <c r="Y833" s="14" t="n">
        <v>0.57</v>
      </c>
      <c r="Z833" s="14" t="n">
        <v>0</v>
      </c>
      <c r="AA833" s="14" t="n">
        <v>0</v>
      </c>
    </row>
    <row r="834">
      <c r="A834" t="inlineStr">
        <is>
          <t>211307</t>
        </is>
      </c>
      <c r="B834" t="inlineStr">
        <is>
          <t>PUNO</t>
        </is>
      </c>
      <c r="C834" t="inlineStr">
        <is>
          <t>YUNGUYO</t>
        </is>
      </c>
      <c r="D834" t="inlineStr">
        <is>
          <t>UNICACHI</t>
        </is>
      </c>
      <c r="E834" t="n">
        <v>559</v>
      </c>
      <c r="F834" s="14" t="n">
        <v>0</v>
      </c>
      <c r="G834" s="14" t="n">
        <v>76.03</v>
      </c>
      <c r="H834" s="14" t="n">
        <v>0</v>
      </c>
      <c r="I834" s="14" t="n">
        <v>1.43</v>
      </c>
      <c r="J834" s="14" t="n">
        <v>0</v>
      </c>
      <c r="K834" s="14" t="n">
        <v>0.18</v>
      </c>
      <c r="L834" s="14" t="n">
        <v>1.25</v>
      </c>
      <c r="M834" s="14" t="n">
        <v>8.59</v>
      </c>
      <c r="N834" s="14" t="n">
        <v>1.61</v>
      </c>
      <c r="O834" s="14" t="n">
        <v>0.72</v>
      </c>
      <c r="P834" s="14" t="n">
        <v>0</v>
      </c>
      <c r="Q834" s="14" t="n">
        <v>0.72</v>
      </c>
      <c r="R834" s="14" t="n">
        <v>0</v>
      </c>
      <c r="S834" s="14" t="n">
        <v>1.07</v>
      </c>
      <c r="T834" s="14" t="n">
        <v>0</v>
      </c>
      <c r="U834" s="14" t="n">
        <v>3.94</v>
      </c>
      <c r="V834" s="14" t="n">
        <v>4.29</v>
      </c>
      <c r="W834" s="14" t="n">
        <v>0.18</v>
      </c>
      <c r="X834" s="14" t="n">
        <v>0</v>
      </c>
      <c r="Y834" s="14" t="n">
        <v>0</v>
      </c>
      <c r="Z834" s="14" t="n">
        <v>0</v>
      </c>
      <c r="AA834" s="14" t="n">
        <v>0</v>
      </c>
    </row>
    <row r="835">
      <c r="A835" t="inlineStr">
        <is>
          <t>220101</t>
        </is>
      </c>
      <c r="B835" t="inlineStr">
        <is>
          <t>SAN MARTIN</t>
        </is>
      </c>
      <c r="C835" t="inlineStr">
        <is>
          <t>MOYOBAMBA</t>
        </is>
      </c>
      <c r="D835" t="inlineStr">
        <is>
          <t>MOYOBAMBA</t>
        </is>
      </c>
      <c r="E835" t="n">
        <v>32203</v>
      </c>
      <c r="F835" s="14" t="n">
        <v>0</v>
      </c>
      <c r="G835" s="14" t="n">
        <v>31.99</v>
      </c>
      <c r="H835" s="14" t="n">
        <v>0.09</v>
      </c>
      <c r="I835" s="14" t="n">
        <v>4.7</v>
      </c>
      <c r="J835" s="14" t="n">
        <v>0.14</v>
      </c>
      <c r="K835" s="14" t="n">
        <v>0.18</v>
      </c>
      <c r="L835" s="14" t="n">
        <v>6.59</v>
      </c>
      <c r="M835" s="14" t="n">
        <v>15.24</v>
      </c>
      <c r="N835" s="14" t="n">
        <v>6.57</v>
      </c>
      <c r="O835" s="14" t="n">
        <v>5.55</v>
      </c>
      <c r="P835" s="14" t="n">
        <v>0.7</v>
      </c>
      <c r="Q835" s="14" t="n">
        <v>0.89</v>
      </c>
      <c r="R835" s="14" t="n">
        <v>0.19</v>
      </c>
      <c r="S835" s="14" t="n">
        <v>4.98</v>
      </c>
      <c r="T835" s="14" t="n">
        <v>2.11</v>
      </c>
      <c r="U835" s="14" t="n">
        <v>5.5</v>
      </c>
      <c r="V835" s="14" t="n">
        <v>8.01</v>
      </c>
      <c r="W835" s="14" t="n">
        <v>2.56</v>
      </c>
      <c r="X835" s="14" t="n">
        <v>0.57</v>
      </c>
      <c r="Y835" s="14" t="n">
        <v>2.13</v>
      </c>
      <c r="Z835" s="14" t="n">
        <v>1.32</v>
      </c>
      <c r="AA835" s="14" t="n">
        <v>0.01</v>
      </c>
    </row>
    <row r="836">
      <c r="A836" t="inlineStr">
        <is>
          <t>220102</t>
        </is>
      </c>
      <c r="B836" t="inlineStr">
        <is>
          <t>SAN MARTIN</t>
        </is>
      </c>
      <c r="C836" t="inlineStr">
        <is>
          <t>MOYOBAMBA</t>
        </is>
      </c>
      <c r="D836" t="inlineStr">
        <is>
          <t>CALZADA</t>
        </is>
      </c>
      <c r="E836" t="n">
        <v>1875</v>
      </c>
      <c r="F836" s="14" t="n">
        <v>0</v>
      </c>
      <c r="G836" s="14" t="n">
        <v>54.56</v>
      </c>
      <c r="H836" s="14" t="n">
        <v>0.05</v>
      </c>
      <c r="I836" s="14" t="n">
        <v>5.12</v>
      </c>
      <c r="J836" s="14" t="n">
        <v>0.05</v>
      </c>
      <c r="K836" s="14" t="n">
        <v>0.05</v>
      </c>
      <c r="L836" s="14" t="n">
        <v>6.08</v>
      </c>
      <c r="M836" s="14" t="n">
        <v>9.44</v>
      </c>
      <c r="N836" s="14" t="n">
        <v>5.17</v>
      </c>
      <c r="O836" s="14" t="n">
        <v>2.24</v>
      </c>
      <c r="P836" s="14" t="n">
        <v>0.37</v>
      </c>
      <c r="Q836" s="14" t="n">
        <v>0.43</v>
      </c>
      <c r="R836" s="14" t="n">
        <v>0</v>
      </c>
      <c r="S836" s="14" t="n">
        <v>1.6</v>
      </c>
      <c r="T836" s="14" t="n">
        <v>1.49</v>
      </c>
      <c r="U836" s="14" t="n">
        <v>3.89</v>
      </c>
      <c r="V836" s="14" t="n">
        <v>5.55</v>
      </c>
      <c r="W836" s="14" t="n">
        <v>1.07</v>
      </c>
      <c r="X836" s="14" t="n">
        <v>0.11</v>
      </c>
      <c r="Y836" s="14" t="n">
        <v>1.12</v>
      </c>
      <c r="Z836" s="14" t="n">
        <v>1.6</v>
      </c>
      <c r="AA836" s="14" t="n">
        <v>0</v>
      </c>
    </row>
    <row r="837">
      <c r="A837" t="inlineStr">
        <is>
          <t>220103</t>
        </is>
      </c>
      <c r="B837" t="inlineStr">
        <is>
          <t>SAN MARTIN</t>
        </is>
      </c>
      <c r="C837" t="inlineStr">
        <is>
          <t>MOYOBAMBA</t>
        </is>
      </c>
      <c r="D837" t="inlineStr">
        <is>
          <t>HABANA</t>
        </is>
      </c>
      <c r="E837" t="n">
        <v>699</v>
      </c>
      <c r="F837" s="14" t="n">
        <v>0</v>
      </c>
      <c r="G837" s="14" t="n">
        <v>71.95999999999999</v>
      </c>
      <c r="H837" s="14" t="n">
        <v>0</v>
      </c>
      <c r="I837" s="14" t="n">
        <v>3.86</v>
      </c>
      <c r="J837" s="14" t="n">
        <v>0</v>
      </c>
      <c r="K837" s="14" t="n">
        <v>0</v>
      </c>
      <c r="L837" s="14" t="n">
        <v>3.58</v>
      </c>
      <c r="M837" s="14" t="n">
        <v>6.15</v>
      </c>
      <c r="N837" s="14" t="n">
        <v>1.29</v>
      </c>
      <c r="O837" s="14" t="n">
        <v>2.29</v>
      </c>
      <c r="P837" s="14" t="n">
        <v>0</v>
      </c>
      <c r="Q837" s="14" t="n">
        <v>0.43</v>
      </c>
      <c r="R837" s="14" t="n">
        <v>0</v>
      </c>
      <c r="S837" s="14" t="n">
        <v>1.14</v>
      </c>
      <c r="T837" s="14" t="n">
        <v>1</v>
      </c>
      <c r="U837" s="14" t="n">
        <v>2.15</v>
      </c>
      <c r="V837" s="14" t="n">
        <v>3.72</v>
      </c>
      <c r="W837" s="14" t="n">
        <v>0.29</v>
      </c>
      <c r="X837" s="14" t="n">
        <v>0.29</v>
      </c>
      <c r="Y837" s="14" t="n">
        <v>0.86</v>
      </c>
      <c r="Z837" s="14" t="n">
        <v>1</v>
      </c>
      <c r="AA837" s="14" t="n">
        <v>0</v>
      </c>
    </row>
    <row r="838">
      <c r="A838" t="inlineStr">
        <is>
          <t>220104</t>
        </is>
      </c>
      <c r="B838" t="inlineStr">
        <is>
          <t>SAN MARTIN</t>
        </is>
      </c>
      <c r="C838" t="inlineStr">
        <is>
          <t>MOYOBAMBA</t>
        </is>
      </c>
      <c r="D838" t="inlineStr">
        <is>
          <t>JEPELACIO</t>
        </is>
      </c>
      <c r="E838" t="n">
        <v>5343</v>
      </c>
      <c r="F838" s="14" t="n">
        <v>0</v>
      </c>
      <c r="G838" s="14" t="n">
        <v>83.34</v>
      </c>
      <c r="H838" s="14" t="n">
        <v>0</v>
      </c>
      <c r="I838" s="14" t="n">
        <v>1.05</v>
      </c>
      <c r="J838" s="14" t="n">
        <v>0.15</v>
      </c>
      <c r="K838" s="14" t="n">
        <v>0.04</v>
      </c>
      <c r="L838" s="14" t="n">
        <v>2.25</v>
      </c>
      <c r="M838" s="14" t="n">
        <v>4.47</v>
      </c>
      <c r="N838" s="14" t="n">
        <v>1.74</v>
      </c>
      <c r="O838" s="14" t="n">
        <v>1.5</v>
      </c>
      <c r="P838" s="14" t="n">
        <v>0.02</v>
      </c>
      <c r="Q838" s="14" t="n">
        <v>0.02</v>
      </c>
      <c r="R838" s="14" t="n">
        <v>0</v>
      </c>
      <c r="S838" s="14" t="n">
        <v>0.54</v>
      </c>
      <c r="T838" s="14" t="n">
        <v>0.24</v>
      </c>
      <c r="U838" s="14" t="n">
        <v>1.87</v>
      </c>
      <c r="V838" s="14" t="n">
        <v>1.35</v>
      </c>
      <c r="W838" s="14" t="n">
        <v>0.52</v>
      </c>
      <c r="X838" s="14" t="n">
        <v>0.06</v>
      </c>
      <c r="Y838" s="14" t="n">
        <v>0.36</v>
      </c>
      <c r="Z838" s="14" t="n">
        <v>0.49</v>
      </c>
      <c r="AA838" s="14" t="n">
        <v>0</v>
      </c>
    </row>
    <row r="839">
      <c r="A839" t="inlineStr">
        <is>
          <t>220105</t>
        </is>
      </c>
      <c r="B839" t="inlineStr">
        <is>
          <t>SAN MARTIN</t>
        </is>
      </c>
      <c r="C839" t="inlineStr">
        <is>
          <t>MOYOBAMBA</t>
        </is>
      </c>
      <c r="D839" t="inlineStr">
        <is>
          <t>SORITOR</t>
        </is>
      </c>
      <c r="E839" t="n">
        <v>7414</v>
      </c>
      <c r="F839" s="14" t="n">
        <v>0</v>
      </c>
      <c r="G839" s="14" t="n">
        <v>62.58</v>
      </c>
      <c r="H839" s="14" t="n">
        <v>0.04</v>
      </c>
      <c r="I839" s="14" t="n">
        <v>3.01</v>
      </c>
      <c r="J839" s="14" t="n">
        <v>0.03</v>
      </c>
      <c r="K839" s="14" t="n">
        <v>0.09</v>
      </c>
      <c r="L839" s="14" t="n">
        <v>4.41</v>
      </c>
      <c r="M839" s="14" t="n">
        <v>10.67</v>
      </c>
      <c r="N839" s="14" t="n">
        <v>3.06</v>
      </c>
      <c r="O839" s="14" t="n">
        <v>3.03</v>
      </c>
      <c r="P839" s="14" t="n">
        <v>0.11</v>
      </c>
      <c r="Q839" s="14" t="n">
        <v>0.15</v>
      </c>
      <c r="R839" s="14" t="n">
        <v>0.01</v>
      </c>
      <c r="S839" s="14" t="n">
        <v>1.79</v>
      </c>
      <c r="T839" s="14" t="n">
        <v>0.86</v>
      </c>
      <c r="U839" s="14" t="n">
        <v>1.63</v>
      </c>
      <c r="V839" s="14" t="n">
        <v>4.28</v>
      </c>
      <c r="W839" s="14" t="n">
        <v>1.17</v>
      </c>
      <c r="X839" s="14" t="n">
        <v>0.24</v>
      </c>
      <c r="Y839" s="14" t="n">
        <v>1.11</v>
      </c>
      <c r="Z839" s="14" t="n">
        <v>1.71</v>
      </c>
      <c r="AA839" s="14" t="n">
        <v>0</v>
      </c>
    </row>
    <row r="840">
      <c r="A840" t="inlineStr">
        <is>
          <t>220106</t>
        </is>
      </c>
      <c r="B840" t="inlineStr">
        <is>
          <t>SAN MARTIN</t>
        </is>
      </c>
      <c r="C840" t="inlineStr">
        <is>
          <t>MOYOBAMBA</t>
        </is>
      </c>
      <c r="D840" t="inlineStr">
        <is>
          <t>YANTALO</t>
        </is>
      </c>
      <c r="E840" t="n">
        <v>1103</v>
      </c>
      <c r="F840" s="14" t="n">
        <v>0</v>
      </c>
      <c r="G840" s="14" t="n">
        <v>67</v>
      </c>
      <c r="H840" s="14" t="n">
        <v>0</v>
      </c>
      <c r="I840" s="14" t="n">
        <v>1.81</v>
      </c>
      <c r="J840" s="14" t="n">
        <v>0.09</v>
      </c>
      <c r="K840" s="14" t="n">
        <v>0.18</v>
      </c>
      <c r="L840" s="14" t="n">
        <v>7.16</v>
      </c>
      <c r="M840" s="14" t="n">
        <v>5.8</v>
      </c>
      <c r="N840" s="14" t="n">
        <v>4.35</v>
      </c>
      <c r="O840" s="14" t="n">
        <v>2.72</v>
      </c>
      <c r="P840" s="14" t="n">
        <v>0.36</v>
      </c>
      <c r="Q840" s="14" t="n">
        <v>0.18</v>
      </c>
      <c r="R840" s="14" t="n">
        <v>0.09</v>
      </c>
      <c r="S840" s="14" t="n">
        <v>1</v>
      </c>
      <c r="T840" s="14" t="n">
        <v>1.09</v>
      </c>
      <c r="U840" s="14" t="n">
        <v>2.81</v>
      </c>
      <c r="V840" s="14" t="n">
        <v>1.99</v>
      </c>
      <c r="W840" s="14" t="n">
        <v>1.09</v>
      </c>
      <c r="X840" s="14" t="n">
        <v>0.18</v>
      </c>
      <c r="Y840" s="14" t="n">
        <v>0.73</v>
      </c>
      <c r="Z840" s="14" t="n">
        <v>1.36</v>
      </c>
      <c r="AA840" s="14" t="n">
        <v>0</v>
      </c>
    </row>
    <row r="841">
      <c r="A841" t="inlineStr">
        <is>
          <t>220201</t>
        </is>
      </c>
      <c r="B841" t="inlineStr">
        <is>
          <t>SAN MARTIN</t>
        </is>
      </c>
      <c r="C841" t="inlineStr">
        <is>
          <t>BELLAVISTA</t>
        </is>
      </c>
      <c r="D841" t="inlineStr">
        <is>
          <t>BELLAVISTA</t>
        </is>
      </c>
      <c r="E841" t="n">
        <v>7033</v>
      </c>
      <c r="F841" s="14" t="n">
        <v>0</v>
      </c>
      <c r="G841" s="14" t="n">
        <v>35.28</v>
      </c>
      <c r="H841" s="14" t="n">
        <v>0.1</v>
      </c>
      <c r="I841" s="14" t="n">
        <v>4.71</v>
      </c>
      <c r="J841" s="14" t="n">
        <v>0.14</v>
      </c>
      <c r="K841" s="14" t="n">
        <v>0.33</v>
      </c>
      <c r="L841" s="14" t="n">
        <v>6.74</v>
      </c>
      <c r="M841" s="14" t="n">
        <v>17.06</v>
      </c>
      <c r="N841" s="14" t="n">
        <v>5.93</v>
      </c>
      <c r="O841" s="14" t="n">
        <v>6.33</v>
      </c>
      <c r="P841" s="14" t="n">
        <v>0.31</v>
      </c>
      <c r="Q841" s="14" t="n">
        <v>0.64</v>
      </c>
      <c r="R841" s="14" t="n">
        <v>0.01</v>
      </c>
      <c r="S841" s="14" t="n">
        <v>3.5</v>
      </c>
      <c r="T841" s="14" t="n">
        <v>1.32</v>
      </c>
      <c r="U841" s="14" t="n">
        <v>5.72</v>
      </c>
      <c r="V841" s="14" t="n">
        <v>6.4</v>
      </c>
      <c r="W841" s="14" t="n">
        <v>1.71</v>
      </c>
      <c r="X841" s="14" t="n">
        <v>0.38</v>
      </c>
      <c r="Y841" s="14" t="n">
        <v>2.12</v>
      </c>
      <c r="Z841" s="14" t="n">
        <v>1.28</v>
      </c>
      <c r="AA841" s="14" t="n">
        <v>0</v>
      </c>
    </row>
    <row r="842">
      <c r="A842" t="inlineStr">
        <is>
          <t>220202</t>
        </is>
      </c>
      <c r="B842" t="inlineStr">
        <is>
          <t>SAN MARTIN</t>
        </is>
      </c>
      <c r="C842" t="inlineStr">
        <is>
          <t>BELLAVISTA</t>
        </is>
      </c>
      <c r="D842" t="inlineStr">
        <is>
          <t>ALTO BIAVO</t>
        </is>
      </c>
      <c r="E842" t="n">
        <v>2690</v>
      </c>
      <c r="F842" s="14" t="n">
        <v>0</v>
      </c>
      <c r="G842" s="14" t="n">
        <v>83.09</v>
      </c>
      <c r="H842" s="14" t="n">
        <v>0</v>
      </c>
      <c r="I842" s="14" t="n">
        <v>1.6</v>
      </c>
      <c r="J842" s="14" t="n">
        <v>0</v>
      </c>
      <c r="K842" s="14" t="n">
        <v>0.07000000000000001</v>
      </c>
      <c r="L842" s="14" t="n">
        <v>0.97</v>
      </c>
      <c r="M842" s="14" t="n">
        <v>4.13</v>
      </c>
      <c r="N842" s="14" t="n">
        <v>0.86</v>
      </c>
      <c r="O842" s="14" t="n">
        <v>1.82</v>
      </c>
      <c r="P842" s="14" t="n">
        <v>0</v>
      </c>
      <c r="Q842" s="14" t="n">
        <v>0.07000000000000001</v>
      </c>
      <c r="R842" s="14" t="n">
        <v>0</v>
      </c>
      <c r="S842" s="14" t="n">
        <v>0.48</v>
      </c>
      <c r="T842" s="14" t="n">
        <v>0.3</v>
      </c>
      <c r="U842" s="14" t="n">
        <v>1</v>
      </c>
      <c r="V842" s="14" t="n">
        <v>2.75</v>
      </c>
      <c r="W842" s="14" t="n">
        <v>0.41</v>
      </c>
      <c r="X842" s="14" t="n">
        <v>0</v>
      </c>
      <c r="Y842" s="14" t="n">
        <v>0.93</v>
      </c>
      <c r="Z842" s="14" t="n">
        <v>1.52</v>
      </c>
      <c r="AA842" s="14" t="n">
        <v>0</v>
      </c>
    </row>
    <row r="843">
      <c r="A843" t="inlineStr">
        <is>
          <t>220203</t>
        </is>
      </c>
      <c r="B843" t="inlineStr">
        <is>
          <t>SAN MARTIN</t>
        </is>
      </c>
      <c r="C843" t="inlineStr">
        <is>
          <t>BELLAVISTA</t>
        </is>
      </c>
      <c r="D843" t="inlineStr">
        <is>
          <t>BAJO BIAVO</t>
        </is>
      </c>
      <c r="E843" t="n">
        <v>4571</v>
      </c>
      <c r="F843" s="14" t="n">
        <v>0</v>
      </c>
      <c r="G843" s="14" t="n">
        <v>86.94</v>
      </c>
      <c r="H843" s="14" t="n">
        <v>0</v>
      </c>
      <c r="I843" s="14" t="n">
        <v>1.01</v>
      </c>
      <c r="J843" s="14" t="n">
        <v>0</v>
      </c>
      <c r="K843" s="14" t="n">
        <v>0.02</v>
      </c>
      <c r="L843" s="14" t="n">
        <v>0.92</v>
      </c>
      <c r="M843" s="14" t="n">
        <v>3.39</v>
      </c>
      <c r="N843" s="14" t="n">
        <v>1.07</v>
      </c>
      <c r="O843" s="14" t="n">
        <v>1.77</v>
      </c>
      <c r="P843" s="14" t="n">
        <v>0.04</v>
      </c>
      <c r="Q843" s="14" t="n">
        <v>0</v>
      </c>
      <c r="R843" s="14" t="n">
        <v>0</v>
      </c>
      <c r="S843" s="14" t="n">
        <v>0.44</v>
      </c>
      <c r="T843" s="14" t="n">
        <v>0.26</v>
      </c>
      <c r="U843" s="14" t="n">
        <v>0.83</v>
      </c>
      <c r="V843" s="14" t="n">
        <v>1.95</v>
      </c>
      <c r="W843" s="14" t="n">
        <v>0.37</v>
      </c>
      <c r="X843" s="14" t="n">
        <v>0.13</v>
      </c>
      <c r="Y843" s="14" t="n">
        <v>0.37</v>
      </c>
      <c r="Z843" s="14" t="n">
        <v>0.48</v>
      </c>
      <c r="AA843" s="14" t="n">
        <v>0</v>
      </c>
    </row>
    <row r="844">
      <c r="A844" t="inlineStr">
        <is>
          <t>220204</t>
        </is>
      </c>
      <c r="B844" t="inlineStr">
        <is>
          <t>SAN MARTIN</t>
        </is>
      </c>
      <c r="C844" t="inlineStr">
        <is>
          <t>BELLAVISTA</t>
        </is>
      </c>
      <c r="D844" t="inlineStr">
        <is>
          <t>HUALLAGA</t>
        </is>
      </c>
      <c r="E844" t="n">
        <v>926</v>
      </c>
      <c r="F844" s="14" t="n">
        <v>0</v>
      </c>
      <c r="G844" s="14" t="n">
        <v>84.77</v>
      </c>
      <c r="H844" s="14" t="n">
        <v>0</v>
      </c>
      <c r="I844" s="14" t="n">
        <v>1.73</v>
      </c>
      <c r="J844" s="14" t="n">
        <v>0</v>
      </c>
      <c r="K844" s="14" t="n">
        <v>0</v>
      </c>
      <c r="L844" s="14" t="n">
        <v>1.94</v>
      </c>
      <c r="M844" s="14" t="n">
        <v>4.21</v>
      </c>
      <c r="N844" s="14" t="n">
        <v>1.08</v>
      </c>
      <c r="O844" s="14" t="n">
        <v>0.65</v>
      </c>
      <c r="P844" s="14" t="n">
        <v>0.11</v>
      </c>
      <c r="Q844" s="14" t="n">
        <v>0</v>
      </c>
      <c r="R844" s="14" t="n">
        <v>0</v>
      </c>
      <c r="S844" s="14" t="n">
        <v>0.86</v>
      </c>
      <c r="T844" s="14" t="n">
        <v>0.65</v>
      </c>
      <c r="U844" s="14" t="n">
        <v>0.86</v>
      </c>
      <c r="V844" s="14" t="n">
        <v>1.4</v>
      </c>
      <c r="W844" s="14" t="n">
        <v>0</v>
      </c>
      <c r="X844" s="14" t="n">
        <v>0.11</v>
      </c>
      <c r="Y844" s="14" t="n">
        <v>1.4</v>
      </c>
      <c r="Z844" s="14" t="n">
        <v>0.22</v>
      </c>
      <c r="AA844" s="14" t="n">
        <v>0</v>
      </c>
    </row>
    <row r="845">
      <c r="A845" t="inlineStr">
        <is>
          <t>220205</t>
        </is>
      </c>
      <c r="B845" t="inlineStr">
        <is>
          <t>SAN MARTIN</t>
        </is>
      </c>
      <c r="C845" t="inlineStr">
        <is>
          <t>BELLAVISTA</t>
        </is>
      </c>
      <c r="D845" t="inlineStr">
        <is>
          <t>SAN PABLO</t>
        </is>
      </c>
      <c r="E845" t="n">
        <v>3477</v>
      </c>
      <c r="F845" s="14" t="n">
        <v>0</v>
      </c>
      <c r="G845" s="14" t="n">
        <v>78.66</v>
      </c>
      <c r="H845" s="14" t="n">
        <v>0.06</v>
      </c>
      <c r="I845" s="14" t="n">
        <v>1.41</v>
      </c>
      <c r="J845" s="14" t="n">
        <v>0.03</v>
      </c>
      <c r="K845" s="14" t="n">
        <v>0.06</v>
      </c>
      <c r="L845" s="14" t="n">
        <v>1.41</v>
      </c>
      <c r="M845" s="14" t="n">
        <v>5.9</v>
      </c>
      <c r="N845" s="14" t="n">
        <v>1.58</v>
      </c>
      <c r="O845" s="14" t="n">
        <v>2.07</v>
      </c>
      <c r="P845" s="14" t="n">
        <v>0.09</v>
      </c>
      <c r="Q845" s="14" t="n">
        <v>0.03</v>
      </c>
      <c r="R845" s="14" t="n">
        <v>0</v>
      </c>
      <c r="S845" s="14" t="n">
        <v>0.52</v>
      </c>
      <c r="T845" s="14" t="n">
        <v>0.17</v>
      </c>
      <c r="U845" s="14" t="n">
        <v>1.67</v>
      </c>
      <c r="V845" s="14" t="n">
        <v>3.74</v>
      </c>
      <c r="W845" s="14" t="n">
        <v>0.66</v>
      </c>
      <c r="X845" s="14" t="n">
        <v>0.14</v>
      </c>
      <c r="Y845" s="14" t="n">
        <v>0.8100000000000001</v>
      </c>
      <c r="Z845" s="14" t="n">
        <v>1.01</v>
      </c>
      <c r="AA845" s="14" t="n">
        <v>0</v>
      </c>
    </row>
    <row r="846">
      <c r="A846" t="inlineStr">
        <is>
          <t>220206</t>
        </is>
      </c>
      <c r="B846" t="inlineStr">
        <is>
          <t>SAN MARTIN</t>
        </is>
      </c>
      <c r="C846" t="inlineStr">
        <is>
          <t>BELLAVISTA</t>
        </is>
      </c>
      <c r="D846" t="inlineStr">
        <is>
          <t>SAN RAFAEL</t>
        </is>
      </c>
      <c r="E846" t="n">
        <v>2336</v>
      </c>
      <c r="F846" s="14" t="n">
        <v>0</v>
      </c>
      <c r="G846" s="14" t="n">
        <v>68.58</v>
      </c>
      <c r="H846" s="14" t="n">
        <v>0.04</v>
      </c>
      <c r="I846" s="14" t="n">
        <v>2.44</v>
      </c>
      <c r="J846" s="14" t="n">
        <v>0</v>
      </c>
      <c r="K846" s="14" t="n">
        <v>0.04</v>
      </c>
      <c r="L846" s="14" t="n">
        <v>2.27</v>
      </c>
      <c r="M846" s="14" t="n">
        <v>10.23</v>
      </c>
      <c r="N846" s="14" t="n">
        <v>2.78</v>
      </c>
      <c r="O846" s="14" t="n">
        <v>3.25</v>
      </c>
      <c r="P846" s="14" t="n">
        <v>0.04</v>
      </c>
      <c r="Q846" s="14" t="n">
        <v>0.09</v>
      </c>
      <c r="R846" s="14" t="n">
        <v>0</v>
      </c>
      <c r="S846" s="14" t="n">
        <v>1.2</v>
      </c>
      <c r="T846" s="14" t="n">
        <v>0.73</v>
      </c>
      <c r="U846" s="14" t="n">
        <v>1.93</v>
      </c>
      <c r="V846" s="14" t="n">
        <v>3.34</v>
      </c>
      <c r="W846" s="14" t="n">
        <v>0.68</v>
      </c>
      <c r="X846" s="14" t="n">
        <v>0.17</v>
      </c>
      <c r="Y846" s="14" t="n">
        <v>1.2</v>
      </c>
      <c r="Z846" s="14" t="n">
        <v>0.98</v>
      </c>
      <c r="AA846" s="14" t="n">
        <v>0</v>
      </c>
    </row>
    <row r="847">
      <c r="A847" t="inlineStr">
        <is>
          <t>220301</t>
        </is>
      </c>
      <c r="B847" t="inlineStr">
        <is>
          <t>SAN MARTIN</t>
        </is>
      </c>
      <c r="C847" t="inlineStr">
        <is>
          <t>EL DORADO</t>
        </is>
      </c>
      <c r="D847" t="inlineStr">
        <is>
          <t>SAN JOSE DE SISA</t>
        </is>
      </c>
      <c r="E847" t="n">
        <v>6202</v>
      </c>
      <c r="F847" s="14" t="n">
        <v>0.048</v>
      </c>
      <c r="G847" s="14" t="n">
        <v>73.17</v>
      </c>
      <c r="H847" s="14" t="n">
        <v>0</v>
      </c>
      <c r="I847" s="14" t="n">
        <v>1.82</v>
      </c>
      <c r="J847" s="14" t="n">
        <v>0.03</v>
      </c>
      <c r="K847" s="14" t="n">
        <v>0.08</v>
      </c>
      <c r="L847" s="14" t="n">
        <v>2.56</v>
      </c>
      <c r="M847" s="14" t="n">
        <v>7.4</v>
      </c>
      <c r="N847" s="14" t="n">
        <v>2.13</v>
      </c>
      <c r="O847" s="14" t="n">
        <v>2.45</v>
      </c>
      <c r="P847" s="14" t="n">
        <v>0.15</v>
      </c>
      <c r="Q847" s="14" t="n">
        <v>0.13</v>
      </c>
      <c r="R847" s="14" t="n">
        <v>0.02</v>
      </c>
      <c r="S847" s="14" t="n">
        <v>1.06</v>
      </c>
      <c r="T847" s="14" t="n">
        <v>0.61</v>
      </c>
      <c r="U847" s="14" t="n">
        <v>2.34</v>
      </c>
      <c r="V847" s="14" t="n">
        <v>3.53</v>
      </c>
      <c r="W847" s="14" t="n">
        <v>1.06</v>
      </c>
      <c r="X847" s="14" t="n">
        <v>0.1</v>
      </c>
      <c r="Y847" s="14" t="n">
        <v>0.8100000000000001</v>
      </c>
      <c r="Z847" s="14" t="n">
        <v>0.55</v>
      </c>
      <c r="AA847" s="14" t="n">
        <v>0</v>
      </c>
    </row>
    <row r="848">
      <c r="A848" t="inlineStr">
        <is>
          <t>220302</t>
        </is>
      </c>
      <c r="B848" t="inlineStr">
        <is>
          <t>SAN MARTIN</t>
        </is>
      </c>
      <c r="C848" t="inlineStr">
        <is>
          <t>EL DORADO</t>
        </is>
      </c>
      <c r="D848" t="inlineStr">
        <is>
          <t>AGUA BLANCA</t>
        </is>
      </c>
      <c r="E848" t="n">
        <v>970</v>
      </c>
      <c r="F848" s="14" t="n">
        <v>0</v>
      </c>
      <c r="G848" s="14" t="n">
        <v>83.92</v>
      </c>
      <c r="H848" s="14" t="n">
        <v>0</v>
      </c>
      <c r="I848" s="14" t="n">
        <v>0.52</v>
      </c>
      <c r="J848" s="14" t="n">
        <v>0</v>
      </c>
      <c r="K848" s="14" t="n">
        <v>0</v>
      </c>
      <c r="L848" s="14" t="n">
        <v>0.93</v>
      </c>
      <c r="M848" s="14" t="n">
        <v>3.61</v>
      </c>
      <c r="N848" s="14" t="n">
        <v>1.44</v>
      </c>
      <c r="O848" s="14" t="n">
        <v>1.65</v>
      </c>
      <c r="P848" s="14" t="n">
        <v>0.1</v>
      </c>
      <c r="Q848" s="14" t="n">
        <v>0</v>
      </c>
      <c r="R848" s="14" t="n">
        <v>0</v>
      </c>
      <c r="S848" s="14" t="n">
        <v>0.41</v>
      </c>
      <c r="T848" s="14" t="n">
        <v>0.52</v>
      </c>
      <c r="U848" s="14" t="n">
        <v>2.37</v>
      </c>
      <c r="V848" s="14" t="n">
        <v>2.89</v>
      </c>
      <c r="W848" s="14" t="n">
        <v>1.03</v>
      </c>
      <c r="X848" s="14" t="n">
        <v>0.1</v>
      </c>
      <c r="Y848" s="14" t="n">
        <v>0.21</v>
      </c>
      <c r="Z848" s="14" t="n">
        <v>0.31</v>
      </c>
      <c r="AA848" s="14" t="n">
        <v>0</v>
      </c>
    </row>
    <row r="849">
      <c r="A849" t="inlineStr">
        <is>
          <t>220303</t>
        </is>
      </c>
      <c r="B849" t="inlineStr">
        <is>
          <t>SAN MARTIN</t>
        </is>
      </c>
      <c r="C849" t="inlineStr">
        <is>
          <t>EL DORADO</t>
        </is>
      </c>
      <c r="D849" t="inlineStr">
        <is>
          <t>SAN MARTIN</t>
        </is>
      </c>
      <c r="E849" t="n">
        <v>3665</v>
      </c>
      <c r="F849" s="14" t="n">
        <v>0</v>
      </c>
      <c r="G849" s="14" t="n">
        <v>82.40000000000001</v>
      </c>
      <c r="H849" s="14" t="n">
        <v>0</v>
      </c>
      <c r="I849" s="14" t="n">
        <v>0.93</v>
      </c>
      <c r="J849" s="14" t="n">
        <v>0</v>
      </c>
      <c r="K849" s="14" t="n">
        <v>0</v>
      </c>
      <c r="L849" s="14" t="n">
        <v>0.82</v>
      </c>
      <c r="M849" s="14" t="n">
        <v>5.65</v>
      </c>
      <c r="N849" s="14" t="n">
        <v>1.12</v>
      </c>
      <c r="O849" s="14" t="n">
        <v>1.45</v>
      </c>
      <c r="P849" s="14" t="n">
        <v>0.11</v>
      </c>
      <c r="Q849" s="14" t="n">
        <v>0.03</v>
      </c>
      <c r="R849" s="14" t="n">
        <v>0</v>
      </c>
      <c r="S849" s="14" t="n">
        <v>0.35</v>
      </c>
      <c r="T849" s="14" t="n">
        <v>0.19</v>
      </c>
      <c r="U849" s="14" t="n">
        <v>2.29</v>
      </c>
      <c r="V849" s="14" t="n">
        <v>2.18</v>
      </c>
      <c r="W849" s="14" t="n">
        <v>0.9</v>
      </c>
      <c r="X849" s="14" t="n">
        <v>0.05</v>
      </c>
      <c r="Y849" s="14" t="n">
        <v>0.35</v>
      </c>
      <c r="Z849" s="14" t="n">
        <v>1.17</v>
      </c>
      <c r="AA849" s="14" t="n">
        <v>0</v>
      </c>
    </row>
    <row r="850">
      <c r="A850" t="inlineStr">
        <is>
          <t>220304</t>
        </is>
      </c>
      <c r="B850" t="inlineStr">
        <is>
          <t>SAN MARTIN</t>
        </is>
      </c>
      <c r="C850" t="inlineStr">
        <is>
          <t>EL DORADO</t>
        </is>
      </c>
      <c r="D850" t="inlineStr">
        <is>
          <t>SANTA ROSA</t>
        </is>
      </c>
      <c r="E850" t="n">
        <v>2245</v>
      </c>
      <c r="F850" s="14" t="n">
        <v>0</v>
      </c>
      <c r="G850" s="14" t="n">
        <v>87.56999999999999</v>
      </c>
      <c r="H850" s="14" t="n">
        <v>0</v>
      </c>
      <c r="I850" s="14" t="n">
        <v>0.49</v>
      </c>
      <c r="J850" s="14" t="n">
        <v>0</v>
      </c>
      <c r="K850" s="14" t="n">
        <v>0.13</v>
      </c>
      <c r="L850" s="14" t="n">
        <v>2.54</v>
      </c>
      <c r="M850" s="14" t="n">
        <v>2.23</v>
      </c>
      <c r="N850" s="14" t="n">
        <v>0.4</v>
      </c>
      <c r="O850" s="14" t="n">
        <v>0.71</v>
      </c>
      <c r="P850" s="14" t="n">
        <v>0</v>
      </c>
      <c r="Q850" s="14" t="n">
        <v>0.04</v>
      </c>
      <c r="R850" s="14" t="n">
        <v>0</v>
      </c>
      <c r="S850" s="14" t="n">
        <v>0.4</v>
      </c>
      <c r="T850" s="14" t="n">
        <v>0.27</v>
      </c>
      <c r="U850" s="14" t="n">
        <v>1.25</v>
      </c>
      <c r="V850" s="14" t="n">
        <v>2.14</v>
      </c>
      <c r="W850" s="14" t="n">
        <v>0.76</v>
      </c>
      <c r="X850" s="14" t="n">
        <v>0</v>
      </c>
      <c r="Y850" s="14" t="n">
        <v>0.71</v>
      </c>
      <c r="Z850" s="14" t="n">
        <v>0.36</v>
      </c>
      <c r="AA850" s="14" t="n">
        <v>0</v>
      </c>
    </row>
    <row r="851">
      <c r="A851" t="inlineStr">
        <is>
          <t>220305</t>
        </is>
      </c>
      <c r="B851" t="inlineStr">
        <is>
          <t>SAN MARTIN</t>
        </is>
      </c>
      <c r="C851" t="inlineStr">
        <is>
          <t>EL DORADO</t>
        </is>
      </c>
      <c r="D851" t="inlineStr">
        <is>
          <t>SHATOJA</t>
        </is>
      </c>
      <c r="E851" t="n">
        <v>1057</v>
      </c>
      <c r="F851" s="14" t="n">
        <v>0</v>
      </c>
      <c r="G851" s="14" t="n">
        <v>85.90000000000001</v>
      </c>
      <c r="H851" s="14" t="n">
        <v>0</v>
      </c>
      <c r="I851" s="14" t="n">
        <v>0.95</v>
      </c>
      <c r="J851" s="14" t="n">
        <v>0</v>
      </c>
      <c r="K851" s="14" t="n">
        <v>0</v>
      </c>
      <c r="L851" s="14" t="n">
        <v>1.23</v>
      </c>
      <c r="M851" s="14" t="n">
        <v>2.55</v>
      </c>
      <c r="N851" s="14" t="n">
        <v>1.7</v>
      </c>
      <c r="O851" s="14" t="n">
        <v>0.95</v>
      </c>
      <c r="P851" s="14" t="n">
        <v>0</v>
      </c>
      <c r="Q851" s="14" t="n">
        <v>0</v>
      </c>
      <c r="R851" s="14" t="n">
        <v>0</v>
      </c>
      <c r="S851" s="14" t="n">
        <v>0.19</v>
      </c>
      <c r="T851" s="14" t="n">
        <v>0.19</v>
      </c>
      <c r="U851" s="14" t="n">
        <v>1.42</v>
      </c>
      <c r="V851" s="14" t="n">
        <v>3.69</v>
      </c>
      <c r="W851" s="14" t="n">
        <v>0.76</v>
      </c>
      <c r="X851" s="14" t="n">
        <v>0</v>
      </c>
      <c r="Y851" s="14" t="n">
        <v>0.19</v>
      </c>
      <c r="Z851" s="14" t="n">
        <v>0.28</v>
      </c>
      <c r="AA851" s="14" t="n">
        <v>0</v>
      </c>
    </row>
    <row r="852">
      <c r="A852" t="inlineStr">
        <is>
          <t>220401</t>
        </is>
      </c>
      <c r="B852" t="inlineStr">
        <is>
          <t>SAN MARTIN</t>
        </is>
      </c>
      <c r="C852" t="inlineStr">
        <is>
          <t>HUALLAGA</t>
        </is>
      </c>
      <c r="D852" t="inlineStr">
        <is>
          <t>SAPOSOA</t>
        </is>
      </c>
      <c r="E852" t="n">
        <v>5097</v>
      </c>
      <c r="F852" s="14" t="n">
        <v>0</v>
      </c>
      <c r="G852" s="14" t="n">
        <v>59.98</v>
      </c>
      <c r="H852" s="14" t="n">
        <v>0.02</v>
      </c>
      <c r="I852" s="14" t="n">
        <v>2.35</v>
      </c>
      <c r="J852" s="14" t="n">
        <v>0.04</v>
      </c>
      <c r="K852" s="14" t="n">
        <v>0.14</v>
      </c>
      <c r="L852" s="14" t="n">
        <v>3.24</v>
      </c>
      <c r="M852" s="14" t="n">
        <v>8.77</v>
      </c>
      <c r="N852" s="14" t="n">
        <v>4.34</v>
      </c>
      <c r="O852" s="14" t="n">
        <v>3.24</v>
      </c>
      <c r="P852" s="14" t="n">
        <v>0.29</v>
      </c>
      <c r="Q852" s="14" t="n">
        <v>0.33</v>
      </c>
      <c r="R852" s="14" t="n">
        <v>0</v>
      </c>
      <c r="S852" s="14" t="n">
        <v>1.98</v>
      </c>
      <c r="T852" s="14" t="n">
        <v>1</v>
      </c>
      <c r="U852" s="14" t="n">
        <v>2.9</v>
      </c>
      <c r="V852" s="14" t="n">
        <v>7.34</v>
      </c>
      <c r="W852" s="14" t="n">
        <v>1.75</v>
      </c>
      <c r="X852" s="14" t="n">
        <v>0.12</v>
      </c>
      <c r="Y852" s="14" t="n">
        <v>0.82</v>
      </c>
      <c r="Z852" s="14" t="n">
        <v>1.35</v>
      </c>
      <c r="AA852" s="14" t="n">
        <v>0</v>
      </c>
    </row>
    <row r="853">
      <c r="A853" t="inlineStr">
        <is>
          <t>220402</t>
        </is>
      </c>
      <c r="B853" t="inlineStr">
        <is>
          <t>SAN MARTIN</t>
        </is>
      </c>
      <c r="C853" t="inlineStr">
        <is>
          <t>HUALLAGA</t>
        </is>
      </c>
      <c r="D853" t="inlineStr">
        <is>
          <t>ALTO SAPOSOA</t>
        </is>
      </c>
      <c r="E853" t="n">
        <v>1515</v>
      </c>
      <c r="F853" s="14" t="n">
        <v>0</v>
      </c>
      <c r="G853" s="14" t="n">
        <v>84.03</v>
      </c>
      <c r="H853" s="14" t="n">
        <v>0</v>
      </c>
      <c r="I853" s="14" t="n">
        <v>1.32</v>
      </c>
      <c r="J853" s="14" t="n">
        <v>0.07000000000000001</v>
      </c>
      <c r="K853" s="14" t="n">
        <v>0</v>
      </c>
      <c r="L853" s="14" t="n">
        <v>1.91</v>
      </c>
      <c r="M853" s="14" t="n">
        <v>2.57</v>
      </c>
      <c r="N853" s="14" t="n">
        <v>0.92</v>
      </c>
      <c r="O853" s="14" t="n">
        <v>1.19</v>
      </c>
      <c r="P853" s="14" t="n">
        <v>0</v>
      </c>
      <c r="Q853" s="14" t="n">
        <v>0.07000000000000001</v>
      </c>
      <c r="R853" s="14" t="n">
        <v>0</v>
      </c>
      <c r="S853" s="14" t="n">
        <v>0.4</v>
      </c>
      <c r="T853" s="14" t="n">
        <v>0.33</v>
      </c>
      <c r="U853" s="14" t="n">
        <v>1.65</v>
      </c>
      <c r="V853" s="14" t="n">
        <v>3.56</v>
      </c>
      <c r="W853" s="14" t="n">
        <v>0.86</v>
      </c>
      <c r="X853" s="14" t="n">
        <v>0</v>
      </c>
      <c r="Y853" s="14" t="n">
        <v>0.2</v>
      </c>
      <c r="Z853" s="14" t="n">
        <v>0.92</v>
      </c>
      <c r="AA853" s="14" t="n">
        <v>0</v>
      </c>
    </row>
    <row r="854">
      <c r="A854" t="inlineStr">
        <is>
          <t>220403</t>
        </is>
      </c>
      <c r="B854" t="inlineStr">
        <is>
          <t>SAN MARTIN</t>
        </is>
      </c>
      <c r="C854" t="inlineStr">
        <is>
          <t>HUALLAGA</t>
        </is>
      </c>
      <c r="D854" t="inlineStr">
        <is>
          <t>EL ESLABON</t>
        </is>
      </c>
      <c r="E854" t="n">
        <v>705</v>
      </c>
      <c r="F854" s="14" t="n">
        <v>0</v>
      </c>
      <c r="G854" s="14" t="n">
        <v>68.09</v>
      </c>
      <c r="H854" s="14" t="n">
        <v>0</v>
      </c>
      <c r="I854" s="14" t="n">
        <v>1.56</v>
      </c>
      <c r="J854" s="14" t="n">
        <v>0</v>
      </c>
      <c r="K854" s="14" t="n">
        <v>0.14</v>
      </c>
      <c r="L854" s="14" t="n">
        <v>7.52</v>
      </c>
      <c r="M854" s="14" t="n">
        <v>3.69</v>
      </c>
      <c r="N854" s="14" t="n">
        <v>2.13</v>
      </c>
      <c r="O854" s="14" t="n">
        <v>0.99</v>
      </c>
      <c r="P854" s="14" t="n">
        <v>0</v>
      </c>
      <c r="Q854" s="14" t="n">
        <v>0.57</v>
      </c>
      <c r="R854" s="14" t="n">
        <v>0</v>
      </c>
      <c r="S854" s="14" t="n">
        <v>0.28</v>
      </c>
      <c r="T854" s="14" t="n">
        <v>0.28</v>
      </c>
      <c r="U854" s="14" t="n">
        <v>4.4</v>
      </c>
      <c r="V854" s="14" t="n">
        <v>6.67</v>
      </c>
      <c r="W854" s="14" t="n">
        <v>1.7</v>
      </c>
      <c r="X854" s="14" t="n">
        <v>0.28</v>
      </c>
      <c r="Y854" s="14" t="n">
        <v>1.42</v>
      </c>
      <c r="Z854" s="14" t="n">
        <v>0.28</v>
      </c>
      <c r="AA854" s="14" t="n">
        <v>0</v>
      </c>
    </row>
    <row r="855">
      <c r="A855" t="inlineStr">
        <is>
          <t>220404</t>
        </is>
      </c>
      <c r="B855" t="inlineStr">
        <is>
          <t>SAN MARTIN</t>
        </is>
      </c>
      <c r="C855" t="inlineStr">
        <is>
          <t>HUALLAGA</t>
        </is>
      </c>
      <c r="D855" t="inlineStr">
        <is>
          <t>PISCOYACU</t>
        </is>
      </c>
      <c r="E855" t="n">
        <v>1597</v>
      </c>
      <c r="F855" s="14" t="n">
        <v>0</v>
      </c>
      <c r="G855" s="14" t="n">
        <v>77.27</v>
      </c>
      <c r="H855" s="14" t="n">
        <v>0.06</v>
      </c>
      <c r="I855" s="14" t="n">
        <v>1.94</v>
      </c>
      <c r="J855" s="14" t="n">
        <v>0</v>
      </c>
      <c r="K855" s="14" t="n">
        <v>0.06</v>
      </c>
      <c r="L855" s="14" t="n">
        <v>2.38</v>
      </c>
      <c r="M855" s="14" t="n">
        <v>5.07</v>
      </c>
      <c r="N855" s="14" t="n">
        <v>1.82</v>
      </c>
      <c r="O855" s="14" t="n">
        <v>3.07</v>
      </c>
      <c r="P855" s="14" t="n">
        <v>0</v>
      </c>
      <c r="Q855" s="14" t="n">
        <v>0.06</v>
      </c>
      <c r="R855" s="14" t="n">
        <v>0</v>
      </c>
      <c r="S855" s="14" t="n">
        <v>0.8100000000000001</v>
      </c>
      <c r="T855" s="14" t="n">
        <v>0.13</v>
      </c>
      <c r="U855" s="14" t="n">
        <v>2</v>
      </c>
      <c r="V855" s="14" t="n">
        <v>2.32</v>
      </c>
      <c r="W855" s="14" t="n">
        <v>1.13</v>
      </c>
      <c r="X855" s="14" t="n">
        <v>0.44</v>
      </c>
      <c r="Y855" s="14" t="n">
        <v>0.5600000000000001</v>
      </c>
      <c r="Z855" s="14" t="n">
        <v>0.88</v>
      </c>
      <c r="AA855" s="14" t="n">
        <v>0</v>
      </c>
    </row>
    <row r="856">
      <c r="A856" t="inlineStr">
        <is>
          <t>220405</t>
        </is>
      </c>
      <c r="B856" t="inlineStr">
        <is>
          <t>SAN MARTIN</t>
        </is>
      </c>
      <c r="C856" t="inlineStr">
        <is>
          <t>HUALLAGA</t>
        </is>
      </c>
      <c r="D856" t="inlineStr">
        <is>
          <t>SACANCHE</t>
        </is>
      </c>
      <c r="E856" t="n">
        <v>941</v>
      </c>
      <c r="F856" s="14" t="n">
        <v>0</v>
      </c>
      <c r="G856" s="14" t="n">
        <v>66.09999999999999</v>
      </c>
      <c r="H856" s="14" t="n">
        <v>0</v>
      </c>
      <c r="I856" s="14" t="n">
        <v>1.7</v>
      </c>
      <c r="J856" s="14" t="n">
        <v>0.11</v>
      </c>
      <c r="K856" s="14" t="n">
        <v>0</v>
      </c>
      <c r="L856" s="14" t="n">
        <v>2.66</v>
      </c>
      <c r="M856" s="14" t="n">
        <v>5.63</v>
      </c>
      <c r="N856" s="14" t="n">
        <v>3.29</v>
      </c>
      <c r="O856" s="14" t="n">
        <v>3.08</v>
      </c>
      <c r="P856" s="14" t="n">
        <v>0</v>
      </c>
      <c r="Q856" s="14" t="n">
        <v>0.11</v>
      </c>
      <c r="R856" s="14" t="n">
        <v>0</v>
      </c>
      <c r="S856" s="14" t="n">
        <v>0.32</v>
      </c>
      <c r="T856" s="14" t="n">
        <v>0.32</v>
      </c>
      <c r="U856" s="14" t="n">
        <v>7.44</v>
      </c>
      <c r="V856" s="14" t="n">
        <v>5.95</v>
      </c>
      <c r="W856" s="14" t="n">
        <v>2.34</v>
      </c>
      <c r="X856" s="14" t="n">
        <v>0.11</v>
      </c>
      <c r="Y856" s="14" t="n">
        <v>0.53</v>
      </c>
      <c r="Z856" s="14" t="n">
        <v>0.32</v>
      </c>
      <c r="AA856" s="14" t="n">
        <v>0</v>
      </c>
    </row>
    <row r="857">
      <c r="A857" t="inlineStr">
        <is>
          <t>220406</t>
        </is>
      </c>
      <c r="B857" t="inlineStr">
        <is>
          <t>SAN MARTIN</t>
        </is>
      </c>
      <c r="C857" t="inlineStr">
        <is>
          <t>HUALLAGA</t>
        </is>
      </c>
      <c r="D857" t="inlineStr">
        <is>
          <t>TINGO DE SAPOSOA</t>
        </is>
      </c>
      <c r="E857" t="n">
        <v>296</v>
      </c>
      <c r="F857" s="14" t="n">
        <v>0</v>
      </c>
      <c r="G857" s="14" t="n">
        <v>67.91</v>
      </c>
      <c r="H857" s="14" t="n">
        <v>0</v>
      </c>
      <c r="I857" s="14" t="n">
        <v>0.68</v>
      </c>
      <c r="J857" s="14" t="n">
        <v>0</v>
      </c>
      <c r="K857" s="14" t="n">
        <v>0</v>
      </c>
      <c r="L857" s="14" t="n">
        <v>1.01</v>
      </c>
      <c r="M857" s="14" t="n">
        <v>2.7</v>
      </c>
      <c r="N857" s="14" t="n">
        <v>3.38</v>
      </c>
      <c r="O857" s="14" t="n">
        <v>5.41</v>
      </c>
      <c r="P857" s="14" t="n">
        <v>0.34</v>
      </c>
      <c r="Q857" s="14" t="n">
        <v>0.34</v>
      </c>
      <c r="R857" s="14" t="n">
        <v>0</v>
      </c>
      <c r="S857" s="14" t="n">
        <v>2.03</v>
      </c>
      <c r="T857" s="14" t="n">
        <v>3.72</v>
      </c>
      <c r="U857" s="14" t="n">
        <v>4.05</v>
      </c>
      <c r="V857" s="14" t="n">
        <v>5.41</v>
      </c>
      <c r="W857" s="14" t="n">
        <v>1.01</v>
      </c>
      <c r="X857" s="14" t="n">
        <v>1.01</v>
      </c>
      <c r="Y857" s="14" t="n">
        <v>0.68</v>
      </c>
      <c r="Z857" s="14" t="n">
        <v>0.34</v>
      </c>
      <c r="AA857" s="14" t="n">
        <v>0</v>
      </c>
    </row>
    <row r="858">
      <c r="A858" t="inlineStr">
        <is>
          <t>220501</t>
        </is>
      </c>
      <c r="B858" t="inlineStr">
        <is>
          <t>SAN MARTIN</t>
        </is>
      </c>
      <c r="C858" t="inlineStr">
        <is>
          <t>LAMAS</t>
        </is>
      </c>
      <c r="D858" t="inlineStr">
        <is>
          <t>LAMAS</t>
        </is>
      </c>
      <c r="E858" t="n">
        <v>6368</v>
      </c>
      <c r="F858" s="14" t="n">
        <v>0</v>
      </c>
      <c r="G858" s="14" t="n">
        <v>43.31</v>
      </c>
      <c r="H858" s="14" t="n">
        <v>0.06</v>
      </c>
      <c r="I858" s="14" t="n">
        <v>4.1</v>
      </c>
      <c r="J858" s="14" t="n">
        <v>0.02</v>
      </c>
      <c r="K858" s="14" t="n">
        <v>0.13</v>
      </c>
      <c r="L858" s="14" t="n">
        <v>5.73</v>
      </c>
      <c r="M858" s="14" t="n">
        <v>10.8</v>
      </c>
      <c r="N858" s="14" t="n">
        <v>5.54</v>
      </c>
      <c r="O858" s="14" t="n">
        <v>4.74</v>
      </c>
      <c r="P858" s="14" t="n">
        <v>0.25</v>
      </c>
      <c r="Q858" s="14" t="n">
        <v>0.44</v>
      </c>
      <c r="R858" s="14" t="n">
        <v>0.05</v>
      </c>
      <c r="S858" s="14" t="n">
        <v>3.47</v>
      </c>
      <c r="T858" s="14" t="n">
        <v>1.63</v>
      </c>
      <c r="U858" s="14" t="n">
        <v>3.33</v>
      </c>
      <c r="V858" s="14" t="n">
        <v>10.46</v>
      </c>
      <c r="W858" s="14" t="n">
        <v>1.79</v>
      </c>
      <c r="X858" s="14" t="n">
        <v>0.39</v>
      </c>
      <c r="Y858" s="14" t="n">
        <v>1.7</v>
      </c>
      <c r="Z858" s="14" t="n">
        <v>2.06</v>
      </c>
      <c r="AA858" s="14" t="n">
        <v>0</v>
      </c>
    </row>
    <row r="859">
      <c r="A859" t="inlineStr">
        <is>
          <t>220502</t>
        </is>
      </c>
      <c r="B859" t="inlineStr">
        <is>
          <t>SAN MARTIN</t>
        </is>
      </c>
      <c r="C859" t="inlineStr">
        <is>
          <t>LAMAS</t>
        </is>
      </c>
      <c r="D859" t="inlineStr">
        <is>
          <t>ALONSO DE ALVARADO</t>
        </is>
      </c>
      <c r="E859" t="n">
        <v>5002</v>
      </c>
      <c r="F859" s="14" t="n">
        <v>0</v>
      </c>
      <c r="G859" s="14" t="n">
        <v>78.31</v>
      </c>
      <c r="H859" s="14" t="n">
        <v>0.12</v>
      </c>
      <c r="I859" s="14" t="n">
        <v>1.42</v>
      </c>
      <c r="J859" s="14" t="n">
        <v>0</v>
      </c>
      <c r="K859" s="14" t="n">
        <v>0.04</v>
      </c>
      <c r="L859" s="14" t="n">
        <v>1.28</v>
      </c>
      <c r="M859" s="14" t="n">
        <v>7.2</v>
      </c>
      <c r="N859" s="14" t="n">
        <v>2.32</v>
      </c>
      <c r="O859" s="14" t="n">
        <v>1.86</v>
      </c>
      <c r="P859" s="14" t="n">
        <v>0.06</v>
      </c>
      <c r="Q859" s="14" t="n">
        <v>0.04</v>
      </c>
      <c r="R859" s="14" t="n">
        <v>0</v>
      </c>
      <c r="S859" s="14" t="n">
        <v>0.82</v>
      </c>
      <c r="T859" s="14" t="n">
        <v>0.32</v>
      </c>
      <c r="U859" s="14" t="n">
        <v>1.3</v>
      </c>
      <c r="V859" s="14" t="n">
        <v>1.52</v>
      </c>
      <c r="W859" s="14" t="n">
        <v>0.7</v>
      </c>
      <c r="X859" s="14" t="n">
        <v>0.06</v>
      </c>
      <c r="Y859" s="14" t="n">
        <v>0.74</v>
      </c>
      <c r="Z859" s="14" t="n">
        <v>1.9</v>
      </c>
      <c r="AA859" s="14" t="n">
        <v>0</v>
      </c>
    </row>
    <row r="860">
      <c r="A860" t="inlineStr">
        <is>
          <t>220503</t>
        </is>
      </c>
      <c r="B860" t="inlineStr">
        <is>
          <t>SAN MARTIN</t>
        </is>
      </c>
      <c r="C860" t="inlineStr">
        <is>
          <t>LAMAS</t>
        </is>
      </c>
      <c r="D860" t="inlineStr">
        <is>
          <t>BARRANQUITA</t>
        </is>
      </c>
      <c r="E860" t="n">
        <v>2348</v>
      </c>
      <c r="F860" s="14" t="n">
        <v>0</v>
      </c>
      <c r="G860" s="14" t="n">
        <v>81.18000000000001</v>
      </c>
      <c r="H860" s="14" t="n">
        <v>0</v>
      </c>
      <c r="I860" s="14" t="n">
        <v>1.36</v>
      </c>
      <c r="J860" s="14" t="n">
        <v>0</v>
      </c>
      <c r="K860" s="14" t="n">
        <v>0.04</v>
      </c>
      <c r="L860" s="14" t="n">
        <v>1.45</v>
      </c>
      <c r="M860" s="14" t="n">
        <v>4.9</v>
      </c>
      <c r="N860" s="14" t="n">
        <v>1.28</v>
      </c>
      <c r="O860" s="14" t="n">
        <v>2.85</v>
      </c>
      <c r="P860" s="14" t="n">
        <v>0</v>
      </c>
      <c r="Q860" s="14" t="n">
        <v>0</v>
      </c>
      <c r="R860" s="14" t="n">
        <v>0</v>
      </c>
      <c r="S860" s="14" t="n">
        <v>0.43</v>
      </c>
      <c r="T860" s="14" t="n">
        <v>0.26</v>
      </c>
      <c r="U860" s="14" t="n">
        <v>1.11</v>
      </c>
      <c r="V860" s="14" t="n">
        <v>3.07</v>
      </c>
      <c r="W860" s="14" t="n">
        <v>1.15</v>
      </c>
      <c r="X860" s="14" t="n">
        <v>0.09</v>
      </c>
      <c r="Y860" s="14" t="n">
        <v>0.51</v>
      </c>
      <c r="Z860" s="14" t="n">
        <v>0.34</v>
      </c>
      <c r="AA860" s="14" t="n">
        <v>0</v>
      </c>
    </row>
    <row r="861">
      <c r="A861" t="inlineStr">
        <is>
          <t>220504</t>
        </is>
      </c>
      <c r="B861" t="inlineStr">
        <is>
          <t>SAN MARTIN</t>
        </is>
      </c>
      <c r="C861" t="inlineStr">
        <is>
          <t>LAMAS</t>
        </is>
      </c>
      <c r="D861" t="inlineStr">
        <is>
          <t>CAYNARACHI</t>
        </is>
      </c>
      <c r="E861" t="n">
        <v>3423</v>
      </c>
      <c r="F861" s="14" t="n">
        <v>0</v>
      </c>
      <c r="G861" s="14" t="n">
        <v>72.06999999999999</v>
      </c>
      <c r="H861" s="14" t="n">
        <v>0</v>
      </c>
      <c r="I861" s="14" t="n">
        <v>3.33</v>
      </c>
      <c r="J861" s="14" t="n">
        <v>0.03</v>
      </c>
      <c r="K861" s="14" t="n">
        <v>0.03</v>
      </c>
      <c r="L861" s="14" t="n">
        <v>2.51</v>
      </c>
      <c r="M861" s="14" t="n">
        <v>7.95</v>
      </c>
      <c r="N861" s="14" t="n">
        <v>2.42</v>
      </c>
      <c r="O861" s="14" t="n">
        <v>4.15</v>
      </c>
      <c r="P861" s="14" t="n">
        <v>0.15</v>
      </c>
      <c r="Q861" s="14" t="n">
        <v>0.03</v>
      </c>
      <c r="R861" s="14" t="n">
        <v>0.03</v>
      </c>
      <c r="S861" s="14" t="n">
        <v>0.73</v>
      </c>
      <c r="T861" s="14" t="n">
        <v>0.64</v>
      </c>
      <c r="U861" s="14" t="n">
        <v>1.67</v>
      </c>
      <c r="V861" s="14" t="n">
        <v>2.13</v>
      </c>
      <c r="W861" s="14" t="n">
        <v>0.79</v>
      </c>
      <c r="X861" s="14" t="n">
        <v>0.38</v>
      </c>
      <c r="Y861" s="14" t="n">
        <v>0.61</v>
      </c>
      <c r="Z861" s="14" t="n">
        <v>0.35</v>
      </c>
      <c r="AA861" s="14" t="n">
        <v>0</v>
      </c>
    </row>
    <row r="862">
      <c r="A862" t="inlineStr">
        <is>
          <t>220505</t>
        </is>
      </c>
      <c r="B862" t="inlineStr">
        <is>
          <t>SAN MARTIN</t>
        </is>
      </c>
      <c r="C862" t="inlineStr">
        <is>
          <t>LAMAS</t>
        </is>
      </c>
      <c r="D862" t="inlineStr">
        <is>
          <t>CUÑUMBUQUI</t>
        </is>
      </c>
      <c r="E862" t="n">
        <v>1359</v>
      </c>
      <c r="F862" s="14" t="n">
        <v>0</v>
      </c>
      <c r="G862" s="14" t="n">
        <v>66.73999999999999</v>
      </c>
      <c r="H862" s="14" t="n">
        <v>0</v>
      </c>
      <c r="I862" s="14" t="n">
        <v>2.65</v>
      </c>
      <c r="J862" s="14" t="n">
        <v>0</v>
      </c>
      <c r="K862" s="14" t="n">
        <v>0</v>
      </c>
      <c r="L862" s="14" t="n">
        <v>4.05</v>
      </c>
      <c r="M862" s="14" t="n">
        <v>8.76</v>
      </c>
      <c r="N862" s="14" t="n">
        <v>3.38</v>
      </c>
      <c r="O862" s="14" t="n">
        <v>2.43</v>
      </c>
      <c r="P862" s="14" t="n">
        <v>0.15</v>
      </c>
      <c r="Q862" s="14" t="n">
        <v>0.15</v>
      </c>
      <c r="R862" s="14" t="n">
        <v>0</v>
      </c>
      <c r="S862" s="14" t="n">
        <v>1.55</v>
      </c>
      <c r="T862" s="14" t="n">
        <v>0.88</v>
      </c>
      <c r="U862" s="14" t="n">
        <v>1.84</v>
      </c>
      <c r="V862" s="14" t="n">
        <v>3.53</v>
      </c>
      <c r="W862" s="14" t="n">
        <v>1.1</v>
      </c>
      <c r="X862" s="14" t="n">
        <v>0.07000000000000001</v>
      </c>
      <c r="Y862" s="14" t="n">
        <v>1.03</v>
      </c>
      <c r="Z862" s="14" t="n">
        <v>1.69</v>
      </c>
      <c r="AA862" s="14" t="n">
        <v>0</v>
      </c>
    </row>
    <row r="863">
      <c r="A863" t="inlineStr">
        <is>
          <t>220506</t>
        </is>
      </c>
      <c r="B863" t="inlineStr">
        <is>
          <t>SAN MARTIN</t>
        </is>
      </c>
      <c r="C863" t="inlineStr">
        <is>
          <t>LAMAS</t>
        </is>
      </c>
      <c r="D863" t="inlineStr">
        <is>
          <t>PINTO RECODO</t>
        </is>
      </c>
      <c r="E863" t="n">
        <v>2919</v>
      </c>
      <c r="F863" s="14" t="n">
        <v>0</v>
      </c>
      <c r="G863" s="14" t="n">
        <v>87.43000000000001</v>
      </c>
      <c r="H863" s="14" t="n">
        <v>0</v>
      </c>
      <c r="I863" s="14" t="n">
        <v>0.79</v>
      </c>
      <c r="J863" s="14" t="n">
        <v>0</v>
      </c>
      <c r="K863" s="14" t="n">
        <v>0</v>
      </c>
      <c r="L863" s="14" t="n">
        <v>1.68</v>
      </c>
      <c r="M863" s="14" t="n">
        <v>2.84</v>
      </c>
      <c r="N863" s="14" t="n">
        <v>1.4</v>
      </c>
      <c r="O863" s="14" t="n">
        <v>1.47</v>
      </c>
      <c r="P863" s="14" t="n">
        <v>0</v>
      </c>
      <c r="Q863" s="14" t="n">
        <v>0.03</v>
      </c>
      <c r="R863" s="14" t="n">
        <v>0</v>
      </c>
      <c r="S863" s="14" t="n">
        <v>0.51</v>
      </c>
      <c r="T863" s="14" t="n">
        <v>0.17</v>
      </c>
      <c r="U863" s="14" t="n">
        <v>1.23</v>
      </c>
      <c r="V863" s="14" t="n">
        <v>1.4</v>
      </c>
      <c r="W863" s="14" t="n">
        <v>0.24</v>
      </c>
      <c r="X863" s="14" t="n">
        <v>0.03</v>
      </c>
      <c r="Y863" s="14" t="n">
        <v>0.45</v>
      </c>
      <c r="Z863" s="14" t="n">
        <v>0.31</v>
      </c>
      <c r="AA863" s="14" t="n">
        <v>0</v>
      </c>
    </row>
    <row r="864">
      <c r="A864" t="inlineStr">
        <is>
          <t>220507</t>
        </is>
      </c>
      <c r="B864" t="inlineStr">
        <is>
          <t>SAN MARTIN</t>
        </is>
      </c>
      <c r="C864" t="inlineStr">
        <is>
          <t>LAMAS</t>
        </is>
      </c>
      <c r="D864" t="inlineStr">
        <is>
          <t>RUMISAPA</t>
        </is>
      </c>
      <c r="E864" t="n">
        <v>1434</v>
      </c>
      <c r="F864" s="14" t="n">
        <v>0</v>
      </c>
      <c r="G864" s="14" t="n">
        <v>71.62</v>
      </c>
      <c r="H864" s="14" t="n">
        <v>0</v>
      </c>
      <c r="I864" s="14" t="n">
        <v>1.74</v>
      </c>
      <c r="J864" s="14" t="n">
        <v>0</v>
      </c>
      <c r="K864" s="14" t="n">
        <v>0.07000000000000001</v>
      </c>
      <c r="L864" s="14" t="n">
        <v>4.46</v>
      </c>
      <c r="M864" s="14" t="n">
        <v>5.09</v>
      </c>
      <c r="N864" s="14" t="n">
        <v>6.97</v>
      </c>
      <c r="O864" s="14" t="n">
        <v>2.37</v>
      </c>
      <c r="P864" s="14" t="n">
        <v>0.07000000000000001</v>
      </c>
      <c r="Q864" s="14" t="n">
        <v>0.21</v>
      </c>
      <c r="R864" s="14" t="n">
        <v>0</v>
      </c>
      <c r="S864" s="14" t="n">
        <v>0.7</v>
      </c>
      <c r="T864" s="14" t="n">
        <v>0.98</v>
      </c>
      <c r="U864" s="14" t="n">
        <v>1.32</v>
      </c>
      <c r="V864" s="14" t="n">
        <v>2.23</v>
      </c>
      <c r="W864" s="14" t="n">
        <v>0.63</v>
      </c>
      <c r="X864" s="14" t="n">
        <v>0.21</v>
      </c>
      <c r="Y864" s="14" t="n">
        <v>0.84</v>
      </c>
      <c r="Z864" s="14" t="n">
        <v>0.49</v>
      </c>
      <c r="AA864" s="14" t="n">
        <v>0</v>
      </c>
    </row>
    <row r="865">
      <c r="A865" t="inlineStr">
        <is>
          <t>220508</t>
        </is>
      </c>
      <c r="B865" t="inlineStr">
        <is>
          <t>SAN MARTIN</t>
        </is>
      </c>
      <c r="C865" t="inlineStr">
        <is>
          <t>LAMAS</t>
        </is>
      </c>
      <c r="D865" t="inlineStr">
        <is>
          <t>SAN ROQUE DE CUMBAZA</t>
        </is>
      </c>
      <c r="E865" t="n">
        <v>640</v>
      </c>
      <c r="F865" s="14" t="n">
        <v>0</v>
      </c>
      <c r="G865" s="14" t="n">
        <v>84.69</v>
      </c>
      <c r="H865" s="14" t="n">
        <v>0</v>
      </c>
      <c r="I865" s="14" t="n">
        <v>1.09</v>
      </c>
      <c r="J865" s="14" t="n">
        <v>0</v>
      </c>
      <c r="K865" s="14" t="n">
        <v>0.16</v>
      </c>
      <c r="L865" s="14" t="n">
        <v>2.03</v>
      </c>
      <c r="M865" s="14" t="n">
        <v>3.44</v>
      </c>
      <c r="N865" s="14" t="n">
        <v>1.88</v>
      </c>
      <c r="O865" s="14" t="n">
        <v>1.88</v>
      </c>
      <c r="P865" s="14" t="n">
        <v>0</v>
      </c>
      <c r="Q865" s="14" t="n">
        <v>0.16</v>
      </c>
      <c r="R865" s="14" t="n">
        <v>0</v>
      </c>
      <c r="S865" s="14" t="n">
        <v>0</v>
      </c>
      <c r="T865" s="14" t="n">
        <v>0.9399999999999999</v>
      </c>
      <c r="U865" s="14" t="n">
        <v>0.9399999999999999</v>
      </c>
      <c r="V865" s="14" t="n">
        <v>1.41</v>
      </c>
      <c r="W865" s="14" t="n">
        <v>0.47</v>
      </c>
      <c r="X865" s="14" t="n">
        <v>0.16</v>
      </c>
      <c r="Y865" s="14" t="n">
        <v>0.16</v>
      </c>
      <c r="Z865" s="14" t="n">
        <v>0.63</v>
      </c>
      <c r="AA865" s="14" t="n">
        <v>0</v>
      </c>
    </row>
    <row r="866">
      <c r="A866" t="inlineStr">
        <is>
          <t>220509</t>
        </is>
      </c>
      <c r="B866" t="inlineStr">
        <is>
          <t>SAN MARTIN</t>
        </is>
      </c>
      <c r="C866" t="inlineStr">
        <is>
          <t>LAMAS</t>
        </is>
      </c>
      <c r="D866" t="inlineStr">
        <is>
          <t>SHANAO</t>
        </is>
      </c>
      <c r="E866" t="n">
        <v>826</v>
      </c>
      <c r="F866" s="14" t="n">
        <v>0</v>
      </c>
      <c r="G866" s="14" t="n">
        <v>70.09999999999999</v>
      </c>
      <c r="H866" s="14" t="n">
        <v>0.24</v>
      </c>
      <c r="I866" s="14" t="n">
        <v>2.3</v>
      </c>
      <c r="J866" s="14" t="n">
        <v>0.12</v>
      </c>
      <c r="K866" s="14" t="n">
        <v>0</v>
      </c>
      <c r="L866" s="14" t="n">
        <v>4.96</v>
      </c>
      <c r="M866" s="14" t="n">
        <v>6.3</v>
      </c>
      <c r="N866" s="14" t="n">
        <v>3.75</v>
      </c>
      <c r="O866" s="14" t="n">
        <v>3.39</v>
      </c>
      <c r="P866" s="14" t="n">
        <v>0</v>
      </c>
      <c r="Q866" s="14" t="n">
        <v>0.24</v>
      </c>
      <c r="R866" s="14" t="n">
        <v>0</v>
      </c>
      <c r="S866" s="14" t="n">
        <v>1.33</v>
      </c>
      <c r="T866" s="14" t="n">
        <v>1.33</v>
      </c>
      <c r="U866" s="14" t="n">
        <v>1.69</v>
      </c>
      <c r="V866" s="14" t="n">
        <v>2.06</v>
      </c>
      <c r="W866" s="14" t="n">
        <v>0.73</v>
      </c>
      <c r="X866" s="14" t="n">
        <v>0.36</v>
      </c>
      <c r="Y866" s="14" t="n">
        <v>0.97</v>
      </c>
      <c r="Z866" s="14" t="n">
        <v>0.12</v>
      </c>
      <c r="AA866" s="14" t="n">
        <v>0</v>
      </c>
    </row>
    <row r="867">
      <c r="A867" t="inlineStr">
        <is>
          <t>220510</t>
        </is>
      </c>
      <c r="B867" t="inlineStr">
        <is>
          <t>SAN MARTIN</t>
        </is>
      </c>
      <c r="C867" t="inlineStr">
        <is>
          <t>LAMAS</t>
        </is>
      </c>
      <c r="D867" t="inlineStr">
        <is>
          <t>TABALOSOS</t>
        </is>
      </c>
      <c r="E867" t="n">
        <v>5157</v>
      </c>
      <c r="F867" s="14" t="n">
        <v>0</v>
      </c>
      <c r="G867" s="14" t="n">
        <v>77.14</v>
      </c>
      <c r="H867" s="14" t="n">
        <v>0.02</v>
      </c>
      <c r="I867" s="14" t="n">
        <v>1.78</v>
      </c>
      <c r="J867" s="14" t="n">
        <v>0.02</v>
      </c>
      <c r="K867" s="14" t="n">
        <v>0.1</v>
      </c>
      <c r="L867" s="14" t="n">
        <v>2.33</v>
      </c>
      <c r="M867" s="14" t="n">
        <v>6.01</v>
      </c>
      <c r="N867" s="14" t="n">
        <v>2.48</v>
      </c>
      <c r="O867" s="14" t="n">
        <v>1.88</v>
      </c>
      <c r="P867" s="14" t="n">
        <v>0.1</v>
      </c>
      <c r="Q867" s="14" t="n">
        <v>0.08</v>
      </c>
      <c r="R867" s="14" t="n">
        <v>0.04</v>
      </c>
      <c r="S867" s="14" t="n">
        <v>0.93</v>
      </c>
      <c r="T867" s="14" t="n">
        <v>0.68</v>
      </c>
      <c r="U867" s="14" t="n">
        <v>1.4</v>
      </c>
      <c r="V867" s="14" t="n">
        <v>2.15</v>
      </c>
      <c r="W867" s="14" t="n">
        <v>0.83</v>
      </c>
      <c r="X867" s="14" t="n">
        <v>0.17</v>
      </c>
      <c r="Y867" s="14" t="n">
        <v>1.09</v>
      </c>
      <c r="Z867" s="14" t="n">
        <v>0.78</v>
      </c>
      <c r="AA867" s="14" t="n">
        <v>0</v>
      </c>
    </row>
    <row r="868">
      <c r="A868" t="inlineStr">
        <is>
          <t>220511</t>
        </is>
      </c>
      <c r="B868" t="inlineStr">
        <is>
          <t>SAN MARTIN</t>
        </is>
      </c>
      <c r="C868" t="inlineStr">
        <is>
          <t>LAMAS</t>
        </is>
      </c>
      <c r="D868" t="inlineStr">
        <is>
          <t>ZAPATERO</t>
        </is>
      </c>
      <c r="E868" t="n">
        <v>2017</v>
      </c>
      <c r="F868" s="14" t="n">
        <v>0</v>
      </c>
      <c r="G868" s="14" t="n">
        <v>84.04000000000001</v>
      </c>
      <c r="H868" s="14" t="n">
        <v>0</v>
      </c>
      <c r="I868" s="14" t="n">
        <v>1.69</v>
      </c>
      <c r="J868" s="14" t="n">
        <v>0.1</v>
      </c>
      <c r="K868" s="14" t="n">
        <v>0</v>
      </c>
      <c r="L868" s="14" t="n">
        <v>1.19</v>
      </c>
      <c r="M868" s="14" t="n">
        <v>3.67</v>
      </c>
      <c r="N868" s="14" t="n">
        <v>2.83</v>
      </c>
      <c r="O868" s="14" t="n">
        <v>1.54</v>
      </c>
      <c r="P868" s="14" t="n">
        <v>0.05</v>
      </c>
      <c r="Q868" s="14" t="n">
        <v>0.15</v>
      </c>
      <c r="R868" s="14" t="n">
        <v>0</v>
      </c>
      <c r="S868" s="14" t="n">
        <v>0.45</v>
      </c>
      <c r="T868" s="14" t="n">
        <v>0.3</v>
      </c>
      <c r="U868" s="14" t="n">
        <v>1.04</v>
      </c>
      <c r="V868" s="14" t="n">
        <v>1.69</v>
      </c>
      <c r="W868" s="14" t="n">
        <v>0.59</v>
      </c>
      <c r="X868" s="14" t="n">
        <v>0.05</v>
      </c>
      <c r="Y868" s="14" t="n">
        <v>0.35</v>
      </c>
      <c r="Z868" s="14" t="n">
        <v>0.3</v>
      </c>
      <c r="AA868" s="14" t="n">
        <v>0</v>
      </c>
    </row>
    <row r="869">
      <c r="A869" t="inlineStr">
        <is>
          <t>220601</t>
        </is>
      </c>
      <c r="B869" t="inlineStr">
        <is>
          <t>SAN MARTIN</t>
        </is>
      </c>
      <c r="C869" t="inlineStr">
        <is>
          <t>MARISCAL CACERES</t>
        </is>
      </c>
      <c r="D869" t="inlineStr">
        <is>
          <t>JUANJUI</t>
        </is>
      </c>
      <c r="E869" t="n">
        <v>13260</v>
      </c>
      <c r="F869" s="14" t="n">
        <v>0</v>
      </c>
      <c r="G869" s="14" t="n">
        <v>28.55</v>
      </c>
      <c r="H869" s="14" t="n">
        <v>0.19</v>
      </c>
      <c r="I869" s="14" t="n">
        <v>8.640000000000001</v>
      </c>
      <c r="J869" s="14" t="n">
        <v>0.06</v>
      </c>
      <c r="K869" s="14" t="n">
        <v>0.13</v>
      </c>
      <c r="L869" s="14" t="n">
        <v>4.76</v>
      </c>
      <c r="M869" s="14" t="n">
        <v>18.07</v>
      </c>
      <c r="N869" s="14" t="n">
        <v>7.95</v>
      </c>
      <c r="O869" s="14" t="n">
        <v>6.52</v>
      </c>
      <c r="P869" s="14" t="n">
        <v>0.5</v>
      </c>
      <c r="Q869" s="14" t="n">
        <v>1.16</v>
      </c>
      <c r="R869" s="14" t="n">
        <v>0.05</v>
      </c>
      <c r="S869" s="14" t="n">
        <v>3.48</v>
      </c>
      <c r="T869" s="14" t="n">
        <v>1.79</v>
      </c>
      <c r="U869" s="14" t="n">
        <v>3.11</v>
      </c>
      <c r="V869" s="14" t="n">
        <v>9.220000000000001</v>
      </c>
      <c r="W869" s="14" t="n">
        <v>1.97</v>
      </c>
      <c r="X869" s="14" t="n">
        <v>0.37</v>
      </c>
      <c r="Y869" s="14" t="n">
        <v>2.01</v>
      </c>
      <c r="Z869" s="14" t="n">
        <v>1.46</v>
      </c>
      <c r="AA869" s="14" t="n">
        <v>0.01</v>
      </c>
    </row>
    <row r="870">
      <c r="A870" t="inlineStr">
        <is>
          <t>220602</t>
        </is>
      </c>
      <c r="B870" t="inlineStr">
        <is>
          <t>SAN MARTIN</t>
        </is>
      </c>
      <c r="C870" t="inlineStr">
        <is>
          <t>MARISCAL CACERES</t>
        </is>
      </c>
      <c r="D870" t="inlineStr">
        <is>
          <t>CAMPANILLA</t>
        </is>
      </c>
      <c r="E870" t="n">
        <v>4501</v>
      </c>
      <c r="F870" s="14" t="n">
        <v>0</v>
      </c>
      <c r="G870" s="14" t="n">
        <v>80.38</v>
      </c>
      <c r="H870" s="14" t="n">
        <v>0.24</v>
      </c>
      <c r="I870" s="14" t="n">
        <v>0.93</v>
      </c>
      <c r="J870" s="14" t="n">
        <v>0</v>
      </c>
      <c r="K870" s="14" t="n">
        <v>0</v>
      </c>
      <c r="L870" s="14" t="n">
        <v>2.55</v>
      </c>
      <c r="M870" s="14" t="n">
        <v>6.44</v>
      </c>
      <c r="N870" s="14" t="n">
        <v>1.56</v>
      </c>
      <c r="O870" s="14" t="n">
        <v>2.47</v>
      </c>
      <c r="P870" s="14" t="n">
        <v>0.07000000000000001</v>
      </c>
      <c r="Q870" s="14" t="n">
        <v>0.02</v>
      </c>
      <c r="R870" s="14" t="n">
        <v>0</v>
      </c>
      <c r="S870" s="14" t="n">
        <v>0.58</v>
      </c>
      <c r="T870" s="14" t="n">
        <v>0.42</v>
      </c>
      <c r="U870" s="14" t="n">
        <v>1.87</v>
      </c>
      <c r="V870" s="14" t="n">
        <v>1.36</v>
      </c>
      <c r="W870" s="14" t="n">
        <v>0.38</v>
      </c>
      <c r="X870" s="14" t="n">
        <v>0.07000000000000001</v>
      </c>
      <c r="Y870" s="14" t="n">
        <v>0.33</v>
      </c>
      <c r="Z870" s="14" t="n">
        <v>0.33</v>
      </c>
      <c r="AA870" s="14" t="n">
        <v>0</v>
      </c>
    </row>
    <row r="871">
      <c r="A871" t="inlineStr">
        <is>
          <t>220603</t>
        </is>
      </c>
      <c r="B871" t="inlineStr">
        <is>
          <t>SAN MARTIN</t>
        </is>
      </c>
      <c r="C871" t="inlineStr">
        <is>
          <t>MARISCAL CACERES</t>
        </is>
      </c>
      <c r="D871" t="inlineStr">
        <is>
          <t>HUICUNGO</t>
        </is>
      </c>
      <c r="E871" t="n">
        <v>2865</v>
      </c>
      <c r="F871" s="14" t="n">
        <v>0</v>
      </c>
      <c r="G871" s="14" t="n">
        <v>80.52</v>
      </c>
      <c r="H871" s="14" t="n">
        <v>0.03</v>
      </c>
      <c r="I871" s="14" t="n">
        <v>1.33</v>
      </c>
      <c r="J871" s="14" t="n">
        <v>0.03</v>
      </c>
      <c r="K871" s="14" t="n">
        <v>0</v>
      </c>
      <c r="L871" s="14" t="n">
        <v>1.57</v>
      </c>
      <c r="M871" s="14" t="n">
        <v>5.34</v>
      </c>
      <c r="N871" s="14" t="n">
        <v>1.19</v>
      </c>
      <c r="O871" s="14" t="n">
        <v>2.16</v>
      </c>
      <c r="P871" s="14" t="n">
        <v>0.14</v>
      </c>
      <c r="Q871" s="14" t="n">
        <v>0.14</v>
      </c>
      <c r="R871" s="14" t="n">
        <v>0</v>
      </c>
      <c r="S871" s="14" t="n">
        <v>0.73</v>
      </c>
      <c r="T871" s="14" t="n">
        <v>0.45</v>
      </c>
      <c r="U871" s="14" t="n">
        <v>1.43</v>
      </c>
      <c r="V871" s="14" t="n">
        <v>3.07</v>
      </c>
      <c r="W871" s="14" t="n">
        <v>0.5600000000000001</v>
      </c>
      <c r="X871" s="14" t="n">
        <v>0.14</v>
      </c>
      <c r="Y871" s="14" t="n">
        <v>0.5600000000000001</v>
      </c>
      <c r="Z871" s="14" t="n">
        <v>0.59</v>
      </c>
      <c r="AA871" s="14" t="n">
        <v>0</v>
      </c>
    </row>
    <row r="872">
      <c r="A872" t="inlineStr">
        <is>
          <t>220604</t>
        </is>
      </c>
      <c r="B872" t="inlineStr">
        <is>
          <t>SAN MARTIN</t>
        </is>
      </c>
      <c r="C872" t="inlineStr">
        <is>
          <t>MARISCAL CACERES</t>
        </is>
      </c>
      <c r="D872" t="inlineStr">
        <is>
          <t>PACHIZA</t>
        </is>
      </c>
      <c r="E872" t="n">
        <v>2156</v>
      </c>
      <c r="F872" s="14" t="n">
        <v>0</v>
      </c>
      <c r="G872" s="14" t="n">
        <v>82.05</v>
      </c>
      <c r="H872" s="14" t="n">
        <v>0</v>
      </c>
      <c r="I872" s="14" t="n">
        <v>1.16</v>
      </c>
      <c r="J872" s="14" t="n">
        <v>0.05</v>
      </c>
      <c r="K872" s="14" t="n">
        <v>0</v>
      </c>
      <c r="L872" s="14" t="n">
        <v>1.81</v>
      </c>
      <c r="M872" s="14" t="n">
        <v>4.87</v>
      </c>
      <c r="N872" s="14" t="n">
        <v>1.11</v>
      </c>
      <c r="O872" s="14" t="n">
        <v>1.07</v>
      </c>
      <c r="P872" s="14" t="n">
        <v>0</v>
      </c>
      <c r="Q872" s="14" t="n">
        <v>0.05</v>
      </c>
      <c r="R872" s="14" t="n">
        <v>0</v>
      </c>
      <c r="S872" s="14" t="n">
        <v>0.79</v>
      </c>
      <c r="T872" s="14" t="n">
        <v>0.19</v>
      </c>
      <c r="U872" s="14" t="n">
        <v>2.04</v>
      </c>
      <c r="V872" s="14" t="n">
        <v>2.83</v>
      </c>
      <c r="W872" s="14" t="n">
        <v>0.51</v>
      </c>
      <c r="X872" s="14" t="n">
        <v>0.14</v>
      </c>
      <c r="Y872" s="14" t="n">
        <v>0.7</v>
      </c>
      <c r="Z872" s="14" t="n">
        <v>0.65</v>
      </c>
      <c r="AA872" s="14" t="n">
        <v>0</v>
      </c>
    </row>
    <row r="873">
      <c r="A873" t="inlineStr">
        <is>
          <t>220605</t>
        </is>
      </c>
      <c r="B873" t="inlineStr">
        <is>
          <t>SAN MARTIN</t>
        </is>
      </c>
      <c r="C873" t="inlineStr">
        <is>
          <t>MARISCAL CACERES</t>
        </is>
      </c>
      <c r="D873" t="inlineStr">
        <is>
          <t>PAJARILLO</t>
        </is>
      </c>
      <c r="E873" t="n">
        <v>1906</v>
      </c>
      <c r="F873" s="14" t="n">
        <v>0</v>
      </c>
      <c r="G873" s="14" t="n">
        <v>85.15000000000001</v>
      </c>
      <c r="H873" s="14" t="n">
        <v>0</v>
      </c>
      <c r="I873" s="14" t="n">
        <v>1</v>
      </c>
      <c r="J873" s="14" t="n">
        <v>0.05</v>
      </c>
      <c r="K873" s="14" t="n">
        <v>0.05</v>
      </c>
      <c r="L873" s="14" t="n">
        <v>0.84</v>
      </c>
      <c r="M873" s="14" t="n">
        <v>4.09</v>
      </c>
      <c r="N873" s="14" t="n">
        <v>1.47</v>
      </c>
      <c r="O873" s="14" t="n">
        <v>1.89</v>
      </c>
      <c r="P873" s="14" t="n">
        <v>0.16</v>
      </c>
      <c r="Q873" s="14" t="n">
        <v>0</v>
      </c>
      <c r="R873" s="14" t="n">
        <v>0</v>
      </c>
      <c r="S873" s="14" t="n">
        <v>0.21</v>
      </c>
      <c r="T873" s="14" t="n">
        <v>0.16</v>
      </c>
      <c r="U873" s="14" t="n">
        <v>1.36</v>
      </c>
      <c r="V873" s="14" t="n">
        <v>1.94</v>
      </c>
      <c r="W873" s="14" t="n">
        <v>0.31</v>
      </c>
      <c r="X873" s="14" t="n">
        <v>0.05</v>
      </c>
      <c r="Y873" s="14" t="n">
        <v>0.47</v>
      </c>
      <c r="Z873" s="14" t="n">
        <v>0.79</v>
      </c>
      <c r="AA873" s="14" t="n">
        <v>0</v>
      </c>
    </row>
    <row r="874">
      <c r="A874" t="inlineStr">
        <is>
          <t>220701</t>
        </is>
      </c>
      <c r="B874" t="inlineStr">
        <is>
          <t>SAN MARTIN</t>
        </is>
      </c>
      <c r="C874" t="inlineStr">
        <is>
          <t>PICOTA</t>
        </is>
      </c>
      <c r="D874" t="inlineStr">
        <is>
          <t>PICOTA</t>
        </is>
      </c>
      <c r="E874" t="n">
        <v>4162</v>
      </c>
      <c r="F874" s="14" t="n">
        <v>0</v>
      </c>
      <c r="G874" s="14" t="n">
        <v>38.4</v>
      </c>
      <c r="H874" s="14" t="n">
        <v>0.07000000000000001</v>
      </c>
      <c r="I874" s="14" t="n">
        <v>3.51</v>
      </c>
      <c r="J874" s="14" t="n">
        <v>0</v>
      </c>
      <c r="K874" s="14" t="n">
        <v>0.19</v>
      </c>
      <c r="L874" s="14" t="n">
        <v>4.52</v>
      </c>
      <c r="M874" s="14" t="n">
        <v>14.1</v>
      </c>
      <c r="N874" s="14" t="n">
        <v>6.58</v>
      </c>
      <c r="O874" s="14" t="n">
        <v>7.45</v>
      </c>
      <c r="P874" s="14" t="n">
        <v>0.53</v>
      </c>
      <c r="Q874" s="14" t="n">
        <v>0.55</v>
      </c>
      <c r="R874" s="14" t="n">
        <v>0.1</v>
      </c>
      <c r="S874" s="14" t="n">
        <v>2.81</v>
      </c>
      <c r="T874" s="14" t="n">
        <v>1.8</v>
      </c>
      <c r="U874" s="14" t="n">
        <v>3.68</v>
      </c>
      <c r="V874" s="14" t="n">
        <v>9.75</v>
      </c>
      <c r="W874" s="14" t="n">
        <v>1.99</v>
      </c>
      <c r="X874" s="14" t="n">
        <v>0.53</v>
      </c>
      <c r="Y874" s="14" t="n">
        <v>1.97</v>
      </c>
      <c r="Z874" s="14" t="n">
        <v>1.47</v>
      </c>
      <c r="AA874" s="14" t="n">
        <v>0</v>
      </c>
    </row>
    <row r="875">
      <c r="A875" t="inlineStr">
        <is>
          <t>220702</t>
        </is>
      </c>
      <c r="B875" t="inlineStr">
        <is>
          <t>SAN MARTIN</t>
        </is>
      </c>
      <c r="C875" t="inlineStr">
        <is>
          <t>PICOTA</t>
        </is>
      </c>
      <c r="D875" t="inlineStr">
        <is>
          <t>BUENOS AIRES</t>
        </is>
      </c>
      <c r="E875" t="n">
        <v>1083</v>
      </c>
      <c r="F875" s="14" t="n">
        <v>0</v>
      </c>
      <c r="G875" s="14" t="n">
        <v>75.62</v>
      </c>
      <c r="H875" s="14" t="n">
        <v>0</v>
      </c>
      <c r="I875" s="14" t="n">
        <v>1.66</v>
      </c>
      <c r="J875" s="14" t="n">
        <v>0</v>
      </c>
      <c r="K875" s="14" t="n">
        <v>0.18</v>
      </c>
      <c r="L875" s="14" t="n">
        <v>2.86</v>
      </c>
      <c r="M875" s="14" t="n">
        <v>6.65</v>
      </c>
      <c r="N875" s="14" t="n">
        <v>3.6</v>
      </c>
      <c r="O875" s="14" t="n">
        <v>2.12</v>
      </c>
      <c r="P875" s="14" t="n">
        <v>0</v>
      </c>
      <c r="Q875" s="14" t="n">
        <v>0</v>
      </c>
      <c r="R875" s="14" t="n">
        <v>0</v>
      </c>
      <c r="S875" s="14" t="n">
        <v>0.83</v>
      </c>
      <c r="T875" s="14" t="n">
        <v>0.65</v>
      </c>
      <c r="U875" s="14" t="n">
        <v>1.85</v>
      </c>
      <c r="V875" s="14" t="n">
        <v>1.85</v>
      </c>
      <c r="W875" s="14" t="n">
        <v>0.65</v>
      </c>
      <c r="X875" s="14" t="n">
        <v>0.28</v>
      </c>
      <c r="Y875" s="14" t="n">
        <v>0.46</v>
      </c>
      <c r="Z875" s="14" t="n">
        <v>0.74</v>
      </c>
      <c r="AA875" s="14" t="n">
        <v>0</v>
      </c>
    </row>
    <row r="876">
      <c r="A876" t="inlineStr">
        <is>
          <t>220703</t>
        </is>
      </c>
      <c r="B876" t="inlineStr">
        <is>
          <t>SAN MARTIN</t>
        </is>
      </c>
      <c r="C876" t="inlineStr">
        <is>
          <t>PICOTA</t>
        </is>
      </c>
      <c r="D876" t="inlineStr">
        <is>
          <t>CASPISAPA</t>
        </is>
      </c>
      <c r="E876" t="n">
        <v>705</v>
      </c>
      <c r="F876" s="14" t="n">
        <v>0</v>
      </c>
      <c r="G876" s="14" t="n">
        <v>64.54000000000001</v>
      </c>
      <c r="H876" s="14" t="n">
        <v>0.14</v>
      </c>
      <c r="I876" s="14" t="n">
        <v>3.55</v>
      </c>
      <c r="J876" s="14" t="n">
        <v>0</v>
      </c>
      <c r="K876" s="14" t="n">
        <v>0</v>
      </c>
      <c r="L876" s="14" t="n">
        <v>4.11</v>
      </c>
      <c r="M876" s="14" t="n">
        <v>11.49</v>
      </c>
      <c r="N876" s="14" t="n">
        <v>1.99</v>
      </c>
      <c r="O876" s="14" t="n">
        <v>2.13</v>
      </c>
      <c r="P876" s="14" t="n">
        <v>0.71</v>
      </c>
      <c r="Q876" s="14" t="n">
        <v>0.14</v>
      </c>
      <c r="R876" s="14" t="n">
        <v>0</v>
      </c>
      <c r="S876" s="14" t="n">
        <v>1.28</v>
      </c>
      <c r="T876" s="14" t="n">
        <v>0.43</v>
      </c>
      <c r="U876" s="14" t="n">
        <v>2.7</v>
      </c>
      <c r="V876" s="14" t="n">
        <v>3.83</v>
      </c>
      <c r="W876" s="14" t="n">
        <v>1.42</v>
      </c>
      <c r="X876" s="14" t="n">
        <v>0.14</v>
      </c>
      <c r="Y876" s="14" t="n">
        <v>0.85</v>
      </c>
      <c r="Z876" s="14" t="n">
        <v>0.57</v>
      </c>
      <c r="AA876" s="14" t="n">
        <v>0</v>
      </c>
    </row>
    <row r="877">
      <c r="A877" t="inlineStr">
        <is>
          <t>220704</t>
        </is>
      </c>
      <c r="B877" t="inlineStr">
        <is>
          <t>SAN MARTIN</t>
        </is>
      </c>
      <c r="C877" t="inlineStr">
        <is>
          <t>PICOTA</t>
        </is>
      </c>
      <c r="D877" t="inlineStr">
        <is>
          <t>PILLUANA</t>
        </is>
      </c>
      <c r="E877" t="n">
        <v>275</v>
      </c>
      <c r="F877" s="14" t="n">
        <v>0</v>
      </c>
      <c r="G877" s="14" t="n">
        <v>76.73</v>
      </c>
      <c r="H877" s="14" t="n">
        <v>0</v>
      </c>
      <c r="I877" s="14" t="n">
        <v>1.45</v>
      </c>
      <c r="J877" s="14" t="n">
        <v>0</v>
      </c>
      <c r="K877" s="14" t="n">
        <v>0</v>
      </c>
      <c r="L877" s="14" t="n">
        <v>0.36</v>
      </c>
      <c r="M877" s="14" t="n">
        <v>3.64</v>
      </c>
      <c r="N877" s="14" t="n">
        <v>0.73</v>
      </c>
      <c r="O877" s="14" t="n">
        <v>2.55</v>
      </c>
      <c r="P877" s="14" t="n">
        <v>0</v>
      </c>
      <c r="Q877" s="14" t="n">
        <v>0.36</v>
      </c>
      <c r="R877" s="14" t="n">
        <v>0</v>
      </c>
      <c r="S877" s="14" t="n">
        <v>0.73</v>
      </c>
      <c r="T877" s="14" t="n">
        <v>0.36</v>
      </c>
      <c r="U877" s="14" t="n">
        <v>2.91</v>
      </c>
      <c r="V877" s="14" t="n">
        <v>5.09</v>
      </c>
      <c r="W877" s="14" t="n">
        <v>1.45</v>
      </c>
      <c r="X877" s="14" t="n">
        <v>0.36</v>
      </c>
      <c r="Y877" s="14" t="n">
        <v>2.18</v>
      </c>
      <c r="Z877" s="14" t="n">
        <v>1.09</v>
      </c>
      <c r="AA877" s="14" t="n">
        <v>0</v>
      </c>
    </row>
    <row r="878">
      <c r="A878" t="inlineStr">
        <is>
          <t>220705</t>
        </is>
      </c>
      <c r="B878" t="inlineStr">
        <is>
          <t>SAN MARTIN</t>
        </is>
      </c>
      <c r="C878" t="inlineStr">
        <is>
          <t>PICOTA</t>
        </is>
      </c>
      <c r="D878" t="inlineStr">
        <is>
          <t>PUCACACA</t>
        </is>
      </c>
      <c r="E878" t="n">
        <v>1096</v>
      </c>
      <c r="F878" s="14" t="n">
        <v>0</v>
      </c>
      <c r="G878" s="14" t="n">
        <v>60.04</v>
      </c>
      <c r="H878" s="14" t="n">
        <v>0.09</v>
      </c>
      <c r="I878" s="14" t="n">
        <v>3.65</v>
      </c>
      <c r="J878" s="14" t="n">
        <v>0</v>
      </c>
      <c r="K878" s="14" t="n">
        <v>0</v>
      </c>
      <c r="L878" s="14" t="n">
        <v>4.29</v>
      </c>
      <c r="M878" s="14" t="n">
        <v>8.300000000000001</v>
      </c>
      <c r="N878" s="14" t="n">
        <v>3.56</v>
      </c>
      <c r="O878" s="14" t="n">
        <v>4.74</v>
      </c>
      <c r="P878" s="14" t="n">
        <v>0.09</v>
      </c>
      <c r="Q878" s="14" t="n">
        <v>0.36</v>
      </c>
      <c r="R878" s="14" t="n">
        <v>0</v>
      </c>
      <c r="S878" s="14" t="n">
        <v>1</v>
      </c>
      <c r="T878" s="14" t="n">
        <v>0.73</v>
      </c>
      <c r="U878" s="14" t="n">
        <v>3.19</v>
      </c>
      <c r="V878" s="14" t="n">
        <v>5.84</v>
      </c>
      <c r="W878" s="14" t="n">
        <v>1.37</v>
      </c>
      <c r="X878" s="14" t="n">
        <v>0</v>
      </c>
      <c r="Y878" s="14" t="n">
        <v>0.73</v>
      </c>
      <c r="Z878" s="14" t="n">
        <v>2.01</v>
      </c>
      <c r="AA878" s="14" t="n">
        <v>0</v>
      </c>
    </row>
    <row r="879">
      <c r="A879" t="inlineStr">
        <is>
          <t>220706</t>
        </is>
      </c>
      <c r="B879" t="inlineStr">
        <is>
          <t>SAN MARTIN</t>
        </is>
      </c>
      <c r="C879" t="inlineStr">
        <is>
          <t>PICOTA</t>
        </is>
      </c>
      <c r="D879" t="inlineStr">
        <is>
          <t>SAN CRISTOBAL</t>
        </is>
      </c>
      <c r="E879" t="n">
        <v>389</v>
      </c>
      <c r="F879" s="14" t="n">
        <v>0</v>
      </c>
      <c r="G879" s="14" t="n">
        <v>63.24</v>
      </c>
      <c r="H879" s="14" t="n">
        <v>0</v>
      </c>
      <c r="I879" s="14" t="n">
        <v>3.34</v>
      </c>
      <c r="J879" s="14" t="n">
        <v>0</v>
      </c>
      <c r="K879" s="14" t="n">
        <v>0.26</v>
      </c>
      <c r="L879" s="14" t="n">
        <v>7.97</v>
      </c>
      <c r="M879" s="14" t="n">
        <v>7.2</v>
      </c>
      <c r="N879" s="14" t="n">
        <v>2.57</v>
      </c>
      <c r="O879" s="14" t="n">
        <v>3.86</v>
      </c>
      <c r="P879" s="14" t="n">
        <v>0.26</v>
      </c>
      <c r="Q879" s="14" t="n">
        <v>0.26</v>
      </c>
      <c r="R879" s="14" t="n">
        <v>0</v>
      </c>
      <c r="S879" s="14" t="n">
        <v>1.03</v>
      </c>
      <c r="T879" s="14" t="n">
        <v>0.51</v>
      </c>
      <c r="U879" s="14" t="n">
        <v>4.37</v>
      </c>
      <c r="V879" s="14" t="n">
        <v>4.11</v>
      </c>
      <c r="W879" s="14" t="n">
        <v>0.51</v>
      </c>
      <c r="X879" s="14" t="n">
        <v>0</v>
      </c>
      <c r="Y879" s="14" t="n">
        <v>0.26</v>
      </c>
      <c r="Z879" s="14" t="n">
        <v>0.26</v>
      </c>
      <c r="AA879" s="14" t="n">
        <v>0</v>
      </c>
    </row>
    <row r="880">
      <c r="A880" t="inlineStr">
        <is>
          <t>220707</t>
        </is>
      </c>
      <c r="B880" t="inlineStr">
        <is>
          <t>SAN MARTIN</t>
        </is>
      </c>
      <c r="C880" t="inlineStr">
        <is>
          <t>PICOTA</t>
        </is>
      </c>
      <c r="D880" t="inlineStr">
        <is>
          <t>SAN HILARION</t>
        </is>
      </c>
      <c r="E880" t="n">
        <v>1421</v>
      </c>
      <c r="F880" s="14" t="n">
        <v>0</v>
      </c>
      <c r="G880" s="14" t="n">
        <v>52.43</v>
      </c>
      <c r="H880" s="14" t="n">
        <v>0</v>
      </c>
      <c r="I880" s="14" t="n">
        <v>5.63</v>
      </c>
      <c r="J880" s="14" t="n">
        <v>0.07000000000000001</v>
      </c>
      <c r="K880" s="14" t="n">
        <v>0</v>
      </c>
      <c r="L880" s="14" t="n">
        <v>4.08</v>
      </c>
      <c r="M880" s="14" t="n">
        <v>15.34</v>
      </c>
      <c r="N880" s="14" t="n">
        <v>5.35</v>
      </c>
      <c r="O880" s="14" t="n">
        <v>7.18</v>
      </c>
      <c r="P880" s="14" t="n">
        <v>0.14</v>
      </c>
      <c r="Q880" s="14" t="n">
        <v>0.35</v>
      </c>
      <c r="R880" s="14" t="n">
        <v>0</v>
      </c>
      <c r="S880" s="14" t="n">
        <v>1.41</v>
      </c>
      <c r="T880" s="14" t="n">
        <v>1.34</v>
      </c>
      <c r="U880" s="14" t="n">
        <v>1.97</v>
      </c>
      <c r="V880" s="14" t="n">
        <v>1.76</v>
      </c>
      <c r="W880" s="14" t="n">
        <v>0.5600000000000001</v>
      </c>
      <c r="X880" s="14" t="n">
        <v>0.21</v>
      </c>
      <c r="Y880" s="14" t="n">
        <v>1.41</v>
      </c>
      <c r="Z880" s="14" t="n">
        <v>0.77</v>
      </c>
      <c r="AA880" s="14" t="n">
        <v>0</v>
      </c>
    </row>
    <row r="881">
      <c r="A881" t="inlineStr">
        <is>
          <t>220708</t>
        </is>
      </c>
      <c r="B881" t="inlineStr">
        <is>
          <t>SAN MARTIN</t>
        </is>
      </c>
      <c r="C881" t="inlineStr">
        <is>
          <t>PICOTA</t>
        </is>
      </c>
      <c r="D881" t="inlineStr">
        <is>
          <t>SHAMBOYACU</t>
        </is>
      </c>
      <c r="E881" t="n">
        <v>2865</v>
      </c>
      <c r="F881" s="14" t="n">
        <v>0</v>
      </c>
      <c r="G881" s="14" t="n">
        <v>87.26000000000001</v>
      </c>
      <c r="H881" s="14" t="n">
        <v>0</v>
      </c>
      <c r="I881" s="14" t="n">
        <v>0.84</v>
      </c>
      <c r="J881" s="14" t="n">
        <v>0</v>
      </c>
      <c r="K881" s="14" t="n">
        <v>0</v>
      </c>
      <c r="L881" s="14" t="n">
        <v>0.73</v>
      </c>
      <c r="M881" s="14" t="n">
        <v>3.73</v>
      </c>
      <c r="N881" s="14" t="n">
        <v>1.36</v>
      </c>
      <c r="O881" s="14" t="n">
        <v>1.47</v>
      </c>
      <c r="P881" s="14" t="n">
        <v>0.07000000000000001</v>
      </c>
      <c r="Q881" s="14" t="n">
        <v>0</v>
      </c>
      <c r="R881" s="14" t="n">
        <v>0</v>
      </c>
      <c r="S881" s="14" t="n">
        <v>0.1</v>
      </c>
      <c r="T881" s="14" t="n">
        <v>0.21</v>
      </c>
      <c r="U881" s="14" t="n">
        <v>0.87</v>
      </c>
      <c r="V881" s="14" t="n">
        <v>1.85</v>
      </c>
      <c r="W881" s="14" t="n">
        <v>0.45</v>
      </c>
      <c r="X881" s="14" t="n">
        <v>0</v>
      </c>
      <c r="Y881" s="14" t="n">
        <v>0.5600000000000001</v>
      </c>
      <c r="Z881" s="14" t="n">
        <v>0.49</v>
      </c>
      <c r="AA881" s="14" t="n">
        <v>0</v>
      </c>
    </row>
    <row r="882">
      <c r="A882" t="inlineStr">
        <is>
          <t>220709</t>
        </is>
      </c>
      <c r="B882" t="inlineStr">
        <is>
          <t>SAN MARTIN</t>
        </is>
      </c>
      <c r="C882" t="inlineStr">
        <is>
          <t>PICOTA</t>
        </is>
      </c>
      <c r="D882" t="inlineStr">
        <is>
          <t>TINGO DE PONASA</t>
        </is>
      </c>
      <c r="E882" t="n">
        <v>1383</v>
      </c>
      <c r="F882" s="14" t="n">
        <v>0</v>
      </c>
      <c r="G882" s="14" t="n">
        <v>81.48999999999999</v>
      </c>
      <c r="H882" s="14" t="n">
        <v>0</v>
      </c>
      <c r="I882" s="14" t="n">
        <v>1.08</v>
      </c>
      <c r="J882" s="14" t="n">
        <v>0</v>
      </c>
      <c r="K882" s="14" t="n">
        <v>0</v>
      </c>
      <c r="L882" s="14" t="n">
        <v>1.66</v>
      </c>
      <c r="M882" s="14" t="n">
        <v>4.27</v>
      </c>
      <c r="N882" s="14" t="n">
        <v>2.1</v>
      </c>
      <c r="O882" s="14" t="n">
        <v>2.89</v>
      </c>
      <c r="P882" s="14" t="n">
        <v>0.07000000000000001</v>
      </c>
      <c r="Q882" s="14" t="n">
        <v>0.07000000000000001</v>
      </c>
      <c r="R882" s="14" t="n">
        <v>0</v>
      </c>
      <c r="S882" s="14" t="n">
        <v>0.29</v>
      </c>
      <c r="T882" s="14" t="n">
        <v>0.43</v>
      </c>
      <c r="U882" s="14" t="n">
        <v>1.52</v>
      </c>
      <c r="V882" s="14" t="n">
        <v>2.6</v>
      </c>
      <c r="W882" s="14" t="n">
        <v>0.87</v>
      </c>
      <c r="X882" s="14" t="n">
        <v>0</v>
      </c>
      <c r="Y882" s="14" t="n">
        <v>0.36</v>
      </c>
      <c r="Z882" s="14" t="n">
        <v>0.29</v>
      </c>
      <c r="AA882" s="14" t="n">
        <v>0</v>
      </c>
    </row>
    <row r="883">
      <c r="A883" t="inlineStr">
        <is>
          <t>220710</t>
        </is>
      </c>
      <c r="B883" t="inlineStr">
        <is>
          <t>SAN MARTIN</t>
        </is>
      </c>
      <c r="C883" t="inlineStr">
        <is>
          <t>PICOTA</t>
        </is>
      </c>
      <c r="D883" t="inlineStr">
        <is>
          <t>TRES UNIDOS</t>
        </is>
      </c>
      <c r="E883" t="n">
        <v>1291</v>
      </c>
      <c r="F883" s="14" t="n">
        <v>0</v>
      </c>
      <c r="G883" s="14" t="n">
        <v>82.26000000000001</v>
      </c>
      <c r="H883" s="14" t="n">
        <v>0</v>
      </c>
      <c r="I883" s="14" t="n">
        <v>1.78</v>
      </c>
      <c r="J883" s="14" t="n">
        <v>0</v>
      </c>
      <c r="K883" s="14" t="n">
        <v>0</v>
      </c>
      <c r="L883" s="14" t="n">
        <v>0.39</v>
      </c>
      <c r="M883" s="14" t="n">
        <v>4.42</v>
      </c>
      <c r="N883" s="14" t="n">
        <v>2.94</v>
      </c>
      <c r="O883" s="14" t="n">
        <v>1.47</v>
      </c>
      <c r="P883" s="14" t="n">
        <v>0.08</v>
      </c>
      <c r="Q883" s="14" t="n">
        <v>0.08</v>
      </c>
      <c r="R883" s="14" t="n">
        <v>0</v>
      </c>
      <c r="S883" s="14" t="n">
        <v>0.62</v>
      </c>
      <c r="T883" s="14" t="n">
        <v>0.39</v>
      </c>
      <c r="U883" s="14" t="n">
        <v>0.46</v>
      </c>
      <c r="V883" s="14" t="n">
        <v>3.18</v>
      </c>
      <c r="W883" s="14" t="n">
        <v>0.77</v>
      </c>
      <c r="X883" s="14" t="n">
        <v>0.15</v>
      </c>
      <c r="Y883" s="14" t="n">
        <v>0.7</v>
      </c>
      <c r="Z883" s="14" t="n">
        <v>0.31</v>
      </c>
      <c r="AA883" s="14" t="n">
        <v>0</v>
      </c>
    </row>
    <row r="884">
      <c r="A884" t="inlineStr">
        <is>
          <t>220801</t>
        </is>
      </c>
      <c r="B884" t="inlineStr">
        <is>
          <t>SAN MARTIN</t>
        </is>
      </c>
      <c r="C884" t="inlineStr">
        <is>
          <t>RIOJA</t>
        </is>
      </c>
      <c r="D884" t="inlineStr">
        <is>
          <t>RIOJA</t>
        </is>
      </c>
      <c r="E884" t="n">
        <v>10772</v>
      </c>
      <c r="F884" s="14" t="n">
        <v>0.037</v>
      </c>
      <c r="G884" s="14" t="n">
        <v>28.17</v>
      </c>
      <c r="H884" s="14" t="n">
        <v>0.2</v>
      </c>
      <c r="I884" s="14" t="n">
        <v>5.85</v>
      </c>
      <c r="J884" s="14" t="n">
        <v>0.04</v>
      </c>
      <c r="K884" s="14" t="n">
        <v>0.17</v>
      </c>
      <c r="L884" s="14" t="n">
        <v>7.65</v>
      </c>
      <c r="M884" s="14" t="n">
        <v>15.41</v>
      </c>
      <c r="N884" s="14" t="n">
        <v>6.58</v>
      </c>
      <c r="O884" s="14" t="n">
        <v>5.7</v>
      </c>
      <c r="P884" s="14" t="n">
        <v>0.46</v>
      </c>
      <c r="Q884" s="14" t="n">
        <v>0.96</v>
      </c>
      <c r="R884" s="14" t="n">
        <v>0.01</v>
      </c>
      <c r="S884" s="14" t="n">
        <v>3.7</v>
      </c>
      <c r="T884" s="14" t="n">
        <v>2.02</v>
      </c>
      <c r="U884" s="14" t="n">
        <v>4.58</v>
      </c>
      <c r="V884" s="14" t="n">
        <v>10.64</v>
      </c>
      <c r="W884" s="14" t="n">
        <v>3.38</v>
      </c>
      <c r="X884" s="14" t="n">
        <v>0.57</v>
      </c>
      <c r="Y884" s="14" t="n">
        <v>1.82</v>
      </c>
      <c r="Z884" s="14" t="n">
        <v>2.1</v>
      </c>
      <c r="AA884" s="14" t="n">
        <v>0</v>
      </c>
    </row>
    <row r="885">
      <c r="A885" t="inlineStr">
        <is>
          <t>220802</t>
        </is>
      </c>
      <c r="B885" t="inlineStr">
        <is>
          <t>SAN MARTIN</t>
        </is>
      </c>
      <c r="C885" t="inlineStr">
        <is>
          <t>RIOJA</t>
        </is>
      </c>
      <c r="D885" t="inlineStr">
        <is>
          <t>AWAJUN</t>
        </is>
      </c>
      <c r="E885" t="n">
        <v>1869</v>
      </c>
      <c r="F885" s="14" t="n">
        <v>0</v>
      </c>
      <c r="G885" s="14" t="n">
        <v>79.51000000000001</v>
      </c>
      <c r="H885" s="14" t="n">
        <v>0</v>
      </c>
      <c r="I885" s="14" t="n">
        <v>0.59</v>
      </c>
      <c r="J885" s="14" t="n">
        <v>0</v>
      </c>
      <c r="K885" s="14" t="n">
        <v>0</v>
      </c>
      <c r="L885" s="14" t="n">
        <v>1.82</v>
      </c>
      <c r="M885" s="14" t="n">
        <v>4.76</v>
      </c>
      <c r="N885" s="14" t="n">
        <v>1.44</v>
      </c>
      <c r="O885" s="14" t="n">
        <v>1.61</v>
      </c>
      <c r="P885" s="14" t="n">
        <v>0.16</v>
      </c>
      <c r="Q885" s="14" t="n">
        <v>0.05</v>
      </c>
      <c r="R885" s="14" t="n">
        <v>0.16</v>
      </c>
      <c r="S885" s="14" t="n">
        <v>0.43</v>
      </c>
      <c r="T885" s="14" t="n">
        <v>0.05</v>
      </c>
      <c r="U885" s="14" t="n">
        <v>1.66</v>
      </c>
      <c r="V885" s="14" t="n">
        <v>5.08</v>
      </c>
      <c r="W885" s="14" t="n">
        <v>0.75</v>
      </c>
      <c r="X885" s="14" t="n">
        <v>0.05</v>
      </c>
      <c r="Y885" s="14" t="n">
        <v>1.28</v>
      </c>
      <c r="Z885" s="14" t="n">
        <v>0.59</v>
      </c>
      <c r="AA885" s="14" t="n">
        <v>0</v>
      </c>
    </row>
    <row r="886">
      <c r="A886" t="inlineStr">
        <is>
          <t>220803</t>
        </is>
      </c>
      <c r="B886" t="inlineStr">
        <is>
          <t>SAN MARTIN</t>
        </is>
      </c>
      <c r="C886" t="inlineStr">
        <is>
          <t>RIOJA</t>
        </is>
      </c>
      <c r="D886" t="inlineStr">
        <is>
          <t>ELIAS SOPLIN VARGAS</t>
        </is>
      </c>
      <c r="E886" t="n">
        <v>4895</v>
      </c>
      <c r="F886" s="14" t="n">
        <v>0</v>
      </c>
      <c r="G886" s="14" t="n">
        <v>54.81</v>
      </c>
      <c r="H886" s="14" t="n">
        <v>0.2</v>
      </c>
      <c r="I886" s="14" t="n">
        <v>5.97</v>
      </c>
      <c r="J886" s="14" t="n">
        <v>0.06</v>
      </c>
      <c r="K886" s="14" t="n">
        <v>0.18</v>
      </c>
      <c r="L886" s="14" t="n">
        <v>7.46</v>
      </c>
      <c r="M886" s="14" t="n">
        <v>10.03</v>
      </c>
      <c r="N886" s="14" t="n">
        <v>6.5</v>
      </c>
      <c r="O886" s="14" t="n">
        <v>2.94</v>
      </c>
      <c r="P886" s="14" t="n">
        <v>0.22</v>
      </c>
      <c r="Q886" s="14" t="n">
        <v>0.16</v>
      </c>
      <c r="R886" s="14" t="n">
        <v>0.02</v>
      </c>
      <c r="S886" s="14" t="n">
        <v>1.14</v>
      </c>
      <c r="T886" s="14" t="n">
        <v>1.08</v>
      </c>
      <c r="U886" s="14" t="n">
        <v>3.55</v>
      </c>
      <c r="V886" s="14" t="n">
        <v>2.33</v>
      </c>
      <c r="W886" s="14" t="n">
        <v>0.55</v>
      </c>
      <c r="X886" s="14" t="n">
        <v>0.16</v>
      </c>
      <c r="Y886" s="14" t="n">
        <v>1.18</v>
      </c>
      <c r="Z886" s="14" t="n">
        <v>1.43</v>
      </c>
      <c r="AA886" s="14" t="n">
        <v>0</v>
      </c>
    </row>
    <row r="887">
      <c r="A887" t="inlineStr">
        <is>
          <t>220804</t>
        </is>
      </c>
      <c r="B887" t="inlineStr">
        <is>
          <t>SAN MARTIN</t>
        </is>
      </c>
      <c r="C887" t="inlineStr">
        <is>
          <t>RIOJA</t>
        </is>
      </c>
      <c r="D887" t="inlineStr">
        <is>
          <t>NUEVA CAJAMARCA</t>
        </is>
      </c>
      <c r="E887" t="n">
        <v>16439</v>
      </c>
      <c r="F887" s="14" t="n">
        <v>0</v>
      </c>
      <c r="G887" s="14" t="n">
        <v>44.04</v>
      </c>
      <c r="H887" s="14" t="n">
        <v>0.08</v>
      </c>
      <c r="I887" s="14" t="n">
        <v>4.51</v>
      </c>
      <c r="J887" s="14" t="n">
        <v>0.02</v>
      </c>
      <c r="K887" s="14" t="n">
        <v>0.09</v>
      </c>
      <c r="L887" s="14" t="n">
        <v>4.39</v>
      </c>
      <c r="M887" s="14" t="n">
        <v>18.27</v>
      </c>
      <c r="N887" s="14" t="n">
        <v>6.95</v>
      </c>
      <c r="O887" s="14" t="n">
        <v>6.1</v>
      </c>
      <c r="P887" s="14" t="n">
        <v>0.4</v>
      </c>
      <c r="Q887" s="14" t="n">
        <v>0.36</v>
      </c>
      <c r="R887" s="14" t="n">
        <v>0.05</v>
      </c>
      <c r="S887" s="14" t="n">
        <v>2.35</v>
      </c>
      <c r="T887" s="14" t="n">
        <v>1.03</v>
      </c>
      <c r="U887" s="14" t="n">
        <v>1.93</v>
      </c>
      <c r="V887" s="14" t="n">
        <v>4.45</v>
      </c>
      <c r="W887" s="14" t="n">
        <v>1.09</v>
      </c>
      <c r="X887" s="14" t="n">
        <v>0.44</v>
      </c>
      <c r="Y887" s="14" t="n">
        <v>2.43</v>
      </c>
      <c r="Z887" s="14" t="n">
        <v>1.02</v>
      </c>
      <c r="AA887" s="14" t="n">
        <v>0</v>
      </c>
    </row>
    <row r="888">
      <c r="A888" t="inlineStr">
        <is>
          <t>220805</t>
        </is>
      </c>
      <c r="B888" t="inlineStr">
        <is>
          <t>SAN MARTIN</t>
        </is>
      </c>
      <c r="C888" t="inlineStr">
        <is>
          <t>RIOJA</t>
        </is>
      </c>
      <c r="D888" t="inlineStr">
        <is>
          <t>PARDO MIGUEL</t>
        </is>
      </c>
      <c r="E888" t="n">
        <v>5600</v>
      </c>
      <c r="F888" s="14" t="n">
        <v>0</v>
      </c>
      <c r="G888" s="14" t="n">
        <v>72.77</v>
      </c>
      <c r="H888" s="14" t="n">
        <v>0.07000000000000001</v>
      </c>
      <c r="I888" s="14" t="n">
        <v>2.2</v>
      </c>
      <c r="J888" s="14" t="n">
        <v>0.02</v>
      </c>
      <c r="K888" s="14" t="n">
        <v>0.04</v>
      </c>
      <c r="L888" s="14" t="n">
        <v>1.86</v>
      </c>
      <c r="M888" s="14" t="n">
        <v>8.539999999999999</v>
      </c>
      <c r="N888" s="14" t="n">
        <v>2.18</v>
      </c>
      <c r="O888" s="14" t="n">
        <v>2.3</v>
      </c>
      <c r="P888" s="14" t="n">
        <v>0.11</v>
      </c>
      <c r="Q888" s="14" t="n">
        <v>0.07000000000000001</v>
      </c>
      <c r="R888" s="14" t="n">
        <v>0</v>
      </c>
      <c r="S888" s="14" t="n">
        <v>1.02</v>
      </c>
      <c r="T888" s="14" t="n">
        <v>0.48</v>
      </c>
      <c r="U888" s="14" t="n">
        <v>2.55</v>
      </c>
      <c r="V888" s="14" t="n">
        <v>3.55</v>
      </c>
      <c r="W888" s="14" t="n">
        <v>0.61</v>
      </c>
      <c r="X888" s="14" t="n">
        <v>0.11</v>
      </c>
      <c r="Y888" s="14" t="n">
        <v>0.88</v>
      </c>
      <c r="Z888" s="14" t="n">
        <v>0.66</v>
      </c>
      <c r="AA888" s="14" t="n">
        <v>0</v>
      </c>
    </row>
    <row r="889">
      <c r="A889" t="inlineStr">
        <is>
          <t>220806</t>
        </is>
      </c>
      <c r="B889" t="inlineStr">
        <is>
          <t>SAN MARTIN</t>
        </is>
      </c>
      <c r="C889" t="inlineStr">
        <is>
          <t>RIOJA</t>
        </is>
      </c>
      <c r="D889" t="inlineStr">
        <is>
          <t>POSIC</t>
        </is>
      </c>
      <c r="E889" t="n">
        <v>641</v>
      </c>
      <c r="F889" s="14" t="n">
        <v>0</v>
      </c>
      <c r="G889" s="14" t="n">
        <v>71.61</v>
      </c>
      <c r="H889" s="14" t="n">
        <v>0</v>
      </c>
      <c r="I889" s="14" t="n">
        <v>2.96</v>
      </c>
      <c r="J889" s="14" t="n">
        <v>0</v>
      </c>
      <c r="K889" s="14" t="n">
        <v>0</v>
      </c>
      <c r="L889" s="14" t="n">
        <v>5.15</v>
      </c>
      <c r="M889" s="14" t="n">
        <v>6.08</v>
      </c>
      <c r="N889" s="14" t="n">
        <v>2.5</v>
      </c>
      <c r="O889" s="14" t="n">
        <v>2.18</v>
      </c>
      <c r="P889" s="14" t="n">
        <v>0</v>
      </c>
      <c r="Q889" s="14" t="n">
        <v>0.9399999999999999</v>
      </c>
      <c r="R889" s="14" t="n">
        <v>0</v>
      </c>
      <c r="S889" s="14" t="n">
        <v>1.25</v>
      </c>
      <c r="T889" s="14" t="n">
        <v>0.62</v>
      </c>
      <c r="U889" s="14" t="n">
        <v>2.34</v>
      </c>
      <c r="V889" s="14" t="n">
        <v>1.09</v>
      </c>
      <c r="W889" s="14" t="n">
        <v>0.47</v>
      </c>
      <c r="X889" s="14" t="n">
        <v>0.16</v>
      </c>
      <c r="Y889" s="14" t="n">
        <v>1.87</v>
      </c>
      <c r="Z889" s="14" t="n">
        <v>0.78</v>
      </c>
      <c r="AA889" s="14" t="n">
        <v>0</v>
      </c>
    </row>
    <row r="890">
      <c r="A890" t="inlineStr">
        <is>
          <t>220807</t>
        </is>
      </c>
      <c r="B890" t="inlineStr">
        <is>
          <t>SAN MARTIN</t>
        </is>
      </c>
      <c r="C890" t="inlineStr">
        <is>
          <t>RIOJA</t>
        </is>
      </c>
      <c r="D890" t="inlineStr">
        <is>
          <t>SAN FERNANDO</t>
        </is>
      </c>
      <c r="E890" t="n">
        <v>1126</v>
      </c>
      <c r="F890" s="14" t="n">
        <v>0</v>
      </c>
      <c r="G890" s="14" t="n">
        <v>79.04000000000001</v>
      </c>
      <c r="H890" s="14" t="n">
        <v>0</v>
      </c>
      <c r="I890" s="14" t="n">
        <v>0.98</v>
      </c>
      <c r="J890" s="14" t="n">
        <v>0.27</v>
      </c>
      <c r="K890" s="14" t="n">
        <v>0.09</v>
      </c>
      <c r="L890" s="14" t="n">
        <v>1.6</v>
      </c>
      <c r="M890" s="14" t="n">
        <v>4.8</v>
      </c>
      <c r="N890" s="14" t="n">
        <v>2.84</v>
      </c>
      <c r="O890" s="14" t="n">
        <v>1.69</v>
      </c>
      <c r="P890" s="14" t="n">
        <v>0.09</v>
      </c>
      <c r="Q890" s="14" t="n">
        <v>0</v>
      </c>
      <c r="R890" s="14" t="n">
        <v>0</v>
      </c>
      <c r="S890" s="14" t="n">
        <v>0.89</v>
      </c>
      <c r="T890" s="14" t="n">
        <v>0.44</v>
      </c>
      <c r="U890" s="14" t="n">
        <v>1.6</v>
      </c>
      <c r="V890" s="14" t="n">
        <v>3.55</v>
      </c>
      <c r="W890" s="14" t="n">
        <v>0.89</v>
      </c>
      <c r="X890" s="14" t="n">
        <v>0</v>
      </c>
      <c r="Y890" s="14" t="n">
        <v>0.62</v>
      </c>
      <c r="Z890" s="14" t="n">
        <v>0.62</v>
      </c>
      <c r="AA890" s="14" t="n">
        <v>0</v>
      </c>
    </row>
    <row r="891">
      <c r="A891" t="inlineStr">
        <is>
          <t>220808</t>
        </is>
      </c>
      <c r="B891" t="inlineStr">
        <is>
          <t>SAN MARTIN</t>
        </is>
      </c>
      <c r="C891" t="inlineStr">
        <is>
          <t>RIOJA</t>
        </is>
      </c>
      <c r="D891" t="inlineStr">
        <is>
          <t>YORONGOS</t>
        </is>
      </c>
      <c r="E891" t="n">
        <v>880</v>
      </c>
      <c r="F891" s="14" t="n">
        <v>0</v>
      </c>
      <c r="G891" s="14" t="n">
        <v>81.36</v>
      </c>
      <c r="H891" s="14" t="n">
        <v>0</v>
      </c>
      <c r="I891" s="14" t="n">
        <v>1.48</v>
      </c>
      <c r="J891" s="14" t="n">
        <v>0.11</v>
      </c>
      <c r="K891" s="14" t="n">
        <v>0</v>
      </c>
      <c r="L891" s="14" t="n">
        <v>1.25</v>
      </c>
      <c r="M891" s="14" t="n">
        <v>3.75</v>
      </c>
      <c r="N891" s="14" t="n">
        <v>2.05</v>
      </c>
      <c r="O891" s="14" t="n">
        <v>1.93</v>
      </c>
      <c r="P891" s="14" t="n">
        <v>0</v>
      </c>
      <c r="Q891" s="14" t="n">
        <v>0.34</v>
      </c>
      <c r="R891" s="14" t="n">
        <v>0</v>
      </c>
      <c r="S891" s="14" t="n">
        <v>1.02</v>
      </c>
      <c r="T891" s="14" t="n">
        <v>0.45</v>
      </c>
      <c r="U891" s="14" t="n">
        <v>1.93</v>
      </c>
      <c r="V891" s="14" t="n">
        <v>2.61</v>
      </c>
      <c r="W891" s="14" t="n">
        <v>0.91</v>
      </c>
      <c r="X891" s="14" t="n">
        <v>0</v>
      </c>
      <c r="Y891" s="14" t="n">
        <v>0.57</v>
      </c>
      <c r="Z891" s="14" t="n">
        <v>0.23</v>
      </c>
      <c r="AA891" s="14" t="n">
        <v>0</v>
      </c>
    </row>
    <row r="892">
      <c r="A892" t="inlineStr">
        <is>
          <t>220809</t>
        </is>
      </c>
      <c r="B892" t="inlineStr">
        <is>
          <t>SAN MARTIN</t>
        </is>
      </c>
      <c r="C892" t="inlineStr">
        <is>
          <t>RIOJA</t>
        </is>
      </c>
      <c r="D892" t="inlineStr">
        <is>
          <t>YURACYACU</t>
        </is>
      </c>
      <c r="E892" t="n">
        <v>1441</v>
      </c>
      <c r="F892" s="14" t="n">
        <v>0</v>
      </c>
      <c r="G892" s="14" t="n">
        <v>63.36</v>
      </c>
      <c r="H892" s="14" t="n">
        <v>0.14</v>
      </c>
      <c r="I892" s="14" t="n">
        <v>2.64</v>
      </c>
      <c r="J892" s="14" t="n">
        <v>0.14</v>
      </c>
      <c r="K892" s="14" t="n">
        <v>0.07000000000000001</v>
      </c>
      <c r="L892" s="14" t="n">
        <v>4.09</v>
      </c>
      <c r="M892" s="14" t="n">
        <v>9.720000000000001</v>
      </c>
      <c r="N892" s="14" t="n">
        <v>4.16</v>
      </c>
      <c r="O892" s="14" t="n">
        <v>2.91</v>
      </c>
      <c r="P892" s="14" t="n">
        <v>0</v>
      </c>
      <c r="Q892" s="14" t="n">
        <v>0.14</v>
      </c>
      <c r="R892" s="14" t="n">
        <v>0</v>
      </c>
      <c r="S892" s="14" t="n">
        <v>0.83</v>
      </c>
      <c r="T892" s="14" t="n">
        <v>0.49</v>
      </c>
      <c r="U892" s="14" t="n">
        <v>2.91</v>
      </c>
      <c r="V892" s="14" t="n">
        <v>5.07</v>
      </c>
      <c r="W892" s="14" t="n">
        <v>1.18</v>
      </c>
      <c r="X892" s="14" t="n">
        <v>0.28</v>
      </c>
      <c r="Y892" s="14" t="n">
        <v>0.76</v>
      </c>
      <c r="Z892" s="14" t="n">
        <v>1.11</v>
      </c>
      <c r="AA892" s="14" t="n">
        <v>0</v>
      </c>
    </row>
    <row r="893">
      <c r="A893" t="inlineStr">
        <is>
          <t>220901</t>
        </is>
      </c>
      <c r="B893" t="inlineStr">
        <is>
          <t>SAN MARTIN</t>
        </is>
      </c>
      <c r="C893" t="inlineStr">
        <is>
          <t>SAN MARTIN</t>
        </is>
      </c>
      <c r="D893" t="inlineStr">
        <is>
          <t>TARAPOTO</t>
        </is>
      </c>
      <c r="E893" t="n">
        <v>37082</v>
      </c>
      <c r="F893" s="14" t="n">
        <v>0</v>
      </c>
      <c r="G893" s="14" t="n">
        <v>6.09</v>
      </c>
      <c r="H893" s="14" t="n">
        <v>0.11</v>
      </c>
      <c r="I893" s="14" t="n">
        <v>6.38</v>
      </c>
      <c r="J893" s="14" t="n">
        <v>0.15</v>
      </c>
      <c r="K893" s="14" t="n">
        <v>0.25</v>
      </c>
      <c r="L893" s="14" t="n">
        <v>7.56</v>
      </c>
      <c r="M893" s="14" t="n">
        <v>24.39</v>
      </c>
      <c r="N893" s="14" t="n">
        <v>8.42</v>
      </c>
      <c r="O893" s="14" t="n">
        <v>8.59</v>
      </c>
      <c r="P893" s="14" t="n">
        <v>1.17</v>
      </c>
      <c r="Q893" s="14" t="n">
        <v>1.66</v>
      </c>
      <c r="R893" s="14" t="n">
        <v>0.33</v>
      </c>
      <c r="S893" s="14" t="n">
        <v>9.380000000000001</v>
      </c>
      <c r="T893" s="14" t="n">
        <v>3.28</v>
      </c>
      <c r="U893" s="14" t="n">
        <v>4.84</v>
      </c>
      <c r="V893" s="14" t="n">
        <v>7.41</v>
      </c>
      <c r="W893" s="14" t="n">
        <v>3.91</v>
      </c>
      <c r="X893" s="14" t="n">
        <v>1.23</v>
      </c>
      <c r="Y893" s="14" t="n">
        <v>3.21</v>
      </c>
      <c r="Z893" s="14" t="n">
        <v>1.64</v>
      </c>
      <c r="AA893" s="14" t="n">
        <v>0</v>
      </c>
    </row>
    <row r="894">
      <c r="A894" t="inlineStr">
        <is>
          <t>220902</t>
        </is>
      </c>
      <c r="B894" t="inlineStr">
        <is>
          <t>SAN MARTIN</t>
        </is>
      </c>
      <c r="C894" t="inlineStr">
        <is>
          <t>SAN MARTIN</t>
        </is>
      </c>
      <c r="D894" t="inlineStr">
        <is>
          <t>ALBERTO LEVEAU</t>
        </is>
      </c>
      <c r="E894" t="n">
        <v>371</v>
      </c>
      <c r="F894" s="14" t="n">
        <v>0</v>
      </c>
      <c r="G894" s="14" t="n">
        <v>70.89</v>
      </c>
      <c r="H894" s="14" t="n">
        <v>0</v>
      </c>
      <c r="I894" s="14" t="n">
        <v>1.62</v>
      </c>
      <c r="J894" s="14" t="n">
        <v>0</v>
      </c>
      <c r="K894" s="14" t="n">
        <v>0.27</v>
      </c>
      <c r="L894" s="14" t="n">
        <v>2.16</v>
      </c>
      <c r="M894" s="14" t="n">
        <v>7.55</v>
      </c>
      <c r="N894" s="14" t="n">
        <v>3.23</v>
      </c>
      <c r="O894" s="14" t="n">
        <v>2.96</v>
      </c>
      <c r="P894" s="14" t="n">
        <v>0</v>
      </c>
      <c r="Q894" s="14" t="n">
        <v>0</v>
      </c>
      <c r="R894" s="14" t="n">
        <v>0</v>
      </c>
      <c r="S894" s="14" t="n">
        <v>0.54</v>
      </c>
      <c r="T894" s="14" t="n">
        <v>1.35</v>
      </c>
      <c r="U894" s="14" t="n">
        <v>3.77</v>
      </c>
      <c r="V894" s="14" t="n">
        <v>3.77</v>
      </c>
      <c r="W894" s="14" t="n">
        <v>0.27</v>
      </c>
      <c r="X894" s="14" t="n">
        <v>0</v>
      </c>
      <c r="Y894" s="14" t="n">
        <v>0.54</v>
      </c>
      <c r="Z894" s="14" t="n">
        <v>1.08</v>
      </c>
      <c r="AA894" s="14" t="n">
        <v>0</v>
      </c>
    </row>
    <row r="895">
      <c r="A895" t="inlineStr">
        <is>
          <t>220903</t>
        </is>
      </c>
      <c r="B895" t="inlineStr">
        <is>
          <t>SAN MARTIN</t>
        </is>
      </c>
      <c r="C895" t="inlineStr">
        <is>
          <t>SAN MARTIN</t>
        </is>
      </c>
      <c r="D895" t="inlineStr">
        <is>
          <t>CACATACHI</t>
        </is>
      </c>
      <c r="E895" t="n">
        <v>1438</v>
      </c>
      <c r="F895" s="14" t="n">
        <v>0</v>
      </c>
      <c r="G895" s="14" t="n">
        <v>36.02</v>
      </c>
      <c r="H895" s="14" t="n">
        <v>0.14</v>
      </c>
      <c r="I895" s="14" t="n">
        <v>4.66</v>
      </c>
      <c r="J895" s="14" t="n">
        <v>0</v>
      </c>
      <c r="K895" s="14" t="n">
        <v>0.21</v>
      </c>
      <c r="L895" s="14" t="n">
        <v>5.35</v>
      </c>
      <c r="M895" s="14" t="n">
        <v>17.59</v>
      </c>
      <c r="N895" s="14" t="n">
        <v>10.22</v>
      </c>
      <c r="O895" s="14" t="n">
        <v>6.54</v>
      </c>
      <c r="P895" s="14" t="n">
        <v>0.5600000000000001</v>
      </c>
      <c r="Q895" s="14" t="n">
        <v>0.28</v>
      </c>
      <c r="R895" s="14" t="n">
        <v>0.07000000000000001</v>
      </c>
      <c r="S895" s="14" t="n">
        <v>4.1</v>
      </c>
      <c r="T895" s="14" t="n">
        <v>2.78</v>
      </c>
      <c r="U895" s="14" t="n">
        <v>2.23</v>
      </c>
      <c r="V895" s="14" t="n">
        <v>3.82</v>
      </c>
      <c r="W895" s="14" t="n">
        <v>1.74</v>
      </c>
      <c r="X895" s="14" t="n">
        <v>0.35</v>
      </c>
      <c r="Y895" s="14" t="n">
        <v>2.5</v>
      </c>
      <c r="Z895" s="14" t="n">
        <v>0.83</v>
      </c>
      <c r="AA895" s="14" t="n">
        <v>0</v>
      </c>
    </row>
    <row r="896">
      <c r="A896" t="inlineStr">
        <is>
          <t>220904</t>
        </is>
      </c>
      <c r="B896" t="inlineStr">
        <is>
          <t>SAN MARTIN</t>
        </is>
      </c>
      <c r="C896" t="inlineStr">
        <is>
          <t>SAN MARTIN</t>
        </is>
      </c>
      <c r="D896" t="inlineStr">
        <is>
          <t>CHAZUTA</t>
        </is>
      </c>
      <c r="E896" t="n">
        <v>2809</v>
      </c>
      <c r="F896" s="14" t="n">
        <v>0</v>
      </c>
      <c r="G896" s="14" t="n">
        <v>72.23</v>
      </c>
      <c r="H896" s="14" t="n">
        <v>0.04</v>
      </c>
      <c r="I896" s="14" t="n">
        <v>2.39</v>
      </c>
      <c r="J896" s="14" t="n">
        <v>0</v>
      </c>
      <c r="K896" s="14" t="n">
        <v>0</v>
      </c>
      <c r="L896" s="14" t="n">
        <v>2.81</v>
      </c>
      <c r="M896" s="14" t="n">
        <v>7.44</v>
      </c>
      <c r="N896" s="14" t="n">
        <v>2.56</v>
      </c>
      <c r="O896" s="14" t="n">
        <v>2.46</v>
      </c>
      <c r="P896" s="14" t="n">
        <v>0.18</v>
      </c>
      <c r="Q896" s="14" t="n">
        <v>0</v>
      </c>
      <c r="R896" s="14" t="n">
        <v>0</v>
      </c>
      <c r="S896" s="14" t="n">
        <v>1.03</v>
      </c>
      <c r="T896" s="14" t="n">
        <v>0.25</v>
      </c>
      <c r="U896" s="14" t="n">
        <v>2.1</v>
      </c>
      <c r="V896" s="14" t="n">
        <v>2.95</v>
      </c>
      <c r="W896" s="14" t="n">
        <v>0.64</v>
      </c>
      <c r="X896" s="14" t="n">
        <v>0.11</v>
      </c>
      <c r="Y896" s="14" t="n">
        <v>1.32</v>
      </c>
      <c r="Z896" s="14" t="n">
        <v>1.5</v>
      </c>
      <c r="AA896" s="14" t="n">
        <v>0</v>
      </c>
    </row>
    <row r="897">
      <c r="A897" t="inlineStr">
        <is>
          <t>220905</t>
        </is>
      </c>
      <c r="B897" t="inlineStr">
        <is>
          <t>SAN MARTIN</t>
        </is>
      </c>
      <c r="C897" t="inlineStr">
        <is>
          <t>SAN MARTIN</t>
        </is>
      </c>
      <c r="D897" t="inlineStr">
        <is>
          <t>CHIPURANA</t>
        </is>
      </c>
      <c r="E897" t="n">
        <v>667</v>
      </c>
      <c r="F897" s="14" t="n">
        <v>0</v>
      </c>
      <c r="G897" s="14" t="n">
        <v>81.86</v>
      </c>
      <c r="H897" s="14" t="n">
        <v>0</v>
      </c>
      <c r="I897" s="14" t="n">
        <v>0.45</v>
      </c>
      <c r="J897" s="14" t="n">
        <v>0</v>
      </c>
      <c r="K897" s="14" t="n">
        <v>0</v>
      </c>
      <c r="L897" s="14" t="n">
        <v>0.9</v>
      </c>
      <c r="M897" s="14" t="n">
        <v>5.4</v>
      </c>
      <c r="N897" s="14" t="n">
        <v>1.35</v>
      </c>
      <c r="O897" s="14" t="n">
        <v>2.1</v>
      </c>
      <c r="P897" s="14" t="n">
        <v>0.3</v>
      </c>
      <c r="Q897" s="14" t="n">
        <v>0</v>
      </c>
      <c r="R897" s="14" t="n">
        <v>0</v>
      </c>
      <c r="S897" s="14" t="n">
        <v>0.75</v>
      </c>
      <c r="T897" s="14" t="n">
        <v>0.15</v>
      </c>
      <c r="U897" s="14" t="n">
        <v>1.35</v>
      </c>
      <c r="V897" s="14" t="n">
        <v>3.45</v>
      </c>
      <c r="W897" s="14" t="n">
        <v>1.35</v>
      </c>
      <c r="X897" s="14" t="n">
        <v>0</v>
      </c>
      <c r="Y897" s="14" t="n">
        <v>0.45</v>
      </c>
      <c r="Z897" s="14" t="n">
        <v>0.15</v>
      </c>
      <c r="AA897" s="14" t="n">
        <v>0</v>
      </c>
    </row>
    <row r="898">
      <c r="A898" t="inlineStr">
        <is>
          <t>220906</t>
        </is>
      </c>
      <c r="B898" t="inlineStr">
        <is>
          <t>SAN MARTIN</t>
        </is>
      </c>
      <c r="C898" t="inlineStr">
        <is>
          <t>SAN MARTIN</t>
        </is>
      </c>
      <c r="D898" t="inlineStr">
        <is>
          <t>EL PORVENIR</t>
        </is>
      </c>
      <c r="E898" t="n">
        <v>896</v>
      </c>
      <c r="F898" s="14" t="n">
        <v>0</v>
      </c>
      <c r="G898" s="14" t="n">
        <v>77.12</v>
      </c>
      <c r="H898" s="14" t="n">
        <v>0.11</v>
      </c>
      <c r="I898" s="14" t="n">
        <v>1.79</v>
      </c>
      <c r="J898" s="14" t="n">
        <v>0</v>
      </c>
      <c r="K898" s="14" t="n">
        <v>0</v>
      </c>
      <c r="L898" s="14" t="n">
        <v>3.24</v>
      </c>
      <c r="M898" s="14" t="n">
        <v>5.02</v>
      </c>
      <c r="N898" s="14" t="n">
        <v>0.5600000000000001</v>
      </c>
      <c r="O898" s="14" t="n">
        <v>2.01</v>
      </c>
      <c r="P898" s="14" t="n">
        <v>0.33</v>
      </c>
      <c r="Q898" s="14" t="n">
        <v>0</v>
      </c>
      <c r="R898" s="14" t="n">
        <v>0</v>
      </c>
      <c r="S898" s="14" t="n">
        <v>1.12</v>
      </c>
      <c r="T898" s="14" t="n">
        <v>0.45</v>
      </c>
      <c r="U898" s="14" t="n">
        <v>3.13</v>
      </c>
      <c r="V898" s="14" t="n">
        <v>2.79</v>
      </c>
      <c r="W898" s="14" t="n">
        <v>0.5600000000000001</v>
      </c>
      <c r="X898" s="14" t="n">
        <v>0.11</v>
      </c>
      <c r="Y898" s="14" t="n">
        <v>0.89</v>
      </c>
      <c r="Z898" s="14" t="n">
        <v>0.78</v>
      </c>
      <c r="AA898" s="14" t="n">
        <v>0</v>
      </c>
    </row>
    <row r="899">
      <c r="A899" t="inlineStr">
        <is>
          <t>220907</t>
        </is>
      </c>
      <c r="B899" t="inlineStr">
        <is>
          <t>SAN MARTIN</t>
        </is>
      </c>
      <c r="C899" t="inlineStr">
        <is>
          <t>SAN MARTIN</t>
        </is>
      </c>
      <c r="D899" t="inlineStr">
        <is>
          <t>HUIMBAYOC</t>
        </is>
      </c>
      <c r="E899" t="n">
        <v>1603</v>
      </c>
      <c r="F899" s="14" t="n">
        <v>0</v>
      </c>
      <c r="G899" s="14" t="n">
        <v>83.22</v>
      </c>
      <c r="H899" s="14" t="n">
        <v>0.19</v>
      </c>
      <c r="I899" s="14" t="n">
        <v>0.62</v>
      </c>
      <c r="J899" s="14" t="n">
        <v>0.06</v>
      </c>
      <c r="K899" s="14" t="n">
        <v>0</v>
      </c>
      <c r="L899" s="14" t="n">
        <v>0.8100000000000001</v>
      </c>
      <c r="M899" s="14" t="n">
        <v>5.61</v>
      </c>
      <c r="N899" s="14" t="n">
        <v>0.6899999999999999</v>
      </c>
      <c r="O899" s="14" t="n">
        <v>0.9399999999999999</v>
      </c>
      <c r="P899" s="14" t="n">
        <v>0</v>
      </c>
      <c r="Q899" s="14" t="n">
        <v>0</v>
      </c>
      <c r="R899" s="14" t="n">
        <v>0</v>
      </c>
      <c r="S899" s="14" t="n">
        <v>0.31</v>
      </c>
      <c r="T899" s="14" t="n">
        <v>0.12</v>
      </c>
      <c r="U899" s="14" t="n">
        <v>2.06</v>
      </c>
      <c r="V899" s="14" t="n">
        <v>3.56</v>
      </c>
      <c r="W899" s="14" t="n">
        <v>0.9399999999999999</v>
      </c>
      <c r="X899" s="14" t="n">
        <v>0</v>
      </c>
      <c r="Y899" s="14" t="n">
        <v>0.44</v>
      </c>
      <c r="Z899" s="14" t="n">
        <v>0.44</v>
      </c>
      <c r="AA899" s="14" t="n">
        <v>0</v>
      </c>
    </row>
    <row r="900">
      <c r="A900" t="inlineStr">
        <is>
          <t>220908</t>
        </is>
      </c>
      <c r="B900" t="inlineStr">
        <is>
          <t>SAN MARTIN</t>
        </is>
      </c>
      <c r="C900" t="inlineStr">
        <is>
          <t>SAN MARTIN</t>
        </is>
      </c>
      <c r="D900" t="inlineStr">
        <is>
          <t>JUAN GUERRA</t>
        </is>
      </c>
      <c r="E900" t="n">
        <v>1589</v>
      </c>
      <c r="F900" s="14" t="n">
        <v>0</v>
      </c>
      <c r="G900" s="14" t="n">
        <v>36.5</v>
      </c>
      <c r="H900" s="14" t="n">
        <v>0</v>
      </c>
      <c r="I900" s="14" t="n">
        <v>4.15</v>
      </c>
      <c r="J900" s="14" t="n">
        <v>0</v>
      </c>
      <c r="K900" s="14" t="n">
        <v>0.13</v>
      </c>
      <c r="L900" s="14" t="n">
        <v>8.5</v>
      </c>
      <c r="M900" s="14" t="n">
        <v>13.09</v>
      </c>
      <c r="N900" s="14" t="n">
        <v>8.56</v>
      </c>
      <c r="O900" s="14" t="n">
        <v>5.1</v>
      </c>
      <c r="P900" s="14" t="n">
        <v>0.82</v>
      </c>
      <c r="Q900" s="14" t="n">
        <v>0.19</v>
      </c>
      <c r="R900" s="14" t="n">
        <v>0</v>
      </c>
      <c r="S900" s="14" t="n">
        <v>3.4</v>
      </c>
      <c r="T900" s="14" t="n">
        <v>3.59</v>
      </c>
      <c r="U900" s="14" t="n">
        <v>3.34</v>
      </c>
      <c r="V900" s="14" t="n">
        <v>5.41</v>
      </c>
      <c r="W900" s="14" t="n">
        <v>2.83</v>
      </c>
      <c r="X900" s="14" t="n">
        <v>0.31</v>
      </c>
      <c r="Y900" s="14" t="n">
        <v>1.45</v>
      </c>
      <c r="Z900" s="14" t="n">
        <v>2.64</v>
      </c>
      <c r="AA900" s="14" t="n">
        <v>0</v>
      </c>
    </row>
    <row r="901">
      <c r="A901" t="inlineStr">
        <is>
          <t>220909</t>
        </is>
      </c>
      <c r="B901" t="inlineStr">
        <is>
          <t>SAN MARTIN</t>
        </is>
      </c>
      <c r="C901" t="inlineStr">
        <is>
          <t>SAN MARTIN</t>
        </is>
      </c>
      <c r="D901" t="inlineStr">
        <is>
          <t>LA BANDA DE SHILCAYO</t>
        </is>
      </c>
      <c r="E901" t="n">
        <v>18296</v>
      </c>
      <c r="F901" s="14" t="n">
        <v>0</v>
      </c>
      <c r="G901" s="14" t="n">
        <v>11.11</v>
      </c>
      <c r="H901" s="14" t="n">
        <v>0.08</v>
      </c>
      <c r="I901" s="14" t="n">
        <v>8.41</v>
      </c>
      <c r="J901" s="14" t="n">
        <v>0.13</v>
      </c>
      <c r="K901" s="14" t="n">
        <v>0.24</v>
      </c>
      <c r="L901" s="14" t="n">
        <v>10.73</v>
      </c>
      <c r="M901" s="14" t="n">
        <v>20.8</v>
      </c>
      <c r="N901" s="14" t="n">
        <v>11.83</v>
      </c>
      <c r="O901" s="14" t="n">
        <v>7.87</v>
      </c>
      <c r="P901" s="14" t="n">
        <v>0.73</v>
      </c>
      <c r="Q901" s="14" t="n">
        <v>1.15</v>
      </c>
      <c r="R901" s="14" t="n">
        <v>0.17</v>
      </c>
      <c r="S901" s="14" t="n">
        <v>6.09</v>
      </c>
      <c r="T901" s="14" t="n">
        <v>3.35</v>
      </c>
      <c r="U901" s="14" t="n">
        <v>3.97</v>
      </c>
      <c r="V901" s="14" t="n">
        <v>5.01</v>
      </c>
      <c r="W901" s="14" t="n">
        <v>2.32</v>
      </c>
      <c r="X901" s="14" t="n">
        <v>0.88</v>
      </c>
      <c r="Y901" s="14" t="n">
        <v>3.28</v>
      </c>
      <c r="Z901" s="14" t="n">
        <v>1.84</v>
      </c>
      <c r="AA901" s="14" t="n">
        <v>0.01</v>
      </c>
    </row>
    <row r="902">
      <c r="A902" t="inlineStr">
        <is>
          <t>220910</t>
        </is>
      </c>
      <c r="B902" t="inlineStr">
        <is>
          <t>SAN MARTIN</t>
        </is>
      </c>
      <c r="C902" t="inlineStr">
        <is>
          <t>SAN MARTIN</t>
        </is>
      </c>
      <c r="D902" t="inlineStr">
        <is>
          <t>MORALES</t>
        </is>
      </c>
      <c r="E902" t="n">
        <v>14869</v>
      </c>
      <c r="F902" s="14" t="n">
        <v>0</v>
      </c>
      <c r="G902" s="14" t="n">
        <v>10.14</v>
      </c>
      <c r="H902" s="14" t="n">
        <v>0.09</v>
      </c>
      <c r="I902" s="14" t="n">
        <v>5.23</v>
      </c>
      <c r="J902" s="14" t="n">
        <v>0.06</v>
      </c>
      <c r="K902" s="14" t="n">
        <v>0.3</v>
      </c>
      <c r="L902" s="14" t="n">
        <v>9.16</v>
      </c>
      <c r="M902" s="14" t="n">
        <v>20.4</v>
      </c>
      <c r="N902" s="14" t="n">
        <v>10.32</v>
      </c>
      <c r="O902" s="14" t="n">
        <v>8.49</v>
      </c>
      <c r="P902" s="14" t="n">
        <v>1.04</v>
      </c>
      <c r="Q902" s="14" t="n">
        <v>1.3</v>
      </c>
      <c r="R902" s="14" t="n">
        <v>0.38</v>
      </c>
      <c r="S902" s="14" t="n">
        <v>7.65</v>
      </c>
      <c r="T902" s="14" t="n">
        <v>2.95</v>
      </c>
      <c r="U902" s="14" t="n">
        <v>5.82</v>
      </c>
      <c r="V902" s="14" t="n">
        <v>7.52</v>
      </c>
      <c r="W902" s="14" t="n">
        <v>3.29</v>
      </c>
      <c r="X902" s="14" t="n">
        <v>1.03</v>
      </c>
      <c r="Y902" s="14" t="n">
        <v>3.13</v>
      </c>
      <c r="Z902" s="14" t="n">
        <v>1.7</v>
      </c>
      <c r="AA902" s="14" t="n">
        <v>0</v>
      </c>
    </row>
    <row r="903">
      <c r="A903" t="inlineStr">
        <is>
          <t>220911</t>
        </is>
      </c>
      <c r="B903" t="inlineStr">
        <is>
          <t>SAN MARTIN</t>
        </is>
      </c>
      <c r="C903" t="inlineStr">
        <is>
          <t>SAN MARTIN</t>
        </is>
      </c>
      <c r="D903" t="inlineStr">
        <is>
          <t>PAPAPLAYA</t>
        </is>
      </c>
      <c r="E903" t="n">
        <v>639</v>
      </c>
      <c r="F903" s="14" t="n">
        <v>0</v>
      </c>
      <c r="G903" s="14" t="n">
        <v>76.06</v>
      </c>
      <c r="H903" s="14" t="n">
        <v>0</v>
      </c>
      <c r="I903" s="14" t="n">
        <v>1.41</v>
      </c>
      <c r="J903" s="14" t="n">
        <v>0</v>
      </c>
      <c r="K903" s="14" t="n">
        <v>0</v>
      </c>
      <c r="L903" s="14" t="n">
        <v>1.25</v>
      </c>
      <c r="M903" s="14" t="n">
        <v>6.42</v>
      </c>
      <c r="N903" s="14" t="n">
        <v>0.47</v>
      </c>
      <c r="O903" s="14" t="n">
        <v>2.19</v>
      </c>
      <c r="P903" s="14" t="n">
        <v>0</v>
      </c>
      <c r="Q903" s="14" t="n">
        <v>0</v>
      </c>
      <c r="R903" s="14" t="n">
        <v>0</v>
      </c>
      <c r="S903" s="14" t="n">
        <v>1.88</v>
      </c>
      <c r="T903" s="14" t="n">
        <v>1.25</v>
      </c>
      <c r="U903" s="14" t="n">
        <v>0.9399999999999999</v>
      </c>
      <c r="V903" s="14" t="n">
        <v>2.35</v>
      </c>
      <c r="W903" s="14" t="n">
        <v>1.41</v>
      </c>
      <c r="X903" s="14" t="n">
        <v>0</v>
      </c>
      <c r="Y903" s="14" t="n">
        <v>3.6</v>
      </c>
      <c r="Z903" s="14" t="n">
        <v>0.78</v>
      </c>
      <c r="AA903" s="14" t="n">
        <v>0</v>
      </c>
    </row>
    <row r="904">
      <c r="A904" t="inlineStr">
        <is>
          <t>220912</t>
        </is>
      </c>
      <c r="B904" t="inlineStr">
        <is>
          <t>SAN MARTIN</t>
        </is>
      </c>
      <c r="C904" t="inlineStr">
        <is>
          <t>SAN MARTIN</t>
        </is>
      </c>
      <c r="D904" t="inlineStr">
        <is>
          <t>SAN ANTONIO</t>
        </is>
      </c>
      <c r="E904" t="n">
        <v>607</v>
      </c>
      <c r="F904" s="14" t="n">
        <v>0</v>
      </c>
      <c r="G904" s="14" t="n">
        <v>52.55</v>
      </c>
      <c r="H904" s="14" t="n">
        <v>0</v>
      </c>
      <c r="I904" s="14" t="n">
        <v>4.28</v>
      </c>
      <c r="J904" s="14" t="n">
        <v>0</v>
      </c>
      <c r="K904" s="14" t="n">
        <v>0.16</v>
      </c>
      <c r="L904" s="14" t="n">
        <v>5.44</v>
      </c>
      <c r="M904" s="14" t="n">
        <v>9.390000000000001</v>
      </c>
      <c r="N904" s="14" t="n">
        <v>7.58</v>
      </c>
      <c r="O904" s="14" t="n">
        <v>3.95</v>
      </c>
      <c r="P904" s="14" t="n">
        <v>0.16</v>
      </c>
      <c r="Q904" s="14" t="n">
        <v>0.16</v>
      </c>
      <c r="R904" s="14" t="n">
        <v>0</v>
      </c>
      <c r="S904" s="14" t="n">
        <v>1.32</v>
      </c>
      <c r="T904" s="14" t="n">
        <v>1.32</v>
      </c>
      <c r="U904" s="14" t="n">
        <v>3.79</v>
      </c>
      <c r="V904" s="14" t="n">
        <v>4.12</v>
      </c>
      <c r="W904" s="14" t="n">
        <v>1.65</v>
      </c>
      <c r="X904" s="14" t="n">
        <v>0.49</v>
      </c>
      <c r="Y904" s="14" t="n">
        <v>1.98</v>
      </c>
      <c r="Z904" s="14" t="n">
        <v>1.65</v>
      </c>
      <c r="AA904" s="14" t="n">
        <v>0</v>
      </c>
    </row>
    <row r="905">
      <c r="A905" t="inlineStr">
        <is>
          <t>220913</t>
        </is>
      </c>
      <c r="B905" t="inlineStr">
        <is>
          <t>SAN MARTIN</t>
        </is>
      </c>
      <c r="C905" t="inlineStr">
        <is>
          <t>SAN MARTIN</t>
        </is>
      </c>
      <c r="D905" t="inlineStr">
        <is>
          <t>SAUCE</t>
        </is>
      </c>
      <c r="E905" t="n">
        <v>2879</v>
      </c>
      <c r="F905" s="14" t="n">
        <v>0</v>
      </c>
      <c r="G905" s="14" t="n">
        <v>59.67</v>
      </c>
      <c r="H905" s="14" t="n">
        <v>0.07000000000000001</v>
      </c>
      <c r="I905" s="14" t="n">
        <v>2.74</v>
      </c>
      <c r="J905" s="14" t="n">
        <v>0</v>
      </c>
      <c r="K905" s="14" t="n">
        <v>0.07000000000000001</v>
      </c>
      <c r="L905" s="14" t="n">
        <v>4.34</v>
      </c>
      <c r="M905" s="14" t="n">
        <v>9.199999999999999</v>
      </c>
      <c r="N905" s="14" t="n">
        <v>3.33</v>
      </c>
      <c r="O905" s="14" t="n">
        <v>5</v>
      </c>
      <c r="P905" s="14" t="n">
        <v>0.21</v>
      </c>
      <c r="Q905" s="14" t="n">
        <v>0.07000000000000001</v>
      </c>
      <c r="R905" s="14" t="n">
        <v>0.07000000000000001</v>
      </c>
      <c r="S905" s="14" t="n">
        <v>2.05</v>
      </c>
      <c r="T905" s="14" t="n">
        <v>2.33</v>
      </c>
      <c r="U905" s="14" t="n">
        <v>4.41</v>
      </c>
      <c r="V905" s="14" t="n">
        <v>2.5</v>
      </c>
      <c r="W905" s="14" t="n">
        <v>0.97</v>
      </c>
      <c r="X905" s="14" t="n">
        <v>0.14</v>
      </c>
      <c r="Y905" s="14" t="n">
        <v>1.95</v>
      </c>
      <c r="Z905" s="14" t="n">
        <v>0.87</v>
      </c>
      <c r="AA905" s="14" t="n">
        <v>0</v>
      </c>
    </row>
    <row r="906">
      <c r="A906" t="inlineStr">
        <is>
          <t>220914</t>
        </is>
      </c>
      <c r="B906" t="inlineStr">
        <is>
          <t>SAN MARTIN</t>
        </is>
      </c>
      <c r="C906" t="inlineStr">
        <is>
          <t>SAN MARTIN</t>
        </is>
      </c>
      <c r="D906" t="inlineStr">
        <is>
          <t>SHAPAJA</t>
        </is>
      </c>
      <c r="E906" t="n">
        <v>697</v>
      </c>
      <c r="F906" s="14" t="n">
        <v>0</v>
      </c>
      <c r="G906" s="14" t="n">
        <v>51.51</v>
      </c>
      <c r="H906" s="14" t="n">
        <v>0</v>
      </c>
      <c r="I906" s="14" t="n">
        <v>2.44</v>
      </c>
      <c r="J906" s="14" t="n">
        <v>0</v>
      </c>
      <c r="K906" s="14" t="n">
        <v>0</v>
      </c>
      <c r="L906" s="14" t="n">
        <v>4.59</v>
      </c>
      <c r="M906" s="14" t="n">
        <v>11.05</v>
      </c>
      <c r="N906" s="14" t="n">
        <v>6.31</v>
      </c>
      <c r="O906" s="14" t="n">
        <v>5.88</v>
      </c>
      <c r="P906" s="14" t="n">
        <v>0.14</v>
      </c>
      <c r="Q906" s="14" t="n">
        <v>0.72</v>
      </c>
      <c r="R906" s="14" t="n">
        <v>0.14</v>
      </c>
      <c r="S906" s="14" t="n">
        <v>3.44</v>
      </c>
      <c r="T906" s="14" t="n">
        <v>2.3</v>
      </c>
      <c r="U906" s="14" t="n">
        <v>3.01</v>
      </c>
      <c r="V906" s="14" t="n">
        <v>3.16</v>
      </c>
      <c r="W906" s="14" t="n">
        <v>0.86</v>
      </c>
      <c r="X906" s="14" t="n">
        <v>0.43</v>
      </c>
      <c r="Y906" s="14" t="n">
        <v>2.44</v>
      </c>
      <c r="Z906" s="14" t="n">
        <v>1.58</v>
      </c>
      <c r="AA906" s="14" t="n">
        <v>0</v>
      </c>
    </row>
    <row r="907">
      <c r="A907" t="inlineStr">
        <is>
          <t>221001</t>
        </is>
      </c>
      <c r="B907" t="inlineStr">
        <is>
          <t>SAN MARTIN</t>
        </is>
      </c>
      <c r="C907" t="inlineStr">
        <is>
          <t>TOCACHE</t>
        </is>
      </c>
      <c r="D907" t="inlineStr">
        <is>
          <t>TOCACHE</t>
        </is>
      </c>
      <c r="E907" t="n">
        <v>11276</v>
      </c>
      <c r="F907" s="14" t="n">
        <v>0</v>
      </c>
      <c r="G907" s="14" t="n">
        <v>40.85</v>
      </c>
      <c r="H907" s="14" t="n">
        <v>0.14</v>
      </c>
      <c r="I907" s="14" t="n">
        <v>3.84</v>
      </c>
      <c r="J907" s="14" t="n">
        <v>0.18</v>
      </c>
      <c r="K907" s="14" t="n">
        <v>0.13</v>
      </c>
      <c r="L907" s="14" t="n">
        <v>5.79</v>
      </c>
      <c r="M907" s="14" t="n">
        <v>17.17</v>
      </c>
      <c r="N907" s="14" t="n">
        <v>5.68</v>
      </c>
      <c r="O907" s="14" t="n">
        <v>4.78</v>
      </c>
      <c r="P907" s="14" t="n">
        <v>0.44</v>
      </c>
      <c r="Q907" s="14" t="n">
        <v>0.82</v>
      </c>
      <c r="R907" s="14" t="n">
        <v>0.08</v>
      </c>
      <c r="S907" s="14" t="n">
        <v>4.3</v>
      </c>
      <c r="T907" s="14" t="n">
        <v>1.34</v>
      </c>
      <c r="U907" s="14" t="n">
        <v>3.06</v>
      </c>
      <c r="V907" s="14" t="n">
        <v>6.15</v>
      </c>
      <c r="W907" s="14" t="n">
        <v>1.48</v>
      </c>
      <c r="X907" s="14" t="n">
        <v>0.46</v>
      </c>
      <c r="Y907" s="14" t="n">
        <v>2.26</v>
      </c>
      <c r="Z907" s="14" t="n">
        <v>1.04</v>
      </c>
      <c r="AA907" s="14" t="n">
        <v>0</v>
      </c>
    </row>
    <row r="908">
      <c r="A908" t="inlineStr">
        <is>
          <t>221002</t>
        </is>
      </c>
      <c r="B908" t="inlineStr">
        <is>
          <t>SAN MARTIN</t>
        </is>
      </c>
      <c r="C908" t="inlineStr">
        <is>
          <t>TOCACHE</t>
        </is>
      </c>
      <c r="D908" t="inlineStr">
        <is>
          <t>NUEVO PROGRESO</t>
        </is>
      </c>
      <c r="E908" t="n">
        <v>4618</v>
      </c>
      <c r="F908" s="14" t="n">
        <v>0</v>
      </c>
      <c r="G908" s="14" t="n">
        <v>66.5</v>
      </c>
      <c r="H908" s="14" t="n">
        <v>0.04</v>
      </c>
      <c r="I908" s="14" t="n">
        <v>2.53</v>
      </c>
      <c r="J908" s="14" t="n">
        <v>0.06</v>
      </c>
      <c r="K908" s="14" t="n">
        <v>0.02</v>
      </c>
      <c r="L908" s="14" t="n">
        <v>3.46</v>
      </c>
      <c r="M908" s="14" t="n">
        <v>10.44</v>
      </c>
      <c r="N908" s="14" t="n">
        <v>3.03</v>
      </c>
      <c r="O908" s="14" t="n">
        <v>4.14</v>
      </c>
      <c r="P908" s="14" t="n">
        <v>0.13</v>
      </c>
      <c r="Q908" s="14" t="n">
        <v>0.15</v>
      </c>
      <c r="R908" s="14" t="n">
        <v>0</v>
      </c>
      <c r="S908" s="14" t="n">
        <v>1.02</v>
      </c>
      <c r="T908" s="14" t="n">
        <v>0.65</v>
      </c>
      <c r="U908" s="14" t="n">
        <v>1.3</v>
      </c>
      <c r="V908" s="14" t="n">
        <v>3.38</v>
      </c>
      <c r="W908" s="14" t="n">
        <v>1.15</v>
      </c>
      <c r="X908" s="14" t="n">
        <v>0.13</v>
      </c>
      <c r="Y908" s="14" t="n">
        <v>1.23</v>
      </c>
      <c r="Z908" s="14" t="n">
        <v>0.63</v>
      </c>
      <c r="AA908" s="14" t="n">
        <v>0</v>
      </c>
    </row>
    <row r="909">
      <c r="A909" t="inlineStr">
        <is>
          <t>221003</t>
        </is>
      </c>
      <c r="B909" t="inlineStr">
        <is>
          <t>SAN MARTIN</t>
        </is>
      </c>
      <c r="C909" t="inlineStr">
        <is>
          <t>TOCACHE</t>
        </is>
      </c>
      <c r="D909" t="inlineStr">
        <is>
          <t>POLVORA</t>
        </is>
      </c>
      <c r="E909" t="n">
        <v>4358</v>
      </c>
      <c r="F909" s="14" t="n">
        <v>0</v>
      </c>
      <c r="G909" s="14" t="n">
        <v>68.7</v>
      </c>
      <c r="H909" s="14" t="n">
        <v>2.07</v>
      </c>
      <c r="I909" s="14" t="n">
        <v>1.86</v>
      </c>
      <c r="J909" s="14" t="n">
        <v>0.02</v>
      </c>
      <c r="K909" s="14" t="n">
        <v>0.05</v>
      </c>
      <c r="L909" s="14" t="n">
        <v>7.87</v>
      </c>
      <c r="M909" s="14" t="n">
        <v>8.050000000000001</v>
      </c>
      <c r="N909" s="14" t="n">
        <v>1.84</v>
      </c>
      <c r="O909" s="14" t="n">
        <v>3.21</v>
      </c>
      <c r="P909" s="14" t="n">
        <v>0.14</v>
      </c>
      <c r="Q909" s="14" t="n">
        <v>0</v>
      </c>
      <c r="R909" s="14" t="n">
        <v>0</v>
      </c>
      <c r="S909" s="14" t="n">
        <v>0.9399999999999999</v>
      </c>
      <c r="T909" s="14" t="n">
        <v>0.25</v>
      </c>
      <c r="U909" s="14" t="n">
        <v>1.28</v>
      </c>
      <c r="V909" s="14" t="n">
        <v>1.88</v>
      </c>
      <c r="W909" s="14" t="n">
        <v>0.6</v>
      </c>
      <c r="X909" s="14" t="n">
        <v>0.05</v>
      </c>
      <c r="Y909" s="14" t="n">
        <v>0.71</v>
      </c>
      <c r="Z909" s="14" t="n">
        <v>0.48</v>
      </c>
      <c r="AA909" s="14" t="n">
        <v>0</v>
      </c>
    </row>
    <row r="910">
      <c r="A910" t="inlineStr">
        <is>
          <t>221004</t>
        </is>
      </c>
      <c r="B910" t="inlineStr">
        <is>
          <t>SAN MARTIN</t>
        </is>
      </c>
      <c r="C910" t="inlineStr">
        <is>
          <t>TOCACHE</t>
        </is>
      </c>
      <c r="D910" t="inlineStr">
        <is>
          <t>SHUNTE</t>
        </is>
      </c>
      <c r="E910" t="n">
        <v>434</v>
      </c>
      <c r="F910" s="14" t="n">
        <v>0</v>
      </c>
      <c r="G910" s="14" t="n">
        <v>79.48999999999999</v>
      </c>
      <c r="H910" s="14" t="n">
        <v>0</v>
      </c>
      <c r="I910" s="14" t="n">
        <v>0.92</v>
      </c>
      <c r="J910" s="14" t="n">
        <v>0</v>
      </c>
      <c r="K910" s="14" t="n">
        <v>0</v>
      </c>
      <c r="L910" s="14" t="n">
        <v>8.06</v>
      </c>
      <c r="M910" s="14" t="n">
        <v>1.38</v>
      </c>
      <c r="N910" s="14" t="n">
        <v>1.15</v>
      </c>
      <c r="O910" s="14" t="n">
        <v>2.07</v>
      </c>
      <c r="P910" s="14" t="n">
        <v>0</v>
      </c>
      <c r="Q910" s="14" t="n">
        <v>0</v>
      </c>
      <c r="R910" s="14" t="n">
        <v>0</v>
      </c>
      <c r="S910" s="14" t="n">
        <v>0.46</v>
      </c>
      <c r="T910" s="14" t="n">
        <v>0</v>
      </c>
      <c r="U910" s="14" t="n">
        <v>1.38</v>
      </c>
      <c r="V910" s="14" t="n">
        <v>2.76</v>
      </c>
      <c r="W910" s="14" t="n">
        <v>0.46</v>
      </c>
      <c r="X910" s="14" t="n">
        <v>0</v>
      </c>
      <c r="Y910" s="14" t="n">
        <v>0.6899999999999999</v>
      </c>
      <c r="Z910" s="14" t="n">
        <v>1.15</v>
      </c>
      <c r="AA910" s="14" t="n">
        <v>0</v>
      </c>
    </row>
    <row r="911">
      <c r="A911" t="inlineStr">
        <is>
          <t>221005</t>
        </is>
      </c>
      <c r="B911" t="inlineStr">
        <is>
          <t>SAN MARTIN</t>
        </is>
      </c>
      <c r="C911" t="inlineStr">
        <is>
          <t>TOCACHE</t>
        </is>
      </c>
      <c r="D911" t="inlineStr">
        <is>
          <t>UCHIZA</t>
        </is>
      </c>
      <c r="E911" t="n">
        <v>8011</v>
      </c>
      <c r="F911" s="14" t="n">
        <v>0</v>
      </c>
      <c r="G911" s="14" t="n">
        <v>54.7</v>
      </c>
      <c r="H911" s="14" t="n">
        <v>0.05</v>
      </c>
      <c r="I911" s="14" t="n">
        <v>5.01</v>
      </c>
      <c r="J911" s="14" t="n">
        <v>0.04</v>
      </c>
      <c r="K911" s="14" t="n">
        <v>0.09</v>
      </c>
      <c r="L911" s="14" t="n">
        <v>3.58</v>
      </c>
      <c r="M911" s="14" t="n">
        <v>10.76</v>
      </c>
      <c r="N911" s="14" t="n">
        <v>3.96</v>
      </c>
      <c r="O911" s="14" t="n">
        <v>4.43</v>
      </c>
      <c r="P911" s="14" t="n">
        <v>0.32</v>
      </c>
      <c r="Q911" s="14" t="n">
        <v>0.39</v>
      </c>
      <c r="R911" s="14" t="n">
        <v>0.07000000000000001</v>
      </c>
      <c r="S911" s="14" t="n">
        <v>1.96</v>
      </c>
      <c r="T911" s="14" t="n">
        <v>1.39</v>
      </c>
      <c r="U911" s="14" t="n">
        <v>3</v>
      </c>
      <c r="V911" s="14" t="n">
        <v>6.13</v>
      </c>
      <c r="W911" s="14" t="n">
        <v>1.22</v>
      </c>
      <c r="X911" s="14" t="n">
        <v>0.22</v>
      </c>
      <c r="Y911" s="14" t="n">
        <v>1.87</v>
      </c>
      <c r="Z911" s="14" t="n">
        <v>0.8100000000000001</v>
      </c>
      <c r="AA911" s="14" t="n">
        <v>0</v>
      </c>
    </row>
    <row r="912">
      <c r="A912" t="inlineStr">
        <is>
          <t>221006</t>
        </is>
      </c>
      <c r="B912" t="inlineStr">
        <is>
          <t>SAN MARTIN</t>
        </is>
      </c>
      <c r="C912" t="inlineStr">
        <is>
          <t>TOCACHE</t>
        </is>
      </c>
      <c r="D912" t="inlineStr">
        <is>
          <t>SANTA LUCIA</t>
        </is>
      </c>
      <c r="E912" t="n">
        <v>0</v>
      </c>
      <c r="F912" s="14" t="n">
        <v>0</v>
      </c>
      <c r="G912" s="14" t="n">
        <v>64.81</v>
      </c>
      <c r="H912" s="14" t="n">
        <v>0.05</v>
      </c>
      <c r="I912" s="14" t="n">
        <v>2.47</v>
      </c>
      <c r="J912" s="14" t="n">
        <v>0.04</v>
      </c>
      <c r="K912" s="14" t="n">
        <v>0.04</v>
      </c>
      <c r="L912" s="14" t="n">
        <v>5.64</v>
      </c>
      <c r="M912" s="14" t="n">
        <v>10.17</v>
      </c>
      <c r="N912" s="14" t="n">
        <v>2.95</v>
      </c>
      <c r="O912" s="14" t="n">
        <v>4.03</v>
      </c>
      <c r="P912" s="14" t="n">
        <v>0.13</v>
      </c>
      <c r="Q912" s="14" t="n">
        <v>0.15</v>
      </c>
      <c r="R912" s="14" t="n">
        <v>0</v>
      </c>
      <c r="S912" s="14" t="n">
        <v>0.99</v>
      </c>
      <c r="T912" s="14" t="n">
        <v>0.63</v>
      </c>
      <c r="U912" s="14" t="n">
        <v>1.35</v>
      </c>
      <c r="V912" s="14" t="n">
        <v>3.29</v>
      </c>
      <c r="W912" s="14" t="n">
        <v>1.12</v>
      </c>
      <c r="X912" s="14" t="n">
        <v>0.13</v>
      </c>
      <c r="Y912" s="14" t="n">
        <v>1.2</v>
      </c>
      <c r="Z912" s="14" t="n">
        <v>0.79</v>
      </c>
      <c r="AA912" s="14" t="n">
        <v>0</v>
      </c>
    </row>
    <row r="913">
      <c r="A913" t="inlineStr">
        <is>
          <t>230101</t>
        </is>
      </c>
      <c r="B913" t="inlineStr">
        <is>
          <t>TACNA</t>
        </is>
      </c>
      <c r="C913" t="inlineStr">
        <is>
          <t>TACNA</t>
        </is>
      </c>
      <c r="D913" t="inlineStr">
        <is>
          <t>TACNA</t>
        </is>
      </c>
      <c r="E913" t="n">
        <v>47113</v>
      </c>
      <c r="F913" s="14" t="n">
        <v>0.008</v>
      </c>
      <c r="G913" s="14" t="n">
        <v>6.21</v>
      </c>
      <c r="H913" s="14" t="n">
        <v>0.65</v>
      </c>
      <c r="I913" s="14" t="n">
        <v>5.18</v>
      </c>
      <c r="J913" s="14" t="n">
        <v>0.18</v>
      </c>
      <c r="K913" s="14" t="n">
        <v>0.25</v>
      </c>
      <c r="L913" s="14" t="n">
        <v>5.95</v>
      </c>
      <c r="M913" s="14" t="n">
        <v>24.21</v>
      </c>
      <c r="N913" s="14" t="n">
        <v>7.43</v>
      </c>
      <c r="O913" s="14" t="n">
        <v>8.02</v>
      </c>
      <c r="P913" s="14" t="n">
        <v>1.1</v>
      </c>
      <c r="Q913" s="14" t="n">
        <v>2.05</v>
      </c>
      <c r="R913" s="14" t="n">
        <v>0.27</v>
      </c>
      <c r="S913" s="14" t="n">
        <v>8.529999999999999</v>
      </c>
      <c r="T913" s="14" t="n">
        <v>3.01</v>
      </c>
      <c r="U913" s="14" t="n">
        <v>6.78</v>
      </c>
      <c r="V913" s="14" t="n">
        <v>9.74</v>
      </c>
      <c r="W913" s="14" t="n">
        <v>5.13</v>
      </c>
      <c r="X913" s="14" t="n">
        <v>1.35</v>
      </c>
      <c r="Y913" s="14" t="n">
        <v>2.65</v>
      </c>
      <c r="Z913" s="14" t="n">
        <v>1.31</v>
      </c>
      <c r="AA913" s="14" t="n">
        <v>0.01</v>
      </c>
    </row>
    <row r="914">
      <c r="A914" t="inlineStr">
        <is>
          <t>230102</t>
        </is>
      </c>
      <c r="B914" t="inlineStr">
        <is>
          <t>TACNA</t>
        </is>
      </c>
      <c r="C914" t="inlineStr">
        <is>
          <t>TACNA</t>
        </is>
      </c>
      <c r="D914" t="inlineStr">
        <is>
          <t>ALTO DE LA ALIANZA</t>
        </is>
      </c>
      <c r="E914" t="n">
        <v>16917</v>
      </c>
      <c r="F914" s="14" t="n">
        <v>0.006</v>
      </c>
      <c r="G914" s="14" t="n">
        <v>6.7</v>
      </c>
      <c r="H914" s="14" t="n">
        <v>0.35</v>
      </c>
      <c r="I914" s="14" t="n">
        <v>5.34</v>
      </c>
      <c r="J914" s="14" t="n">
        <v>0.09</v>
      </c>
      <c r="K914" s="14" t="n">
        <v>0.63</v>
      </c>
      <c r="L914" s="14" t="n">
        <v>10.91</v>
      </c>
      <c r="M914" s="14" t="n">
        <v>34.23</v>
      </c>
      <c r="N914" s="14" t="n">
        <v>8.699999999999999</v>
      </c>
      <c r="O914" s="14" t="n">
        <v>8.25</v>
      </c>
      <c r="P914" s="14" t="n">
        <v>0.67</v>
      </c>
      <c r="Q914" s="14" t="n">
        <v>0.74</v>
      </c>
      <c r="R914" s="14" t="n">
        <v>0.09</v>
      </c>
      <c r="S914" s="14" t="n">
        <v>5.15</v>
      </c>
      <c r="T914" s="14" t="n">
        <v>2.46</v>
      </c>
      <c r="U914" s="14" t="n">
        <v>4</v>
      </c>
      <c r="V914" s="14" t="n">
        <v>4.99</v>
      </c>
      <c r="W914" s="14" t="n">
        <v>2.26</v>
      </c>
      <c r="X914" s="14" t="n">
        <v>1.02</v>
      </c>
      <c r="Y914" s="14" t="n">
        <v>2.22</v>
      </c>
      <c r="Z914" s="14" t="n">
        <v>1.18</v>
      </c>
      <c r="AA914" s="14" t="n">
        <v>0</v>
      </c>
    </row>
    <row r="915">
      <c r="A915" t="inlineStr">
        <is>
          <t>230103</t>
        </is>
      </c>
      <c r="B915" t="inlineStr">
        <is>
          <t>TACNA</t>
        </is>
      </c>
      <c r="C915" t="inlineStr">
        <is>
          <t>TACNA</t>
        </is>
      </c>
      <c r="D915" t="inlineStr">
        <is>
          <t>CALANA</t>
        </is>
      </c>
      <c r="E915" t="n">
        <v>1668</v>
      </c>
      <c r="F915" s="14" t="n">
        <v>0</v>
      </c>
      <c r="G915" s="14" t="n">
        <v>31</v>
      </c>
      <c r="H915" s="14" t="n">
        <v>1.08</v>
      </c>
      <c r="I915" s="14" t="n">
        <v>2.52</v>
      </c>
      <c r="J915" s="14" t="n">
        <v>0</v>
      </c>
      <c r="K915" s="14" t="n">
        <v>0.36</v>
      </c>
      <c r="L915" s="14" t="n">
        <v>8.449999999999999</v>
      </c>
      <c r="M915" s="14" t="n">
        <v>19.96</v>
      </c>
      <c r="N915" s="14" t="n">
        <v>6.77</v>
      </c>
      <c r="O915" s="14" t="n">
        <v>8.09</v>
      </c>
      <c r="P915" s="14" t="n">
        <v>0.18</v>
      </c>
      <c r="Q915" s="14" t="n">
        <v>0.66</v>
      </c>
      <c r="R915" s="14" t="n">
        <v>0</v>
      </c>
      <c r="S915" s="14" t="n">
        <v>4.14</v>
      </c>
      <c r="T915" s="14" t="n">
        <v>2.94</v>
      </c>
      <c r="U915" s="14" t="n">
        <v>4.8</v>
      </c>
      <c r="V915" s="14" t="n">
        <v>4.14</v>
      </c>
      <c r="W915" s="14" t="n">
        <v>2.16</v>
      </c>
      <c r="X915" s="14" t="n">
        <v>0.48</v>
      </c>
      <c r="Y915" s="14" t="n">
        <v>1.2</v>
      </c>
      <c r="Z915" s="14" t="n">
        <v>1.08</v>
      </c>
      <c r="AA915" s="14" t="n">
        <v>0</v>
      </c>
    </row>
    <row r="916">
      <c r="A916" t="inlineStr">
        <is>
          <t>230104</t>
        </is>
      </c>
      <c r="B916" t="inlineStr">
        <is>
          <t>TACNA</t>
        </is>
      </c>
      <c r="C916" t="inlineStr">
        <is>
          <t>TACNA</t>
        </is>
      </c>
      <c r="D916" t="inlineStr">
        <is>
          <t>CIUDAD NUEVA</t>
        </is>
      </c>
      <c r="E916" t="n">
        <v>14634</v>
      </c>
      <c r="F916" s="14" t="n">
        <v>0</v>
      </c>
      <c r="G916" s="14" t="n">
        <v>8.359999999999999</v>
      </c>
      <c r="H916" s="14" t="n">
        <v>0.28</v>
      </c>
      <c r="I916" s="14" t="n">
        <v>7.05</v>
      </c>
      <c r="J916" s="14" t="n">
        <v>0.05</v>
      </c>
      <c r="K916" s="14" t="n">
        <v>0.36</v>
      </c>
      <c r="L916" s="14" t="n">
        <v>10.72</v>
      </c>
      <c r="M916" s="14" t="n">
        <v>33.09</v>
      </c>
      <c r="N916" s="14" t="n">
        <v>12.73</v>
      </c>
      <c r="O916" s="14" t="n">
        <v>9.18</v>
      </c>
      <c r="P916" s="14" t="n">
        <v>0.64</v>
      </c>
      <c r="Q916" s="14" t="n">
        <v>0.57</v>
      </c>
      <c r="R916" s="14" t="n">
        <v>0.04</v>
      </c>
      <c r="S916" s="14" t="n">
        <v>3.2</v>
      </c>
      <c r="T916" s="14" t="n">
        <v>1.92</v>
      </c>
      <c r="U916" s="14" t="n">
        <v>3.01</v>
      </c>
      <c r="V916" s="14" t="n">
        <v>2.49</v>
      </c>
      <c r="W916" s="14" t="n">
        <v>1.37</v>
      </c>
      <c r="X916" s="14" t="n">
        <v>0.85</v>
      </c>
      <c r="Y916" s="14" t="n">
        <v>2.67</v>
      </c>
      <c r="Z916" s="14" t="n">
        <v>1.42</v>
      </c>
      <c r="AA916" s="14" t="n">
        <v>0</v>
      </c>
    </row>
    <row r="917">
      <c r="A917" t="inlineStr">
        <is>
          <t>230105</t>
        </is>
      </c>
      <c r="B917" t="inlineStr">
        <is>
          <t>TACNA</t>
        </is>
      </c>
      <c r="C917" t="inlineStr">
        <is>
          <t>TACNA</t>
        </is>
      </c>
      <c r="D917" t="inlineStr">
        <is>
          <t>INCLAN</t>
        </is>
      </c>
      <c r="E917" t="n">
        <v>1369</v>
      </c>
      <c r="F917" s="14" t="n">
        <v>0</v>
      </c>
      <c r="G917" s="14" t="n">
        <v>68.95999999999999</v>
      </c>
      <c r="H917" s="14" t="n">
        <v>0.22</v>
      </c>
      <c r="I917" s="14" t="n">
        <v>2.41</v>
      </c>
      <c r="J917" s="14" t="n">
        <v>0.07000000000000001</v>
      </c>
      <c r="K917" s="14" t="n">
        <v>0.07000000000000001</v>
      </c>
      <c r="L917" s="14" t="n">
        <v>5.04</v>
      </c>
      <c r="M917" s="14" t="n">
        <v>8.18</v>
      </c>
      <c r="N917" s="14" t="n">
        <v>1.75</v>
      </c>
      <c r="O917" s="14" t="n">
        <v>3.43</v>
      </c>
      <c r="P917" s="14" t="n">
        <v>0</v>
      </c>
      <c r="Q917" s="14" t="n">
        <v>0.07000000000000001</v>
      </c>
      <c r="R917" s="14" t="n">
        <v>0.07000000000000001</v>
      </c>
      <c r="S917" s="14" t="n">
        <v>3.07</v>
      </c>
      <c r="T917" s="14" t="n">
        <v>1.31</v>
      </c>
      <c r="U917" s="14" t="n">
        <v>2.19</v>
      </c>
      <c r="V917" s="14" t="n">
        <v>1.24</v>
      </c>
      <c r="W917" s="14" t="n">
        <v>0.88</v>
      </c>
      <c r="X917" s="14" t="n">
        <v>0.15</v>
      </c>
      <c r="Y917" s="14" t="n">
        <v>0.66</v>
      </c>
      <c r="Z917" s="14" t="n">
        <v>0.22</v>
      </c>
      <c r="AA917" s="14" t="n">
        <v>0</v>
      </c>
    </row>
    <row r="918">
      <c r="A918" t="inlineStr">
        <is>
          <t>230106</t>
        </is>
      </c>
      <c r="B918" t="inlineStr">
        <is>
          <t>TACNA</t>
        </is>
      </c>
      <c r="C918" t="inlineStr">
        <is>
          <t>TACNA</t>
        </is>
      </c>
      <c r="D918" t="inlineStr">
        <is>
          <t>PACHIA</t>
        </is>
      </c>
      <c r="E918" t="n">
        <v>1077</v>
      </c>
      <c r="F918" s="14" t="n">
        <v>0</v>
      </c>
      <c r="G918" s="14" t="n">
        <v>49.3</v>
      </c>
      <c r="H918" s="14" t="n">
        <v>2.41</v>
      </c>
      <c r="I918" s="14" t="n">
        <v>1.95</v>
      </c>
      <c r="J918" s="14" t="n">
        <v>0</v>
      </c>
      <c r="K918" s="14" t="n">
        <v>0.19</v>
      </c>
      <c r="L918" s="14" t="n">
        <v>4.27</v>
      </c>
      <c r="M918" s="14" t="n">
        <v>10.49</v>
      </c>
      <c r="N918" s="14" t="n">
        <v>4.74</v>
      </c>
      <c r="O918" s="14" t="n">
        <v>5.48</v>
      </c>
      <c r="P918" s="14" t="n">
        <v>0.09</v>
      </c>
      <c r="Q918" s="14" t="n">
        <v>0.74</v>
      </c>
      <c r="R918" s="14" t="n">
        <v>0.09</v>
      </c>
      <c r="S918" s="14" t="n">
        <v>2.41</v>
      </c>
      <c r="T918" s="14" t="n">
        <v>3.25</v>
      </c>
      <c r="U918" s="14" t="n">
        <v>7.89</v>
      </c>
      <c r="V918" s="14" t="n">
        <v>3.16</v>
      </c>
      <c r="W918" s="14" t="n">
        <v>1.49</v>
      </c>
      <c r="X918" s="14" t="n">
        <v>0</v>
      </c>
      <c r="Y918" s="14" t="n">
        <v>1.3</v>
      </c>
      <c r="Z918" s="14" t="n">
        <v>0.74</v>
      </c>
      <c r="AA918" s="14" t="n">
        <v>0</v>
      </c>
    </row>
    <row r="919">
      <c r="A919" t="inlineStr">
        <is>
          <t>230107</t>
        </is>
      </c>
      <c r="B919" t="inlineStr">
        <is>
          <t>TACNA</t>
        </is>
      </c>
      <c r="C919" t="inlineStr">
        <is>
          <t>TACNA</t>
        </is>
      </c>
      <c r="D919" t="inlineStr">
        <is>
          <t>PALCA</t>
        </is>
      </c>
      <c r="E919" t="n">
        <v>1415</v>
      </c>
      <c r="F919" s="14" t="n">
        <v>0</v>
      </c>
      <c r="G919" s="14" t="n">
        <v>19.79</v>
      </c>
      <c r="H919" s="14" t="n">
        <v>24.24</v>
      </c>
      <c r="I919" s="14" t="n">
        <v>2.61</v>
      </c>
      <c r="J919" s="14" t="n">
        <v>0</v>
      </c>
      <c r="K919" s="14" t="n">
        <v>0</v>
      </c>
      <c r="L919" s="14" t="n">
        <v>39.58</v>
      </c>
      <c r="M919" s="14" t="n">
        <v>5.44</v>
      </c>
      <c r="N919" s="14" t="n">
        <v>2.05</v>
      </c>
      <c r="O919" s="14" t="n">
        <v>2.33</v>
      </c>
      <c r="P919" s="14" t="n">
        <v>0.07000000000000001</v>
      </c>
      <c r="Q919" s="14" t="n">
        <v>0</v>
      </c>
      <c r="R919" s="14" t="n">
        <v>0</v>
      </c>
      <c r="S919" s="14" t="n">
        <v>0.14</v>
      </c>
      <c r="T919" s="14" t="n">
        <v>0.57</v>
      </c>
      <c r="U919" s="14" t="n">
        <v>2.26</v>
      </c>
      <c r="V919" s="14" t="n">
        <v>0.21</v>
      </c>
      <c r="W919" s="14" t="n">
        <v>0.28</v>
      </c>
      <c r="X919" s="14" t="n">
        <v>0.14</v>
      </c>
      <c r="Y919" s="14" t="n">
        <v>0.28</v>
      </c>
      <c r="Z919" s="14" t="n">
        <v>0</v>
      </c>
      <c r="AA919" s="14" t="n">
        <v>0</v>
      </c>
    </row>
    <row r="920">
      <c r="A920" t="inlineStr">
        <is>
          <t>230108</t>
        </is>
      </c>
      <c r="B920" t="inlineStr">
        <is>
          <t>TACNA</t>
        </is>
      </c>
      <c r="C920" t="inlineStr">
        <is>
          <t>TACNA</t>
        </is>
      </c>
      <c r="D920" t="inlineStr">
        <is>
          <t>POCOLLAY</t>
        </is>
      </c>
      <c r="E920" t="n">
        <v>9039</v>
      </c>
      <c r="F920" s="14" t="n">
        <v>0</v>
      </c>
      <c r="G920" s="14" t="n">
        <v>8.390000000000001</v>
      </c>
      <c r="H920" s="14" t="n">
        <v>0.45</v>
      </c>
      <c r="I920" s="14" t="n">
        <v>11.02</v>
      </c>
      <c r="J920" s="14" t="n">
        <v>0.1</v>
      </c>
      <c r="K920" s="14" t="n">
        <v>0.32</v>
      </c>
      <c r="L920" s="14" t="n">
        <v>7.37</v>
      </c>
      <c r="M920" s="14" t="n">
        <v>20.69</v>
      </c>
      <c r="N920" s="14" t="n">
        <v>9.859999999999999</v>
      </c>
      <c r="O920" s="14" t="n">
        <v>8.82</v>
      </c>
      <c r="P920" s="14" t="n">
        <v>0.79</v>
      </c>
      <c r="Q920" s="14" t="n">
        <v>1.35</v>
      </c>
      <c r="R920" s="14" t="n">
        <v>0.13</v>
      </c>
      <c r="S920" s="14" t="n">
        <v>5.73</v>
      </c>
      <c r="T920" s="14" t="n">
        <v>3.09</v>
      </c>
      <c r="U920" s="14" t="n">
        <v>5.95</v>
      </c>
      <c r="V920" s="14" t="n">
        <v>6.78</v>
      </c>
      <c r="W920" s="14" t="n">
        <v>3.77</v>
      </c>
      <c r="X920" s="14" t="n">
        <v>1.04</v>
      </c>
      <c r="Y920" s="14" t="n">
        <v>2.87</v>
      </c>
      <c r="Z920" s="14" t="n">
        <v>1.48</v>
      </c>
      <c r="AA920" s="14" t="n">
        <v>0.01</v>
      </c>
    </row>
    <row r="921">
      <c r="A921" t="inlineStr">
        <is>
          <t>230109</t>
        </is>
      </c>
      <c r="B921" t="inlineStr">
        <is>
          <t>TACNA</t>
        </is>
      </c>
      <c r="C921" t="inlineStr">
        <is>
          <t>TACNA</t>
        </is>
      </c>
      <c r="D921" t="inlineStr">
        <is>
          <t>SAMA</t>
        </is>
      </c>
      <c r="E921" t="n">
        <v>1819</v>
      </c>
      <c r="F921" s="14" t="n">
        <v>0</v>
      </c>
      <c r="G921" s="14" t="n">
        <v>51.02</v>
      </c>
      <c r="H921" s="14" t="n">
        <v>0.27</v>
      </c>
      <c r="I921" s="14" t="n">
        <v>4.23</v>
      </c>
      <c r="J921" s="14" t="n">
        <v>0.05</v>
      </c>
      <c r="K921" s="14" t="n">
        <v>0.11</v>
      </c>
      <c r="L921" s="14" t="n">
        <v>5.83</v>
      </c>
      <c r="M921" s="14" t="n">
        <v>13.58</v>
      </c>
      <c r="N921" s="14" t="n">
        <v>4.12</v>
      </c>
      <c r="O921" s="14" t="n">
        <v>6.6</v>
      </c>
      <c r="P921" s="14" t="n">
        <v>0</v>
      </c>
      <c r="Q921" s="14" t="n">
        <v>0.22</v>
      </c>
      <c r="R921" s="14" t="n">
        <v>0</v>
      </c>
      <c r="S921" s="14" t="n">
        <v>2.14</v>
      </c>
      <c r="T921" s="14" t="n">
        <v>2.36</v>
      </c>
      <c r="U921" s="14" t="n">
        <v>5.5</v>
      </c>
      <c r="V921" s="14" t="n">
        <v>1.54</v>
      </c>
      <c r="W921" s="14" t="n">
        <v>0.49</v>
      </c>
      <c r="X921" s="14" t="n">
        <v>0.22</v>
      </c>
      <c r="Y921" s="14" t="n">
        <v>1.26</v>
      </c>
      <c r="Z921" s="14" t="n">
        <v>0.44</v>
      </c>
      <c r="AA921" s="14" t="n">
        <v>0</v>
      </c>
    </row>
    <row r="922">
      <c r="A922" t="inlineStr">
        <is>
          <t>230110</t>
        </is>
      </c>
      <c r="B922" t="inlineStr">
        <is>
          <t>TACNA</t>
        </is>
      </c>
      <c r="C922" t="inlineStr">
        <is>
          <t>TACNA</t>
        </is>
      </c>
      <c r="D922" t="inlineStr">
        <is>
          <t>CORONEL GREGORIO ALBARRACIN LANCHIPA</t>
        </is>
      </c>
      <c r="E922" t="n">
        <v>0</v>
      </c>
      <c r="F922" s="14" t="n">
        <v>0</v>
      </c>
      <c r="G922" s="14" t="n">
        <v>31.95</v>
      </c>
      <c r="H922" s="14" t="n">
        <v>0.47</v>
      </c>
      <c r="I922" s="14" t="n">
        <v>4.36</v>
      </c>
      <c r="J922" s="14" t="n">
        <v>0.06</v>
      </c>
      <c r="K922" s="14" t="n">
        <v>0.26</v>
      </c>
      <c r="L922" s="14" t="n">
        <v>7.6</v>
      </c>
      <c r="M922" s="14" t="n">
        <v>20.58</v>
      </c>
      <c r="N922" s="14" t="n">
        <v>6.98</v>
      </c>
      <c r="O922" s="14" t="n">
        <v>8.27</v>
      </c>
      <c r="P922" s="14" t="n">
        <v>0.19</v>
      </c>
      <c r="Q922" s="14" t="n">
        <v>0.68</v>
      </c>
      <c r="R922" s="14" t="n">
        <v>0.08</v>
      </c>
      <c r="S922" s="14" t="n">
        <v>3.3</v>
      </c>
      <c r="T922" s="14" t="n">
        <v>2.54</v>
      </c>
      <c r="U922" s="14" t="n">
        <v>4.94</v>
      </c>
      <c r="V922" s="14" t="n">
        <v>3.25</v>
      </c>
      <c r="W922" s="14" t="n">
        <v>1.53</v>
      </c>
      <c r="X922" s="14" t="n">
        <v>0.49</v>
      </c>
      <c r="Y922" s="14" t="n">
        <v>1.34</v>
      </c>
      <c r="Z922" s="14" t="n">
        <v>1.11</v>
      </c>
      <c r="AA922" s="14" t="n">
        <v>0</v>
      </c>
    </row>
    <row r="923">
      <c r="A923" t="inlineStr">
        <is>
          <t>230111</t>
        </is>
      </c>
      <c r="B923" t="inlineStr">
        <is>
          <t>TACNA</t>
        </is>
      </c>
      <c r="C923" t="inlineStr">
        <is>
          <t>TACNA</t>
        </is>
      </c>
      <c r="D923" t="inlineStr">
        <is>
          <t>LA YARADA LOS PALOS</t>
        </is>
      </c>
      <c r="E923" t="n">
        <v>2825</v>
      </c>
      <c r="F923" s="14" t="n">
        <v>0</v>
      </c>
      <c r="G923" s="14" t="n">
        <v>85.27</v>
      </c>
      <c r="H923" s="14" t="n">
        <v>0</v>
      </c>
      <c r="I923" s="14" t="n">
        <v>0.96</v>
      </c>
      <c r="J923" s="14" t="n">
        <v>0</v>
      </c>
      <c r="K923" s="14" t="n">
        <v>0</v>
      </c>
      <c r="L923" s="14" t="n">
        <v>1.03</v>
      </c>
      <c r="M923" s="14" t="n">
        <v>5.2</v>
      </c>
      <c r="N923" s="14" t="n">
        <v>1.31</v>
      </c>
      <c r="O923" s="14" t="n">
        <v>2.62</v>
      </c>
      <c r="P923" s="14" t="n">
        <v>0.11</v>
      </c>
      <c r="Q923" s="14" t="n">
        <v>0.11</v>
      </c>
      <c r="R923" s="14" t="n">
        <v>0.04</v>
      </c>
      <c r="S923" s="14" t="n">
        <v>0.64</v>
      </c>
      <c r="T923" s="14" t="n">
        <v>0.5</v>
      </c>
      <c r="U923" s="14" t="n">
        <v>0.42</v>
      </c>
      <c r="V923" s="14" t="n">
        <v>0.85</v>
      </c>
      <c r="W923" s="14" t="n">
        <v>0.18</v>
      </c>
      <c r="X923" s="14" t="n">
        <v>0</v>
      </c>
      <c r="Y923" s="14" t="n">
        <v>0.53</v>
      </c>
      <c r="Z923" s="14" t="n">
        <v>0.25</v>
      </c>
      <c r="AA923" s="14" t="n">
        <v>0</v>
      </c>
    </row>
    <row r="924">
      <c r="A924" t="inlineStr">
        <is>
          <t>230201</t>
        </is>
      </c>
      <c r="B924" t="inlineStr">
        <is>
          <t>TACNA</t>
        </is>
      </c>
      <c r="C924" t="inlineStr">
        <is>
          <t>CANDARAVE</t>
        </is>
      </c>
      <c r="D924" t="inlineStr">
        <is>
          <t>CANDARAVE</t>
        </is>
      </c>
      <c r="E924" t="n">
        <v>1129</v>
      </c>
      <c r="F924" s="14" t="n">
        <v>0</v>
      </c>
      <c r="G924" s="14" t="n">
        <v>71.83</v>
      </c>
      <c r="H924" s="14" t="n">
        <v>0.97</v>
      </c>
      <c r="I924" s="14" t="n">
        <v>1.33</v>
      </c>
      <c r="J924" s="14" t="n">
        <v>0.09</v>
      </c>
      <c r="K924" s="14" t="n">
        <v>0</v>
      </c>
      <c r="L924" s="14" t="n">
        <v>4.52</v>
      </c>
      <c r="M924" s="14" t="n">
        <v>7.44</v>
      </c>
      <c r="N924" s="14" t="n">
        <v>1.06</v>
      </c>
      <c r="O924" s="14" t="n">
        <v>1.51</v>
      </c>
      <c r="P924" s="14" t="n">
        <v>0.27</v>
      </c>
      <c r="Q924" s="14" t="n">
        <v>0.09</v>
      </c>
      <c r="R924" s="14" t="n">
        <v>0</v>
      </c>
      <c r="S924" s="14" t="n">
        <v>1.59</v>
      </c>
      <c r="T924" s="14" t="n">
        <v>0.44</v>
      </c>
      <c r="U924" s="14" t="n">
        <v>4.34</v>
      </c>
      <c r="V924" s="14" t="n">
        <v>2.3</v>
      </c>
      <c r="W924" s="14" t="n">
        <v>1.59</v>
      </c>
      <c r="X924" s="14" t="n">
        <v>0.18</v>
      </c>
      <c r="Y924" s="14" t="n">
        <v>0.35</v>
      </c>
      <c r="Z924" s="14" t="n">
        <v>0.09</v>
      </c>
      <c r="AA924" s="14" t="n">
        <v>0</v>
      </c>
    </row>
    <row r="925">
      <c r="A925" t="inlineStr">
        <is>
          <t>230202</t>
        </is>
      </c>
      <c r="B925" t="inlineStr">
        <is>
          <t>TACNA</t>
        </is>
      </c>
      <c r="C925" t="inlineStr">
        <is>
          <t>CANDARAVE</t>
        </is>
      </c>
      <c r="D925" t="inlineStr">
        <is>
          <t>CAIRANI</t>
        </is>
      </c>
      <c r="E925" t="n">
        <v>521</v>
      </c>
      <c r="F925" s="14" t="n">
        <v>0</v>
      </c>
      <c r="G925" s="14" t="n">
        <v>88.87</v>
      </c>
      <c r="H925" s="14" t="n">
        <v>0</v>
      </c>
      <c r="I925" s="14" t="n">
        <v>0.58</v>
      </c>
      <c r="J925" s="14" t="n">
        <v>0</v>
      </c>
      <c r="K925" s="14" t="n">
        <v>0</v>
      </c>
      <c r="L925" s="14" t="n">
        <v>1.54</v>
      </c>
      <c r="M925" s="14" t="n">
        <v>2.5</v>
      </c>
      <c r="N925" s="14" t="n">
        <v>0.77</v>
      </c>
      <c r="O925" s="14" t="n">
        <v>0.58</v>
      </c>
      <c r="P925" s="14" t="n">
        <v>0</v>
      </c>
      <c r="Q925" s="14" t="n">
        <v>0</v>
      </c>
      <c r="R925" s="14" t="n">
        <v>0</v>
      </c>
      <c r="S925" s="14" t="n">
        <v>0</v>
      </c>
      <c r="T925" s="14" t="n">
        <v>0</v>
      </c>
      <c r="U925" s="14" t="n">
        <v>3.07</v>
      </c>
      <c r="V925" s="14" t="n">
        <v>1.34</v>
      </c>
      <c r="W925" s="14" t="n">
        <v>0.77</v>
      </c>
      <c r="X925" s="14" t="n">
        <v>0</v>
      </c>
      <c r="Y925" s="14" t="n">
        <v>0</v>
      </c>
      <c r="Z925" s="14" t="n">
        <v>0</v>
      </c>
      <c r="AA925" s="14" t="n">
        <v>0</v>
      </c>
    </row>
    <row r="926">
      <c r="A926" t="inlineStr">
        <is>
          <t>230203</t>
        </is>
      </c>
      <c r="B926" t="inlineStr">
        <is>
          <t>TACNA</t>
        </is>
      </c>
      <c r="C926" t="inlineStr">
        <is>
          <t>CANDARAVE</t>
        </is>
      </c>
      <c r="D926" t="inlineStr">
        <is>
          <t>CAMILACA</t>
        </is>
      </c>
      <c r="E926" t="n">
        <v>545</v>
      </c>
      <c r="F926" s="14" t="n">
        <v>0</v>
      </c>
      <c r="G926" s="14" t="n">
        <v>87.89</v>
      </c>
      <c r="H926" s="14" t="n">
        <v>0</v>
      </c>
      <c r="I926" s="14" t="n">
        <v>1.47</v>
      </c>
      <c r="J926" s="14" t="n">
        <v>0</v>
      </c>
      <c r="K926" s="14" t="n">
        <v>0</v>
      </c>
      <c r="L926" s="14" t="n">
        <v>1.83</v>
      </c>
      <c r="M926" s="14" t="n">
        <v>3.3</v>
      </c>
      <c r="N926" s="14" t="n">
        <v>0.55</v>
      </c>
      <c r="O926" s="14" t="n">
        <v>1.1</v>
      </c>
      <c r="P926" s="14" t="n">
        <v>0.18</v>
      </c>
      <c r="Q926" s="14" t="n">
        <v>0</v>
      </c>
      <c r="R926" s="14" t="n">
        <v>0</v>
      </c>
      <c r="S926" s="14" t="n">
        <v>0.18</v>
      </c>
      <c r="T926" s="14" t="n">
        <v>0</v>
      </c>
      <c r="U926" s="14" t="n">
        <v>0.92</v>
      </c>
      <c r="V926" s="14" t="n">
        <v>1.47</v>
      </c>
      <c r="W926" s="14" t="n">
        <v>0.73</v>
      </c>
      <c r="X926" s="14" t="n">
        <v>0</v>
      </c>
      <c r="Y926" s="14" t="n">
        <v>0.37</v>
      </c>
      <c r="Z926" s="14" t="n">
        <v>0</v>
      </c>
      <c r="AA926" s="14" t="n">
        <v>0</v>
      </c>
    </row>
    <row r="927">
      <c r="A927" t="inlineStr">
        <is>
          <t>230204</t>
        </is>
      </c>
      <c r="B927" t="inlineStr">
        <is>
          <t>TACNA</t>
        </is>
      </c>
      <c r="C927" t="inlineStr">
        <is>
          <t>CANDARAVE</t>
        </is>
      </c>
      <c r="D927" t="inlineStr">
        <is>
          <t>CURIBAYA</t>
        </is>
      </c>
      <c r="E927" t="n">
        <v>244</v>
      </c>
      <c r="F927" s="14" t="n">
        <v>0</v>
      </c>
      <c r="G927" s="14" t="n">
        <v>45.08</v>
      </c>
      <c r="H927" s="14" t="n">
        <v>0.41</v>
      </c>
      <c r="I927" s="14" t="n">
        <v>4.92</v>
      </c>
      <c r="J927" s="14" t="n">
        <v>2.87</v>
      </c>
      <c r="K927" s="14" t="n">
        <v>0</v>
      </c>
      <c r="L927" s="14" t="n">
        <v>18.03</v>
      </c>
      <c r="M927" s="14" t="n">
        <v>4.51</v>
      </c>
      <c r="N927" s="14" t="n">
        <v>5.33</v>
      </c>
      <c r="O927" s="14" t="n">
        <v>2.46</v>
      </c>
      <c r="P927" s="14" t="n">
        <v>0</v>
      </c>
      <c r="Q927" s="14" t="n">
        <v>0.41</v>
      </c>
      <c r="R927" s="14" t="n">
        <v>0</v>
      </c>
      <c r="S927" s="14" t="n">
        <v>3.69</v>
      </c>
      <c r="T927" s="14" t="n">
        <v>0.82</v>
      </c>
      <c r="U927" s="14" t="n">
        <v>5.33</v>
      </c>
      <c r="V927" s="14" t="n">
        <v>4.1</v>
      </c>
      <c r="W927" s="14" t="n">
        <v>1.64</v>
      </c>
      <c r="X927" s="14" t="n">
        <v>0</v>
      </c>
      <c r="Y927" s="14" t="n">
        <v>0</v>
      </c>
      <c r="Z927" s="14" t="n">
        <v>0.41</v>
      </c>
      <c r="AA927" s="14" t="n">
        <v>0</v>
      </c>
    </row>
    <row r="928">
      <c r="A928" t="inlineStr">
        <is>
          <t>230205</t>
        </is>
      </c>
      <c r="B928" t="inlineStr">
        <is>
          <t>TACNA</t>
        </is>
      </c>
      <c r="C928" t="inlineStr">
        <is>
          <t>CANDARAVE</t>
        </is>
      </c>
      <c r="D928" t="inlineStr">
        <is>
          <t>HUANUARA</t>
        </is>
      </c>
      <c r="E928" t="n">
        <v>264</v>
      </c>
      <c r="F928" s="14" t="n">
        <v>0</v>
      </c>
      <c r="G928" s="14" t="n">
        <v>77.27</v>
      </c>
      <c r="H928" s="14" t="n">
        <v>0</v>
      </c>
      <c r="I928" s="14" t="n">
        <v>1.52</v>
      </c>
      <c r="J928" s="14" t="n">
        <v>0</v>
      </c>
      <c r="K928" s="14" t="n">
        <v>0</v>
      </c>
      <c r="L928" s="14" t="n">
        <v>4.17</v>
      </c>
      <c r="M928" s="14" t="n">
        <v>3.41</v>
      </c>
      <c r="N928" s="14" t="n">
        <v>0.76</v>
      </c>
      <c r="O928" s="14" t="n">
        <v>1.52</v>
      </c>
      <c r="P928" s="14" t="n">
        <v>0</v>
      </c>
      <c r="Q928" s="14" t="n">
        <v>0.38</v>
      </c>
      <c r="R928" s="14" t="n">
        <v>0</v>
      </c>
      <c r="S928" s="14" t="n">
        <v>2.27</v>
      </c>
      <c r="T928" s="14" t="n">
        <v>0</v>
      </c>
      <c r="U928" s="14" t="n">
        <v>1.89</v>
      </c>
      <c r="V928" s="14" t="n">
        <v>4.92</v>
      </c>
      <c r="W928" s="14" t="n">
        <v>1.52</v>
      </c>
      <c r="X928" s="14" t="n">
        <v>0</v>
      </c>
      <c r="Y928" s="14" t="n">
        <v>0</v>
      </c>
      <c r="Z928" s="14" t="n">
        <v>0.38</v>
      </c>
      <c r="AA928" s="14" t="n">
        <v>0</v>
      </c>
    </row>
    <row r="929">
      <c r="A929" t="inlineStr">
        <is>
          <t>230206</t>
        </is>
      </c>
      <c r="B929" t="inlineStr">
        <is>
          <t>TACNA</t>
        </is>
      </c>
      <c r="C929" t="inlineStr">
        <is>
          <t>CANDARAVE</t>
        </is>
      </c>
      <c r="D929" t="inlineStr">
        <is>
          <t>QUILAHUANI</t>
        </is>
      </c>
      <c r="E929" t="n">
        <v>341</v>
      </c>
      <c r="F929" s="14" t="n">
        <v>0</v>
      </c>
      <c r="G929" s="14" t="n">
        <v>82.98999999999999</v>
      </c>
      <c r="H929" s="14" t="n">
        <v>0</v>
      </c>
      <c r="I929" s="14" t="n">
        <v>0.59</v>
      </c>
      <c r="J929" s="14" t="n">
        <v>0</v>
      </c>
      <c r="K929" s="14" t="n">
        <v>0</v>
      </c>
      <c r="L929" s="14" t="n">
        <v>3.52</v>
      </c>
      <c r="M929" s="14" t="n">
        <v>4.4</v>
      </c>
      <c r="N929" s="14" t="n">
        <v>0</v>
      </c>
      <c r="O929" s="14" t="n">
        <v>0.29</v>
      </c>
      <c r="P929" s="14" t="n">
        <v>0</v>
      </c>
      <c r="Q929" s="14" t="n">
        <v>0</v>
      </c>
      <c r="R929" s="14" t="n">
        <v>0</v>
      </c>
      <c r="S929" s="14" t="n">
        <v>0.88</v>
      </c>
      <c r="T929" s="14" t="n">
        <v>0.59</v>
      </c>
      <c r="U929" s="14" t="n">
        <v>2.64</v>
      </c>
      <c r="V929" s="14" t="n">
        <v>1.76</v>
      </c>
      <c r="W929" s="14" t="n">
        <v>1.76</v>
      </c>
      <c r="X929" s="14" t="n">
        <v>0.29</v>
      </c>
      <c r="Y929" s="14" t="n">
        <v>0.29</v>
      </c>
      <c r="Z929" s="14" t="n">
        <v>0</v>
      </c>
      <c r="AA929" s="14" t="n">
        <v>0</v>
      </c>
    </row>
    <row r="930">
      <c r="A930" t="inlineStr">
        <is>
          <t>230301</t>
        </is>
      </c>
      <c r="B930" t="inlineStr">
        <is>
          <t>TACNA</t>
        </is>
      </c>
      <c r="C930" t="inlineStr">
        <is>
          <t>JORGE BASADRE</t>
        </is>
      </c>
      <c r="D930" t="inlineStr">
        <is>
          <t>LOCUMBA</t>
        </is>
      </c>
      <c r="E930" t="n">
        <v>1170</v>
      </c>
      <c r="F930" s="14" t="n">
        <v>0</v>
      </c>
      <c r="G930" s="14" t="n">
        <v>56.58</v>
      </c>
      <c r="H930" s="14" t="n">
        <v>0.26</v>
      </c>
      <c r="I930" s="14" t="n">
        <v>3.42</v>
      </c>
      <c r="J930" s="14" t="n">
        <v>0</v>
      </c>
      <c r="K930" s="14" t="n">
        <v>0.17</v>
      </c>
      <c r="L930" s="14" t="n">
        <v>7.26</v>
      </c>
      <c r="M930" s="14" t="n">
        <v>8.720000000000001</v>
      </c>
      <c r="N930" s="14" t="n">
        <v>2.05</v>
      </c>
      <c r="O930" s="14" t="n">
        <v>6.24</v>
      </c>
      <c r="P930" s="14" t="n">
        <v>0.34</v>
      </c>
      <c r="Q930" s="14" t="n">
        <v>0.17</v>
      </c>
      <c r="R930" s="14" t="n">
        <v>0</v>
      </c>
      <c r="S930" s="14" t="n">
        <v>1.79</v>
      </c>
      <c r="T930" s="14" t="n">
        <v>1.62</v>
      </c>
      <c r="U930" s="14" t="n">
        <v>7.09</v>
      </c>
      <c r="V930" s="14" t="n">
        <v>1.71</v>
      </c>
      <c r="W930" s="14" t="n">
        <v>1.03</v>
      </c>
      <c r="X930" s="14" t="n">
        <v>0.17</v>
      </c>
      <c r="Y930" s="14" t="n">
        <v>0.6</v>
      </c>
      <c r="Z930" s="14" t="n">
        <v>0.77</v>
      </c>
      <c r="AA930" s="14" t="n">
        <v>0</v>
      </c>
    </row>
    <row r="931">
      <c r="A931" t="inlineStr">
        <is>
          <t>230302</t>
        </is>
      </c>
      <c r="B931" t="inlineStr">
        <is>
          <t>TACNA</t>
        </is>
      </c>
      <c r="C931" t="inlineStr">
        <is>
          <t>JORGE BASADRE</t>
        </is>
      </c>
      <c r="D931" t="inlineStr">
        <is>
          <t>ILABAYA</t>
        </is>
      </c>
      <c r="E931" t="n">
        <v>3552</v>
      </c>
      <c r="F931" s="14" t="n">
        <v>0</v>
      </c>
      <c r="G931" s="14" t="n">
        <v>16.16</v>
      </c>
      <c r="H931" s="14" t="n">
        <v>19</v>
      </c>
      <c r="I931" s="14" t="n">
        <v>7.94</v>
      </c>
      <c r="J931" s="14" t="n">
        <v>0.45</v>
      </c>
      <c r="K931" s="14" t="n">
        <v>0.2</v>
      </c>
      <c r="L931" s="14" t="n">
        <v>22.61</v>
      </c>
      <c r="M931" s="14" t="n">
        <v>7.18</v>
      </c>
      <c r="N931" s="14" t="n">
        <v>3.94</v>
      </c>
      <c r="O931" s="14" t="n">
        <v>3.41</v>
      </c>
      <c r="P931" s="14" t="n">
        <v>0.37</v>
      </c>
      <c r="Q931" s="14" t="n">
        <v>0.11</v>
      </c>
      <c r="R931" s="14" t="n">
        <v>0</v>
      </c>
      <c r="S931" s="14" t="n">
        <v>4.62</v>
      </c>
      <c r="T931" s="14" t="n">
        <v>4.5</v>
      </c>
      <c r="U931" s="14" t="n">
        <v>5.04</v>
      </c>
      <c r="V931" s="14" t="n">
        <v>1.77</v>
      </c>
      <c r="W931" s="14" t="n">
        <v>1.41</v>
      </c>
      <c r="X931" s="14" t="n">
        <v>0.25</v>
      </c>
      <c r="Y931" s="14" t="n">
        <v>0.48</v>
      </c>
      <c r="Z931" s="14" t="n">
        <v>0.5600000000000001</v>
      </c>
      <c r="AA931" s="14" t="n">
        <v>0</v>
      </c>
    </row>
    <row r="932">
      <c r="A932" t="inlineStr">
        <is>
          <t>230303</t>
        </is>
      </c>
      <c r="B932" t="inlineStr">
        <is>
          <t>TACNA</t>
        </is>
      </c>
      <c r="C932" t="inlineStr">
        <is>
          <t>JORGE BASADRE</t>
        </is>
      </c>
      <c r="D932" t="inlineStr">
        <is>
          <t>ITE</t>
        </is>
      </c>
      <c r="E932" t="n">
        <v>1619</v>
      </c>
      <c r="F932" s="14" t="n">
        <v>0.124</v>
      </c>
      <c r="G932" s="14" t="n">
        <v>31.93</v>
      </c>
      <c r="H932" s="14" t="n">
        <v>0.31</v>
      </c>
      <c r="I932" s="14" t="n">
        <v>1.54</v>
      </c>
      <c r="J932" s="14" t="n">
        <v>0</v>
      </c>
      <c r="K932" s="14" t="n">
        <v>0.06</v>
      </c>
      <c r="L932" s="14" t="n">
        <v>4.57</v>
      </c>
      <c r="M932" s="14" t="n">
        <v>5.93</v>
      </c>
      <c r="N932" s="14" t="n">
        <v>1.67</v>
      </c>
      <c r="O932" s="14" t="n">
        <v>3.27</v>
      </c>
      <c r="P932" s="14" t="n">
        <v>0.12</v>
      </c>
      <c r="Q932" s="14" t="n">
        <v>0</v>
      </c>
      <c r="R932" s="14" t="n">
        <v>0</v>
      </c>
      <c r="S932" s="14" t="n">
        <v>4.2</v>
      </c>
      <c r="T932" s="14" t="n">
        <v>2.16</v>
      </c>
      <c r="U932" s="14" t="n">
        <v>41.88</v>
      </c>
      <c r="V932" s="14" t="n">
        <v>1.3</v>
      </c>
      <c r="W932" s="14" t="n">
        <v>0.37</v>
      </c>
      <c r="X932" s="14" t="n">
        <v>0.06</v>
      </c>
      <c r="Y932" s="14" t="n">
        <v>0.49</v>
      </c>
      <c r="Z932" s="14" t="n">
        <v>0.12</v>
      </c>
      <c r="AA932" s="14" t="n">
        <v>0</v>
      </c>
    </row>
    <row r="933">
      <c r="A933" t="inlineStr">
        <is>
          <t>230401</t>
        </is>
      </c>
      <c r="B933" t="inlineStr">
        <is>
          <t>TACNA</t>
        </is>
      </c>
      <c r="C933" t="inlineStr">
        <is>
          <t>TARATA</t>
        </is>
      </c>
      <c r="D933" t="inlineStr">
        <is>
          <t>TARATA</t>
        </is>
      </c>
      <c r="E933" t="n">
        <v>1660</v>
      </c>
      <c r="F933" s="14" t="n">
        <v>0</v>
      </c>
      <c r="G933" s="14" t="n">
        <v>55.36</v>
      </c>
      <c r="H933" s="14" t="n">
        <v>0.18</v>
      </c>
      <c r="I933" s="14" t="n">
        <v>0.96</v>
      </c>
      <c r="J933" s="14" t="n">
        <v>0</v>
      </c>
      <c r="K933" s="14" t="n">
        <v>0</v>
      </c>
      <c r="L933" s="14" t="n">
        <v>9.52</v>
      </c>
      <c r="M933" s="14" t="n">
        <v>6.14</v>
      </c>
      <c r="N933" s="14" t="n">
        <v>2.53</v>
      </c>
      <c r="O933" s="14" t="n">
        <v>3.55</v>
      </c>
      <c r="P933" s="14" t="n">
        <v>0.06</v>
      </c>
      <c r="Q933" s="14" t="n">
        <v>0</v>
      </c>
      <c r="R933" s="14" t="n">
        <v>0</v>
      </c>
      <c r="S933" s="14" t="n">
        <v>1.51</v>
      </c>
      <c r="T933" s="14" t="n">
        <v>0.84</v>
      </c>
      <c r="U933" s="14" t="n">
        <v>14.28</v>
      </c>
      <c r="V933" s="14" t="n">
        <v>2.17</v>
      </c>
      <c r="W933" s="14" t="n">
        <v>1.27</v>
      </c>
      <c r="X933" s="14" t="n">
        <v>0</v>
      </c>
      <c r="Y933" s="14" t="n">
        <v>1.02</v>
      </c>
      <c r="Z933" s="14" t="n">
        <v>0.6</v>
      </c>
      <c r="AA933" s="14" t="n">
        <v>0</v>
      </c>
    </row>
    <row r="934">
      <c r="A934" t="inlineStr">
        <is>
          <t>230402</t>
        </is>
      </c>
      <c r="B934" t="inlineStr">
        <is>
          <t>TACNA</t>
        </is>
      </c>
      <c r="C934" t="inlineStr">
        <is>
          <t>TARATA</t>
        </is>
      </c>
      <c r="D934" t="inlineStr">
        <is>
          <t>H├ëROES ALBARRAC├ìN</t>
        </is>
      </c>
      <c r="E934" t="n">
        <v>104</v>
      </c>
      <c r="F934" s="14" t="n">
        <v>0</v>
      </c>
      <c r="G934" s="14" t="n">
        <v>78.84999999999999</v>
      </c>
      <c r="H934" s="14" t="n">
        <v>0</v>
      </c>
      <c r="I934" s="14" t="n">
        <v>2.88</v>
      </c>
      <c r="J934" s="14" t="n">
        <v>0</v>
      </c>
      <c r="K934" s="14" t="n">
        <v>0</v>
      </c>
      <c r="L934" s="14" t="n">
        <v>0.96</v>
      </c>
      <c r="M934" s="14" t="n">
        <v>2.88</v>
      </c>
      <c r="N934" s="14" t="n">
        <v>1.92</v>
      </c>
      <c r="O934" s="14" t="n">
        <v>0</v>
      </c>
      <c r="P934" s="14" t="n">
        <v>0</v>
      </c>
      <c r="Q934" s="14" t="n">
        <v>0</v>
      </c>
      <c r="R934" s="14" t="n">
        <v>0</v>
      </c>
      <c r="S934" s="14" t="n">
        <v>1.92</v>
      </c>
      <c r="T934" s="14" t="n">
        <v>0.96</v>
      </c>
      <c r="U934" s="14" t="n">
        <v>3.85</v>
      </c>
      <c r="V934" s="14" t="n">
        <v>2.88</v>
      </c>
      <c r="W934" s="14" t="n">
        <v>1.92</v>
      </c>
      <c r="X934" s="14" t="n">
        <v>0.96</v>
      </c>
      <c r="Y934" s="14" t="n">
        <v>0</v>
      </c>
      <c r="Z934" s="14" t="n">
        <v>0</v>
      </c>
      <c r="AA934" s="14" t="n">
        <v>0</v>
      </c>
    </row>
    <row r="935">
      <c r="A935" t="inlineStr">
        <is>
          <t>230403</t>
        </is>
      </c>
      <c r="B935" t="inlineStr">
        <is>
          <t>TACNA</t>
        </is>
      </c>
      <c r="C935" t="inlineStr">
        <is>
          <t>TARATA</t>
        </is>
      </c>
      <c r="D935" t="inlineStr">
        <is>
          <t>ESTIQUE</t>
        </is>
      </c>
      <c r="E935" t="n">
        <v>156</v>
      </c>
      <c r="F935" s="14" t="n">
        <v>0</v>
      </c>
      <c r="G935" s="14" t="n">
        <v>78.84999999999999</v>
      </c>
      <c r="H935" s="14" t="n">
        <v>0</v>
      </c>
      <c r="I935" s="14" t="n">
        <v>0.64</v>
      </c>
      <c r="J935" s="14" t="n">
        <v>0</v>
      </c>
      <c r="K935" s="14" t="n">
        <v>0</v>
      </c>
      <c r="L935" s="14" t="n">
        <v>1.28</v>
      </c>
      <c r="M935" s="14" t="n">
        <v>5.13</v>
      </c>
      <c r="N935" s="14" t="n">
        <v>2.56</v>
      </c>
      <c r="O935" s="14" t="n">
        <v>0.64</v>
      </c>
      <c r="P935" s="14" t="n">
        <v>0</v>
      </c>
      <c r="Q935" s="14" t="n">
        <v>0</v>
      </c>
      <c r="R935" s="14" t="n">
        <v>0</v>
      </c>
      <c r="S935" s="14" t="n">
        <v>1.28</v>
      </c>
      <c r="T935" s="14" t="n">
        <v>0</v>
      </c>
      <c r="U935" s="14" t="n">
        <v>7.69</v>
      </c>
      <c r="V935" s="14" t="n">
        <v>0</v>
      </c>
      <c r="W935" s="14" t="n">
        <v>1.92</v>
      </c>
      <c r="X935" s="14" t="n">
        <v>0</v>
      </c>
      <c r="Y935" s="14" t="n">
        <v>0</v>
      </c>
      <c r="Z935" s="14" t="n">
        <v>0</v>
      </c>
      <c r="AA935" s="14" t="n">
        <v>0</v>
      </c>
    </row>
    <row r="936">
      <c r="A936" t="inlineStr">
        <is>
          <t>230404</t>
        </is>
      </c>
      <c r="B936" t="inlineStr">
        <is>
          <t>TACNA</t>
        </is>
      </c>
      <c r="C936" t="inlineStr">
        <is>
          <t>TARATA</t>
        </is>
      </c>
      <c r="D936" t="inlineStr">
        <is>
          <t>ESTIQUE-PAMPA</t>
        </is>
      </c>
      <c r="E936" t="n">
        <v>109</v>
      </c>
      <c r="F936" s="14" t="n">
        <v>0</v>
      </c>
      <c r="G936" s="14" t="n">
        <v>74.31</v>
      </c>
      <c r="H936" s="14" t="n">
        <v>0</v>
      </c>
      <c r="I936" s="14" t="n">
        <v>0</v>
      </c>
      <c r="J936" s="14" t="n">
        <v>0</v>
      </c>
      <c r="K936" s="14" t="n">
        <v>0</v>
      </c>
      <c r="L936" s="14" t="n">
        <v>0.92</v>
      </c>
      <c r="M936" s="14" t="n">
        <v>5.5</v>
      </c>
      <c r="N936" s="14" t="n">
        <v>3.67</v>
      </c>
      <c r="O936" s="14" t="n">
        <v>0.92</v>
      </c>
      <c r="P936" s="14" t="n">
        <v>0</v>
      </c>
      <c r="Q936" s="14" t="n">
        <v>0</v>
      </c>
      <c r="R936" s="14" t="n">
        <v>0</v>
      </c>
      <c r="S936" s="14" t="n">
        <v>0.92</v>
      </c>
      <c r="T936" s="14" t="n">
        <v>0</v>
      </c>
      <c r="U936" s="14" t="n">
        <v>6.42</v>
      </c>
      <c r="V936" s="14" t="n">
        <v>0</v>
      </c>
      <c r="W936" s="14" t="n">
        <v>5.5</v>
      </c>
      <c r="X936" s="14" t="n">
        <v>0</v>
      </c>
      <c r="Y936" s="14" t="n">
        <v>1.83</v>
      </c>
      <c r="Z936" s="14" t="n">
        <v>0</v>
      </c>
      <c r="AA936" s="14" t="n">
        <v>0</v>
      </c>
    </row>
    <row r="937">
      <c r="A937" t="inlineStr">
        <is>
          <t>230405</t>
        </is>
      </c>
      <c r="B937" t="inlineStr">
        <is>
          <t>TACNA</t>
        </is>
      </c>
      <c r="C937" t="inlineStr">
        <is>
          <t>TARATA</t>
        </is>
      </c>
      <c r="D937" t="inlineStr">
        <is>
          <t>SITAJARA</t>
        </is>
      </c>
      <c r="E937" t="n">
        <v>194</v>
      </c>
      <c r="F937" s="14" t="n">
        <v>0</v>
      </c>
      <c r="G937" s="14" t="n">
        <v>79.90000000000001</v>
      </c>
      <c r="H937" s="14" t="n">
        <v>0.52</v>
      </c>
      <c r="I937" s="14" t="n">
        <v>0.52</v>
      </c>
      <c r="J937" s="14" t="n">
        <v>0</v>
      </c>
      <c r="K937" s="14" t="n">
        <v>0</v>
      </c>
      <c r="L937" s="14" t="n">
        <v>1.55</v>
      </c>
      <c r="M937" s="14" t="n">
        <v>1.55</v>
      </c>
      <c r="N937" s="14" t="n">
        <v>1.55</v>
      </c>
      <c r="O937" s="14" t="n">
        <v>2.06</v>
      </c>
      <c r="P937" s="14" t="n">
        <v>0</v>
      </c>
      <c r="Q937" s="14" t="n">
        <v>0</v>
      </c>
      <c r="R937" s="14" t="n">
        <v>0</v>
      </c>
      <c r="S937" s="14" t="n">
        <v>0.52</v>
      </c>
      <c r="T937" s="14" t="n">
        <v>0</v>
      </c>
      <c r="U937" s="14" t="n">
        <v>6.19</v>
      </c>
      <c r="V937" s="14" t="n">
        <v>4.64</v>
      </c>
      <c r="W937" s="14" t="n">
        <v>1.03</v>
      </c>
      <c r="X937" s="14" t="n">
        <v>0</v>
      </c>
      <c r="Y937" s="14" t="n">
        <v>0</v>
      </c>
      <c r="Z937" s="14" t="n">
        <v>0</v>
      </c>
      <c r="AA937" s="14" t="n">
        <v>0</v>
      </c>
    </row>
    <row r="938">
      <c r="A938" t="inlineStr">
        <is>
          <t>230406</t>
        </is>
      </c>
      <c r="B938" t="inlineStr">
        <is>
          <t>TACNA</t>
        </is>
      </c>
      <c r="C938" t="inlineStr">
        <is>
          <t>TARATA</t>
        </is>
      </c>
      <c r="D938" t="inlineStr">
        <is>
          <t>SUSAPAYA</t>
        </is>
      </c>
      <c r="E938" t="n">
        <v>309</v>
      </c>
      <c r="F938" s="14" t="n">
        <v>0</v>
      </c>
      <c r="G938" s="14" t="n">
        <v>83.17</v>
      </c>
      <c r="H938" s="14" t="n">
        <v>0</v>
      </c>
      <c r="I938" s="14" t="n">
        <v>0.32</v>
      </c>
      <c r="J938" s="14" t="n">
        <v>0</v>
      </c>
      <c r="K938" s="14" t="n">
        <v>0</v>
      </c>
      <c r="L938" s="14" t="n">
        <v>0.97</v>
      </c>
      <c r="M938" s="14" t="n">
        <v>3.88</v>
      </c>
      <c r="N938" s="14" t="n">
        <v>1.29</v>
      </c>
      <c r="O938" s="14" t="n">
        <v>0.32</v>
      </c>
      <c r="P938" s="14" t="n">
        <v>0</v>
      </c>
      <c r="Q938" s="14" t="n">
        <v>0</v>
      </c>
      <c r="R938" s="14" t="n">
        <v>0</v>
      </c>
      <c r="S938" s="14" t="n">
        <v>1.29</v>
      </c>
      <c r="T938" s="14" t="n">
        <v>0</v>
      </c>
      <c r="U938" s="14" t="n">
        <v>4.21</v>
      </c>
      <c r="V938" s="14" t="n">
        <v>2.27</v>
      </c>
      <c r="W938" s="14" t="n">
        <v>1.94</v>
      </c>
      <c r="X938" s="14" t="n">
        <v>0</v>
      </c>
      <c r="Y938" s="14" t="n">
        <v>0.32</v>
      </c>
      <c r="Z938" s="14" t="n">
        <v>0</v>
      </c>
      <c r="AA938" s="14" t="n">
        <v>0</v>
      </c>
    </row>
    <row r="939">
      <c r="A939" t="inlineStr">
        <is>
          <t>230407</t>
        </is>
      </c>
      <c r="B939" t="inlineStr">
        <is>
          <t>TACNA</t>
        </is>
      </c>
      <c r="C939" t="inlineStr">
        <is>
          <t>TARATA</t>
        </is>
      </c>
      <c r="D939" t="inlineStr">
        <is>
          <t>TARUCACHI</t>
        </is>
      </c>
      <c r="E939" t="n">
        <v>142</v>
      </c>
      <c r="F939" s="14" t="n">
        <v>0</v>
      </c>
      <c r="G939" s="14" t="n">
        <v>74.65000000000001</v>
      </c>
      <c r="H939" s="14" t="n">
        <v>0</v>
      </c>
      <c r="I939" s="14" t="n">
        <v>0</v>
      </c>
      <c r="J939" s="14" t="n">
        <v>0</v>
      </c>
      <c r="K939" s="14" t="n">
        <v>0</v>
      </c>
      <c r="L939" s="14" t="n">
        <v>4.93</v>
      </c>
      <c r="M939" s="14" t="n">
        <v>4.93</v>
      </c>
      <c r="N939" s="14" t="n">
        <v>2.82</v>
      </c>
      <c r="O939" s="14" t="n">
        <v>1.41</v>
      </c>
      <c r="P939" s="14" t="n">
        <v>0</v>
      </c>
      <c r="Q939" s="14" t="n">
        <v>0</v>
      </c>
      <c r="R939" s="14" t="n">
        <v>0</v>
      </c>
      <c r="S939" s="14" t="n">
        <v>0.7</v>
      </c>
      <c r="T939" s="14" t="n">
        <v>1.41</v>
      </c>
      <c r="U939" s="14" t="n">
        <v>3.52</v>
      </c>
      <c r="V939" s="14" t="n">
        <v>2.82</v>
      </c>
      <c r="W939" s="14" t="n">
        <v>0.7</v>
      </c>
      <c r="X939" s="14" t="n">
        <v>0.7</v>
      </c>
      <c r="Y939" s="14" t="n">
        <v>1.41</v>
      </c>
      <c r="Z939" s="14" t="n">
        <v>0</v>
      </c>
      <c r="AA939" s="14" t="n">
        <v>0</v>
      </c>
    </row>
    <row r="940">
      <c r="A940" t="inlineStr">
        <is>
          <t>230408</t>
        </is>
      </c>
      <c r="B940" t="inlineStr">
        <is>
          <t>TACNA</t>
        </is>
      </c>
      <c r="C940" t="inlineStr">
        <is>
          <t>TARATA</t>
        </is>
      </c>
      <c r="D940" t="inlineStr">
        <is>
          <t>TICACO</t>
        </is>
      </c>
      <c r="E940" t="n">
        <v>324</v>
      </c>
      <c r="F940" s="14" t="n">
        <v>0</v>
      </c>
      <c r="G940" s="14" t="n">
        <v>84.26000000000001</v>
      </c>
      <c r="H940" s="14" t="n">
        <v>0</v>
      </c>
      <c r="I940" s="14" t="n">
        <v>0.62</v>
      </c>
      <c r="J940" s="14" t="n">
        <v>0.31</v>
      </c>
      <c r="K940" s="14" t="n">
        <v>0</v>
      </c>
      <c r="L940" s="14" t="n">
        <v>1.54</v>
      </c>
      <c r="M940" s="14" t="n">
        <v>5.25</v>
      </c>
      <c r="N940" s="14" t="n">
        <v>1.54</v>
      </c>
      <c r="O940" s="14" t="n">
        <v>1.23</v>
      </c>
      <c r="P940" s="14" t="n">
        <v>0</v>
      </c>
      <c r="Q940" s="14" t="n">
        <v>0.31</v>
      </c>
      <c r="R940" s="14" t="n">
        <v>0</v>
      </c>
      <c r="S940" s="14" t="n">
        <v>0.93</v>
      </c>
      <c r="T940" s="14" t="n">
        <v>0.31</v>
      </c>
      <c r="U940" s="14" t="n">
        <v>1.54</v>
      </c>
      <c r="V940" s="14" t="n">
        <v>1.23</v>
      </c>
      <c r="W940" s="14" t="n">
        <v>0.31</v>
      </c>
      <c r="X940" s="14" t="n">
        <v>0</v>
      </c>
      <c r="Y940" s="14" t="n">
        <v>0</v>
      </c>
      <c r="Z940" s="14" t="n">
        <v>0.62</v>
      </c>
      <c r="AA940" s="14" t="n">
        <v>0</v>
      </c>
    </row>
    <row r="941">
      <c r="A941" t="inlineStr">
        <is>
          <t>240101</t>
        </is>
      </c>
      <c r="B941" t="inlineStr">
        <is>
          <t>TUMBES</t>
        </is>
      </c>
      <c r="C941" t="inlineStr">
        <is>
          <t>TUMBES</t>
        </is>
      </c>
      <c r="D941" t="inlineStr">
        <is>
          <t>TUMBES</t>
        </is>
      </c>
      <c r="E941" t="n">
        <v>42997</v>
      </c>
      <c r="F941" s="14" t="n">
        <v>1.005</v>
      </c>
      <c r="G941" s="14" t="n">
        <v>8.380000000000001</v>
      </c>
      <c r="H941" s="14" t="n">
        <v>0.13</v>
      </c>
      <c r="I941" s="14" t="n">
        <v>6.84</v>
      </c>
      <c r="J941" s="14" t="n">
        <v>0.08</v>
      </c>
      <c r="K941" s="14" t="n">
        <v>0.3</v>
      </c>
      <c r="L941" s="14" t="n">
        <v>7.3</v>
      </c>
      <c r="M941" s="14" t="n">
        <v>22.02</v>
      </c>
      <c r="N941" s="14" t="n">
        <v>12.83</v>
      </c>
      <c r="O941" s="14" t="n">
        <v>7.81</v>
      </c>
      <c r="P941" s="14" t="n">
        <v>0.75</v>
      </c>
      <c r="Q941" s="14" t="n">
        <v>0.86</v>
      </c>
      <c r="R941" s="14" t="n">
        <v>0.06</v>
      </c>
      <c r="S941" s="14" t="n">
        <v>5.79</v>
      </c>
      <c r="T941" s="14" t="n">
        <v>3.5</v>
      </c>
      <c r="U941" s="14" t="n">
        <v>6.65</v>
      </c>
      <c r="V941" s="14" t="n">
        <v>7.41</v>
      </c>
      <c r="W941" s="14" t="n">
        <v>3.38</v>
      </c>
      <c r="X941" s="14" t="n">
        <v>0.91</v>
      </c>
      <c r="Y941" s="14" t="n">
        <v>3.76</v>
      </c>
      <c r="Z941" s="14" t="n">
        <v>1.24</v>
      </c>
      <c r="AA941" s="14" t="n">
        <v>0</v>
      </c>
    </row>
    <row r="942">
      <c r="A942" t="inlineStr">
        <is>
          <t>240102</t>
        </is>
      </c>
      <c r="B942" t="inlineStr">
        <is>
          <t>TUMBES</t>
        </is>
      </c>
      <c r="C942" t="inlineStr">
        <is>
          <t>TUMBES</t>
        </is>
      </c>
      <c r="D942" t="inlineStr">
        <is>
          <t>CORRALES</t>
        </is>
      </c>
      <c r="E942" t="n">
        <v>8769</v>
      </c>
      <c r="F942" s="14" t="n">
        <v>0.388</v>
      </c>
      <c r="G942" s="14" t="n">
        <v>29.49</v>
      </c>
      <c r="H942" s="14" t="n">
        <v>0.11</v>
      </c>
      <c r="I942" s="14" t="n">
        <v>6.9</v>
      </c>
      <c r="J942" s="14" t="n">
        <v>0.11</v>
      </c>
      <c r="K942" s="14" t="n">
        <v>0.25</v>
      </c>
      <c r="L942" s="14" t="n">
        <v>4.61</v>
      </c>
      <c r="M942" s="14" t="n">
        <v>13.87</v>
      </c>
      <c r="N942" s="14" t="n">
        <v>12.73</v>
      </c>
      <c r="O942" s="14" t="n">
        <v>5.72</v>
      </c>
      <c r="P942" s="14" t="n">
        <v>0.33</v>
      </c>
      <c r="Q942" s="14" t="n">
        <v>0.7</v>
      </c>
      <c r="R942" s="14" t="n">
        <v>0</v>
      </c>
      <c r="S942" s="14" t="n">
        <v>3.01</v>
      </c>
      <c r="T942" s="14" t="n">
        <v>3.17</v>
      </c>
      <c r="U942" s="14" t="n">
        <v>5.86</v>
      </c>
      <c r="V942" s="14" t="n">
        <v>6.81</v>
      </c>
      <c r="W942" s="14" t="n">
        <v>2.27</v>
      </c>
      <c r="X942" s="14" t="n">
        <v>0.51</v>
      </c>
      <c r="Y942" s="14" t="n">
        <v>2.27</v>
      </c>
      <c r="Z942" s="14" t="n">
        <v>1.28</v>
      </c>
      <c r="AA942" s="14" t="n">
        <v>0</v>
      </c>
    </row>
    <row r="943">
      <c r="A943" t="inlineStr">
        <is>
          <t>240103</t>
        </is>
      </c>
      <c r="B943" t="inlineStr">
        <is>
          <t>TUMBES</t>
        </is>
      </c>
      <c r="C943" t="inlineStr">
        <is>
          <t>TUMBES</t>
        </is>
      </c>
      <c r="D943" t="inlineStr">
        <is>
          <t>LA CRUZ</t>
        </is>
      </c>
      <c r="E943" t="n">
        <v>3652</v>
      </c>
      <c r="F943" s="14" t="n">
        <v>0</v>
      </c>
      <c r="G943" s="14" t="n">
        <v>19.06</v>
      </c>
      <c r="H943" s="14" t="n">
        <v>0.52</v>
      </c>
      <c r="I943" s="14" t="n">
        <v>11.28</v>
      </c>
      <c r="J943" s="14" t="n">
        <v>0.14</v>
      </c>
      <c r="K943" s="14" t="n">
        <v>0.36</v>
      </c>
      <c r="L943" s="14" t="n">
        <v>7.06</v>
      </c>
      <c r="M943" s="14" t="n">
        <v>16.54</v>
      </c>
      <c r="N943" s="14" t="n">
        <v>13.5</v>
      </c>
      <c r="O943" s="14" t="n">
        <v>5.61</v>
      </c>
      <c r="P943" s="14" t="n">
        <v>0.36</v>
      </c>
      <c r="Q943" s="14" t="n">
        <v>0.41</v>
      </c>
      <c r="R943" s="14" t="n">
        <v>0.03</v>
      </c>
      <c r="S943" s="14" t="n">
        <v>2.71</v>
      </c>
      <c r="T943" s="14" t="n">
        <v>4.76</v>
      </c>
      <c r="U943" s="14" t="n">
        <v>6.9</v>
      </c>
      <c r="V943" s="14" t="n">
        <v>4.38</v>
      </c>
      <c r="W943" s="14" t="n">
        <v>2.05</v>
      </c>
      <c r="X943" s="14" t="n">
        <v>0.55</v>
      </c>
      <c r="Y943" s="14" t="n">
        <v>2.6</v>
      </c>
      <c r="Z943" s="14" t="n">
        <v>1.18</v>
      </c>
      <c r="AA943" s="14" t="n">
        <v>0</v>
      </c>
    </row>
    <row r="944">
      <c r="A944" t="inlineStr">
        <is>
          <t>240104</t>
        </is>
      </c>
      <c r="B944" t="inlineStr">
        <is>
          <t>TUMBES</t>
        </is>
      </c>
      <c r="C944" t="inlineStr">
        <is>
          <t>TUMBES</t>
        </is>
      </c>
      <c r="D944" t="inlineStr">
        <is>
          <t>PAMPAS DE HOSPITAL</t>
        </is>
      </c>
      <c r="E944" t="n">
        <v>2591</v>
      </c>
      <c r="F944" s="14" t="n">
        <v>0</v>
      </c>
      <c r="G944" s="14" t="n">
        <v>51.18</v>
      </c>
      <c r="H944" s="14" t="n">
        <v>0.12</v>
      </c>
      <c r="I944" s="14" t="n">
        <v>2.59</v>
      </c>
      <c r="J944" s="14" t="n">
        <v>0</v>
      </c>
      <c r="K944" s="14" t="n">
        <v>0.08</v>
      </c>
      <c r="L944" s="14" t="n">
        <v>3.09</v>
      </c>
      <c r="M944" s="14" t="n">
        <v>7.72</v>
      </c>
      <c r="N944" s="14" t="n">
        <v>7.22</v>
      </c>
      <c r="O944" s="14" t="n">
        <v>4.36</v>
      </c>
      <c r="P944" s="14" t="n">
        <v>0.19</v>
      </c>
      <c r="Q944" s="14" t="n">
        <v>0.19</v>
      </c>
      <c r="R944" s="14" t="n">
        <v>0.04</v>
      </c>
      <c r="S944" s="14" t="n">
        <v>1.24</v>
      </c>
      <c r="T944" s="14" t="n">
        <v>1.81</v>
      </c>
      <c r="U944" s="14" t="n">
        <v>5.36</v>
      </c>
      <c r="V944" s="14" t="n">
        <v>9.109999999999999</v>
      </c>
      <c r="W944" s="14" t="n">
        <v>2.82</v>
      </c>
      <c r="X944" s="14" t="n">
        <v>0.23</v>
      </c>
      <c r="Y944" s="14" t="n">
        <v>1.51</v>
      </c>
      <c r="Z944" s="14" t="n">
        <v>1.16</v>
      </c>
      <c r="AA944" s="14" t="n">
        <v>0</v>
      </c>
    </row>
    <row r="945">
      <c r="A945" t="inlineStr">
        <is>
          <t>240105</t>
        </is>
      </c>
      <c r="B945" t="inlineStr">
        <is>
          <t>TUMBES</t>
        </is>
      </c>
      <c r="C945" t="inlineStr">
        <is>
          <t>TUMBES</t>
        </is>
      </c>
      <c r="D945" t="inlineStr">
        <is>
          <t>SAN JACINTO</t>
        </is>
      </c>
      <c r="E945" t="n">
        <v>3198</v>
      </c>
      <c r="F945" s="14" t="n">
        <v>0</v>
      </c>
      <c r="G945" s="14" t="n">
        <v>41.96</v>
      </c>
      <c r="H945" s="14" t="n">
        <v>0.06</v>
      </c>
      <c r="I945" s="14" t="n">
        <v>3.13</v>
      </c>
      <c r="J945" s="14" t="n">
        <v>0.13</v>
      </c>
      <c r="K945" s="14" t="n">
        <v>0.25</v>
      </c>
      <c r="L945" s="14" t="n">
        <v>3.22</v>
      </c>
      <c r="M945" s="14" t="n">
        <v>7.6</v>
      </c>
      <c r="N945" s="14" t="n">
        <v>12.57</v>
      </c>
      <c r="O945" s="14" t="n">
        <v>3</v>
      </c>
      <c r="P945" s="14" t="n">
        <v>0.25</v>
      </c>
      <c r="Q945" s="14" t="n">
        <v>0.63</v>
      </c>
      <c r="R945" s="14" t="n">
        <v>0</v>
      </c>
      <c r="S945" s="14" t="n">
        <v>1.34</v>
      </c>
      <c r="T945" s="14" t="n">
        <v>1.88</v>
      </c>
      <c r="U945" s="14" t="n">
        <v>9.82</v>
      </c>
      <c r="V945" s="14" t="n">
        <v>10.13</v>
      </c>
      <c r="W945" s="14" t="n">
        <v>1.78</v>
      </c>
      <c r="X945" s="14" t="n">
        <v>0.34</v>
      </c>
      <c r="Y945" s="14" t="n">
        <v>0.8100000000000001</v>
      </c>
      <c r="Z945" s="14" t="n">
        <v>1.09</v>
      </c>
      <c r="AA945" s="14" t="n">
        <v>0</v>
      </c>
    </row>
    <row r="946">
      <c r="A946" t="inlineStr">
        <is>
          <t>240106</t>
        </is>
      </c>
      <c r="B946" t="inlineStr">
        <is>
          <t>TUMBES</t>
        </is>
      </c>
      <c r="C946" t="inlineStr">
        <is>
          <t>TUMBES</t>
        </is>
      </c>
      <c r="D946" t="inlineStr">
        <is>
          <t>SAN JUAN DE LA VIRGEN</t>
        </is>
      </c>
      <c r="E946" t="n">
        <v>1753</v>
      </c>
      <c r="F946" s="14" t="n">
        <v>0</v>
      </c>
      <c r="G946" s="14" t="n">
        <v>32.57</v>
      </c>
      <c r="H946" s="14" t="n">
        <v>0.11</v>
      </c>
      <c r="I946" s="14" t="n">
        <v>2.62</v>
      </c>
      <c r="J946" s="14" t="n">
        <v>0.06</v>
      </c>
      <c r="K946" s="14" t="n">
        <v>0.46</v>
      </c>
      <c r="L946" s="14" t="n">
        <v>6.1</v>
      </c>
      <c r="M946" s="14" t="n">
        <v>9.81</v>
      </c>
      <c r="N946" s="14" t="n">
        <v>10.5</v>
      </c>
      <c r="O946" s="14" t="n">
        <v>5.19</v>
      </c>
      <c r="P946" s="14" t="n">
        <v>0.29</v>
      </c>
      <c r="Q946" s="14" t="n">
        <v>0.8</v>
      </c>
      <c r="R946" s="14" t="n">
        <v>0.11</v>
      </c>
      <c r="S946" s="14" t="n">
        <v>1.65</v>
      </c>
      <c r="T946" s="14" t="n">
        <v>4.39</v>
      </c>
      <c r="U946" s="14" t="n">
        <v>10.21</v>
      </c>
      <c r="V946" s="14" t="n">
        <v>9.24</v>
      </c>
      <c r="W946" s="14" t="n">
        <v>2.4</v>
      </c>
      <c r="X946" s="14" t="n">
        <v>0.51</v>
      </c>
      <c r="Y946" s="14" t="n">
        <v>1.14</v>
      </c>
      <c r="Z946" s="14" t="n">
        <v>1.83</v>
      </c>
      <c r="AA946" s="14" t="n">
        <v>0</v>
      </c>
    </row>
    <row r="947">
      <c r="A947" t="inlineStr">
        <is>
          <t>240201</t>
        </is>
      </c>
      <c r="B947" t="inlineStr">
        <is>
          <t>TUMBES</t>
        </is>
      </c>
      <c r="C947" t="inlineStr">
        <is>
          <t>CONTRALMIRANTE VILLAR</t>
        </is>
      </c>
      <c r="D947" t="inlineStr">
        <is>
          <t>ZORRITOS</t>
        </is>
      </c>
      <c r="E947" t="n">
        <v>4979</v>
      </c>
      <c r="F947" s="14" t="n">
        <v>1.888</v>
      </c>
      <c r="G947" s="14" t="n">
        <v>21.09</v>
      </c>
      <c r="H947" s="14" t="n">
        <v>0.36</v>
      </c>
      <c r="I947" s="14" t="n">
        <v>5.3</v>
      </c>
      <c r="J947" s="14" t="n">
        <v>0.08</v>
      </c>
      <c r="K947" s="14" t="n">
        <v>0.24</v>
      </c>
      <c r="L947" s="14" t="n">
        <v>8.19</v>
      </c>
      <c r="M947" s="14" t="n">
        <v>15.12</v>
      </c>
      <c r="N947" s="14" t="n">
        <v>9.76</v>
      </c>
      <c r="O947" s="14" t="n">
        <v>12.23</v>
      </c>
      <c r="P947" s="14" t="n">
        <v>0.48</v>
      </c>
      <c r="Q947" s="14" t="n">
        <v>0.54</v>
      </c>
      <c r="R947" s="14" t="n">
        <v>0.1</v>
      </c>
      <c r="S947" s="14" t="n">
        <v>4.76</v>
      </c>
      <c r="T947" s="14" t="n">
        <v>5.04</v>
      </c>
      <c r="U947" s="14" t="n">
        <v>5.22</v>
      </c>
      <c r="V947" s="14" t="n">
        <v>5.08</v>
      </c>
      <c r="W947" s="14" t="n">
        <v>1.85</v>
      </c>
      <c r="X947" s="14" t="n">
        <v>0.54</v>
      </c>
      <c r="Y947" s="14" t="n">
        <v>3.15</v>
      </c>
      <c r="Z947" s="14" t="n">
        <v>0.84</v>
      </c>
      <c r="AA947" s="14" t="n">
        <v>0</v>
      </c>
    </row>
    <row r="948">
      <c r="A948" t="inlineStr">
        <is>
          <t>240202</t>
        </is>
      </c>
      <c r="B948" t="inlineStr">
        <is>
          <t>TUMBES</t>
        </is>
      </c>
      <c r="C948" t="inlineStr">
        <is>
          <t>CONTRALMIRANTE VILLAR</t>
        </is>
      </c>
      <c r="D948" t="inlineStr">
        <is>
          <t>CASITAS</t>
        </is>
      </c>
      <c r="E948" t="n">
        <v>910</v>
      </c>
      <c r="F948" s="14" t="n">
        <v>0</v>
      </c>
      <c r="G948" s="14" t="n">
        <v>61.43</v>
      </c>
      <c r="H948" s="14" t="n">
        <v>0</v>
      </c>
      <c r="I948" s="14" t="n">
        <v>1.32</v>
      </c>
      <c r="J948" s="14" t="n">
        <v>0</v>
      </c>
      <c r="K948" s="14" t="n">
        <v>0.33</v>
      </c>
      <c r="L948" s="14" t="n">
        <v>5.82</v>
      </c>
      <c r="M948" s="14" t="n">
        <v>6.26</v>
      </c>
      <c r="N948" s="14" t="n">
        <v>2.97</v>
      </c>
      <c r="O948" s="14" t="n">
        <v>4.73</v>
      </c>
      <c r="P948" s="14" t="n">
        <v>0</v>
      </c>
      <c r="Q948" s="14" t="n">
        <v>0.44</v>
      </c>
      <c r="R948" s="14" t="n">
        <v>0</v>
      </c>
      <c r="S948" s="14" t="n">
        <v>0.44</v>
      </c>
      <c r="T948" s="14" t="n">
        <v>0.55</v>
      </c>
      <c r="U948" s="14" t="n">
        <v>5.71</v>
      </c>
      <c r="V948" s="14" t="n">
        <v>6.92</v>
      </c>
      <c r="W948" s="14" t="n">
        <v>1.98</v>
      </c>
      <c r="X948" s="14" t="n">
        <v>0</v>
      </c>
      <c r="Y948" s="14" t="n">
        <v>0.88</v>
      </c>
      <c r="Z948" s="14" t="n">
        <v>0.22</v>
      </c>
      <c r="AA948" s="14" t="n">
        <v>0</v>
      </c>
    </row>
    <row r="949">
      <c r="A949" t="inlineStr">
        <is>
          <t>240203</t>
        </is>
      </c>
      <c r="B949" t="inlineStr">
        <is>
          <t>TUMBES</t>
        </is>
      </c>
      <c r="C949" t="inlineStr">
        <is>
          <t>CONTRALMIRANTE VILLAR</t>
        </is>
      </c>
      <c r="D949" t="inlineStr">
        <is>
          <t>CANOAS DE PUNTA SAL</t>
        </is>
      </c>
      <c r="E949" t="n">
        <v>2582</v>
      </c>
      <c r="F949" s="14" t="n">
        <v>0</v>
      </c>
      <c r="G949" s="14" t="n">
        <v>28.74</v>
      </c>
      <c r="H949" s="14" t="n">
        <v>0.31</v>
      </c>
      <c r="I949" s="14" t="n">
        <v>3.1</v>
      </c>
      <c r="J949" s="14" t="n">
        <v>0.04</v>
      </c>
      <c r="K949" s="14" t="n">
        <v>0.27</v>
      </c>
      <c r="L949" s="14" t="n">
        <v>7.24</v>
      </c>
      <c r="M949" s="14" t="n">
        <v>15.53</v>
      </c>
      <c r="N949" s="14" t="n">
        <v>9.26</v>
      </c>
      <c r="O949" s="14" t="n">
        <v>10.88</v>
      </c>
      <c r="P949" s="14" t="n">
        <v>0.62</v>
      </c>
      <c r="Q949" s="14" t="n">
        <v>0.54</v>
      </c>
      <c r="R949" s="14" t="n">
        <v>0.08</v>
      </c>
      <c r="S949" s="14" t="n">
        <v>4.14</v>
      </c>
      <c r="T949" s="14" t="n">
        <v>6.08</v>
      </c>
      <c r="U949" s="14" t="n">
        <v>4.61</v>
      </c>
      <c r="V949" s="14" t="n">
        <v>3.14</v>
      </c>
      <c r="W949" s="14" t="n">
        <v>2.09</v>
      </c>
      <c r="X949" s="14" t="n">
        <v>0.54</v>
      </c>
      <c r="Y949" s="14" t="n">
        <v>1.74</v>
      </c>
      <c r="Z949" s="14" t="n">
        <v>1.01</v>
      </c>
      <c r="AA949" s="14" t="n">
        <v>0.04</v>
      </c>
    </row>
    <row r="950">
      <c r="A950" t="inlineStr">
        <is>
          <t>240301</t>
        </is>
      </c>
      <c r="B950" t="inlineStr">
        <is>
          <t>TUMBES</t>
        </is>
      </c>
      <c r="C950" t="inlineStr">
        <is>
          <t>ZARUMILLA</t>
        </is>
      </c>
      <c r="D950" t="inlineStr">
        <is>
          <t>ZARUMILLA</t>
        </is>
      </c>
      <c r="E950" t="n">
        <v>8540</v>
      </c>
      <c r="F950" s="14" t="n">
        <v>1.241</v>
      </c>
      <c r="G950" s="14" t="n">
        <v>9.74</v>
      </c>
      <c r="H950" s="14" t="n">
        <v>0.19</v>
      </c>
      <c r="I950" s="14" t="n">
        <v>5.23</v>
      </c>
      <c r="J950" s="14" t="n">
        <v>0.02</v>
      </c>
      <c r="K950" s="14" t="n">
        <v>0.27</v>
      </c>
      <c r="L950" s="14" t="n">
        <v>7.51</v>
      </c>
      <c r="M950" s="14" t="n">
        <v>25.59</v>
      </c>
      <c r="N950" s="14" t="n">
        <v>18.06</v>
      </c>
      <c r="O950" s="14" t="n">
        <v>6.84</v>
      </c>
      <c r="P950" s="14" t="n">
        <v>0.33</v>
      </c>
      <c r="Q950" s="14" t="n">
        <v>0.53</v>
      </c>
      <c r="R950" s="14" t="n">
        <v>0.04</v>
      </c>
      <c r="S950" s="14" t="n">
        <v>3.14</v>
      </c>
      <c r="T950" s="14" t="n">
        <v>3</v>
      </c>
      <c r="U950" s="14" t="n">
        <v>5.88</v>
      </c>
      <c r="V950" s="14" t="n">
        <v>6.43</v>
      </c>
      <c r="W950" s="14" t="n">
        <v>1.99</v>
      </c>
      <c r="X950" s="14" t="n">
        <v>0.77</v>
      </c>
      <c r="Y950" s="14" t="n">
        <v>3.19</v>
      </c>
      <c r="Z950" s="14" t="n">
        <v>1.28</v>
      </c>
      <c r="AA950" s="14" t="n">
        <v>0</v>
      </c>
    </row>
    <row r="951">
      <c r="A951" t="inlineStr">
        <is>
          <t>240302</t>
        </is>
      </c>
      <c r="B951" t="inlineStr">
        <is>
          <t>TUMBES</t>
        </is>
      </c>
      <c r="C951" t="inlineStr">
        <is>
          <t>ZARUMILLA</t>
        </is>
      </c>
      <c r="D951" t="inlineStr">
        <is>
          <t>AGUAS VERDES</t>
        </is>
      </c>
      <c r="E951" t="n">
        <v>7054</v>
      </c>
      <c r="F951" s="14" t="n">
        <v>0</v>
      </c>
      <c r="G951" s="14" t="n">
        <v>9.81</v>
      </c>
      <c r="H951" s="14" t="n">
        <v>0.18</v>
      </c>
      <c r="I951" s="14" t="n">
        <v>4.49</v>
      </c>
      <c r="J951" s="14" t="n">
        <v>0</v>
      </c>
      <c r="K951" s="14" t="n">
        <v>0.43</v>
      </c>
      <c r="L951" s="14" t="n">
        <v>5.76</v>
      </c>
      <c r="M951" s="14" t="n">
        <v>34.53</v>
      </c>
      <c r="N951" s="14" t="n">
        <v>22.43</v>
      </c>
      <c r="O951" s="14" t="n">
        <v>9.06</v>
      </c>
      <c r="P951" s="14" t="n">
        <v>0.24</v>
      </c>
      <c r="Q951" s="14" t="n">
        <v>0.52</v>
      </c>
      <c r="R951" s="14" t="n">
        <v>0.04</v>
      </c>
      <c r="S951" s="14" t="n">
        <v>1.18</v>
      </c>
      <c r="T951" s="14" t="n">
        <v>2.25</v>
      </c>
      <c r="U951" s="14" t="n">
        <v>3.77</v>
      </c>
      <c r="V951" s="14" t="n">
        <v>0.92</v>
      </c>
      <c r="W951" s="14" t="n">
        <v>0.6899999999999999</v>
      </c>
      <c r="X951" s="14" t="n">
        <v>0.34</v>
      </c>
      <c r="Y951" s="14" t="n">
        <v>2.03</v>
      </c>
      <c r="Z951" s="14" t="n">
        <v>1.32</v>
      </c>
      <c r="AA951" s="14" t="n">
        <v>0</v>
      </c>
    </row>
    <row r="952">
      <c r="A952" t="inlineStr">
        <is>
          <t>240303</t>
        </is>
      </c>
      <c r="B952" t="inlineStr">
        <is>
          <t>TUMBES</t>
        </is>
      </c>
      <c r="C952" t="inlineStr">
        <is>
          <t>ZARUMILLA</t>
        </is>
      </c>
      <c r="D952" t="inlineStr">
        <is>
          <t>MATAPALO</t>
        </is>
      </c>
      <c r="E952" t="n">
        <v>1215</v>
      </c>
      <c r="F952" s="14" t="n">
        <v>0</v>
      </c>
      <c r="G952" s="14" t="n">
        <v>80.66</v>
      </c>
      <c r="H952" s="14" t="n">
        <v>0.16</v>
      </c>
      <c r="I952" s="14" t="n">
        <v>1.73</v>
      </c>
      <c r="J952" s="14" t="n">
        <v>0</v>
      </c>
      <c r="K952" s="14" t="n">
        <v>0.16</v>
      </c>
      <c r="L952" s="14" t="n">
        <v>1.73</v>
      </c>
      <c r="M952" s="14" t="n">
        <v>4.86</v>
      </c>
      <c r="N952" s="14" t="n">
        <v>1.07</v>
      </c>
      <c r="O952" s="14" t="n">
        <v>1.65</v>
      </c>
      <c r="P952" s="14" t="n">
        <v>0.08</v>
      </c>
      <c r="Q952" s="14" t="n">
        <v>0.08</v>
      </c>
      <c r="R952" s="14" t="n">
        <v>0</v>
      </c>
      <c r="S952" s="14" t="n">
        <v>0.82</v>
      </c>
      <c r="T952" s="14" t="n">
        <v>0.33</v>
      </c>
      <c r="U952" s="14" t="n">
        <v>3.37</v>
      </c>
      <c r="V952" s="14" t="n">
        <v>2.14</v>
      </c>
      <c r="W952" s="14" t="n">
        <v>0.49</v>
      </c>
      <c r="X952" s="14" t="n">
        <v>0</v>
      </c>
      <c r="Y952" s="14" t="n">
        <v>0.41</v>
      </c>
      <c r="Z952" s="14" t="n">
        <v>0.25</v>
      </c>
      <c r="AA952" s="14" t="n">
        <v>0</v>
      </c>
    </row>
    <row r="953">
      <c r="A953" t="inlineStr">
        <is>
          <t>240304</t>
        </is>
      </c>
      <c r="B953" t="inlineStr">
        <is>
          <t>TUMBES</t>
        </is>
      </c>
      <c r="C953" t="inlineStr">
        <is>
          <t>ZARUMILLA</t>
        </is>
      </c>
      <c r="D953" t="inlineStr">
        <is>
          <t>PAPAYAL</t>
        </is>
      </c>
      <c r="E953" t="n">
        <v>2331</v>
      </c>
      <c r="F953" s="14" t="n">
        <v>0</v>
      </c>
      <c r="G953" s="14" t="n">
        <v>55.64</v>
      </c>
      <c r="H953" s="14" t="n">
        <v>0</v>
      </c>
      <c r="I953" s="14" t="n">
        <v>1.2</v>
      </c>
      <c r="J953" s="14" t="n">
        <v>0.3</v>
      </c>
      <c r="K953" s="14" t="n">
        <v>0.09</v>
      </c>
      <c r="L953" s="14" t="n">
        <v>2.62</v>
      </c>
      <c r="M953" s="14" t="n">
        <v>8.92</v>
      </c>
      <c r="N953" s="14" t="n">
        <v>5.62</v>
      </c>
      <c r="O953" s="14" t="n">
        <v>3.35</v>
      </c>
      <c r="P953" s="14" t="n">
        <v>0.34</v>
      </c>
      <c r="Q953" s="14" t="n">
        <v>0.13</v>
      </c>
      <c r="R953" s="14" t="n">
        <v>0</v>
      </c>
      <c r="S953" s="14" t="n">
        <v>0.9</v>
      </c>
      <c r="T953" s="14" t="n">
        <v>1.03</v>
      </c>
      <c r="U953" s="14" t="n">
        <v>8.710000000000001</v>
      </c>
      <c r="V953" s="14" t="n">
        <v>6.99</v>
      </c>
      <c r="W953" s="14" t="n">
        <v>1.89</v>
      </c>
      <c r="X953" s="14" t="n">
        <v>0.3</v>
      </c>
      <c r="Y953" s="14" t="n">
        <v>0.99</v>
      </c>
      <c r="Z953" s="14" t="n">
        <v>0.99</v>
      </c>
      <c r="AA953" s="14" t="n">
        <v>0</v>
      </c>
    </row>
    <row r="954">
      <c r="A954" t="inlineStr">
        <is>
          <t>250101</t>
        </is>
      </c>
      <c r="B954" t="inlineStr">
        <is>
          <t>UCAYALI</t>
        </is>
      </c>
      <c r="C954" t="inlineStr">
        <is>
          <t>CORONEL PORTILLO</t>
        </is>
      </c>
      <c r="D954" t="inlineStr">
        <is>
          <t>CALLERIA</t>
        </is>
      </c>
      <c r="E954" t="n">
        <v>63657</v>
      </c>
      <c r="F954" s="14" t="n">
        <v>0.005</v>
      </c>
      <c r="G954" s="14" t="n">
        <v>8.529999999999999</v>
      </c>
      <c r="H954" s="14" t="n">
        <v>0.21</v>
      </c>
      <c r="I954" s="14" t="n">
        <v>8.380000000000001</v>
      </c>
      <c r="J954" s="14" t="n">
        <v>0.09</v>
      </c>
      <c r="K954" s="14" t="n">
        <v>0.28</v>
      </c>
      <c r="L954" s="14" t="n">
        <v>6.5</v>
      </c>
      <c r="M954" s="14" t="n">
        <v>25.56</v>
      </c>
      <c r="N954" s="14" t="n">
        <v>11.16</v>
      </c>
      <c r="O954" s="14" t="n">
        <v>7.86</v>
      </c>
      <c r="P954" s="14" t="n">
        <v>0.6899999999999999</v>
      </c>
      <c r="Q954" s="14" t="n">
        <v>0.95</v>
      </c>
      <c r="R954" s="14" t="n">
        <v>0.15</v>
      </c>
      <c r="S954" s="14" t="n">
        <v>6.8</v>
      </c>
      <c r="T954" s="14" t="n">
        <v>2.82</v>
      </c>
      <c r="U954" s="14" t="n">
        <v>4.7</v>
      </c>
      <c r="V954" s="14" t="n">
        <v>6.51</v>
      </c>
      <c r="W954" s="14" t="n">
        <v>2.76</v>
      </c>
      <c r="X954" s="14" t="n">
        <v>0.84</v>
      </c>
      <c r="Y954" s="14" t="n">
        <v>3.95</v>
      </c>
      <c r="Z954" s="14" t="n">
        <v>1.27</v>
      </c>
      <c r="AA954" s="14" t="n">
        <v>0</v>
      </c>
    </row>
    <row r="955">
      <c r="A955" t="inlineStr">
        <is>
          <t>250102</t>
        </is>
      </c>
      <c r="B955" t="inlineStr">
        <is>
          <t>UCAYALI</t>
        </is>
      </c>
      <c r="C955" t="inlineStr">
        <is>
          <t>CORONEL PORTILLO</t>
        </is>
      </c>
      <c r="D955" t="inlineStr">
        <is>
          <t>CAMPOVERDE</t>
        </is>
      </c>
      <c r="E955" t="n">
        <v>6198</v>
      </c>
      <c r="F955" s="14" t="n">
        <v>0</v>
      </c>
      <c r="G955" s="14" t="n">
        <v>56.24</v>
      </c>
      <c r="H955" s="14" t="n">
        <v>0.13</v>
      </c>
      <c r="I955" s="14" t="n">
        <v>3.65</v>
      </c>
      <c r="J955" s="14" t="n">
        <v>0.03</v>
      </c>
      <c r="K955" s="14" t="n">
        <v>0.1</v>
      </c>
      <c r="L955" s="14" t="n">
        <v>3.81</v>
      </c>
      <c r="M955" s="14" t="n">
        <v>13.67</v>
      </c>
      <c r="N955" s="14" t="n">
        <v>5.86</v>
      </c>
      <c r="O955" s="14" t="n">
        <v>5.76</v>
      </c>
      <c r="P955" s="14" t="n">
        <v>0.16</v>
      </c>
      <c r="Q955" s="14" t="n">
        <v>0.1</v>
      </c>
      <c r="R955" s="14" t="n">
        <v>0.03</v>
      </c>
      <c r="S955" s="14" t="n">
        <v>1.81</v>
      </c>
      <c r="T955" s="14" t="n">
        <v>1.48</v>
      </c>
      <c r="U955" s="14" t="n">
        <v>1.61</v>
      </c>
      <c r="V955" s="14" t="n">
        <v>1.66</v>
      </c>
      <c r="W955" s="14" t="n">
        <v>1.1</v>
      </c>
      <c r="X955" s="14" t="n">
        <v>0.05</v>
      </c>
      <c r="Y955" s="14" t="n">
        <v>1.95</v>
      </c>
      <c r="Z955" s="14" t="n">
        <v>0.8100000000000001</v>
      </c>
      <c r="AA955" s="14" t="n">
        <v>0</v>
      </c>
    </row>
    <row r="956">
      <c r="A956" t="inlineStr">
        <is>
          <t>250103</t>
        </is>
      </c>
      <c r="B956" t="inlineStr">
        <is>
          <t>UCAYALI</t>
        </is>
      </c>
      <c r="C956" t="inlineStr">
        <is>
          <t>CORONEL PORTILLO</t>
        </is>
      </c>
      <c r="D956" t="inlineStr">
        <is>
          <t>IPARIA</t>
        </is>
      </c>
      <c r="E956" t="n">
        <v>1900</v>
      </c>
      <c r="F956" s="14" t="n">
        <v>0</v>
      </c>
      <c r="G956" s="14" t="n">
        <v>79.11</v>
      </c>
      <c r="H956" s="14" t="n">
        <v>0</v>
      </c>
      <c r="I956" s="14" t="n">
        <v>1.95</v>
      </c>
      <c r="J956" s="14" t="n">
        <v>0</v>
      </c>
      <c r="K956" s="14" t="n">
        <v>0</v>
      </c>
      <c r="L956" s="14" t="n">
        <v>0.89</v>
      </c>
      <c r="M956" s="14" t="n">
        <v>6.26</v>
      </c>
      <c r="N956" s="14" t="n">
        <v>0.53</v>
      </c>
      <c r="O956" s="14" t="n">
        <v>1.05</v>
      </c>
      <c r="P956" s="14" t="n">
        <v>0</v>
      </c>
      <c r="Q956" s="14" t="n">
        <v>0.05</v>
      </c>
      <c r="R956" s="14" t="n">
        <v>0</v>
      </c>
      <c r="S956" s="14" t="n">
        <v>0.42</v>
      </c>
      <c r="T956" s="14" t="n">
        <v>0.53</v>
      </c>
      <c r="U956" s="14" t="n">
        <v>2.42</v>
      </c>
      <c r="V956" s="14" t="n">
        <v>4.95</v>
      </c>
      <c r="W956" s="14" t="n">
        <v>1.21</v>
      </c>
      <c r="X956" s="14" t="n">
        <v>0</v>
      </c>
      <c r="Y956" s="14" t="n">
        <v>0.53</v>
      </c>
      <c r="Z956" s="14" t="n">
        <v>0.11</v>
      </c>
      <c r="AA956" s="14" t="n">
        <v>0</v>
      </c>
    </row>
    <row r="957">
      <c r="A957" t="inlineStr">
        <is>
          <t>250104</t>
        </is>
      </c>
      <c r="B957" t="inlineStr">
        <is>
          <t>UCAYALI</t>
        </is>
      </c>
      <c r="C957" t="inlineStr">
        <is>
          <t>CORONEL PORTILLO</t>
        </is>
      </c>
      <c r="D957" t="inlineStr">
        <is>
          <t>MASISEA</t>
        </is>
      </c>
      <c r="E957" t="n">
        <v>3047</v>
      </c>
      <c r="F957" s="14" t="n">
        <v>0</v>
      </c>
      <c r="G957" s="14" t="n">
        <v>82.47</v>
      </c>
      <c r="H957" s="14" t="n">
        <v>0</v>
      </c>
      <c r="I957" s="14" t="n">
        <v>4.5</v>
      </c>
      <c r="J957" s="14" t="n">
        <v>0.03</v>
      </c>
      <c r="K957" s="14" t="n">
        <v>0</v>
      </c>
      <c r="L957" s="14" t="n">
        <v>0.43</v>
      </c>
      <c r="M957" s="14" t="n">
        <v>3.71</v>
      </c>
      <c r="N957" s="14" t="n">
        <v>1.9</v>
      </c>
      <c r="O957" s="14" t="n">
        <v>1.15</v>
      </c>
      <c r="P957" s="14" t="n">
        <v>0</v>
      </c>
      <c r="Q957" s="14" t="n">
        <v>0</v>
      </c>
      <c r="R957" s="14" t="n">
        <v>0</v>
      </c>
      <c r="S957" s="14" t="n">
        <v>0.23</v>
      </c>
      <c r="T957" s="14" t="n">
        <v>0.23</v>
      </c>
      <c r="U957" s="14" t="n">
        <v>2.07</v>
      </c>
      <c r="V957" s="14" t="n">
        <v>1.67</v>
      </c>
      <c r="W957" s="14" t="n">
        <v>0.49</v>
      </c>
      <c r="X957" s="14" t="n">
        <v>0</v>
      </c>
      <c r="Y957" s="14" t="n">
        <v>0.75</v>
      </c>
      <c r="Z957" s="14" t="n">
        <v>0.36</v>
      </c>
      <c r="AA957" s="14" t="n">
        <v>0</v>
      </c>
    </row>
    <row r="958">
      <c r="A958" t="inlineStr">
        <is>
          <t>250105</t>
        </is>
      </c>
      <c r="B958" t="inlineStr">
        <is>
          <t>UCAYALI</t>
        </is>
      </c>
      <c r="C958" t="inlineStr">
        <is>
          <t>CORONEL PORTILLO</t>
        </is>
      </c>
      <c r="D958" t="inlineStr">
        <is>
          <t>YARINACOCHA</t>
        </is>
      </c>
      <c r="E958" t="n">
        <v>39887</v>
      </c>
      <c r="F958" s="14" t="n">
        <v>0.013</v>
      </c>
      <c r="G958" s="14" t="n">
        <v>11.03</v>
      </c>
      <c r="H958" s="14" t="n">
        <v>0.18</v>
      </c>
      <c r="I958" s="14" t="n">
        <v>7.8</v>
      </c>
      <c r="J958" s="14" t="n">
        <v>0.12</v>
      </c>
      <c r="K958" s="14" t="n">
        <v>0.25</v>
      </c>
      <c r="L958" s="14" t="n">
        <v>7.45</v>
      </c>
      <c r="M958" s="14" t="n">
        <v>22.76</v>
      </c>
      <c r="N958" s="14" t="n">
        <v>11.93</v>
      </c>
      <c r="O958" s="14" t="n">
        <v>7.02</v>
      </c>
      <c r="P958" s="14" t="n">
        <v>0.58</v>
      </c>
      <c r="Q958" s="14" t="n">
        <v>0.74</v>
      </c>
      <c r="R958" s="14" t="n">
        <v>0.12</v>
      </c>
      <c r="S958" s="14" t="n">
        <v>6.37</v>
      </c>
      <c r="T958" s="14" t="n">
        <v>3.28</v>
      </c>
      <c r="U958" s="14" t="n">
        <v>4.95</v>
      </c>
      <c r="V958" s="14" t="n">
        <v>6.72</v>
      </c>
      <c r="W958" s="14" t="n">
        <v>2.59</v>
      </c>
      <c r="X958" s="14" t="n">
        <v>0.71</v>
      </c>
      <c r="Y958" s="14" t="n">
        <v>4.07</v>
      </c>
      <c r="Z958" s="14" t="n">
        <v>1.32</v>
      </c>
      <c r="AA958" s="14" t="n">
        <v>0</v>
      </c>
    </row>
    <row r="959">
      <c r="A959" t="inlineStr">
        <is>
          <t>250106</t>
        </is>
      </c>
      <c r="B959" t="inlineStr">
        <is>
          <t>UCAYALI</t>
        </is>
      </c>
      <c r="C959" t="inlineStr">
        <is>
          <t>CORONEL PORTILLO</t>
        </is>
      </c>
      <c r="D959" t="inlineStr">
        <is>
          <t>NUEVA REQUENA</t>
        </is>
      </c>
      <c r="E959" t="n">
        <v>1821</v>
      </c>
      <c r="F959" s="14" t="n">
        <v>0</v>
      </c>
      <c r="G959" s="14" t="n">
        <v>72.31999999999999</v>
      </c>
      <c r="H959" s="14" t="n">
        <v>0.16</v>
      </c>
      <c r="I959" s="14" t="n">
        <v>1.98</v>
      </c>
      <c r="J959" s="14" t="n">
        <v>0.05</v>
      </c>
      <c r="K959" s="14" t="n">
        <v>0.05</v>
      </c>
      <c r="L959" s="14" t="n">
        <v>1.43</v>
      </c>
      <c r="M959" s="14" t="n">
        <v>7.52</v>
      </c>
      <c r="N959" s="14" t="n">
        <v>2.75</v>
      </c>
      <c r="O959" s="14" t="n">
        <v>4.67</v>
      </c>
      <c r="P959" s="14" t="n">
        <v>0.05</v>
      </c>
      <c r="Q959" s="14" t="n">
        <v>0</v>
      </c>
      <c r="R959" s="14" t="n">
        <v>0</v>
      </c>
      <c r="S959" s="14" t="n">
        <v>0.71</v>
      </c>
      <c r="T959" s="14" t="n">
        <v>0.6</v>
      </c>
      <c r="U959" s="14" t="n">
        <v>2.58</v>
      </c>
      <c r="V959" s="14" t="n">
        <v>1.76</v>
      </c>
      <c r="W959" s="14" t="n">
        <v>1.32</v>
      </c>
      <c r="X959" s="14" t="n">
        <v>0.27</v>
      </c>
      <c r="Y959" s="14" t="n">
        <v>1.37</v>
      </c>
      <c r="Z959" s="14" t="n">
        <v>0.38</v>
      </c>
      <c r="AA959" s="14" t="n">
        <v>0</v>
      </c>
    </row>
    <row r="960">
      <c r="A960" t="inlineStr">
        <is>
          <t>250107</t>
        </is>
      </c>
      <c r="B960" t="inlineStr">
        <is>
          <t>UCAYALI</t>
        </is>
      </c>
      <c r="C960" t="inlineStr">
        <is>
          <t>CORONEL PORTILLO</t>
        </is>
      </c>
      <c r="D960" t="inlineStr">
        <is>
          <t>MANANTAY</t>
        </is>
      </c>
      <c r="E960" t="n">
        <v>31490</v>
      </c>
      <c r="F960" s="14" t="n">
        <v>0</v>
      </c>
      <c r="G960" s="14" t="n">
        <v>10.13</v>
      </c>
      <c r="H960" s="14" t="n">
        <v>0.18</v>
      </c>
      <c r="I960" s="14" t="n">
        <v>10.27</v>
      </c>
      <c r="J960" s="14" t="n">
        <v>0.09</v>
      </c>
      <c r="K960" s="14" t="n">
        <v>0.26</v>
      </c>
      <c r="L960" s="14" t="n">
        <v>7.93</v>
      </c>
      <c r="M960" s="14" t="n">
        <v>27</v>
      </c>
      <c r="N960" s="14" t="n">
        <v>14.61</v>
      </c>
      <c r="O960" s="14" t="n">
        <v>7.9</v>
      </c>
      <c r="P960" s="14" t="n">
        <v>0.46</v>
      </c>
      <c r="Q960" s="14" t="n">
        <v>0.51</v>
      </c>
      <c r="R960" s="14" t="n">
        <v>0.06</v>
      </c>
      <c r="S960" s="14" t="n">
        <v>3.78</v>
      </c>
      <c r="T960" s="14" t="n">
        <v>2.72</v>
      </c>
      <c r="U960" s="14" t="n">
        <v>2.64</v>
      </c>
      <c r="V960" s="14" t="n">
        <v>4.2</v>
      </c>
      <c r="W960" s="14" t="n">
        <v>1.51</v>
      </c>
      <c r="X960" s="14" t="n">
        <v>0.62</v>
      </c>
      <c r="Y960" s="14" t="n">
        <v>3.77</v>
      </c>
      <c r="Z960" s="14" t="n">
        <v>1.37</v>
      </c>
      <c r="AA960" s="14" t="n">
        <v>0</v>
      </c>
    </row>
    <row r="961">
      <c r="A961" t="inlineStr">
        <is>
          <t>250201</t>
        </is>
      </c>
      <c r="B961" t="inlineStr">
        <is>
          <t>UCAYALI</t>
        </is>
      </c>
      <c r="C961" t="inlineStr">
        <is>
          <t>ATALAYA</t>
        </is>
      </c>
      <c r="D961" t="inlineStr">
        <is>
          <t>RAYMONDI</t>
        </is>
      </c>
      <c r="E961" t="n">
        <v>11476</v>
      </c>
      <c r="F961" s="14" t="n">
        <v>0</v>
      </c>
      <c r="G961" s="14" t="n">
        <v>54.94</v>
      </c>
      <c r="H961" s="14" t="n">
        <v>0.09</v>
      </c>
      <c r="I961" s="14" t="n">
        <v>3.22</v>
      </c>
      <c r="J961" s="14" t="n">
        <v>0.01</v>
      </c>
      <c r="K961" s="14" t="n">
        <v>0.1</v>
      </c>
      <c r="L961" s="14" t="n">
        <v>5.13</v>
      </c>
      <c r="M961" s="14" t="n">
        <v>10.34</v>
      </c>
      <c r="N961" s="14" t="n">
        <v>4.9</v>
      </c>
      <c r="O961" s="14" t="n">
        <v>4.59</v>
      </c>
      <c r="P961" s="14" t="n">
        <v>0.21</v>
      </c>
      <c r="Q961" s="14" t="n">
        <v>0.24</v>
      </c>
      <c r="R961" s="14" t="n">
        <v>0.02</v>
      </c>
      <c r="S961" s="14" t="n">
        <v>2.29</v>
      </c>
      <c r="T961" s="14" t="n">
        <v>1.07</v>
      </c>
      <c r="U961" s="14" t="n">
        <v>2.86</v>
      </c>
      <c r="V961" s="14" t="n">
        <v>6.02</v>
      </c>
      <c r="W961" s="14" t="n">
        <v>1.22</v>
      </c>
      <c r="X961" s="14" t="n">
        <v>0.22</v>
      </c>
      <c r="Y961" s="14" t="n">
        <v>1.73</v>
      </c>
      <c r="Z961" s="14" t="n">
        <v>0.8</v>
      </c>
      <c r="AA961" s="14" t="n">
        <v>0</v>
      </c>
    </row>
    <row r="962">
      <c r="A962" t="inlineStr">
        <is>
          <t>250202</t>
        </is>
      </c>
      <c r="B962" t="inlineStr">
        <is>
          <t>UCAYALI</t>
        </is>
      </c>
      <c r="C962" t="inlineStr">
        <is>
          <t>ATALAYA</t>
        </is>
      </c>
      <c r="D962" t="inlineStr">
        <is>
          <t>SEPAHUA</t>
        </is>
      </c>
      <c r="E962" t="n">
        <v>1812</v>
      </c>
      <c r="F962" s="14" t="n">
        <v>0</v>
      </c>
      <c r="G962" s="14" t="n">
        <v>46.63</v>
      </c>
      <c r="H962" s="14" t="n">
        <v>0.22</v>
      </c>
      <c r="I962" s="14" t="n">
        <v>6.35</v>
      </c>
      <c r="J962" s="14" t="n">
        <v>0.06</v>
      </c>
      <c r="K962" s="14" t="n">
        <v>0.17</v>
      </c>
      <c r="L962" s="14" t="n">
        <v>8.06</v>
      </c>
      <c r="M962" s="14" t="n">
        <v>11.64</v>
      </c>
      <c r="N962" s="14" t="n">
        <v>3.26</v>
      </c>
      <c r="O962" s="14" t="n">
        <v>3.64</v>
      </c>
      <c r="P962" s="14" t="n">
        <v>0.11</v>
      </c>
      <c r="Q962" s="14" t="n">
        <v>0.11</v>
      </c>
      <c r="R962" s="14" t="n">
        <v>0</v>
      </c>
      <c r="S962" s="14" t="n">
        <v>2.32</v>
      </c>
      <c r="T962" s="14" t="n">
        <v>1.77</v>
      </c>
      <c r="U962" s="14" t="n">
        <v>3.31</v>
      </c>
      <c r="V962" s="14" t="n">
        <v>6.4</v>
      </c>
      <c r="W962" s="14" t="n">
        <v>1.16</v>
      </c>
      <c r="X962" s="14" t="n">
        <v>0.22</v>
      </c>
      <c r="Y962" s="14" t="n">
        <v>3.7</v>
      </c>
      <c r="Z962" s="14" t="n">
        <v>0.88</v>
      </c>
      <c r="AA962" s="14" t="n">
        <v>0</v>
      </c>
    </row>
    <row r="963">
      <c r="A963" t="inlineStr">
        <is>
          <t>250203</t>
        </is>
      </c>
      <c r="B963" t="inlineStr">
        <is>
          <t>UCAYALI</t>
        </is>
      </c>
      <c r="C963" t="inlineStr">
        <is>
          <t>ATALAYA</t>
        </is>
      </c>
      <c r="D963" t="inlineStr">
        <is>
          <t>TAHUANIA</t>
        </is>
      </c>
      <c r="E963" t="n">
        <v>2933</v>
      </c>
      <c r="F963" s="14" t="n">
        <v>0</v>
      </c>
      <c r="G963" s="14" t="n">
        <v>73.54000000000001</v>
      </c>
      <c r="H963" s="14" t="n">
        <v>0</v>
      </c>
      <c r="I963" s="14" t="n">
        <v>2.52</v>
      </c>
      <c r="J963" s="14" t="n">
        <v>0</v>
      </c>
      <c r="K963" s="14" t="n">
        <v>0</v>
      </c>
      <c r="L963" s="14" t="n">
        <v>1.57</v>
      </c>
      <c r="M963" s="14" t="n">
        <v>6.82</v>
      </c>
      <c r="N963" s="14" t="n">
        <v>1.77</v>
      </c>
      <c r="O963" s="14" t="n">
        <v>2.42</v>
      </c>
      <c r="P963" s="14" t="n">
        <v>0.14</v>
      </c>
      <c r="Q963" s="14" t="n">
        <v>0</v>
      </c>
      <c r="R963" s="14" t="n">
        <v>0</v>
      </c>
      <c r="S963" s="14" t="n">
        <v>0.85</v>
      </c>
      <c r="T963" s="14" t="n">
        <v>0.75</v>
      </c>
      <c r="U963" s="14" t="n">
        <v>1.4</v>
      </c>
      <c r="V963" s="14" t="n">
        <v>4.16</v>
      </c>
      <c r="W963" s="14" t="n">
        <v>0.85</v>
      </c>
      <c r="X963" s="14" t="n">
        <v>0.17</v>
      </c>
      <c r="Y963" s="14" t="n">
        <v>2.56</v>
      </c>
      <c r="Z963" s="14" t="n">
        <v>0.48</v>
      </c>
      <c r="AA963" s="14" t="n">
        <v>0</v>
      </c>
    </row>
    <row r="964">
      <c r="A964" t="inlineStr">
        <is>
          <t>250204</t>
        </is>
      </c>
      <c r="B964" t="inlineStr">
        <is>
          <t>UCAYALI</t>
        </is>
      </c>
      <c r="C964" t="inlineStr">
        <is>
          <t>ATALAYA</t>
        </is>
      </c>
      <c r="D964" t="inlineStr">
        <is>
          <t>YURUA</t>
        </is>
      </c>
      <c r="E964" t="n">
        <v>355</v>
      </c>
      <c r="F964" s="14" t="n">
        <v>0</v>
      </c>
      <c r="G964" s="14" t="n">
        <v>60</v>
      </c>
      <c r="H964" s="14" t="n">
        <v>0</v>
      </c>
      <c r="I964" s="14" t="n">
        <v>3.1</v>
      </c>
      <c r="J964" s="14" t="n">
        <v>0</v>
      </c>
      <c r="K964" s="14" t="n">
        <v>0</v>
      </c>
      <c r="L964" s="14" t="n">
        <v>1.41</v>
      </c>
      <c r="M964" s="14" t="n">
        <v>2.25</v>
      </c>
      <c r="N964" s="14" t="n">
        <v>1.41</v>
      </c>
      <c r="O964" s="14" t="n">
        <v>0</v>
      </c>
      <c r="P964" s="14" t="n">
        <v>0</v>
      </c>
      <c r="Q964" s="14" t="n">
        <v>0.28</v>
      </c>
      <c r="R964" s="14" t="n">
        <v>0</v>
      </c>
      <c r="S964" s="14" t="n">
        <v>1.41</v>
      </c>
      <c r="T964" s="14" t="n">
        <v>0.85</v>
      </c>
      <c r="U964" s="14" t="n">
        <v>11.27</v>
      </c>
      <c r="V964" s="14" t="n">
        <v>14.93</v>
      </c>
      <c r="W964" s="14" t="n">
        <v>1.69</v>
      </c>
      <c r="X964" s="14" t="n">
        <v>0</v>
      </c>
      <c r="Y964" s="14" t="n">
        <v>0.85</v>
      </c>
      <c r="Z964" s="14" t="n">
        <v>0.5600000000000001</v>
      </c>
      <c r="AA964" s="14" t="n">
        <v>0</v>
      </c>
    </row>
    <row r="965">
      <c r="A965" t="inlineStr">
        <is>
          <t>250301</t>
        </is>
      </c>
      <c r="B965" t="inlineStr">
        <is>
          <t>UCAYALI</t>
        </is>
      </c>
      <c r="C965" t="inlineStr">
        <is>
          <t>PADRE ABAD</t>
        </is>
      </c>
      <c r="D965" t="inlineStr">
        <is>
          <t>PADRE ABAD</t>
        </is>
      </c>
      <c r="E965" t="n">
        <v>12125</v>
      </c>
      <c r="F965" s="14" t="n">
        <v>0</v>
      </c>
      <c r="G965" s="14" t="n">
        <v>45.73</v>
      </c>
      <c r="H965" s="14" t="n">
        <v>0.09</v>
      </c>
      <c r="I965" s="14" t="n">
        <v>3.94</v>
      </c>
      <c r="J965" s="14" t="n">
        <v>0.16</v>
      </c>
      <c r="K965" s="14" t="n">
        <v>0.12</v>
      </c>
      <c r="L965" s="14" t="n">
        <v>5.2</v>
      </c>
      <c r="M965" s="14" t="n">
        <v>15.55</v>
      </c>
      <c r="N965" s="14" t="n">
        <v>5.94</v>
      </c>
      <c r="O965" s="14" t="n">
        <v>6.52</v>
      </c>
      <c r="P965" s="14" t="n">
        <v>0.41</v>
      </c>
      <c r="Q965" s="14" t="n">
        <v>0.49</v>
      </c>
      <c r="R965" s="14" t="n">
        <v>0.06</v>
      </c>
      <c r="S965" s="14" t="n">
        <v>2.99</v>
      </c>
      <c r="T965" s="14" t="n">
        <v>1.48</v>
      </c>
      <c r="U965" s="14" t="n">
        <v>3.19</v>
      </c>
      <c r="V965" s="14" t="n">
        <v>3.5</v>
      </c>
      <c r="W965" s="14" t="n">
        <v>1.48</v>
      </c>
      <c r="X965" s="14" t="n">
        <v>0.42</v>
      </c>
      <c r="Y965" s="14" t="n">
        <v>1.96</v>
      </c>
      <c r="Z965" s="14" t="n">
        <v>0.78</v>
      </c>
      <c r="AA965" s="14" t="n">
        <v>0</v>
      </c>
    </row>
    <row r="966">
      <c r="A966" t="inlineStr">
        <is>
          <t>250302</t>
        </is>
      </c>
      <c r="B966" t="inlineStr">
        <is>
          <t>UCAYALI</t>
        </is>
      </c>
      <c r="C966" t="inlineStr">
        <is>
          <t>PADRE ABAD</t>
        </is>
      </c>
      <c r="D966" t="inlineStr">
        <is>
          <t>IRAZOLA</t>
        </is>
      </c>
      <c r="E966" t="n">
        <v>4273</v>
      </c>
      <c r="F966" s="14" t="n">
        <v>0</v>
      </c>
      <c r="G966" s="14" t="n">
        <v>67.34999999999999</v>
      </c>
      <c r="H966" s="14" t="n">
        <v>0.07000000000000001</v>
      </c>
      <c r="I966" s="14" t="n">
        <v>1.83</v>
      </c>
      <c r="J966" s="14" t="n">
        <v>0</v>
      </c>
      <c r="K966" s="14" t="n">
        <v>0</v>
      </c>
      <c r="L966" s="14" t="n">
        <v>2.11</v>
      </c>
      <c r="M966" s="14" t="n">
        <v>11.68</v>
      </c>
      <c r="N966" s="14" t="n">
        <v>2.48</v>
      </c>
      <c r="O966" s="14" t="n">
        <v>4.12</v>
      </c>
      <c r="P966" s="14" t="n">
        <v>0.12</v>
      </c>
      <c r="Q966" s="14" t="n">
        <v>0.21</v>
      </c>
      <c r="R966" s="14" t="n">
        <v>0</v>
      </c>
      <c r="S966" s="14" t="n">
        <v>1.97</v>
      </c>
      <c r="T966" s="14" t="n">
        <v>0.51</v>
      </c>
      <c r="U966" s="14" t="n">
        <v>2.88</v>
      </c>
      <c r="V966" s="14" t="n">
        <v>1.52</v>
      </c>
      <c r="W966" s="14" t="n">
        <v>0.84</v>
      </c>
      <c r="X966" s="14" t="n">
        <v>0.19</v>
      </c>
      <c r="Y966" s="14" t="n">
        <v>1.64</v>
      </c>
      <c r="Z966" s="14" t="n">
        <v>0.49</v>
      </c>
      <c r="AA966" s="14" t="n">
        <v>0</v>
      </c>
    </row>
    <row r="967">
      <c r="A967" t="inlineStr">
        <is>
          <t>250303</t>
        </is>
      </c>
      <c r="B967" t="inlineStr">
        <is>
          <t>UCAYALI</t>
        </is>
      </c>
      <c r="C967" t="inlineStr">
        <is>
          <t>PADRE ABAD</t>
        </is>
      </c>
      <c r="D967" t="inlineStr">
        <is>
          <t>CURIMANA</t>
        </is>
      </c>
      <c r="E967" t="n">
        <v>2969</v>
      </c>
      <c r="F967" s="14" t="n">
        <v>0</v>
      </c>
      <c r="G967" s="14" t="n">
        <v>70.29000000000001</v>
      </c>
      <c r="H967" s="14" t="n">
        <v>0.24</v>
      </c>
      <c r="I967" s="14" t="n">
        <v>2.9</v>
      </c>
      <c r="J967" s="14" t="n">
        <v>0.03</v>
      </c>
      <c r="K967" s="14" t="n">
        <v>0</v>
      </c>
      <c r="L967" s="14" t="n">
        <v>2.02</v>
      </c>
      <c r="M967" s="14" t="n">
        <v>9.5</v>
      </c>
      <c r="N967" s="14" t="n">
        <v>3.4</v>
      </c>
      <c r="O967" s="14" t="n">
        <v>4.04</v>
      </c>
      <c r="P967" s="14" t="n">
        <v>0.2</v>
      </c>
      <c r="Q967" s="14" t="n">
        <v>0</v>
      </c>
      <c r="R967" s="14" t="n">
        <v>0</v>
      </c>
      <c r="S967" s="14" t="n">
        <v>1.15</v>
      </c>
      <c r="T967" s="14" t="n">
        <v>0.44</v>
      </c>
      <c r="U967" s="14" t="n">
        <v>1.04</v>
      </c>
      <c r="V967" s="14" t="n">
        <v>1.38</v>
      </c>
      <c r="W967" s="14" t="n">
        <v>1.01</v>
      </c>
      <c r="X967" s="14" t="n">
        <v>0.07000000000000001</v>
      </c>
      <c r="Y967" s="14" t="n">
        <v>1.68</v>
      </c>
      <c r="Z967" s="14" t="n">
        <v>0.61</v>
      </c>
      <c r="AA967" s="14" t="n">
        <v>0</v>
      </c>
    </row>
    <row r="968">
      <c r="A968" t="inlineStr">
        <is>
          <t>250304</t>
        </is>
      </c>
      <c r="B968" t="inlineStr">
        <is>
          <t>UCAYALI</t>
        </is>
      </c>
      <c r="C968" t="inlineStr">
        <is>
          <t>PADRE ABAD</t>
        </is>
      </c>
      <c r="D968" t="inlineStr">
        <is>
          <t>NESHUYA</t>
        </is>
      </c>
      <c r="E968" t="n">
        <v>3100</v>
      </c>
      <c r="F968" s="14" t="n">
        <v>0</v>
      </c>
      <c r="G968" s="14" t="n">
        <v>61.52</v>
      </c>
      <c r="H968" s="14" t="n">
        <v>0.1</v>
      </c>
      <c r="I968" s="14" t="n">
        <v>4.55</v>
      </c>
      <c r="J968" s="14" t="n">
        <v>0.03</v>
      </c>
      <c r="K968" s="14" t="n">
        <v>0.03</v>
      </c>
      <c r="L968" s="14" t="n">
        <v>2.9</v>
      </c>
      <c r="M968" s="14" t="n">
        <v>14.45</v>
      </c>
      <c r="N968" s="14" t="n">
        <v>4.13</v>
      </c>
      <c r="O968" s="14" t="n">
        <v>4.39</v>
      </c>
      <c r="P968" s="14" t="n">
        <v>0.1</v>
      </c>
      <c r="Q968" s="14" t="n">
        <v>0.03</v>
      </c>
      <c r="R968" s="14" t="n">
        <v>0.03</v>
      </c>
      <c r="S968" s="14" t="n">
        <v>1.52</v>
      </c>
      <c r="T968" s="14" t="n">
        <v>1.55</v>
      </c>
      <c r="U968" s="14" t="n">
        <v>1.1</v>
      </c>
      <c r="V968" s="14" t="n">
        <v>1.16</v>
      </c>
      <c r="W968" s="14" t="n">
        <v>0.35</v>
      </c>
      <c r="X968" s="14" t="n">
        <v>0.23</v>
      </c>
      <c r="Y968" s="14" t="n">
        <v>1.52</v>
      </c>
      <c r="Z968" s="14" t="n">
        <v>0.32</v>
      </c>
      <c r="AA968" s="14" t="n">
        <v>0</v>
      </c>
    </row>
    <row r="969">
      <c r="A969" t="inlineStr">
        <is>
          <t>250305</t>
        </is>
      </c>
      <c r="B969" t="inlineStr">
        <is>
          <t>UCAYALI</t>
        </is>
      </c>
      <c r="C969" t="inlineStr">
        <is>
          <t>PADRE ABAD</t>
        </is>
      </c>
      <c r="D969" t="inlineStr">
        <is>
          <t>ALEXANDER VON HUMBOLDT</t>
        </is>
      </c>
      <c r="E969" t="n">
        <v>1998</v>
      </c>
      <c r="F969" s="14" t="n">
        <v>0</v>
      </c>
      <c r="G969" s="14" t="n">
        <v>49.05</v>
      </c>
      <c r="H969" s="14" t="n">
        <v>0</v>
      </c>
      <c r="I969" s="14" t="n">
        <v>3.25</v>
      </c>
      <c r="J969" s="14" t="n">
        <v>0</v>
      </c>
      <c r="K969" s="14" t="n">
        <v>0.1</v>
      </c>
      <c r="L969" s="14" t="n">
        <v>5.51</v>
      </c>
      <c r="M969" s="14" t="n">
        <v>14.51</v>
      </c>
      <c r="N969" s="14" t="n">
        <v>6.91</v>
      </c>
      <c r="O969" s="14" t="n">
        <v>6.96</v>
      </c>
      <c r="P969" s="14" t="n">
        <v>0.1</v>
      </c>
      <c r="Q969" s="14" t="n">
        <v>0.2</v>
      </c>
      <c r="R969" s="14" t="n">
        <v>0</v>
      </c>
      <c r="S969" s="14" t="n">
        <v>1.65</v>
      </c>
      <c r="T969" s="14" t="n">
        <v>1.05</v>
      </c>
      <c r="U969" s="14" t="n">
        <v>4.5</v>
      </c>
      <c r="V969" s="14" t="n">
        <v>2.3</v>
      </c>
      <c r="W969" s="14" t="n">
        <v>1.15</v>
      </c>
      <c r="X969" s="14" t="n">
        <v>0.55</v>
      </c>
      <c r="Y969" s="14" t="n">
        <v>1.45</v>
      </c>
      <c r="Z969" s="14" t="n">
        <v>0.75</v>
      </c>
      <c r="AA969" s="14" t="n">
        <v>0</v>
      </c>
    </row>
    <row r="970">
      <c r="A970" t="inlineStr">
        <is>
          <t>250306</t>
        </is>
      </c>
      <c r="B970" t="inlineStr">
        <is>
          <t>UCAYALI</t>
        </is>
      </c>
      <c r="C970" t="inlineStr">
        <is>
          <t>PADRE ABAD</t>
        </is>
      </c>
      <c r="D970" t="inlineStr">
        <is>
          <t>HUIPOCA</t>
        </is>
      </c>
      <c r="E970" t="n">
        <v>0</v>
      </c>
      <c r="F970" s="14" t="n">
        <v>0</v>
      </c>
      <c r="G970" s="14" t="n">
        <v>60.49</v>
      </c>
      <c r="H970" s="14" t="n">
        <v>0.09</v>
      </c>
      <c r="I970" s="14" t="n">
        <v>3.2</v>
      </c>
      <c r="J970" s="14" t="n">
        <v>0.03</v>
      </c>
      <c r="K970" s="14" t="n">
        <v>0.03</v>
      </c>
      <c r="L970" s="14" t="n">
        <v>2.85</v>
      </c>
      <c r="M970" s="14" t="n">
        <v>14.21</v>
      </c>
      <c r="N970" s="14" t="n">
        <v>4.06</v>
      </c>
      <c r="O970" s="14" t="n">
        <v>4.31</v>
      </c>
      <c r="P970" s="14" t="n">
        <v>0.12</v>
      </c>
      <c r="Q970" s="14" t="n">
        <v>0.2</v>
      </c>
      <c r="R970" s="14" t="n">
        <v>0</v>
      </c>
      <c r="S970" s="14" t="n">
        <v>1.62</v>
      </c>
      <c r="T970" s="14" t="n">
        <v>1.03</v>
      </c>
      <c r="U970" s="14" t="n">
        <v>2.83</v>
      </c>
      <c r="V970" s="14" t="n">
        <v>1.5</v>
      </c>
      <c r="W970" s="14" t="n">
        <v>0.99</v>
      </c>
      <c r="X970" s="14" t="n">
        <v>0.22</v>
      </c>
      <c r="Y970" s="14" t="n">
        <v>1.61</v>
      </c>
      <c r="Z970" s="14" t="n">
        <v>0.6</v>
      </c>
      <c r="AA970" s="14" t="n">
        <v>0</v>
      </c>
    </row>
    <row r="971">
      <c r="A971" t="inlineStr">
        <is>
          <t>250307</t>
        </is>
      </c>
      <c r="B971" t="inlineStr">
        <is>
          <t>UCAYALI</t>
        </is>
      </c>
      <c r="C971" t="inlineStr">
        <is>
          <t>PADRE ABAD</t>
        </is>
      </c>
      <c r="D971" t="inlineStr">
        <is>
          <t>BOQUERON</t>
        </is>
      </c>
      <c r="E971" t="n">
        <v>0</v>
      </c>
      <c r="F971" s="14" t="n">
        <v>0</v>
      </c>
      <c r="G971" s="14" t="n">
        <v>60.49</v>
      </c>
      <c r="H971" s="14" t="n">
        <v>0.09</v>
      </c>
      <c r="I971" s="14" t="n">
        <v>3.2</v>
      </c>
      <c r="J971" s="14" t="n">
        <v>0.03</v>
      </c>
      <c r="K971" s="14" t="n">
        <v>0.03</v>
      </c>
      <c r="L971" s="14" t="n">
        <v>2.85</v>
      </c>
      <c r="M971" s="14" t="n">
        <v>14.21</v>
      </c>
      <c r="N971" s="14" t="n">
        <v>4.06</v>
      </c>
      <c r="O971" s="14" t="n">
        <v>4.31</v>
      </c>
      <c r="P971" s="14" t="n">
        <v>0.12</v>
      </c>
      <c r="Q971" s="14" t="n">
        <v>0.2</v>
      </c>
      <c r="R971" s="14" t="n">
        <v>0</v>
      </c>
      <c r="S971" s="14" t="n">
        <v>1.62</v>
      </c>
      <c r="T971" s="14" t="n">
        <v>1.03</v>
      </c>
      <c r="U971" s="14" t="n">
        <v>2.83</v>
      </c>
      <c r="V971" s="14" t="n">
        <v>1.5</v>
      </c>
      <c r="W971" s="14" t="n">
        <v>0.99</v>
      </c>
      <c r="X971" s="14" t="n">
        <v>0.22</v>
      </c>
      <c r="Y971" s="14" t="n">
        <v>1.61</v>
      </c>
      <c r="Z971" s="14" t="n">
        <v>0.6</v>
      </c>
      <c r="AA971" s="14" t="n">
        <v>0</v>
      </c>
    </row>
    <row r="972">
      <c r="A972" t="inlineStr">
        <is>
          <t>250401</t>
        </is>
      </c>
      <c r="B972" t="inlineStr">
        <is>
          <t>UCAYALI</t>
        </is>
      </c>
      <c r="C972" t="inlineStr">
        <is>
          <t>PURUS</t>
        </is>
      </c>
      <c r="D972" t="inlineStr">
        <is>
          <t>PURUS</t>
        </is>
      </c>
      <c r="E972" t="n">
        <v>742</v>
      </c>
      <c r="F972" s="14" t="n">
        <v>0</v>
      </c>
      <c r="G972" s="14" t="n">
        <v>44.47</v>
      </c>
      <c r="H972" s="14" t="n">
        <v>0.13</v>
      </c>
      <c r="I972" s="14" t="n">
        <v>2.96</v>
      </c>
      <c r="J972" s="14" t="n">
        <v>0.13</v>
      </c>
      <c r="K972" s="14" t="n">
        <v>0</v>
      </c>
      <c r="L972" s="14" t="n">
        <v>2.02</v>
      </c>
      <c r="M972" s="14" t="n">
        <v>7.14</v>
      </c>
      <c r="N972" s="14" t="n">
        <v>1.62</v>
      </c>
      <c r="O972" s="14" t="n">
        <v>2.29</v>
      </c>
      <c r="P972" s="14" t="n">
        <v>0</v>
      </c>
      <c r="Q972" s="14" t="n">
        <v>0</v>
      </c>
      <c r="R972" s="14" t="n">
        <v>0.27</v>
      </c>
      <c r="S972" s="14" t="n">
        <v>4.18</v>
      </c>
      <c r="T972" s="14" t="n">
        <v>2.29</v>
      </c>
      <c r="U972" s="14" t="n">
        <v>7.82</v>
      </c>
      <c r="V972" s="14" t="n">
        <v>18.33</v>
      </c>
      <c r="W972" s="14" t="n">
        <v>2.83</v>
      </c>
      <c r="X972" s="14" t="n">
        <v>0.13</v>
      </c>
      <c r="Y972" s="14" t="n">
        <v>2.83</v>
      </c>
      <c r="Z972" s="14" t="n">
        <v>0.54</v>
      </c>
      <c r="AA972" s="14" t="n">
        <v>0</v>
      </c>
    </row>
    <row r="973">
      <c r="A973" t="inlineStr">
        <is>
          <t>090101</t>
        </is>
      </c>
      <c r="B973" t="inlineStr">
        <is>
          <t>HUANCAVELICA</t>
        </is>
      </c>
      <c r="C973" t="inlineStr">
        <is>
          <t>HUANCAVELICA</t>
        </is>
      </c>
      <c r="D973" t="inlineStr">
        <is>
          <t>HUANCAVELICA</t>
        </is>
      </c>
      <c r="E973" t="n">
        <v>15821</v>
      </c>
      <c r="F973" s="14" t="n">
        <v>0</v>
      </c>
      <c r="G973" s="14" t="n">
        <v>7.51</v>
      </c>
      <c r="H973" s="14" t="n">
        <v>0.73</v>
      </c>
      <c r="I973" s="14" t="n">
        <v>2.9</v>
      </c>
      <c r="J973" s="14" t="n">
        <v>0.11</v>
      </c>
      <c r="K973" s="14" t="n">
        <v>0.19</v>
      </c>
      <c r="L973" s="14" t="n">
        <v>9.51</v>
      </c>
      <c r="M973" s="14" t="n">
        <v>15.75</v>
      </c>
      <c r="N973" s="14" t="n">
        <v>4.82</v>
      </c>
      <c r="O973" s="14" t="n">
        <v>5.34</v>
      </c>
      <c r="P973" s="14" t="n">
        <v>0.85</v>
      </c>
      <c r="Q973" s="14" t="n">
        <v>1.02</v>
      </c>
      <c r="R973" s="14" t="n">
        <v>0.05</v>
      </c>
      <c r="S973" s="14" t="n">
        <v>5.82</v>
      </c>
      <c r="T973" s="14" t="n">
        <v>2.22</v>
      </c>
      <c r="U973" s="14" t="n">
        <v>13.88</v>
      </c>
      <c r="V973" s="14" t="n">
        <v>18.92</v>
      </c>
      <c r="W973" s="14" t="n">
        <v>5.63</v>
      </c>
      <c r="X973" s="14" t="n">
        <v>0.63</v>
      </c>
      <c r="Y973" s="14" t="n">
        <v>3.03</v>
      </c>
      <c r="Z973" s="14" t="n">
        <v>1.07</v>
      </c>
      <c r="AA973" s="14" t="n">
        <v>0.01</v>
      </c>
    </row>
    <row r="974">
      <c r="A974" t="inlineStr">
        <is>
          <t>020105</t>
        </is>
      </c>
      <c r="B974" t="inlineStr">
        <is>
          <t>ANCASH</t>
        </is>
      </c>
      <c r="C974" t="inlineStr">
        <is>
          <t>HUARAZ</t>
        </is>
      </c>
      <c r="D974" t="inlineStr">
        <is>
          <t>INDEPENDENCIA</t>
        </is>
      </c>
      <c r="E974" t="n">
        <v>30212</v>
      </c>
      <c r="F974" s="14" t="n">
        <v>0</v>
      </c>
      <c r="G974" s="14" t="n">
        <v>10.28</v>
      </c>
      <c r="H974" s="14" t="n">
        <v>1.16</v>
      </c>
      <c r="I974" s="14" t="n">
        <v>4.73</v>
      </c>
      <c r="J974" s="14" t="n">
        <v>0.08</v>
      </c>
      <c r="K974" s="14" t="n">
        <v>0.21</v>
      </c>
      <c r="L974" s="14" t="n">
        <v>10.41</v>
      </c>
      <c r="M974" s="14" t="n">
        <v>18.86</v>
      </c>
      <c r="N974" s="14" t="n">
        <v>9.01</v>
      </c>
      <c r="O974" s="14" t="n">
        <v>6.73</v>
      </c>
      <c r="P974" s="14" t="n">
        <v>0.85</v>
      </c>
      <c r="Q974" s="14" t="n">
        <v>0.83</v>
      </c>
      <c r="R974" s="14" t="n">
        <v>0.05</v>
      </c>
      <c r="S974" s="14" t="n">
        <v>7.55</v>
      </c>
      <c r="T974" s="14" t="n">
        <v>2.72</v>
      </c>
      <c r="U974" s="14" t="n">
        <v>5.94</v>
      </c>
      <c r="V974" s="14" t="n">
        <v>10.62</v>
      </c>
      <c r="W974" s="14" t="n">
        <v>3.41</v>
      </c>
      <c r="X974" s="14" t="n">
        <v>1.49</v>
      </c>
      <c r="Y974" s="14" t="n">
        <v>3.2</v>
      </c>
      <c r="Z974" s="14" t="n">
        <v>1.87</v>
      </c>
      <c r="AA974" s="14" t="n">
        <v>0</v>
      </c>
    </row>
    <row r="975">
      <c r="A975" t="inlineStr">
        <is>
          <t>030101</t>
        </is>
      </c>
      <c r="B975" t="inlineStr">
        <is>
          <t>APURIMAC</t>
        </is>
      </c>
      <c r="C975" t="inlineStr">
        <is>
          <t>ABANCAY</t>
        </is>
      </c>
      <c r="D975" t="inlineStr">
        <is>
          <t>ABANCAY</t>
        </is>
      </c>
      <c r="E975" t="n">
        <v>30081</v>
      </c>
      <c r="F975" s="14" t="n">
        <v>0</v>
      </c>
      <c r="G975" s="14" t="n">
        <v>9.44</v>
      </c>
      <c r="H975" s="14" t="n">
        <v>0.71</v>
      </c>
      <c r="I975" s="14" t="n">
        <v>4.21</v>
      </c>
      <c r="J975" s="14" t="n">
        <v>0.09</v>
      </c>
      <c r="K975" s="14" t="n">
        <v>0.16</v>
      </c>
      <c r="L975" s="14" t="n">
        <v>9.57</v>
      </c>
      <c r="M975" s="14" t="n">
        <v>20.28</v>
      </c>
      <c r="N975" s="14" t="n">
        <v>7.69</v>
      </c>
      <c r="O975" s="14" t="n">
        <v>7.64</v>
      </c>
      <c r="P975" s="14" t="n">
        <v>0.97</v>
      </c>
      <c r="Q975" s="14" t="n">
        <v>1.37</v>
      </c>
      <c r="R975" s="14" t="n">
        <v>0.07000000000000001</v>
      </c>
      <c r="S975" s="14" t="n">
        <v>5.14</v>
      </c>
      <c r="T975" s="14" t="n">
        <v>1.67</v>
      </c>
      <c r="U975" s="14" t="n">
        <v>10.66</v>
      </c>
      <c r="V975" s="14" t="n">
        <v>11.08</v>
      </c>
      <c r="W975" s="14" t="n">
        <v>5.23</v>
      </c>
      <c r="X975" s="14" t="n">
        <v>0.76</v>
      </c>
      <c r="Y975" s="14" t="n">
        <v>1.88</v>
      </c>
      <c r="Z975" s="14" t="n">
        <v>1.38</v>
      </c>
      <c r="AA975" s="14" t="n">
        <v>0</v>
      </c>
    </row>
    <row r="976">
      <c r="A976" t="inlineStr">
        <is>
          <t>080911</t>
        </is>
      </c>
      <c r="B976" t="inlineStr">
        <is>
          <t>CUSCO</t>
        </is>
      </c>
      <c r="C976" t="inlineStr">
        <is>
          <t>LA CONVENCION</t>
        </is>
      </c>
      <c r="D976" t="inlineStr">
        <is>
          <t>INKAWASI</t>
        </is>
      </c>
      <c r="E976" t="n">
        <v>1548</v>
      </c>
      <c r="F976" s="14" t="n">
        <v>0</v>
      </c>
      <c r="G976" s="14" t="n">
        <v>82.62</v>
      </c>
      <c r="H976" s="14" t="n">
        <v>0.06</v>
      </c>
      <c r="I976" s="14" t="n">
        <v>0.58</v>
      </c>
      <c r="J976" s="14" t="n">
        <v>0</v>
      </c>
      <c r="K976" s="14" t="n">
        <v>0</v>
      </c>
      <c r="L976" s="14" t="n">
        <v>0.84</v>
      </c>
      <c r="M976" s="14" t="n">
        <v>1.29</v>
      </c>
      <c r="N976" s="14" t="n">
        <v>0.19</v>
      </c>
      <c r="O976" s="14" t="n">
        <v>0.58</v>
      </c>
      <c r="P976" s="14" t="n">
        <v>0.06</v>
      </c>
      <c r="Q976" s="14" t="n">
        <v>0</v>
      </c>
      <c r="R976" s="14" t="n">
        <v>0</v>
      </c>
      <c r="S976" s="14" t="n">
        <v>0.97</v>
      </c>
      <c r="T976" s="14" t="n">
        <v>0.13</v>
      </c>
      <c r="U976" s="14" t="n">
        <v>8.07</v>
      </c>
      <c r="V976" s="14" t="n">
        <v>3.1</v>
      </c>
      <c r="W976" s="14" t="n">
        <v>0.9</v>
      </c>
      <c r="X976" s="14" t="n">
        <v>0.13</v>
      </c>
      <c r="Y976" s="14" t="n">
        <v>0.26</v>
      </c>
      <c r="Z976" s="14" t="n">
        <v>0.19</v>
      </c>
      <c r="AA976" s="14" t="n">
        <v>0</v>
      </c>
    </row>
    <row r="977">
      <c r="A977" t="inlineStr">
        <is>
          <t>050509</t>
        </is>
      </c>
      <c r="B977" t="inlineStr">
        <is>
          <t>AYACUCHO</t>
        </is>
      </c>
      <c r="C977" t="inlineStr">
        <is>
          <t>LA MAR</t>
        </is>
      </c>
      <c r="D977" t="inlineStr">
        <is>
          <t>SAMUGARI</t>
        </is>
      </c>
      <c r="E977" t="n">
        <v>4203</v>
      </c>
      <c r="F977" s="14" t="n">
        <v>0</v>
      </c>
      <c r="G977" s="14" t="n">
        <v>72.97</v>
      </c>
      <c r="H977" s="14" t="n">
        <v>0</v>
      </c>
      <c r="I977" s="14" t="n">
        <v>0.98</v>
      </c>
      <c r="J977" s="14" t="n">
        <v>0</v>
      </c>
      <c r="K977" s="14" t="n">
        <v>0.02</v>
      </c>
      <c r="L977" s="14" t="n">
        <v>2.83</v>
      </c>
      <c r="M977" s="14" t="n">
        <v>7.76</v>
      </c>
      <c r="N977" s="14" t="n">
        <v>1.95</v>
      </c>
      <c r="O977" s="14" t="n">
        <v>2.14</v>
      </c>
      <c r="P977" s="14" t="n">
        <v>0.14</v>
      </c>
      <c r="Q977" s="14" t="n">
        <v>0.12</v>
      </c>
      <c r="R977" s="14" t="n">
        <v>0</v>
      </c>
      <c r="S977" s="14" t="n">
        <v>0.45</v>
      </c>
      <c r="T977" s="14" t="n">
        <v>0.33</v>
      </c>
      <c r="U977" s="14" t="n">
        <v>4.14</v>
      </c>
      <c r="V977" s="14" t="n">
        <v>3.97</v>
      </c>
      <c r="W977" s="14" t="n">
        <v>0.95</v>
      </c>
      <c r="X977" s="14" t="n">
        <v>0.02</v>
      </c>
      <c r="Y977" s="14" t="n">
        <v>0.76</v>
      </c>
      <c r="Z977" s="14" t="n">
        <v>0.45</v>
      </c>
      <c r="AA977" s="14" t="n">
        <v>0</v>
      </c>
    </row>
    <row r="978">
      <c r="A978" t="inlineStr">
        <is>
          <t>061007</t>
        </is>
      </c>
      <c r="B978" t="inlineStr">
        <is>
          <t>CAJAMARCA</t>
        </is>
      </c>
      <c r="C978" t="inlineStr">
        <is>
          <t>SAN MARCOS</t>
        </is>
      </c>
      <c r="D978" t="inlineStr">
        <is>
          <t>JOSE SABOGAL</t>
        </is>
      </c>
      <c r="E978" t="n">
        <v>3136</v>
      </c>
      <c r="F978" s="14" t="n">
        <v>0</v>
      </c>
      <c r="G978" s="14" t="n">
        <v>92.92</v>
      </c>
      <c r="H978" s="14" t="n">
        <v>0</v>
      </c>
      <c r="I978" s="14" t="n">
        <v>0.54</v>
      </c>
      <c r="J978" s="14" t="n">
        <v>0</v>
      </c>
      <c r="K978" s="14" t="n">
        <v>0.03</v>
      </c>
      <c r="L978" s="14" t="n">
        <v>0.64</v>
      </c>
      <c r="M978" s="14" t="n">
        <v>2.04</v>
      </c>
      <c r="N978" s="14" t="n">
        <v>0.38</v>
      </c>
      <c r="O978" s="14" t="n">
        <v>0.41</v>
      </c>
      <c r="P978" s="14" t="n">
        <v>0.03</v>
      </c>
      <c r="Q978" s="14" t="n">
        <v>0.03</v>
      </c>
      <c r="R978" s="14" t="n">
        <v>0</v>
      </c>
      <c r="S978" s="14" t="n">
        <v>0.22</v>
      </c>
      <c r="T978" s="14" t="n">
        <v>0.16</v>
      </c>
      <c r="U978" s="14" t="n">
        <v>0.54</v>
      </c>
      <c r="V978" s="14" t="n">
        <v>0.86</v>
      </c>
      <c r="W978" s="14" t="n">
        <v>0.67</v>
      </c>
      <c r="X978" s="14" t="n">
        <v>0</v>
      </c>
      <c r="Y978" s="14" t="n">
        <v>0.13</v>
      </c>
      <c r="Z978" s="14" t="n">
        <v>0.38</v>
      </c>
      <c r="AA978" s="14" t="n">
        <v>0</v>
      </c>
    </row>
    <row r="979">
      <c r="A979" t="inlineStr">
        <is>
          <t>080902</t>
        </is>
      </c>
      <c r="B979" t="inlineStr">
        <is>
          <t>CUSCO</t>
        </is>
      </c>
      <c r="C979" t="inlineStr">
        <is>
          <t>LA CONVENCION</t>
        </is>
      </c>
      <c r="D979" t="inlineStr">
        <is>
          <t>ECHARATE</t>
        </is>
      </c>
      <c r="E979" t="n">
        <v>11344</v>
      </c>
      <c r="F979" s="14" t="n">
        <v>0</v>
      </c>
      <c r="G979" s="14" t="n">
        <v>68.69</v>
      </c>
      <c r="H979" s="14" t="n">
        <v>0.26</v>
      </c>
      <c r="I979" s="14" t="n">
        <v>1.14</v>
      </c>
      <c r="J979" s="14" t="n">
        <v>0.11</v>
      </c>
      <c r="K979" s="14" t="n">
        <v>0.02</v>
      </c>
      <c r="L979" s="14" t="n">
        <v>2.81</v>
      </c>
      <c r="M979" s="14" t="n">
        <v>7.15</v>
      </c>
      <c r="N979" s="14" t="n">
        <v>1.74</v>
      </c>
      <c r="O979" s="14" t="n">
        <v>2.15</v>
      </c>
      <c r="P979" s="14" t="n">
        <v>0.1</v>
      </c>
      <c r="Q979" s="14" t="n">
        <v>0.12</v>
      </c>
      <c r="R979" s="14" t="n">
        <v>0</v>
      </c>
      <c r="S979" s="14" t="n">
        <v>2.12</v>
      </c>
      <c r="T979" s="14" t="n">
        <v>1.36</v>
      </c>
      <c r="U979" s="14" t="n">
        <v>8.02</v>
      </c>
      <c r="V979" s="14" t="n">
        <v>2.24</v>
      </c>
      <c r="W979" s="14" t="n">
        <v>0.71</v>
      </c>
      <c r="X979" s="14" t="n">
        <v>0.04</v>
      </c>
      <c r="Y979" s="14" t="n">
        <v>0.7</v>
      </c>
      <c r="Z979" s="14" t="n">
        <v>0.53</v>
      </c>
      <c r="AA979" s="14" t="n">
        <v>0</v>
      </c>
    </row>
    <row r="980">
      <c r="A980" t="inlineStr">
        <is>
          <t>030501</t>
        </is>
      </c>
      <c r="B980" t="inlineStr">
        <is>
          <t>APURIMAC</t>
        </is>
      </c>
      <c r="C980" t="inlineStr">
        <is>
          <t>COTABAMBAS</t>
        </is>
      </c>
      <c r="D980" t="inlineStr">
        <is>
          <t>TAMBOBAMBA</t>
        </is>
      </c>
      <c r="E980" t="n">
        <v>2833</v>
      </c>
      <c r="F980" s="14" t="n">
        <v>0</v>
      </c>
      <c r="G980" s="14" t="n">
        <v>51.11</v>
      </c>
      <c r="H980" s="14" t="n">
        <v>1.48</v>
      </c>
      <c r="I980" s="14" t="n">
        <v>1.98</v>
      </c>
      <c r="J980" s="14" t="n">
        <v>0</v>
      </c>
      <c r="K980" s="14" t="n">
        <v>0.11</v>
      </c>
      <c r="L980" s="14" t="n">
        <v>10.91</v>
      </c>
      <c r="M980" s="14" t="n">
        <v>7.59</v>
      </c>
      <c r="N980" s="14" t="n">
        <v>2.26</v>
      </c>
      <c r="O980" s="14" t="n">
        <v>2.79</v>
      </c>
      <c r="P980" s="14" t="n">
        <v>0.18</v>
      </c>
      <c r="Q980" s="14" t="n">
        <v>0.21</v>
      </c>
      <c r="R980" s="14" t="n">
        <v>0</v>
      </c>
      <c r="S980" s="14" t="n">
        <v>2.33</v>
      </c>
      <c r="T980" s="14" t="n">
        <v>1.02</v>
      </c>
      <c r="U980" s="14" t="n">
        <v>5.51</v>
      </c>
      <c r="V980" s="14" t="n">
        <v>9.5</v>
      </c>
      <c r="W980" s="14" t="n">
        <v>2.05</v>
      </c>
      <c r="X980" s="14" t="n">
        <v>0.07000000000000001</v>
      </c>
      <c r="Y980" s="14" t="n">
        <v>0.74</v>
      </c>
      <c r="Z980" s="14" t="n">
        <v>0.18</v>
      </c>
      <c r="AA980" s="14" t="n">
        <v>0</v>
      </c>
    </row>
    <row r="981">
      <c r="A981" t="inlineStr">
        <is>
          <t>060901</t>
        </is>
      </c>
      <c r="B981" t="inlineStr">
        <is>
          <t>CAJAMARCA</t>
        </is>
      </c>
      <c r="C981" t="inlineStr">
        <is>
          <t>SAN IGNACIO</t>
        </is>
      </c>
      <c r="D981" t="inlineStr">
        <is>
          <t>SAN IGNACIO</t>
        </is>
      </c>
      <c r="E981" t="n">
        <v>13830</v>
      </c>
      <c r="F981" s="14" t="n">
        <v>0</v>
      </c>
      <c r="G981" s="14" t="n">
        <v>63.86</v>
      </c>
      <c r="H981" s="14" t="n">
        <v>0.06</v>
      </c>
      <c r="I981" s="14" t="n">
        <v>2.37</v>
      </c>
      <c r="J981" s="14" t="n">
        <v>0.02</v>
      </c>
      <c r="K981" s="14" t="n">
        <v>0.04</v>
      </c>
      <c r="L981" s="14" t="n">
        <v>2.84</v>
      </c>
      <c r="M981" s="14" t="n">
        <v>8.869999999999999</v>
      </c>
      <c r="N981" s="14" t="n">
        <v>3.33</v>
      </c>
      <c r="O981" s="14" t="n">
        <v>2.61</v>
      </c>
      <c r="P981" s="14" t="n">
        <v>0.22</v>
      </c>
      <c r="Q981" s="14" t="n">
        <v>0.47</v>
      </c>
      <c r="R981" s="14" t="n">
        <v>0.01</v>
      </c>
      <c r="S981" s="14" t="n">
        <v>1.4</v>
      </c>
      <c r="T981" s="14" t="n">
        <v>0.6899999999999999</v>
      </c>
      <c r="U981" s="14" t="n">
        <v>2.52</v>
      </c>
      <c r="V981" s="14" t="n">
        <v>7.63</v>
      </c>
      <c r="W981" s="14" t="n">
        <v>1.2</v>
      </c>
      <c r="X981" s="14" t="n">
        <v>0.18</v>
      </c>
      <c r="Y981" s="14" t="n">
        <v>0.87</v>
      </c>
      <c r="Z981" s="14" t="n">
        <v>0.8100000000000001</v>
      </c>
      <c r="AA981" s="14" t="n">
        <v>0</v>
      </c>
    </row>
    <row r="982">
      <c r="A982" t="inlineStr">
        <is>
          <t>020101</t>
        </is>
      </c>
      <c r="B982" t="inlineStr">
        <is>
          <t>ANCASH</t>
        </is>
      </c>
      <c r="C982" t="inlineStr">
        <is>
          <t>HUARAZ</t>
        </is>
      </c>
      <c r="D982" t="inlineStr">
        <is>
          <t>HUARAZ</t>
        </is>
      </c>
      <c r="E982" t="n">
        <v>25376</v>
      </c>
      <c r="F982" s="14" t="n">
        <v>0</v>
      </c>
      <c r="G982" s="14" t="n">
        <v>7.7</v>
      </c>
      <c r="H982" s="14" t="n">
        <v>1</v>
      </c>
      <c r="I982" s="14" t="n">
        <v>5.16</v>
      </c>
      <c r="J982" s="14" t="n">
        <v>0.05</v>
      </c>
      <c r="K982" s="14" t="n">
        <v>0.22</v>
      </c>
      <c r="L982" s="14" t="n">
        <v>9.029999999999999</v>
      </c>
      <c r="M982" s="14" t="n">
        <v>21.02</v>
      </c>
      <c r="N982" s="14" t="n">
        <v>8.07</v>
      </c>
      <c r="O982" s="14" t="n">
        <v>8.029999999999999</v>
      </c>
      <c r="P982" s="14" t="n">
        <v>1.01</v>
      </c>
      <c r="Q982" s="14" t="n">
        <v>1.12</v>
      </c>
      <c r="R982" s="14" t="n">
        <v>0.11</v>
      </c>
      <c r="S982" s="14" t="n">
        <v>7.53</v>
      </c>
      <c r="T982" s="14" t="n">
        <v>2.69</v>
      </c>
      <c r="U982" s="14" t="n">
        <v>6.56</v>
      </c>
      <c r="V982" s="14" t="n">
        <v>10.61</v>
      </c>
      <c r="W982" s="14" t="n">
        <v>3.77</v>
      </c>
      <c r="X982" s="14" t="n">
        <v>1.55</v>
      </c>
      <c r="Y982" s="14" t="n">
        <v>3.26</v>
      </c>
      <c r="Z982" s="14" t="n">
        <v>1.51</v>
      </c>
      <c r="AA982" s="14" t="n">
        <v>0</v>
      </c>
    </row>
    <row r="983">
      <c r="A983" t="inlineStr">
        <is>
          <t>080906</t>
        </is>
      </c>
      <c r="B983" t="inlineStr">
        <is>
          <t>CUSCO</t>
        </is>
      </c>
      <c r="C983" t="inlineStr">
        <is>
          <t>LA CONVENCION</t>
        </is>
      </c>
      <c r="D983" t="inlineStr">
        <is>
          <t>QUELLOUNO</t>
        </is>
      </c>
      <c r="E983" t="n">
        <v>5527</v>
      </c>
      <c r="F983" s="14" t="n">
        <v>0</v>
      </c>
      <c r="G983" s="14" t="n">
        <v>82.69</v>
      </c>
      <c r="H983" s="14" t="n">
        <v>0.07000000000000001</v>
      </c>
      <c r="I983" s="14" t="n">
        <v>1.66</v>
      </c>
      <c r="J983" s="14" t="n">
        <v>0.05</v>
      </c>
      <c r="K983" s="14" t="n">
        <v>0</v>
      </c>
      <c r="L983" s="14" t="n">
        <v>1.36</v>
      </c>
      <c r="M983" s="14" t="n">
        <v>4.72</v>
      </c>
      <c r="N983" s="14" t="n">
        <v>1.01</v>
      </c>
      <c r="O983" s="14" t="n">
        <v>0.89</v>
      </c>
      <c r="P983" s="14" t="n">
        <v>0.02</v>
      </c>
      <c r="Q983" s="14" t="n">
        <v>0.05</v>
      </c>
      <c r="R983" s="14" t="n">
        <v>0</v>
      </c>
      <c r="S983" s="14" t="n">
        <v>1.83</v>
      </c>
      <c r="T983" s="14" t="n">
        <v>0.74</v>
      </c>
      <c r="U983" s="14" t="n">
        <v>1.19</v>
      </c>
      <c r="V983" s="14" t="n">
        <v>1.12</v>
      </c>
      <c r="W983" s="14" t="n">
        <v>0.72</v>
      </c>
      <c r="X983" s="14" t="n">
        <v>0.05</v>
      </c>
      <c r="Y983" s="14" t="n">
        <v>1.03</v>
      </c>
      <c r="Z983" s="14" t="n">
        <v>0.78</v>
      </c>
      <c r="AA983" s="14" t="n">
        <v>0</v>
      </c>
    </row>
    <row r="984">
      <c r="A984" t="inlineStr">
        <is>
          <t>060501</t>
        </is>
      </c>
      <c r="B984" t="inlineStr">
        <is>
          <t>CAJAMARCA</t>
        </is>
      </c>
      <c r="C984" t="inlineStr">
        <is>
          <t>CONTUMAZA</t>
        </is>
      </c>
      <c r="D984" t="inlineStr">
        <is>
          <t>CONTUMAZA</t>
        </is>
      </c>
      <c r="E984" t="n">
        <v>2474</v>
      </c>
      <c r="F984" s="14" t="n">
        <v>0</v>
      </c>
      <c r="G984" s="14" t="n">
        <v>56.35</v>
      </c>
      <c r="H984" s="14" t="n">
        <v>0.12</v>
      </c>
      <c r="I984" s="14" t="n">
        <v>4.65</v>
      </c>
      <c r="J984" s="14" t="n">
        <v>0.08</v>
      </c>
      <c r="K984" s="14" t="n">
        <v>0.08</v>
      </c>
      <c r="L984" s="14" t="n">
        <v>3.68</v>
      </c>
      <c r="M984" s="14" t="n">
        <v>5.66</v>
      </c>
      <c r="N984" s="14" t="n">
        <v>2.34</v>
      </c>
      <c r="O984" s="14" t="n">
        <v>1.82</v>
      </c>
      <c r="P984" s="14" t="n">
        <v>0.16</v>
      </c>
      <c r="Q984" s="14" t="n">
        <v>0.16</v>
      </c>
      <c r="R984" s="14" t="n">
        <v>0</v>
      </c>
      <c r="S984" s="14" t="n">
        <v>1.66</v>
      </c>
      <c r="T984" s="14" t="n">
        <v>1.25</v>
      </c>
      <c r="U984" s="14" t="n">
        <v>3.84</v>
      </c>
      <c r="V984" s="14" t="n">
        <v>13.1</v>
      </c>
      <c r="W984" s="14" t="n">
        <v>2.47</v>
      </c>
      <c r="X984" s="14" t="n">
        <v>0.24</v>
      </c>
      <c r="Y984" s="14" t="n">
        <v>1.66</v>
      </c>
      <c r="Z984" s="14" t="n">
        <v>0.6899999999999999</v>
      </c>
      <c r="AA984" s="14" t="n">
        <v>0</v>
      </c>
    </row>
    <row r="985">
      <c r="A985" t="inlineStr">
        <is>
          <t>030605</t>
        </is>
      </c>
      <c r="B985" t="inlineStr">
        <is>
          <t>APURIMAC</t>
        </is>
      </c>
      <c r="C985" t="inlineStr">
        <is>
          <t>CHINCHEROS</t>
        </is>
      </c>
      <c r="D985" t="inlineStr">
        <is>
          <t>OCOBAMBA</t>
        </is>
      </c>
      <c r="E985" t="n">
        <v>1878</v>
      </c>
      <c r="F985" s="14" t="n">
        <v>0</v>
      </c>
      <c r="G985" s="14" t="n">
        <v>78.38</v>
      </c>
      <c r="H985" s="14" t="n">
        <v>0.16</v>
      </c>
      <c r="I985" s="14" t="n">
        <v>0.64</v>
      </c>
      <c r="J985" s="14" t="n">
        <v>0</v>
      </c>
      <c r="K985" s="14" t="n">
        <v>0</v>
      </c>
      <c r="L985" s="14" t="n">
        <v>1.86</v>
      </c>
      <c r="M985" s="14" t="n">
        <v>5.27</v>
      </c>
      <c r="N985" s="14" t="n">
        <v>1.65</v>
      </c>
      <c r="O985" s="14" t="n">
        <v>0.96</v>
      </c>
      <c r="P985" s="14" t="n">
        <v>0.16</v>
      </c>
      <c r="Q985" s="14" t="n">
        <v>0</v>
      </c>
      <c r="R985" s="14" t="n">
        <v>0</v>
      </c>
      <c r="S985" s="14" t="n">
        <v>0.96</v>
      </c>
      <c r="T985" s="14" t="n">
        <v>0.11</v>
      </c>
      <c r="U985" s="14" t="n">
        <v>2.08</v>
      </c>
      <c r="V985" s="14" t="n">
        <v>4.85</v>
      </c>
      <c r="W985" s="14" t="n">
        <v>2.02</v>
      </c>
      <c r="X985" s="14" t="n">
        <v>0.16</v>
      </c>
      <c r="Y985" s="14" t="n">
        <v>0.48</v>
      </c>
      <c r="Z985" s="14" t="n">
        <v>0.27</v>
      </c>
      <c r="AA985" s="14" t="n">
        <v>0</v>
      </c>
    </row>
    <row r="986">
      <c r="A986" t="inlineStr">
        <is>
          <t>090117</t>
        </is>
      </c>
      <c r="B986" t="inlineStr">
        <is>
          <t>HUANCAVELICA</t>
        </is>
      </c>
      <c r="C986" t="inlineStr">
        <is>
          <t>HUANCAVELICA</t>
        </is>
      </c>
      <c r="D986" t="inlineStr">
        <is>
          <t>YAULI</t>
        </is>
      </c>
      <c r="E986" t="n">
        <v>4032</v>
      </c>
      <c r="F986" s="14" t="n">
        <v>0</v>
      </c>
      <c r="G986" s="14" t="n">
        <v>72.97</v>
      </c>
      <c r="H986" s="14" t="n">
        <v>1.19</v>
      </c>
      <c r="I986" s="14" t="n">
        <v>6.25</v>
      </c>
      <c r="J986" s="14" t="n">
        <v>0</v>
      </c>
      <c r="K986" s="14" t="n">
        <v>0.07000000000000001</v>
      </c>
      <c r="L986" s="14" t="n">
        <v>5.53</v>
      </c>
      <c r="M986" s="14" t="n">
        <v>5.41</v>
      </c>
      <c r="N986" s="14" t="n">
        <v>1.49</v>
      </c>
      <c r="O986" s="14" t="n">
        <v>0.97</v>
      </c>
      <c r="P986" s="14" t="n">
        <v>0.02</v>
      </c>
      <c r="Q986" s="14" t="n">
        <v>0.05</v>
      </c>
      <c r="R986" s="14" t="n">
        <v>0</v>
      </c>
      <c r="S986" s="14" t="n">
        <v>0.72</v>
      </c>
      <c r="T986" s="14" t="n">
        <v>0.35</v>
      </c>
      <c r="U986" s="14" t="n">
        <v>2.33</v>
      </c>
      <c r="V986" s="14" t="n">
        <v>1.29</v>
      </c>
      <c r="W986" s="14" t="n">
        <v>0.47</v>
      </c>
      <c r="X986" s="14" t="n">
        <v>0</v>
      </c>
      <c r="Y986" s="14" t="n">
        <v>0.52</v>
      </c>
      <c r="Z986" s="14" t="n">
        <v>0.37</v>
      </c>
      <c r="AA986" s="14" t="n">
        <v>0</v>
      </c>
    </row>
    <row r="987">
      <c r="A987" t="inlineStr">
        <is>
          <t>010701</t>
        </is>
      </c>
      <c r="B987" t="inlineStr">
        <is>
          <t>AMAZONAS</t>
        </is>
      </c>
      <c r="C987" t="inlineStr">
        <is>
          <t>UTCUBAMBA</t>
        </is>
      </c>
      <c r="D987" t="inlineStr">
        <is>
          <t>BAGUA GRANDE</t>
        </is>
      </c>
      <c r="E987" t="n">
        <v>19457</v>
      </c>
      <c r="F987" s="14" t="n">
        <v>0</v>
      </c>
      <c r="G987" s="14" t="n">
        <v>36.32</v>
      </c>
      <c r="H987" s="14" t="n">
        <v>0.06</v>
      </c>
      <c r="I987" s="14" t="n">
        <v>3.48</v>
      </c>
      <c r="J987" s="14" t="n">
        <v>0.07000000000000001</v>
      </c>
      <c r="K987" s="14" t="n">
        <v>0.13</v>
      </c>
      <c r="L987" s="14" t="n">
        <v>6.25</v>
      </c>
      <c r="M987" s="14" t="n">
        <v>15.56</v>
      </c>
      <c r="N987" s="14" t="n">
        <v>8.779999999999999</v>
      </c>
      <c r="O987" s="14" t="n">
        <v>5.77</v>
      </c>
      <c r="P987" s="14" t="n">
        <v>0.36</v>
      </c>
      <c r="Q987" s="14" t="n">
        <v>0.52</v>
      </c>
      <c r="R987" s="14" t="n">
        <v>0.06</v>
      </c>
      <c r="S987" s="14" t="n">
        <v>2.83</v>
      </c>
      <c r="T987" s="14" t="n">
        <v>1.51</v>
      </c>
      <c r="U987" s="14" t="n">
        <v>4.01</v>
      </c>
      <c r="V987" s="14" t="n">
        <v>7.82</v>
      </c>
      <c r="W987" s="14" t="n">
        <v>2.2</v>
      </c>
      <c r="X987" s="14" t="n">
        <v>0.47</v>
      </c>
      <c r="Y987" s="14" t="n">
        <v>2.35</v>
      </c>
      <c r="Z987" s="14" t="n">
        <v>1.43</v>
      </c>
      <c r="AA987" s="14" t="n">
        <v>0.02</v>
      </c>
    </row>
    <row r="988">
      <c r="A988" t="inlineStr">
        <is>
          <t>090401</t>
        </is>
      </c>
      <c r="B988" t="inlineStr">
        <is>
          <t>HUANCAVELICA</t>
        </is>
      </c>
      <c r="C988" t="inlineStr">
        <is>
          <t>CASTROVIRREYNA</t>
        </is>
      </c>
      <c r="D988" t="inlineStr">
        <is>
          <t>CASTROVIRREYNA</t>
        </is>
      </c>
      <c r="E988" t="n">
        <v>1119</v>
      </c>
      <c r="F988" s="14" t="n">
        <v>0</v>
      </c>
      <c r="G988" s="14" t="n">
        <v>43.97</v>
      </c>
      <c r="H988" s="14" t="n">
        <v>0.36</v>
      </c>
      <c r="I988" s="14" t="n">
        <v>0.45</v>
      </c>
      <c r="J988" s="14" t="n">
        <v>0.18</v>
      </c>
      <c r="K988" s="14" t="n">
        <v>0.09</v>
      </c>
      <c r="L988" s="14" t="n">
        <v>10.37</v>
      </c>
      <c r="M988" s="14" t="n">
        <v>8.76</v>
      </c>
      <c r="N988" s="14" t="n">
        <v>2.41</v>
      </c>
      <c r="O988" s="14" t="n">
        <v>2.77</v>
      </c>
      <c r="P988" s="14" t="n">
        <v>0</v>
      </c>
      <c r="Q988" s="14" t="n">
        <v>0.27</v>
      </c>
      <c r="R988" s="14" t="n">
        <v>0</v>
      </c>
      <c r="S988" s="14" t="n">
        <v>2.14</v>
      </c>
      <c r="T988" s="14" t="n">
        <v>0.63</v>
      </c>
      <c r="U988" s="14" t="n">
        <v>12.51</v>
      </c>
      <c r="V988" s="14" t="n">
        <v>10.46</v>
      </c>
      <c r="W988" s="14" t="n">
        <v>3.84</v>
      </c>
      <c r="X988" s="14" t="n">
        <v>0</v>
      </c>
      <c r="Y988" s="14" t="n">
        <v>0.63</v>
      </c>
      <c r="Z988" s="14" t="n">
        <v>0.18</v>
      </c>
      <c r="AA988" s="14" t="n">
        <v>0</v>
      </c>
    </row>
    <row r="989">
      <c r="A989" t="inlineStr">
        <is>
          <t>060101</t>
        </is>
      </c>
      <c r="B989" t="inlineStr">
        <is>
          <t>CAJAMARCA</t>
        </is>
      </c>
      <c r="C989" t="inlineStr">
        <is>
          <t>CAJAMARCA</t>
        </is>
      </c>
      <c r="D989" t="inlineStr">
        <is>
          <t>CAJAMARCA</t>
        </is>
      </c>
      <c r="E989" t="n">
        <v>86589</v>
      </c>
      <c r="F989" s="14" t="n">
        <v>0</v>
      </c>
      <c r="G989" s="14" t="n">
        <v>7.39</v>
      </c>
      <c r="H989" s="14" t="n">
        <v>2.46</v>
      </c>
      <c r="I989" s="14" t="n">
        <v>6.91</v>
      </c>
      <c r="J989" s="14" t="n">
        <v>0.09</v>
      </c>
      <c r="K989" s="14" t="n">
        <v>0.32</v>
      </c>
      <c r="L989" s="14" t="n">
        <v>8.949999999999999</v>
      </c>
      <c r="M989" s="14" t="n">
        <v>20.24</v>
      </c>
      <c r="N989" s="14" t="n">
        <v>9.220000000000001</v>
      </c>
      <c r="O989" s="14" t="n">
        <v>6.22</v>
      </c>
      <c r="P989" s="14" t="n">
        <v>1.09</v>
      </c>
      <c r="Q989" s="14" t="n">
        <v>1.09</v>
      </c>
      <c r="R989" s="14" t="n">
        <v>0.11</v>
      </c>
      <c r="S989" s="14" t="n">
        <v>7.56</v>
      </c>
      <c r="T989" s="14" t="n">
        <v>2.84</v>
      </c>
      <c r="U989" s="14" t="n">
        <v>5.57</v>
      </c>
      <c r="V989" s="14" t="n">
        <v>10.34</v>
      </c>
      <c r="W989" s="14" t="n">
        <v>3.83</v>
      </c>
      <c r="X989" s="14" t="n">
        <v>0.95</v>
      </c>
      <c r="Y989" s="14" t="n">
        <v>2.67</v>
      </c>
      <c r="Z989" s="14" t="n">
        <v>2.16</v>
      </c>
      <c r="AA989" s="14" t="n">
        <v>0</v>
      </c>
    </row>
    <row r="990">
      <c r="A990" t="inlineStr">
        <is>
          <t>050407</t>
        </is>
      </c>
      <c r="B990" t="inlineStr">
        <is>
          <t>AYACUCHO</t>
        </is>
      </c>
      <c r="C990" t="inlineStr">
        <is>
          <t>HUANTA</t>
        </is>
      </c>
      <c r="D990" t="inlineStr">
        <is>
          <t>SIVIA</t>
        </is>
      </c>
      <c r="E990" t="n">
        <v>4763</v>
      </c>
      <c r="F990" s="14" t="n">
        <v>0</v>
      </c>
      <c r="G990" s="14" t="n">
        <v>75.95999999999999</v>
      </c>
      <c r="H990" s="14" t="n">
        <v>0.06</v>
      </c>
      <c r="I990" s="14" t="n">
        <v>0.61</v>
      </c>
      <c r="J990" s="14" t="n">
        <v>0</v>
      </c>
      <c r="K990" s="14" t="n">
        <v>0.02</v>
      </c>
      <c r="L990" s="14" t="n">
        <v>2.04</v>
      </c>
      <c r="M990" s="14" t="n">
        <v>8.84</v>
      </c>
      <c r="N990" s="14" t="n">
        <v>1.99</v>
      </c>
      <c r="O990" s="14" t="n">
        <v>2.96</v>
      </c>
      <c r="P990" s="14" t="n">
        <v>0.1</v>
      </c>
      <c r="Q990" s="14" t="n">
        <v>0.15</v>
      </c>
      <c r="R990" s="14" t="n">
        <v>0</v>
      </c>
      <c r="S990" s="14" t="n">
        <v>0.61</v>
      </c>
      <c r="T990" s="14" t="n">
        <v>0.25</v>
      </c>
      <c r="U990" s="14" t="n">
        <v>2.02</v>
      </c>
      <c r="V990" s="14" t="n">
        <v>2.29</v>
      </c>
      <c r="W990" s="14" t="n">
        <v>1.07</v>
      </c>
      <c r="X990" s="14" t="n">
        <v>0.15</v>
      </c>
      <c r="Y990" s="14" t="n">
        <v>0.76</v>
      </c>
      <c r="Z990" s="14" t="n">
        <v>0.13</v>
      </c>
      <c r="AA990" s="14" t="n">
        <v>0</v>
      </c>
    </row>
    <row r="991">
      <c r="A991" t="inlineStr">
        <is>
          <t>060904</t>
        </is>
      </c>
      <c r="B991" t="inlineStr">
        <is>
          <t>CAJAMARCA</t>
        </is>
      </c>
      <c r="C991" t="inlineStr">
        <is>
          <t>SAN IGNACIO</t>
        </is>
      </c>
      <c r="D991" t="inlineStr">
        <is>
          <t>LA COIPA</t>
        </is>
      </c>
      <c r="E991" t="n">
        <v>7045</v>
      </c>
      <c r="F991" s="14" t="n">
        <v>0</v>
      </c>
      <c r="G991" s="14" t="n">
        <v>89.14</v>
      </c>
      <c r="H991" s="14" t="n">
        <v>0.06</v>
      </c>
      <c r="I991" s="14" t="n">
        <v>0.53</v>
      </c>
      <c r="J991" s="14" t="n">
        <v>0</v>
      </c>
      <c r="K991" s="14" t="n">
        <v>0.01</v>
      </c>
      <c r="L991" s="14" t="n">
        <v>0.64</v>
      </c>
      <c r="M991" s="14" t="n">
        <v>2.97</v>
      </c>
      <c r="N991" s="14" t="n">
        <v>1.06</v>
      </c>
      <c r="O991" s="14" t="n">
        <v>0.71</v>
      </c>
      <c r="P991" s="14" t="n">
        <v>0.07000000000000001</v>
      </c>
      <c r="Q991" s="14" t="n">
        <v>0</v>
      </c>
      <c r="R991" s="14" t="n">
        <v>0</v>
      </c>
      <c r="S991" s="14" t="n">
        <v>0.17</v>
      </c>
      <c r="T991" s="14" t="n">
        <v>0.13</v>
      </c>
      <c r="U991" s="14" t="n">
        <v>0.72</v>
      </c>
      <c r="V991" s="14" t="n">
        <v>2.6</v>
      </c>
      <c r="W991" s="14" t="n">
        <v>0.74</v>
      </c>
      <c r="X991" s="14" t="n">
        <v>0</v>
      </c>
      <c r="Y991" s="14" t="n">
        <v>0.21</v>
      </c>
      <c r="Z991" s="14" t="n">
        <v>0.24</v>
      </c>
      <c r="AA991" s="14" t="n">
        <v>0</v>
      </c>
    </row>
    <row r="992">
      <c r="A992" t="inlineStr">
        <is>
          <t>060301</t>
        </is>
      </c>
      <c r="B992" t="inlineStr">
        <is>
          <t>CAJAMARCA</t>
        </is>
      </c>
      <c r="C992" t="inlineStr">
        <is>
          <t>CELENDIN</t>
        </is>
      </c>
      <c r="D992" t="inlineStr">
        <is>
          <t>CELENDIN</t>
        </is>
      </c>
      <c r="E992" t="n">
        <v>9639</v>
      </c>
      <c r="F992" s="14" t="n">
        <v>0</v>
      </c>
      <c r="G992" s="14" t="n">
        <v>25.98</v>
      </c>
      <c r="H992" s="14" t="n">
        <v>0.17</v>
      </c>
      <c r="I992" s="14" t="n">
        <v>9.07</v>
      </c>
      <c r="J992" s="14" t="n">
        <v>0.03</v>
      </c>
      <c r="K992" s="14" t="n">
        <v>0.07000000000000001</v>
      </c>
      <c r="L992" s="14" t="n">
        <v>6.71</v>
      </c>
      <c r="M992" s="14" t="n">
        <v>16.28</v>
      </c>
      <c r="N992" s="14" t="n">
        <v>6.26</v>
      </c>
      <c r="O992" s="14" t="n">
        <v>4.12</v>
      </c>
      <c r="P992" s="14" t="n">
        <v>0.35</v>
      </c>
      <c r="Q992" s="14" t="n">
        <v>0.62</v>
      </c>
      <c r="R992" s="14" t="n">
        <v>0.04</v>
      </c>
      <c r="S992" s="14" t="n">
        <v>2.71</v>
      </c>
      <c r="T992" s="14" t="n">
        <v>0.95</v>
      </c>
      <c r="U992" s="14" t="n">
        <v>3.53</v>
      </c>
      <c r="V992" s="14" t="n">
        <v>16.39</v>
      </c>
      <c r="W992" s="14" t="n">
        <v>1.87</v>
      </c>
      <c r="X992" s="14" t="n">
        <v>0.4</v>
      </c>
      <c r="Y992" s="14" t="n">
        <v>2.7</v>
      </c>
      <c r="Z992" s="14" t="n">
        <v>1.75</v>
      </c>
      <c r="AA992" s="14" t="n">
        <v>0</v>
      </c>
    </row>
    <row r="993">
      <c r="A993" t="inlineStr">
        <is>
          <t>090118</t>
        </is>
      </c>
      <c r="B993" t="inlineStr">
        <is>
          <t>HUANCAVELICA</t>
        </is>
      </c>
      <c r="C993" t="inlineStr">
        <is>
          <t>HUANCAVELICA</t>
        </is>
      </c>
      <c r="D993" t="inlineStr">
        <is>
          <t>ASCENSION</t>
        </is>
      </c>
      <c r="E993" t="n">
        <v>5383</v>
      </c>
      <c r="F993" s="14" t="n">
        <v>0</v>
      </c>
      <c r="G993" s="14" t="n">
        <v>15.33</v>
      </c>
      <c r="H993" s="14" t="n">
        <v>0.63</v>
      </c>
      <c r="I993" s="14" t="n">
        <v>5.7</v>
      </c>
      <c r="J993" s="14" t="n">
        <v>0.15</v>
      </c>
      <c r="K993" s="14" t="n">
        <v>0.15</v>
      </c>
      <c r="L993" s="14" t="n">
        <v>10.27</v>
      </c>
      <c r="M993" s="14" t="n">
        <v>14.58</v>
      </c>
      <c r="N993" s="14" t="n">
        <v>4.89</v>
      </c>
      <c r="O993" s="14" t="n">
        <v>5.35</v>
      </c>
      <c r="P993" s="14" t="n">
        <v>0.78</v>
      </c>
      <c r="Q993" s="14" t="n">
        <v>0.6899999999999999</v>
      </c>
      <c r="R993" s="14" t="n">
        <v>0.04</v>
      </c>
      <c r="S993" s="14" t="n">
        <v>5.48</v>
      </c>
      <c r="T993" s="14" t="n">
        <v>2.19</v>
      </c>
      <c r="U993" s="14" t="n">
        <v>9.880000000000001</v>
      </c>
      <c r="V993" s="14" t="n">
        <v>13.51</v>
      </c>
      <c r="W993" s="14" t="n">
        <v>5.59</v>
      </c>
      <c r="X993" s="14" t="n">
        <v>0.43</v>
      </c>
      <c r="Y993" s="14" t="n">
        <v>2.69</v>
      </c>
      <c r="Z993" s="14" t="n">
        <v>1.67</v>
      </c>
      <c r="AA993" s="14" t="n">
        <v>0</v>
      </c>
    </row>
    <row r="994">
      <c r="A994" t="inlineStr">
        <is>
          <t>080910</t>
        </is>
      </c>
      <c r="B994" t="inlineStr">
        <is>
          <t>CUSCO</t>
        </is>
      </c>
      <c r="C994" t="inlineStr">
        <is>
          <t>LA CONVENCION</t>
        </is>
      </c>
      <c r="D994" t="inlineStr">
        <is>
          <t>PICHARI</t>
        </is>
      </c>
      <c r="E994" t="n">
        <v>9914</v>
      </c>
      <c r="F994" s="14" t="n">
        <v>0</v>
      </c>
      <c r="G994" s="14" t="n">
        <v>44.54</v>
      </c>
      <c r="H994" s="14" t="n">
        <v>0.06</v>
      </c>
      <c r="I994" s="14" t="n">
        <v>1.89</v>
      </c>
      <c r="J994" s="14" t="n">
        <v>0.01</v>
      </c>
      <c r="K994" s="14" t="n">
        <v>0.05</v>
      </c>
      <c r="L994" s="14" t="n">
        <v>4.62</v>
      </c>
      <c r="M994" s="14" t="n">
        <v>12.84</v>
      </c>
      <c r="N994" s="14" t="n">
        <v>4.49</v>
      </c>
      <c r="O994" s="14" t="n">
        <v>6.08</v>
      </c>
      <c r="P994" s="14" t="n">
        <v>0.28</v>
      </c>
      <c r="Q994" s="14" t="n">
        <v>0.39</v>
      </c>
      <c r="R994" s="14" t="n">
        <v>0</v>
      </c>
      <c r="S994" s="14" t="n">
        <v>1.55</v>
      </c>
      <c r="T994" s="14" t="n">
        <v>0.85</v>
      </c>
      <c r="U994" s="14" t="n">
        <v>14.3</v>
      </c>
      <c r="V994" s="14" t="n">
        <v>4.17</v>
      </c>
      <c r="W994" s="14" t="n">
        <v>1.61</v>
      </c>
      <c r="X994" s="14" t="n">
        <v>0.27</v>
      </c>
      <c r="Y994" s="14" t="n">
        <v>1.62</v>
      </c>
      <c r="Z994" s="14" t="n">
        <v>0.36</v>
      </c>
      <c r="AA994" s="14" t="n">
        <v>0</v>
      </c>
    </row>
    <row r="995">
      <c r="A995" t="inlineStr">
        <is>
          <t>090706</t>
        </is>
      </c>
      <c r="B995" t="inlineStr">
        <is>
          <t>HUANCAVELICA</t>
        </is>
      </c>
      <c r="C995" t="inlineStr">
        <is>
          <t>TAYACAJA</t>
        </is>
      </c>
      <c r="D995" t="inlineStr">
        <is>
          <t>DANIEL HERNANDEZ</t>
        </is>
      </c>
      <c r="E995" t="n">
        <v>3339</v>
      </c>
      <c r="F995" s="14" t="n">
        <v>0</v>
      </c>
      <c r="G995" s="14" t="n">
        <v>64.09</v>
      </c>
      <c r="H995" s="14" t="n">
        <v>0.06</v>
      </c>
      <c r="I995" s="14" t="n">
        <v>1.23</v>
      </c>
      <c r="J995" s="14" t="n">
        <v>0.03</v>
      </c>
      <c r="K995" s="14" t="n">
        <v>0.12</v>
      </c>
      <c r="L995" s="14" t="n">
        <v>3.53</v>
      </c>
      <c r="M995" s="14" t="n">
        <v>9.19</v>
      </c>
      <c r="N995" s="14" t="n">
        <v>4.04</v>
      </c>
      <c r="O995" s="14" t="n">
        <v>2.88</v>
      </c>
      <c r="P995" s="14" t="n">
        <v>0.3</v>
      </c>
      <c r="Q995" s="14" t="n">
        <v>0.06</v>
      </c>
      <c r="R995" s="14" t="n">
        <v>0</v>
      </c>
      <c r="S995" s="14" t="n">
        <v>0.78</v>
      </c>
      <c r="T995" s="14" t="n">
        <v>0.54</v>
      </c>
      <c r="U995" s="14" t="n">
        <v>7.07</v>
      </c>
      <c r="V995" s="14" t="n">
        <v>3.14</v>
      </c>
      <c r="W995" s="14" t="n">
        <v>1.05</v>
      </c>
      <c r="X995" s="14" t="n">
        <v>0.24</v>
      </c>
      <c r="Y995" s="14" t="n">
        <v>1.11</v>
      </c>
      <c r="Z995" s="14" t="n">
        <v>0.54</v>
      </c>
      <c r="AA995" s="14" t="n">
        <v>0</v>
      </c>
    </row>
    <row r="996">
      <c r="A996" t="inlineStr">
        <is>
          <t>060906</t>
        </is>
      </c>
      <c r="B996" t="inlineStr">
        <is>
          <t>CAJAMARCA</t>
        </is>
      </c>
      <c r="C996" t="inlineStr">
        <is>
          <t>SAN IGNACIO</t>
        </is>
      </c>
      <c r="D996" t="inlineStr">
        <is>
          <t>SAN JOSE DE LOURDES</t>
        </is>
      </c>
      <c r="E996" t="n">
        <v>6347</v>
      </c>
      <c r="F996" s="14" t="n">
        <v>0</v>
      </c>
      <c r="G996" s="14" t="n">
        <v>88.45</v>
      </c>
      <c r="H996" s="14" t="n">
        <v>0.02</v>
      </c>
      <c r="I996" s="14" t="n">
        <v>0.46</v>
      </c>
      <c r="J996" s="14" t="n">
        <v>0.06</v>
      </c>
      <c r="K996" s="14" t="n">
        <v>0.02</v>
      </c>
      <c r="L996" s="14" t="n">
        <v>0.49</v>
      </c>
      <c r="M996" s="14" t="n">
        <v>3.7</v>
      </c>
      <c r="N996" s="14" t="n">
        <v>1.07</v>
      </c>
      <c r="O996" s="14" t="n">
        <v>0.85</v>
      </c>
      <c r="P996" s="14" t="n">
        <v>0</v>
      </c>
      <c r="Q996" s="14" t="n">
        <v>0.02</v>
      </c>
      <c r="R996" s="14" t="n">
        <v>0.02</v>
      </c>
      <c r="S996" s="14" t="n">
        <v>0.28</v>
      </c>
      <c r="T996" s="14" t="n">
        <v>0.09</v>
      </c>
      <c r="U996" s="14" t="n">
        <v>1.28</v>
      </c>
      <c r="V996" s="14" t="n">
        <v>2.13</v>
      </c>
      <c r="W996" s="14" t="n">
        <v>0.5</v>
      </c>
      <c r="X996" s="14" t="n">
        <v>0</v>
      </c>
      <c r="Y996" s="14" t="n">
        <v>0.33</v>
      </c>
      <c r="Z996" s="14" t="n">
        <v>0.24</v>
      </c>
      <c r="AA996" s="14" t="n">
        <v>0</v>
      </c>
    </row>
    <row r="997">
      <c r="A997" t="inlineStr">
        <is>
          <t>080909</t>
        </is>
      </c>
      <c r="B997" t="inlineStr">
        <is>
          <t>CUSCO</t>
        </is>
      </c>
      <c r="C997" t="inlineStr">
        <is>
          <t>LA CONVENCION</t>
        </is>
      </c>
      <c r="D997" t="inlineStr">
        <is>
          <t>VILCABAMBA</t>
        </is>
      </c>
      <c r="E997" t="n">
        <v>3276</v>
      </c>
      <c r="F997" s="14" t="n">
        <v>0</v>
      </c>
      <c r="G997" s="14" t="n">
        <v>74.73</v>
      </c>
      <c r="H997" s="14" t="n">
        <v>0.21</v>
      </c>
      <c r="I997" s="14" t="n">
        <v>2.75</v>
      </c>
      <c r="J997" s="14" t="n">
        <v>0.06</v>
      </c>
      <c r="K997" s="14" t="n">
        <v>0.06</v>
      </c>
      <c r="L997" s="14" t="n">
        <v>3.42</v>
      </c>
      <c r="M997" s="14" t="n">
        <v>6.62</v>
      </c>
      <c r="N997" s="14" t="n">
        <v>1.4</v>
      </c>
      <c r="O997" s="14" t="n">
        <v>1.92</v>
      </c>
      <c r="P997" s="14" t="n">
        <v>0.18</v>
      </c>
      <c r="Q997" s="14" t="n">
        <v>0.06</v>
      </c>
      <c r="R997" s="14" t="n">
        <v>0</v>
      </c>
      <c r="S997" s="14" t="n">
        <v>1.4</v>
      </c>
      <c r="T997" s="14" t="n">
        <v>0.43</v>
      </c>
      <c r="U997" s="14" t="n">
        <v>1.16</v>
      </c>
      <c r="V997" s="14" t="n">
        <v>3.05</v>
      </c>
      <c r="W997" s="14" t="n">
        <v>0.85</v>
      </c>
      <c r="X997" s="14" t="n">
        <v>0</v>
      </c>
      <c r="Y997" s="14" t="n">
        <v>0.95</v>
      </c>
      <c r="Z997" s="14" t="n">
        <v>0.73</v>
      </c>
      <c r="AA997" s="14" t="n">
        <v>0</v>
      </c>
    </row>
    <row r="998">
      <c r="A998" t="inlineStr">
        <is>
          <t>061101</t>
        </is>
      </c>
      <c r="B998" t="inlineStr">
        <is>
          <t>CAJAMARCA</t>
        </is>
      </c>
      <c r="C998" t="inlineStr">
        <is>
          <t>SAN MIGUEL</t>
        </is>
      </c>
      <c r="D998" t="inlineStr">
        <is>
          <t>SAN MIGUEL</t>
        </is>
      </c>
      <c r="E998" t="n">
        <v>4640</v>
      </c>
      <c r="F998" s="14" t="n">
        <v>0</v>
      </c>
      <c r="G998" s="14" t="n">
        <v>55.93</v>
      </c>
      <c r="H998" s="14" t="n">
        <v>0.17</v>
      </c>
      <c r="I998" s="14" t="n">
        <v>6.12</v>
      </c>
      <c r="J998" s="14" t="n">
        <v>0.02</v>
      </c>
      <c r="K998" s="14" t="n">
        <v>0.02</v>
      </c>
      <c r="L998" s="14" t="n">
        <v>3.45</v>
      </c>
      <c r="M998" s="14" t="n">
        <v>7.56</v>
      </c>
      <c r="N998" s="14" t="n">
        <v>2.95</v>
      </c>
      <c r="O998" s="14" t="n">
        <v>2.41</v>
      </c>
      <c r="P998" s="14" t="n">
        <v>0.28</v>
      </c>
      <c r="Q998" s="14" t="n">
        <v>0.37</v>
      </c>
      <c r="R998" s="14" t="n">
        <v>0</v>
      </c>
      <c r="S998" s="14" t="n">
        <v>2.26</v>
      </c>
      <c r="T998" s="14" t="n">
        <v>1.06</v>
      </c>
      <c r="U998" s="14" t="n">
        <v>2.52</v>
      </c>
      <c r="V998" s="14" t="n">
        <v>10.65</v>
      </c>
      <c r="W998" s="14" t="n">
        <v>1.75</v>
      </c>
      <c r="X998" s="14" t="n">
        <v>0.11</v>
      </c>
      <c r="Y998" s="14" t="n">
        <v>1.51</v>
      </c>
      <c r="Z998" s="14" t="n">
        <v>0.86</v>
      </c>
      <c r="AA998" s="14" t="n">
        <v>0</v>
      </c>
    </row>
    <row r="999">
      <c r="A999" t="inlineStr">
        <is>
          <t>060602</t>
        </is>
      </c>
      <c r="B999" t="inlineStr">
        <is>
          <t>CAJAMARCA</t>
        </is>
      </c>
      <c r="C999" t="inlineStr">
        <is>
          <t>CUTERVO</t>
        </is>
      </c>
      <c r="D999" t="inlineStr">
        <is>
          <t>CALLAYUC</t>
        </is>
      </c>
      <c r="E999" t="n">
        <v>3277</v>
      </c>
      <c r="F999" s="14" t="n">
        <v>0</v>
      </c>
      <c r="G999" s="14" t="n">
        <v>81.75</v>
      </c>
      <c r="H999" s="14" t="n">
        <v>0.34</v>
      </c>
      <c r="I999" s="14" t="n">
        <v>0.61</v>
      </c>
      <c r="J999" s="14" t="n">
        <v>0</v>
      </c>
      <c r="K999" s="14" t="n">
        <v>0</v>
      </c>
      <c r="L999" s="14" t="n">
        <v>5.19</v>
      </c>
      <c r="M999" s="14" t="n">
        <v>3.42</v>
      </c>
      <c r="N999" s="14" t="n">
        <v>1.07</v>
      </c>
      <c r="O999" s="14" t="n">
        <v>1.13</v>
      </c>
      <c r="P999" s="14" t="n">
        <v>0</v>
      </c>
      <c r="Q999" s="14" t="n">
        <v>0</v>
      </c>
      <c r="R999" s="14" t="n">
        <v>0</v>
      </c>
      <c r="S999" s="14" t="n">
        <v>0.27</v>
      </c>
      <c r="T999" s="14" t="n">
        <v>0.4</v>
      </c>
      <c r="U999" s="14" t="n">
        <v>0.98</v>
      </c>
      <c r="V999" s="14" t="n">
        <v>2.47</v>
      </c>
      <c r="W999" s="14" t="n">
        <v>1.46</v>
      </c>
      <c r="X999" s="14" t="n">
        <v>0.24</v>
      </c>
      <c r="Y999" s="14" t="n">
        <v>0.49</v>
      </c>
      <c r="Z999" s="14" t="n">
        <v>0.18</v>
      </c>
      <c r="AA999" s="14" t="n">
        <v>0</v>
      </c>
    </row>
    <row r="1000">
      <c r="A1000" t="inlineStr">
        <is>
          <t>021014</t>
        </is>
      </c>
      <c r="B1000" t="inlineStr">
        <is>
          <t>ANCASH</t>
        </is>
      </c>
      <c r="C1000" t="inlineStr">
        <is>
          <t>HUARI</t>
        </is>
      </c>
      <c r="D1000" t="inlineStr">
        <is>
          <t>SAN MARCOS</t>
        </is>
      </c>
      <c r="E1000" t="n">
        <v>7093</v>
      </c>
      <c r="F1000" s="14" t="n">
        <v>0</v>
      </c>
      <c r="G1000" s="14" t="n">
        <v>17.23</v>
      </c>
      <c r="H1000" s="14" t="n">
        <v>26.35</v>
      </c>
      <c r="I1000" s="14" t="n">
        <v>3.81</v>
      </c>
      <c r="J1000" s="14" t="n">
        <v>0.18</v>
      </c>
      <c r="K1000" s="14" t="n">
        <v>0.25</v>
      </c>
      <c r="L1000" s="14" t="n">
        <v>21.78</v>
      </c>
      <c r="M1000" s="14" t="n">
        <v>5.77</v>
      </c>
      <c r="N1000" s="14" t="n">
        <v>5.58</v>
      </c>
      <c r="O1000" s="14" t="n">
        <v>6.75</v>
      </c>
      <c r="P1000" s="14" t="n">
        <v>0.23</v>
      </c>
      <c r="Q1000" s="14" t="n">
        <v>0.03</v>
      </c>
      <c r="R1000" s="14" t="n">
        <v>0</v>
      </c>
      <c r="S1000" s="14" t="n">
        <v>2.42</v>
      </c>
      <c r="T1000" s="14" t="n">
        <v>3.31</v>
      </c>
      <c r="U1000" s="14" t="n">
        <v>1.55</v>
      </c>
      <c r="V1000" s="14" t="n">
        <v>2.14</v>
      </c>
      <c r="W1000" s="14" t="n">
        <v>0.65</v>
      </c>
      <c r="X1000" s="14" t="n">
        <v>0.23</v>
      </c>
      <c r="Y1000" s="14" t="n">
        <v>1.58</v>
      </c>
      <c r="Z1000" s="14" t="n">
        <v>0.16</v>
      </c>
      <c r="AA1000" s="14" t="n">
        <v>0</v>
      </c>
    </row>
    <row r="1001">
      <c r="A1001" t="inlineStr">
        <is>
          <t>090106</t>
        </is>
      </c>
      <c r="B1001" t="inlineStr">
        <is>
          <t>HUANCAVELICA</t>
        </is>
      </c>
      <c r="C1001" t="inlineStr">
        <is>
          <t>HUANCAVELICA</t>
        </is>
      </c>
      <c r="D1001" t="inlineStr">
        <is>
          <t>HUACHOCOLPA</t>
        </is>
      </c>
      <c r="E1001" t="n">
        <v>728</v>
      </c>
      <c r="F1001" s="14" t="n">
        <v>0</v>
      </c>
      <c r="G1001" s="14" t="n">
        <v>39.84</v>
      </c>
      <c r="H1001" s="14" t="n">
        <v>30.63</v>
      </c>
      <c r="I1001" s="14" t="n">
        <v>0.96</v>
      </c>
      <c r="J1001" s="14" t="n">
        <v>0</v>
      </c>
      <c r="K1001" s="14" t="n">
        <v>0.27</v>
      </c>
      <c r="L1001" s="14" t="n">
        <v>10.85</v>
      </c>
      <c r="M1001" s="14" t="n">
        <v>4.12</v>
      </c>
      <c r="N1001" s="14" t="n">
        <v>2.88</v>
      </c>
      <c r="O1001" s="14" t="n">
        <v>3.3</v>
      </c>
      <c r="P1001" s="14" t="n">
        <v>0</v>
      </c>
      <c r="Q1001" s="14" t="n">
        <v>0</v>
      </c>
      <c r="R1001" s="14" t="n">
        <v>0.14</v>
      </c>
      <c r="S1001" s="14" t="n">
        <v>1.51</v>
      </c>
      <c r="T1001" s="14" t="n">
        <v>1.24</v>
      </c>
      <c r="U1001" s="14" t="n">
        <v>1.79</v>
      </c>
      <c r="V1001" s="14" t="n">
        <v>0.55</v>
      </c>
      <c r="W1001" s="14" t="n">
        <v>0.55</v>
      </c>
      <c r="X1001" s="14" t="n">
        <v>0.14</v>
      </c>
      <c r="Y1001" s="14" t="n">
        <v>1.24</v>
      </c>
      <c r="Z1001" s="14" t="n">
        <v>0</v>
      </c>
      <c r="AA1001" s="14" t="n">
        <v>0</v>
      </c>
    </row>
    <row r="1002">
      <c r="A1002" t="inlineStr">
        <is>
          <t>090201</t>
        </is>
      </c>
      <c r="B1002" t="inlineStr">
        <is>
          <t>HUANCAVELICA</t>
        </is>
      </c>
      <c r="C1002" t="inlineStr">
        <is>
          <t>ACOBAMBA</t>
        </is>
      </c>
      <c r="D1002" t="inlineStr">
        <is>
          <t>ACOBAMBA</t>
        </is>
      </c>
      <c r="E1002" t="n">
        <v>3581</v>
      </c>
      <c r="F1002" s="14" t="n">
        <v>0</v>
      </c>
      <c r="G1002" s="14" t="n">
        <v>57.08</v>
      </c>
      <c r="H1002" s="14" t="n">
        <v>0.06</v>
      </c>
      <c r="I1002" s="14" t="n">
        <v>1.82</v>
      </c>
      <c r="J1002" s="14" t="n">
        <v>0</v>
      </c>
      <c r="K1002" s="14" t="n">
        <v>0.14</v>
      </c>
      <c r="L1002" s="14" t="n">
        <v>3.94</v>
      </c>
      <c r="M1002" s="14" t="n">
        <v>9.220000000000001</v>
      </c>
      <c r="N1002" s="14" t="n">
        <v>2.18</v>
      </c>
      <c r="O1002" s="14" t="n">
        <v>3.6</v>
      </c>
      <c r="P1002" s="14" t="n">
        <v>0.25</v>
      </c>
      <c r="Q1002" s="14" t="n">
        <v>0.34</v>
      </c>
      <c r="R1002" s="14" t="n">
        <v>0.03</v>
      </c>
      <c r="S1002" s="14" t="n">
        <v>1.7</v>
      </c>
      <c r="T1002" s="14" t="n">
        <v>0.95</v>
      </c>
      <c r="U1002" s="14" t="n">
        <v>5.14</v>
      </c>
      <c r="V1002" s="14" t="n">
        <v>9.630000000000001</v>
      </c>
      <c r="W1002" s="14" t="n">
        <v>2.49</v>
      </c>
      <c r="X1002" s="14" t="n">
        <v>0.14</v>
      </c>
      <c r="Y1002" s="14" t="n">
        <v>0.89</v>
      </c>
      <c r="Z1002" s="14" t="n">
        <v>0.42</v>
      </c>
      <c r="AA1002" s="14" t="n">
        <v>0</v>
      </c>
    </row>
    <row r="1003">
      <c r="A1003" t="inlineStr">
        <is>
          <t>090301</t>
        </is>
      </c>
      <c r="B1003" t="inlineStr">
        <is>
          <t>HUANCAVELICA</t>
        </is>
      </c>
      <c r="C1003" t="inlineStr">
        <is>
          <t>ANGARAES</t>
        </is>
      </c>
      <c r="D1003" t="inlineStr">
        <is>
          <t>LIRCAY</t>
        </is>
      </c>
      <c r="E1003" t="n">
        <v>5864</v>
      </c>
      <c r="F1003" s="14" t="n">
        <v>0</v>
      </c>
      <c r="G1003" s="14" t="n">
        <v>40.11</v>
      </c>
      <c r="H1003" s="14" t="n">
        <v>6.22</v>
      </c>
      <c r="I1003" s="14" t="n">
        <v>2.05</v>
      </c>
      <c r="J1003" s="14" t="n">
        <v>0.05</v>
      </c>
      <c r="K1003" s="14" t="n">
        <v>0.03</v>
      </c>
      <c r="L1003" s="14" t="n">
        <v>7.42</v>
      </c>
      <c r="M1003" s="14" t="n">
        <v>12.31</v>
      </c>
      <c r="N1003" s="14" t="n">
        <v>3.82</v>
      </c>
      <c r="O1003" s="14" t="n">
        <v>3</v>
      </c>
      <c r="P1003" s="14" t="n">
        <v>0.31</v>
      </c>
      <c r="Q1003" s="14" t="n">
        <v>0.32</v>
      </c>
      <c r="R1003" s="14" t="n">
        <v>0</v>
      </c>
      <c r="S1003" s="14" t="n">
        <v>1.67</v>
      </c>
      <c r="T1003" s="14" t="n">
        <v>1.14</v>
      </c>
      <c r="U1003" s="14" t="n">
        <v>4.6</v>
      </c>
      <c r="V1003" s="14" t="n">
        <v>11.89</v>
      </c>
      <c r="W1003" s="14" t="n">
        <v>2.49</v>
      </c>
      <c r="X1003" s="14" t="n">
        <v>0.32</v>
      </c>
      <c r="Y1003" s="14" t="n">
        <v>1.53</v>
      </c>
      <c r="Z1003" s="14" t="n">
        <v>0.7</v>
      </c>
      <c r="AA1003" s="14" t="n">
        <v>0</v>
      </c>
    </row>
    <row r="1004">
      <c r="A1004" t="inlineStr">
        <is>
          <t>090701</t>
        </is>
      </c>
      <c r="B1004" t="inlineStr">
        <is>
          <t>HUANCAVELICA</t>
        </is>
      </c>
      <c r="C1004" t="inlineStr">
        <is>
          <t>TAYACAJA</t>
        </is>
      </c>
      <c r="D1004" t="inlineStr">
        <is>
          <t>PAMPAS</t>
        </is>
      </c>
      <c r="E1004" t="n">
        <v>3892</v>
      </c>
      <c r="F1004" s="14" t="n">
        <v>0</v>
      </c>
      <c r="G1004" s="14" t="n">
        <v>39</v>
      </c>
      <c r="H1004" s="14" t="n">
        <v>0.13</v>
      </c>
      <c r="I1004" s="14" t="n">
        <v>1.67</v>
      </c>
      <c r="J1004" s="14" t="n">
        <v>0.18</v>
      </c>
      <c r="K1004" s="14" t="n">
        <v>0.05</v>
      </c>
      <c r="L1004" s="14" t="n">
        <v>4.78</v>
      </c>
      <c r="M1004" s="14" t="n">
        <v>16.47</v>
      </c>
      <c r="N1004" s="14" t="n">
        <v>4.06</v>
      </c>
      <c r="O1004" s="14" t="n">
        <v>5.19</v>
      </c>
      <c r="P1004" s="14" t="n">
        <v>0.36</v>
      </c>
      <c r="Q1004" s="14" t="n">
        <v>0.49</v>
      </c>
      <c r="R1004" s="14" t="n">
        <v>0</v>
      </c>
      <c r="S1004" s="14" t="n">
        <v>3.83</v>
      </c>
      <c r="T1004" s="14" t="n">
        <v>1.31</v>
      </c>
      <c r="U1004" s="14" t="n">
        <v>5.88</v>
      </c>
      <c r="V1004" s="14" t="n">
        <v>9.789999999999999</v>
      </c>
      <c r="W1004" s="14" t="n">
        <v>4.75</v>
      </c>
      <c r="X1004" s="14" t="n">
        <v>0.64</v>
      </c>
      <c r="Y1004" s="14" t="n">
        <v>1.1</v>
      </c>
      <c r="Z1004" s="14" t="n">
        <v>0.31</v>
      </c>
      <c r="AA1004" s="14" t="n">
        <v>0</v>
      </c>
    </row>
    <row r="1005">
      <c r="A1005" t="inlineStr">
        <is>
          <t>090711</t>
        </is>
      </c>
      <c r="B1005" t="inlineStr">
        <is>
          <t>HUANCAVELICA</t>
        </is>
      </c>
      <c r="C1005" t="inlineStr">
        <is>
          <t>TAYACAJA</t>
        </is>
      </c>
      <c r="D1005" t="inlineStr">
        <is>
          <t>PAZOS</t>
        </is>
      </c>
      <c r="E1005" t="n">
        <v>2138</v>
      </c>
      <c r="F1005" s="14" t="n">
        <v>0</v>
      </c>
      <c r="G1005" s="14" t="n">
        <v>88.81999999999999</v>
      </c>
      <c r="H1005" s="14" t="n">
        <v>0.05</v>
      </c>
      <c r="I1005" s="14" t="n">
        <v>0.9399999999999999</v>
      </c>
      <c r="J1005" s="14" t="n">
        <v>0</v>
      </c>
      <c r="K1005" s="14" t="n">
        <v>0</v>
      </c>
      <c r="L1005" s="14" t="n">
        <v>1.31</v>
      </c>
      <c r="M1005" s="14" t="n">
        <v>3.32</v>
      </c>
      <c r="N1005" s="14" t="n">
        <v>1.26</v>
      </c>
      <c r="O1005" s="14" t="n">
        <v>1.17</v>
      </c>
      <c r="P1005" s="14" t="n">
        <v>0.05</v>
      </c>
      <c r="Q1005" s="14" t="n">
        <v>0</v>
      </c>
      <c r="R1005" s="14" t="n">
        <v>0</v>
      </c>
      <c r="S1005" s="14" t="n">
        <v>0.42</v>
      </c>
      <c r="T1005" s="14" t="n">
        <v>0.05</v>
      </c>
      <c r="U1005" s="14" t="n">
        <v>1.4</v>
      </c>
      <c r="V1005" s="14" t="n">
        <v>0.19</v>
      </c>
      <c r="W1005" s="14" t="n">
        <v>0.51</v>
      </c>
      <c r="X1005" s="14" t="n">
        <v>0.09</v>
      </c>
      <c r="Y1005" s="14" t="n">
        <v>0.33</v>
      </c>
      <c r="Z1005" s="14" t="n">
        <v>0.09</v>
      </c>
      <c r="AA1005" s="14" t="n">
        <v>0</v>
      </c>
    </row>
    <row r="1006">
      <c r="A1006" t="inlineStr">
        <is>
          <t>021001</t>
        </is>
      </c>
      <c r="B1006" t="inlineStr">
        <is>
          <t>ANCASH</t>
        </is>
      </c>
      <c r="C1006" t="inlineStr">
        <is>
          <t>HUARI</t>
        </is>
      </c>
      <c r="D1006" t="inlineStr">
        <is>
          <t>HUARI</t>
        </is>
      </c>
      <c r="E1006" t="n">
        <v>2595</v>
      </c>
      <c r="F1006" s="14" t="n">
        <v>0</v>
      </c>
      <c r="G1006" s="14" t="n">
        <v>29.83</v>
      </c>
      <c r="H1006" s="14" t="n">
        <v>0.31</v>
      </c>
      <c r="I1006" s="14" t="n">
        <v>2.66</v>
      </c>
      <c r="J1006" s="14" t="n">
        <v>0.12</v>
      </c>
      <c r="K1006" s="14" t="n">
        <v>0.08</v>
      </c>
      <c r="L1006" s="14" t="n">
        <v>3.89</v>
      </c>
      <c r="M1006" s="14" t="n">
        <v>12.79</v>
      </c>
      <c r="N1006" s="14" t="n">
        <v>3.58</v>
      </c>
      <c r="O1006" s="14" t="n">
        <v>4.62</v>
      </c>
      <c r="P1006" s="14" t="n">
        <v>0.35</v>
      </c>
      <c r="Q1006" s="14" t="n">
        <v>0.89</v>
      </c>
      <c r="R1006" s="14" t="n">
        <v>0.08</v>
      </c>
      <c r="S1006" s="14" t="n">
        <v>3.16</v>
      </c>
      <c r="T1006" s="14" t="n">
        <v>1.39</v>
      </c>
      <c r="U1006" s="14" t="n">
        <v>7.09</v>
      </c>
      <c r="V1006" s="14" t="n">
        <v>20.27</v>
      </c>
      <c r="W1006" s="14" t="n">
        <v>5.55</v>
      </c>
      <c r="X1006" s="14" t="n">
        <v>0.35</v>
      </c>
      <c r="Y1006" s="14" t="n">
        <v>1.93</v>
      </c>
      <c r="Z1006" s="14" t="n">
        <v>1.08</v>
      </c>
      <c r="AA1006" s="14" t="n">
        <v>0</v>
      </c>
    </row>
    <row r="1007">
      <c r="A1007" t="inlineStr">
        <is>
          <t>050201</t>
        </is>
      </c>
      <c r="B1007" t="inlineStr">
        <is>
          <t>AYACUCHO</t>
        </is>
      </c>
      <c r="C1007" t="inlineStr">
        <is>
          <t>CANGALLO</t>
        </is>
      </c>
      <c r="D1007" t="inlineStr">
        <is>
          <t>CANGALLO</t>
        </is>
      </c>
      <c r="E1007" t="n">
        <v>1656</v>
      </c>
      <c r="F1007" s="14" t="n">
        <v>0</v>
      </c>
      <c r="G1007" s="14" t="n">
        <v>42.93</v>
      </c>
      <c r="H1007" s="14" t="n">
        <v>0.18</v>
      </c>
      <c r="I1007" s="14" t="n">
        <v>1.81</v>
      </c>
      <c r="J1007" s="14" t="n">
        <v>0.24</v>
      </c>
      <c r="K1007" s="14" t="n">
        <v>0.06</v>
      </c>
      <c r="L1007" s="14" t="n">
        <v>8.33</v>
      </c>
      <c r="M1007" s="14" t="n">
        <v>10.39</v>
      </c>
      <c r="N1007" s="14" t="n">
        <v>1.03</v>
      </c>
      <c r="O1007" s="14" t="n">
        <v>2.72</v>
      </c>
      <c r="P1007" s="14" t="n">
        <v>0.06</v>
      </c>
      <c r="Q1007" s="14" t="n">
        <v>0.12</v>
      </c>
      <c r="R1007" s="14" t="n">
        <v>0</v>
      </c>
      <c r="S1007" s="14" t="n">
        <v>3.44</v>
      </c>
      <c r="T1007" s="14" t="n">
        <v>1.27</v>
      </c>
      <c r="U1007" s="14" t="n">
        <v>4.83</v>
      </c>
      <c r="V1007" s="14" t="n">
        <v>15.76</v>
      </c>
      <c r="W1007" s="14" t="n">
        <v>3.62</v>
      </c>
      <c r="X1007" s="14" t="n">
        <v>0.36</v>
      </c>
      <c r="Y1007" s="14" t="n">
        <v>1.81</v>
      </c>
      <c r="Z1007" s="14" t="n">
        <v>1.03</v>
      </c>
      <c r="AA1007" s="14" t="n">
        <v>0</v>
      </c>
    </row>
    <row r="1008">
      <c r="A1008" t="inlineStr">
        <is>
          <t>050503</t>
        </is>
      </c>
      <c r="B1008" t="inlineStr">
        <is>
          <t>AYACUCHO</t>
        </is>
      </c>
      <c r="C1008" t="inlineStr">
        <is>
          <t>LA MAR</t>
        </is>
      </c>
      <c r="D1008" t="inlineStr">
        <is>
          <t>AYNA</t>
        </is>
      </c>
      <c r="E1008" t="n">
        <v>4397</v>
      </c>
      <c r="F1008" s="14" t="n">
        <v>0</v>
      </c>
      <c r="G1008" s="14" t="n">
        <v>52.31</v>
      </c>
      <c r="H1008" s="14" t="n">
        <v>0.05</v>
      </c>
      <c r="I1008" s="14" t="n">
        <v>1.61</v>
      </c>
      <c r="J1008" s="14" t="n">
        <v>0.11</v>
      </c>
      <c r="K1008" s="14" t="n">
        <v>0</v>
      </c>
      <c r="L1008" s="14" t="n">
        <v>3.16</v>
      </c>
      <c r="M1008" s="14" t="n">
        <v>15.72</v>
      </c>
      <c r="N1008" s="14" t="n">
        <v>3.73</v>
      </c>
      <c r="O1008" s="14" t="n">
        <v>4.14</v>
      </c>
      <c r="P1008" s="14" t="n">
        <v>0.23</v>
      </c>
      <c r="Q1008" s="14" t="n">
        <v>0.82</v>
      </c>
      <c r="R1008" s="14" t="n">
        <v>0.02</v>
      </c>
      <c r="S1008" s="14" t="n">
        <v>2.18</v>
      </c>
      <c r="T1008" s="14" t="n">
        <v>0.91</v>
      </c>
      <c r="U1008" s="14" t="n">
        <v>4.12</v>
      </c>
      <c r="V1008" s="14" t="n">
        <v>4.32</v>
      </c>
      <c r="W1008" s="14" t="n">
        <v>3.41</v>
      </c>
      <c r="X1008" s="14" t="n">
        <v>0.18</v>
      </c>
      <c r="Y1008" s="14" t="n">
        <v>2.59</v>
      </c>
      <c r="Z1008" s="14" t="n">
        <v>0.39</v>
      </c>
      <c r="AA1008" s="14" t="n">
        <v>0</v>
      </c>
    </row>
    <row r="1009">
      <c r="A1009" t="inlineStr">
        <is>
          <t>060804</t>
        </is>
      </c>
      <c r="B1009" t="inlineStr">
        <is>
          <t>CAJAMARCA</t>
        </is>
      </c>
      <c r="C1009" t="inlineStr">
        <is>
          <t>JAEN</t>
        </is>
      </c>
      <c r="D1009" t="inlineStr">
        <is>
          <t>COLASAY</t>
        </is>
      </c>
      <c r="E1009" t="n">
        <v>3694</v>
      </c>
      <c r="F1009" s="14" t="n">
        <v>0</v>
      </c>
      <c r="G1009" s="14" t="n">
        <v>85.33</v>
      </c>
      <c r="H1009" s="14" t="n">
        <v>0.03</v>
      </c>
      <c r="I1009" s="14" t="n">
        <v>0.87</v>
      </c>
      <c r="J1009" s="14" t="n">
        <v>0</v>
      </c>
      <c r="K1009" s="14" t="n">
        <v>0.03</v>
      </c>
      <c r="L1009" s="14" t="n">
        <v>0.84</v>
      </c>
      <c r="M1009" s="14" t="n">
        <v>3.25</v>
      </c>
      <c r="N1009" s="14" t="n">
        <v>1.03</v>
      </c>
      <c r="O1009" s="14" t="n">
        <v>1.08</v>
      </c>
      <c r="P1009" s="14" t="n">
        <v>0.05</v>
      </c>
      <c r="Q1009" s="14" t="n">
        <v>0.03</v>
      </c>
      <c r="R1009" s="14" t="n">
        <v>0</v>
      </c>
      <c r="S1009" s="14" t="n">
        <v>0.3</v>
      </c>
      <c r="T1009" s="14" t="n">
        <v>0.22</v>
      </c>
      <c r="U1009" s="14" t="n">
        <v>2.38</v>
      </c>
      <c r="V1009" s="14" t="n">
        <v>3.17</v>
      </c>
      <c r="W1009" s="14" t="n">
        <v>0.97</v>
      </c>
      <c r="X1009" s="14" t="n">
        <v>0</v>
      </c>
      <c r="Y1009" s="14" t="n">
        <v>0.27</v>
      </c>
      <c r="Z1009" s="14" t="n">
        <v>0.16</v>
      </c>
      <c r="AA1009" s="14" t="n">
        <v>0</v>
      </c>
    </row>
    <row r="1010">
      <c r="A1010" t="inlineStr">
        <is>
          <t>060903</t>
        </is>
      </c>
      <c r="B1010" t="inlineStr">
        <is>
          <t>CAJAMARCA</t>
        </is>
      </c>
      <c r="C1010" t="inlineStr">
        <is>
          <t>SAN IGNACIO</t>
        </is>
      </c>
      <c r="D1010" t="inlineStr">
        <is>
          <t>HUARANGO</t>
        </is>
      </c>
      <c r="E1010" t="n">
        <v>6053</v>
      </c>
      <c r="F1010" s="14" t="n">
        <v>0</v>
      </c>
      <c r="G1010" s="14" t="n">
        <v>82.26000000000001</v>
      </c>
      <c r="H1010" s="14" t="n">
        <v>0.08</v>
      </c>
      <c r="I1010" s="14" t="n">
        <v>0.88</v>
      </c>
      <c r="J1010" s="14" t="n">
        <v>0.02</v>
      </c>
      <c r="K1010" s="14" t="n">
        <v>0</v>
      </c>
      <c r="L1010" s="14" t="n">
        <v>1.11</v>
      </c>
      <c r="M1010" s="14" t="n">
        <v>4.46</v>
      </c>
      <c r="N1010" s="14" t="n">
        <v>1.34</v>
      </c>
      <c r="O1010" s="14" t="n">
        <v>1.65</v>
      </c>
      <c r="P1010" s="14" t="n">
        <v>0.03</v>
      </c>
      <c r="Q1010" s="14" t="n">
        <v>0.02</v>
      </c>
      <c r="R1010" s="14" t="n">
        <v>0</v>
      </c>
      <c r="S1010" s="14" t="n">
        <v>0.36</v>
      </c>
      <c r="T1010" s="14" t="n">
        <v>0.2</v>
      </c>
      <c r="U1010" s="14" t="n">
        <v>0.99</v>
      </c>
      <c r="V1010" s="14" t="n">
        <v>4.71</v>
      </c>
      <c r="W1010" s="14" t="n">
        <v>1.34</v>
      </c>
      <c r="X1010" s="14" t="n">
        <v>0.02</v>
      </c>
      <c r="Y1010" s="14" t="n">
        <v>0.36</v>
      </c>
      <c r="Z1010" s="14" t="n">
        <v>0.18</v>
      </c>
      <c r="AA1010" s="14" t="n">
        <v>0</v>
      </c>
    </row>
    <row r="1011">
      <c r="A1011" t="inlineStr">
        <is>
          <t>060410</t>
        </is>
      </c>
      <c r="B1011" t="inlineStr">
        <is>
          <t>CAJAMARCA</t>
        </is>
      </c>
      <c r="C1011" t="inlineStr">
        <is>
          <t>CHOTA</t>
        </is>
      </c>
      <c r="D1011" t="inlineStr">
        <is>
          <t>LAJAS</t>
        </is>
      </c>
      <c r="E1011" t="n">
        <v>3659</v>
      </c>
      <c r="F1011" s="14" t="n">
        <v>0</v>
      </c>
      <c r="G1011" s="14" t="n">
        <v>74.75</v>
      </c>
      <c r="H1011" s="14" t="n">
        <v>0</v>
      </c>
      <c r="I1011" s="14" t="n">
        <v>2.95</v>
      </c>
      <c r="J1011" s="14" t="n">
        <v>0</v>
      </c>
      <c r="K1011" s="14" t="n">
        <v>0.03</v>
      </c>
      <c r="L1011" s="14" t="n">
        <v>1.72</v>
      </c>
      <c r="M1011" s="14" t="n">
        <v>7.16</v>
      </c>
      <c r="N1011" s="14" t="n">
        <v>2.46</v>
      </c>
      <c r="O1011" s="14" t="n">
        <v>1.45</v>
      </c>
      <c r="P1011" s="14" t="n">
        <v>0.03</v>
      </c>
      <c r="Q1011" s="14" t="n">
        <v>0.14</v>
      </c>
      <c r="R1011" s="14" t="n">
        <v>0</v>
      </c>
      <c r="S1011" s="14" t="n">
        <v>0.79</v>
      </c>
      <c r="T1011" s="14" t="n">
        <v>0.52</v>
      </c>
      <c r="U1011" s="14" t="n">
        <v>1.78</v>
      </c>
      <c r="V1011" s="14" t="n">
        <v>3.83</v>
      </c>
      <c r="W1011" s="14" t="n">
        <v>0.71</v>
      </c>
      <c r="X1011" s="14" t="n">
        <v>0.08</v>
      </c>
      <c r="Y1011" s="14" t="n">
        <v>0.71</v>
      </c>
      <c r="Z1011" s="14" t="n">
        <v>0.9</v>
      </c>
      <c r="AA1011" s="14" t="n">
        <v>0</v>
      </c>
    </row>
    <row r="1012">
      <c r="A1012" t="inlineStr">
        <is>
          <t>081104</t>
        </is>
      </c>
      <c r="B1012" t="inlineStr">
        <is>
          <t>CUSCO</t>
        </is>
      </c>
      <c r="C1012" t="inlineStr">
        <is>
          <t>PAUCARTAMBO</t>
        </is>
      </c>
      <c r="D1012" t="inlineStr">
        <is>
          <t>COLQUEPATA</t>
        </is>
      </c>
      <c r="E1012" t="n">
        <v>2874</v>
      </c>
      <c r="F1012" s="14" t="n">
        <v>0</v>
      </c>
      <c r="G1012" s="14" t="n">
        <v>87.61</v>
      </c>
      <c r="H1012" s="14" t="n">
        <v>0</v>
      </c>
      <c r="I1012" s="14" t="n">
        <v>1.84</v>
      </c>
      <c r="J1012" s="14" t="n">
        <v>0</v>
      </c>
      <c r="K1012" s="14" t="n">
        <v>0</v>
      </c>
      <c r="L1012" s="14" t="n">
        <v>2.12</v>
      </c>
      <c r="M1012" s="14" t="n">
        <v>2.37</v>
      </c>
      <c r="N1012" s="14" t="n">
        <v>1.46</v>
      </c>
      <c r="O1012" s="14" t="n">
        <v>0.9399999999999999</v>
      </c>
      <c r="P1012" s="14" t="n">
        <v>0.03</v>
      </c>
      <c r="Q1012" s="14" t="n">
        <v>0.07000000000000001</v>
      </c>
      <c r="R1012" s="14" t="n">
        <v>0</v>
      </c>
      <c r="S1012" s="14" t="n">
        <v>0.28</v>
      </c>
      <c r="T1012" s="14" t="n">
        <v>0.07000000000000001</v>
      </c>
      <c r="U1012" s="14" t="n">
        <v>1.29</v>
      </c>
      <c r="V1012" s="14" t="n">
        <v>0.7</v>
      </c>
      <c r="W1012" s="14" t="n">
        <v>0.42</v>
      </c>
      <c r="X1012" s="14" t="n">
        <v>0</v>
      </c>
      <c r="Y1012" s="14" t="n">
        <v>0.5600000000000001</v>
      </c>
      <c r="Z1012" s="14" t="n">
        <v>0.24</v>
      </c>
      <c r="AA1012" s="14" t="n">
        <v>0</v>
      </c>
    </row>
    <row r="1013">
      <c r="A1013" t="inlineStr">
        <is>
          <t>050501</t>
        </is>
      </c>
      <c r="B1013" t="inlineStr">
        <is>
          <t>AYACUCHO</t>
        </is>
      </c>
      <c r="C1013" t="inlineStr">
        <is>
          <t>LA MAR</t>
        </is>
      </c>
      <c r="D1013" t="inlineStr">
        <is>
          <t>SAN MIGUEL</t>
        </is>
      </c>
      <c r="E1013" t="n">
        <v>2920</v>
      </c>
      <c r="F1013" s="14" t="n">
        <v>0</v>
      </c>
      <c r="G1013" s="14" t="n">
        <v>57.29</v>
      </c>
      <c r="H1013" s="14" t="n">
        <v>0.17</v>
      </c>
      <c r="I1013" s="14" t="n">
        <v>1.44</v>
      </c>
      <c r="J1013" s="14" t="n">
        <v>0.03</v>
      </c>
      <c r="K1013" s="14" t="n">
        <v>0.07000000000000001</v>
      </c>
      <c r="L1013" s="14" t="n">
        <v>5.82</v>
      </c>
      <c r="M1013" s="14" t="n">
        <v>8.73</v>
      </c>
      <c r="N1013" s="14" t="n">
        <v>2.05</v>
      </c>
      <c r="O1013" s="14" t="n">
        <v>2.88</v>
      </c>
      <c r="P1013" s="14" t="n">
        <v>0.34</v>
      </c>
      <c r="Q1013" s="14" t="n">
        <v>0.21</v>
      </c>
      <c r="R1013" s="14" t="n">
        <v>0</v>
      </c>
      <c r="S1013" s="14" t="n">
        <v>2.6</v>
      </c>
      <c r="T1013" s="14" t="n">
        <v>0.82</v>
      </c>
      <c r="U1013" s="14" t="n">
        <v>4.42</v>
      </c>
      <c r="V1013" s="14" t="n">
        <v>7.71</v>
      </c>
      <c r="W1013" s="14" t="n">
        <v>2.64</v>
      </c>
      <c r="X1013" s="14" t="n">
        <v>0.1</v>
      </c>
      <c r="Y1013" s="14" t="n">
        <v>2.05</v>
      </c>
      <c r="Z1013" s="14" t="n">
        <v>0.62</v>
      </c>
      <c r="AA1013" s="14" t="n">
        <v>0</v>
      </c>
    </row>
    <row r="1014">
      <c r="A1014" t="inlineStr">
        <is>
          <t>050510</t>
        </is>
      </c>
      <c r="B1014" t="inlineStr">
        <is>
          <t>AYACUCHO</t>
        </is>
      </c>
      <c r="C1014" t="inlineStr">
        <is>
          <t>LA MAR</t>
        </is>
      </c>
      <c r="D1014" t="inlineStr">
        <is>
          <t>ANCHIHUAY</t>
        </is>
      </c>
      <c r="E1014" t="n">
        <v>1414</v>
      </c>
      <c r="F1014" s="14" t="n">
        <v>0</v>
      </c>
      <c r="G1014" s="14" t="n">
        <v>82.25</v>
      </c>
      <c r="H1014" s="14" t="n">
        <v>0</v>
      </c>
      <c r="I1014" s="14" t="n">
        <v>0.21</v>
      </c>
      <c r="J1014" s="14" t="n">
        <v>0</v>
      </c>
      <c r="K1014" s="14" t="n">
        <v>0</v>
      </c>
      <c r="L1014" s="14" t="n">
        <v>3.54</v>
      </c>
      <c r="M1014" s="14" t="n">
        <v>4.17</v>
      </c>
      <c r="N1014" s="14" t="n">
        <v>0.28</v>
      </c>
      <c r="O1014" s="14" t="n">
        <v>0.57</v>
      </c>
      <c r="P1014" s="14" t="n">
        <v>0.14</v>
      </c>
      <c r="Q1014" s="14" t="n">
        <v>0</v>
      </c>
      <c r="R1014" s="14" t="n">
        <v>0</v>
      </c>
      <c r="S1014" s="14" t="n">
        <v>0.71</v>
      </c>
      <c r="T1014" s="14" t="n">
        <v>0.07000000000000001</v>
      </c>
      <c r="U1014" s="14" t="n">
        <v>1.63</v>
      </c>
      <c r="V1014" s="14" t="n">
        <v>5.09</v>
      </c>
      <c r="W1014" s="14" t="n">
        <v>0.92</v>
      </c>
      <c r="X1014" s="14" t="n">
        <v>0</v>
      </c>
      <c r="Y1014" s="14" t="n">
        <v>0.21</v>
      </c>
      <c r="Z1014" s="14" t="n">
        <v>0.21</v>
      </c>
      <c r="AA1014" s="14" t="n">
        <v>0</v>
      </c>
    </row>
    <row r="1015">
      <c r="A1015" t="inlineStr">
        <is>
          <t>080908</t>
        </is>
      </c>
      <c r="B1015" t="inlineStr">
        <is>
          <t>CUSCO</t>
        </is>
      </c>
      <c r="C1015" t="inlineStr">
        <is>
          <t>LA CONVENCION</t>
        </is>
      </c>
      <c r="D1015" t="inlineStr">
        <is>
          <t>SANTA TERESA</t>
        </is>
      </c>
      <c r="E1015" t="n">
        <v>2606</v>
      </c>
      <c r="F1015" s="14" t="n">
        <v>0</v>
      </c>
      <c r="G1015" s="14" t="n">
        <v>59.36</v>
      </c>
      <c r="H1015" s="14" t="n">
        <v>0.04</v>
      </c>
      <c r="I1015" s="14" t="n">
        <v>1.92</v>
      </c>
      <c r="J1015" s="14" t="n">
        <v>0.31</v>
      </c>
      <c r="K1015" s="14" t="n">
        <v>0.12</v>
      </c>
      <c r="L1015" s="14" t="n">
        <v>5.03</v>
      </c>
      <c r="M1015" s="14" t="n">
        <v>9.52</v>
      </c>
      <c r="N1015" s="14" t="n">
        <v>4.99</v>
      </c>
      <c r="O1015" s="14" t="n">
        <v>6.1</v>
      </c>
      <c r="P1015" s="14" t="n">
        <v>0.19</v>
      </c>
      <c r="Q1015" s="14" t="n">
        <v>0.38</v>
      </c>
      <c r="R1015" s="14" t="n">
        <v>0</v>
      </c>
      <c r="S1015" s="14" t="n">
        <v>0.8100000000000001</v>
      </c>
      <c r="T1015" s="14" t="n">
        <v>2.92</v>
      </c>
      <c r="U1015" s="14" t="n">
        <v>4.8</v>
      </c>
      <c r="V1015" s="14" t="n">
        <v>1.84</v>
      </c>
      <c r="W1015" s="14" t="n">
        <v>0.73</v>
      </c>
      <c r="X1015" s="14" t="n">
        <v>0.15</v>
      </c>
      <c r="Y1015" s="14" t="n">
        <v>0.54</v>
      </c>
      <c r="Z1015" s="14" t="n">
        <v>0.27</v>
      </c>
      <c r="AA1015" s="14" t="n">
        <v>0</v>
      </c>
    </row>
    <row r="1016">
      <c r="A1016" t="inlineStr">
        <is>
          <t>090103</t>
        </is>
      </c>
      <c r="B1016" t="inlineStr">
        <is>
          <t>HUANCAVELICA</t>
        </is>
      </c>
      <c r="C1016" t="inlineStr">
        <is>
          <t>HUANCAVELICA</t>
        </is>
      </c>
      <c r="D1016" t="inlineStr">
        <is>
          <t>ACORIA</t>
        </is>
      </c>
      <c r="E1016" t="n">
        <v>4582</v>
      </c>
      <c r="F1016" s="14" t="n">
        <v>0</v>
      </c>
      <c r="G1016" s="14" t="n">
        <v>78.31</v>
      </c>
      <c r="H1016" s="14" t="n">
        <v>0.7</v>
      </c>
      <c r="I1016" s="14" t="n">
        <v>0.89</v>
      </c>
      <c r="J1016" s="14" t="n">
        <v>0</v>
      </c>
      <c r="K1016" s="14" t="n">
        <v>0.04</v>
      </c>
      <c r="L1016" s="14" t="n">
        <v>3.27</v>
      </c>
      <c r="M1016" s="14" t="n">
        <v>6.48</v>
      </c>
      <c r="N1016" s="14" t="n">
        <v>1.72</v>
      </c>
      <c r="O1016" s="14" t="n">
        <v>1.44</v>
      </c>
      <c r="P1016" s="14" t="n">
        <v>0.02</v>
      </c>
      <c r="Q1016" s="14" t="n">
        <v>0.07000000000000001</v>
      </c>
      <c r="R1016" s="14" t="n">
        <v>0</v>
      </c>
      <c r="S1016" s="14" t="n">
        <v>0.85</v>
      </c>
      <c r="T1016" s="14" t="n">
        <v>0.28</v>
      </c>
      <c r="U1016" s="14" t="n">
        <v>2.1</v>
      </c>
      <c r="V1016" s="14" t="n">
        <v>1.83</v>
      </c>
      <c r="W1016" s="14" t="n">
        <v>0.8100000000000001</v>
      </c>
      <c r="X1016" s="14" t="n">
        <v>0.13</v>
      </c>
      <c r="Y1016" s="14" t="n">
        <v>0.5</v>
      </c>
      <c r="Z1016" s="14" t="n">
        <v>0.55</v>
      </c>
      <c r="AA1016" s="14" t="n">
        <v>0</v>
      </c>
    </row>
    <row r="1017">
      <c r="A1017" t="inlineStr">
        <is>
          <t>080408</t>
        </is>
      </c>
      <c r="B1017" t="inlineStr">
        <is>
          <t>CUSCO</t>
        </is>
      </c>
      <c r="C1017" t="inlineStr">
        <is>
          <t>CALCA</t>
        </is>
      </c>
      <c r="D1017" t="inlineStr">
        <is>
          <t>YANATILE</t>
        </is>
      </c>
      <c r="E1017" t="n">
        <v>3813</v>
      </c>
      <c r="F1017" s="14" t="n">
        <v>0</v>
      </c>
      <c r="G1017" s="14" t="n">
        <v>78.56999999999999</v>
      </c>
      <c r="H1017" s="14" t="n">
        <v>0.08</v>
      </c>
      <c r="I1017" s="14" t="n">
        <v>0.89</v>
      </c>
      <c r="J1017" s="14" t="n">
        <v>0.03</v>
      </c>
      <c r="K1017" s="14" t="n">
        <v>0.03</v>
      </c>
      <c r="L1017" s="14" t="n">
        <v>2.73</v>
      </c>
      <c r="M1017" s="14" t="n">
        <v>7.03</v>
      </c>
      <c r="N1017" s="14" t="n">
        <v>1.76</v>
      </c>
      <c r="O1017" s="14" t="n">
        <v>1.89</v>
      </c>
      <c r="P1017" s="14" t="n">
        <v>0.21</v>
      </c>
      <c r="Q1017" s="14" t="n">
        <v>0.26</v>
      </c>
      <c r="R1017" s="14" t="n">
        <v>0</v>
      </c>
      <c r="S1017" s="14" t="n">
        <v>0.45</v>
      </c>
      <c r="T1017" s="14" t="n">
        <v>0.55</v>
      </c>
      <c r="U1017" s="14" t="n">
        <v>1.52</v>
      </c>
      <c r="V1017" s="14" t="n">
        <v>2.88</v>
      </c>
      <c r="W1017" s="14" t="n">
        <v>0.84</v>
      </c>
      <c r="X1017" s="14" t="n">
        <v>0</v>
      </c>
      <c r="Y1017" s="14" t="n">
        <v>0.18</v>
      </c>
      <c r="Z1017" s="14" t="n">
        <v>0.1</v>
      </c>
      <c r="AA1017" s="14" t="n">
        <v>0</v>
      </c>
    </row>
    <row r="1018">
      <c r="A1018" t="inlineStr">
        <is>
          <t>080915</t>
        </is>
      </c>
      <c r="B1018" t="inlineStr">
        <is>
          <t>CUSCO</t>
        </is>
      </c>
      <c r="C1018" t="inlineStr">
        <is>
          <t>LA CONVENCION</t>
        </is>
      </c>
      <c r="D1018" t="inlineStr">
        <is>
          <t>KUMPIRUSHIATO</t>
        </is>
      </c>
      <c r="E1018" t="n">
        <v>0</v>
      </c>
      <c r="F1018" s="14" t="n">
        <v>0</v>
      </c>
      <c r="G1018" s="14" t="n">
        <v>67.31999999999999</v>
      </c>
      <c r="H1018" s="14" t="n">
        <v>0.13</v>
      </c>
      <c r="I1018" s="14" t="n">
        <v>1.63</v>
      </c>
      <c r="J1018" s="14" t="n">
        <v>0.07000000000000001</v>
      </c>
      <c r="K1018" s="14" t="n">
        <v>0.05</v>
      </c>
      <c r="L1018" s="14" t="n">
        <v>3.69</v>
      </c>
      <c r="M1018" s="14" t="n">
        <v>7.52</v>
      </c>
      <c r="N1018" s="14" t="n">
        <v>3.16</v>
      </c>
      <c r="O1018" s="14" t="n">
        <v>2.75</v>
      </c>
      <c r="P1018" s="14" t="n">
        <v>0.19</v>
      </c>
      <c r="Q1018" s="14" t="n">
        <v>0.13</v>
      </c>
      <c r="R1018" s="14" t="n">
        <v>0</v>
      </c>
      <c r="S1018" s="14" t="n">
        <v>1.87</v>
      </c>
      <c r="T1018" s="14" t="n">
        <v>0.76</v>
      </c>
      <c r="U1018" s="14" t="n">
        <v>5.16</v>
      </c>
      <c r="V1018" s="14" t="n">
        <v>3.17</v>
      </c>
      <c r="W1018" s="14" t="n">
        <v>1.02</v>
      </c>
      <c r="X1018" s="14" t="n">
        <v>0.06</v>
      </c>
      <c r="Y1018" s="14" t="n">
        <v>0.98</v>
      </c>
      <c r="Z1018" s="14" t="n">
        <v>0.37</v>
      </c>
      <c r="AA1018" s="14" t="n">
        <v>0</v>
      </c>
    </row>
    <row r="1019">
      <c r="A1019" t="inlineStr">
        <is>
          <t>050408</t>
        </is>
      </c>
      <c r="B1019" t="inlineStr">
        <is>
          <t>AYACUCHO</t>
        </is>
      </c>
      <c r="C1019" t="inlineStr">
        <is>
          <t>HUANTA</t>
        </is>
      </c>
      <c r="D1019" t="inlineStr">
        <is>
          <t>LLOCHEGUA</t>
        </is>
      </c>
      <c r="E1019" t="n">
        <v>5089</v>
      </c>
      <c r="F1019" s="14" t="n">
        <v>0</v>
      </c>
      <c r="G1019" s="14" t="n">
        <v>76.16</v>
      </c>
      <c r="H1019" s="14" t="n">
        <v>0.04</v>
      </c>
      <c r="I1019" s="14" t="n">
        <v>1.18</v>
      </c>
      <c r="J1019" s="14" t="n">
        <v>0</v>
      </c>
      <c r="K1019" s="14" t="n">
        <v>0</v>
      </c>
      <c r="L1019" s="14" t="n">
        <v>1.65</v>
      </c>
      <c r="M1019" s="14" t="n">
        <v>8.27</v>
      </c>
      <c r="N1019" s="14" t="n">
        <v>1.79</v>
      </c>
      <c r="O1019" s="14" t="n">
        <v>2.83</v>
      </c>
      <c r="P1019" s="14" t="n">
        <v>0.06</v>
      </c>
      <c r="Q1019" s="14" t="n">
        <v>0.02</v>
      </c>
      <c r="R1019" s="14" t="n">
        <v>0</v>
      </c>
      <c r="S1019" s="14" t="n">
        <v>0.49</v>
      </c>
      <c r="T1019" s="14" t="n">
        <v>0.14</v>
      </c>
      <c r="U1019" s="14" t="n">
        <v>2.4</v>
      </c>
      <c r="V1019" s="14" t="n">
        <v>2.63</v>
      </c>
      <c r="W1019" s="14" t="n">
        <v>0.77</v>
      </c>
      <c r="X1019" s="14" t="n">
        <v>0.12</v>
      </c>
      <c r="Y1019" s="14" t="n">
        <v>1</v>
      </c>
      <c r="Z1019" s="14" t="n">
        <v>0.45</v>
      </c>
      <c r="AA1019" s="14" t="n">
        <v>0</v>
      </c>
    </row>
    <row r="1020">
      <c r="A1020" t="inlineStr">
        <is>
          <t>030601</t>
        </is>
      </c>
      <c r="B1020" t="inlineStr">
        <is>
          <t>APURIMAC</t>
        </is>
      </c>
      <c r="C1020" t="inlineStr">
        <is>
          <t>CHINCHEROS</t>
        </is>
      </c>
      <c r="D1020" t="inlineStr">
        <is>
          <t>CHINCHEROS</t>
        </is>
      </c>
      <c r="E1020" t="n">
        <v>1616</v>
      </c>
      <c r="F1020" s="14" t="n">
        <v>0</v>
      </c>
      <c r="G1020" s="14" t="n">
        <v>45.24</v>
      </c>
      <c r="H1020" s="14" t="n">
        <v>0.12</v>
      </c>
      <c r="I1020" s="14" t="n">
        <v>0.93</v>
      </c>
      <c r="J1020" s="14" t="n">
        <v>0.12</v>
      </c>
      <c r="K1020" s="14" t="n">
        <v>0.12</v>
      </c>
      <c r="L1020" s="14" t="n">
        <v>5.75</v>
      </c>
      <c r="M1020" s="14" t="n">
        <v>8.42</v>
      </c>
      <c r="N1020" s="14" t="n">
        <v>2.04</v>
      </c>
      <c r="O1020" s="14" t="n">
        <v>3.4</v>
      </c>
      <c r="P1020" s="14" t="n">
        <v>0.19</v>
      </c>
      <c r="Q1020" s="14" t="n">
        <v>0.37</v>
      </c>
      <c r="R1020" s="14" t="n">
        <v>0</v>
      </c>
      <c r="S1020" s="14" t="n">
        <v>2.1</v>
      </c>
      <c r="T1020" s="14" t="n">
        <v>0.93</v>
      </c>
      <c r="U1020" s="14" t="n">
        <v>9.1</v>
      </c>
      <c r="V1020" s="14" t="n">
        <v>14.54</v>
      </c>
      <c r="W1020" s="14" t="n">
        <v>5.2</v>
      </c>
      <c r="X1020" s="14" t="n">
        <v>0.06</v>
      </c>
      <c r="Y1020" s="14" t="n">
        <v>0.8</v>
      </c>
      <c r="Z1020" s="14" t="n">
        <v>0.5600000000000001</v>
      </c>
      <c r="AA1020" s="14" t="n">
        <v>0</v>
      </c>
    </row>
    <row r="1021">
      <c r="A1021" t="inlineStr">
        <is>
          <t>050502</t>
        </is>
      </c>
      <c r="B1021" t="inlineStr">
        <is>
          <t>AYACUCHO</t>
        </is>
      </c>
      <c r="C1021" t="inlineStr">
        <is>
          <t>LA MAR</t>
        </is>
      </c>
      <c r="D1021" t="inlineStr">
        <is>
          <t>ANCO</t>
        </is>
      </c>
      <c r="E1021" t="n">
        <v>2846</v>
      </c>
      <c r="F1021" s="14" t="n">
        <v>0</v>
      </c>
      <c r="G1021" s="14" t="n">
        <v>72.23999999999999</v>
      </c>
      <c r="H1021" s="14" t="n">
        <v>0.28</v>
      </c>
      <c r="I1021" s="14" t="n">
        <v>1.48</v>
      </c>
      <c r="J1021" s="14" t="n">
        <v>0.04</v>
      </c>
      <c r="K1021" s="14" t="n">
        <v>0.14</v>
      </c>
      <c r="L1021" s="14" t="n">
        <v>2.92</v>
      </c>
      <c r="M1021" s="14" t="n">
        <v>8.08</v>
      </c>
      <c r="N1021" s="14" t="n">
        <v>1.05</v>
      </c>
      <c r="O1021" s="14" t="n">
        <v>2.85</v>
      </c>
      <c r="P1021" s="14" t="n">
        <v>0.07000000000000001</v>
      </c>
      <c r="Q1021" s="14" t="n">
        <v>0.04</v>
      </c>
      <c r="R1021" s="14" t="n">
        <v>0</v>
      </c>
      <c r="S1021" s="14" t="n">
        <v>0.5600000000000001</v>
      </c>
      <c r="T1021" s="14" t="n">
        <v>0.5600000000000001</v>
      </c>
      <c r="U1021" s="14" t="n">
        <v>4.39</v>
      </c>
      <c r="V1021" s="14" t="n">
        <v>3.51</v>
      </c>
      <c r="W1021" s="14" t="n">
        <v>0.7</v>
      </c>
      <c r="X1021" s="14" t="n">
        <v>0.04</v>
      </c>
      <c r="Y1021" s="14" t="n">
        <v>0.74</v>
      </c>
      <c r="Z1021" s="14" t="n">
        <v>0.32</v>
      </c>
      <c r="AA1021" s="14" t="n">
        <v>0</v>
      </c>
    </row>
    <row r="1022">
      <c r="A1022" t="inlineStr">
        <is>
          <t>090714</t>
        </is>
      </c>
      <c r="B1022" t="inlineStr">
        <is>
          <t>HUANCAVELICA</t>
        </is>
      </c>
      <c r="C1022" t="inlineStr">
        <is>
          <t>TAYACAJA</t>
        </is>
      </c>
      <c r="D1022" t="inlineStr">
        <is>
          <t>SALCABAMBA</t>
        </is>
      </c>
      <c r="E1022" t="n">
        <v>972</v>
      </c>
      <c r="F1022" s="14" t="n">
        <v>0</v>
      </c>
      <c r="G1022" s="14" t="n">
        <v>77.37</v>
      </c>
      <c r="H1022" s="14" t="n">
        <v>0.41</v>
      </c>
      <c r="I1022" s="14" t="n">
        <v>2.78</v>
      </c>
      <c r="J1022" s="14" t="n">
        <v>0</v>
      </c>
      <c r="K1022" s="14" t="n">
        <v>0</v>
      </c>
      <c r="L1022" s="14" t="n">
        <v>3.19</v>
      </c>
      <c r="M1022" s="14" t="n">
        <v>4.12</v>
      </c>
      <c r="N1022" s="14" t="n">
        <v>1.03</v>
      </c>
      <c r="O1022" s="14" t="n">
        <v>1.95</v>
      </c>
      <c r="P1022" s="14" t="n">
        <v>0.1</v>
      </c>
      <c r="Q1022" s="14" t="n">
        <v>0</v>
      </c>
      <c r="R1022" s="14" t="n">
        <v>0</v>
      </c>
      <c r="S1022" s="14" t="n">
        <v>0.82</v>
      </c>
      <c r="T1022" s="14" t="n">
        <v>0.31</v>
      </c>
      <c r="U1022" s="14" t="n">
        <v>2.37</v>
      </c>
      <c r="V1022" s="14" t="n">
        <v>1.54</v>
      </c>
      <c r="W1022" s="14" t="n">
        <v>2.57</v>
      </c>
      <c r="X1022" s="14" t="n">
        <v>0</v>
      </c>
      <c r="Y1022" s="14" t="n">
        <v>1.23</v>
      </c>
      <c r="Z1022" s="14" t="n">
        <v>0.21</v>
      </c>
      <c r="AA1022" s="14" t="n">
        <v>0</v>
      </c>
    </row>
    <row r="1023">
      <c r="A1023" t="inlineStr">
        <is>
          <t>090502</t>
        </is>
      </c>
      <c r="B1023" t="inlineStr">
        <is>
          <t>HUANCAVELICA</t>
        </is>
      </c>
      <c r="C1023" t="inlineStr">
        <is>
          <t>CHURCAMPA</t>
        </is>
      </c>
      <c r="D1023" t="inlineStr">
        <is>
          <t>ANCO</t>
        </is>
      </c>
      <c r="E1023" t="n">
        <v>1217</v>
      </c>
      <c r="F1023" s="14" t="n">
        <v>0</v>
      </c>
      <c r="G1023" s="14" t="n">
        <v>72.31</v>
      </c>
      <c r="H1023" s="14" t="n">
        <v>0.08</v>
      </c>
      <c r="I1023" s="14" t="n">
        <v>1.07</v>
      </c>
      <c r="J1023" s="14" t="n">
        <v>0.08</v>
      </c>
      <c r="K1023" s="14" t="n">
        <v>0</v>
      </c>
      <c r="L1023" s="14" t="n">
        <v>1.81</v>
      </c>
      <c r="M1023" s="14" t="n">
        <v>6.08</v>
      </c>
      <c r="N1023" s="14" t="n">
        <v>2.3</v>
      </c>
      <c r="O1023" s="14" t="n">
        <v>1.56</v>
      </c>
      <c r="P1023" s="14" t="n">
        <v>0</v>
      </c>
      <c r="Q1023" s="14" t="n">
        <v>0</v>
      </c>
      <c r="R1023" s="14" t="n">
        <v>0</v>
      </c>
      <c r="S1023" s="14" t="n">
        <v>0.99</v>
      </c>
      <c r="T1023" s="14" t="n">
        <v>0.16</v>
      </c>
      <c r="U1023" s="14" t="n">
        <v>4.35</v>
      </c>
      <c r="V1023" s="14" t="n">
        <v>5.67</v>
      </c>
      <c r="W1023" s="14" t="n">
        <v>2.71</v>
      </c>
      <c r="X1023" s="14" t="n">
        <v>0</v>
      </c>
      <c r="Y1023" s="14" t="n">
        <v>0.49</v>
      </c>
      <c r="Z1023" s="14" t="n">
        <v>0.33</v>
      </c>
      <c r="AA1023" s="14" t="n">
        <v>0</v>
      </c>
    </row>
    <row r="1024">
      <c r="A1024" t="inlineStr">
        <is>
          <t>060905</t>
        </is>
      </c>
      <c r="B1024" t="inlineStr">
        <is>
          <t>CAJAMARCA</t>
        </is>
      </c>
      <c r="C1024" t="inlineStr">
        <is>
          <t>SAN IGNACIO</t>
        </is>
      </c>
      <c r="D1024" t="inlineStr"/>
      <c r="E1024" t="n">
        <v>0</v>
      </c>
      <c r="F1024" s="14" t="n">
        <v>0</v>
      </c>
      <c r="G1024" s="14" t="n">
        <v>85.28</v>
      </c>
      <c r="H1024" s="14" t="n">
        <v>0.06</v>
      </c>
      <c r="I1024" s="14" t="n">
        <v>0.6899999999999999</v>
      </c>
      <c r="J1024" s="14" t="n">
        <v>0.02</v>
      </c>
      <c r="K1024" s="14" t="n">
        <v>0.01</v>
      </c>
      <c r="L1024" s="14" t="n">
        <v>0.85</v>
      </c>
      <c r="M1024" s="14" t="n">
        <v>4.18</v>
      </c>
      <c r="N1024" s="14" t="n">
        <v>1.18</v>
      </c>
      <c r="O1024" s="14" t="n">
        <v>1.59</v>
      </c>
      <c r="P1024" s="14" t="n">
        <v>0.05</v>
      </c>
      <c r="Q1024" s="14" t="n">
        <v>0.02</v>
      </c>
      <c r="R1024" s="14" t="n">
        <v>0</v>
      </c>
      <c r="S1024" s="14" t="n">
        <v>0.35</v>
      </c>
      <c r="T1024" s="14" t="n">
        <v>0.17</v>
      </c>
      <c r="U1024" s="14" t="n">
        <v>1.15</v>
      </c>
      <c r="V1024" s="14" t="n">
        <v>3</v>
      </c>
      <c r="W1024" s="14" t="n">
        <v>0.71</v>
      </c>
      <c r="X1024" s="14" t="n">
        <v>0.02</v>
      </c>
      <c r="Y1024" s="14" t="n">
        <v>0.35</v>
      </c>
      <c r="Z1024" s="14" t="n">
        <v>0.33</v>
      </c>
      <c r="AA1024" s="14" t="n">
        <v>0</v>
      </c>
    </row>
    <row r="1025">
      <c r="A1025" t="inlineStr">
        <is>
          <t>050507</t>
        </is>
      </c>
      <c r="B1025" t="inlineStr">
        <is>
          <t>AYACUCHO</t>
        </is>
      </c>
      <c r="C1025" t="inlineStr">
        <is>
          <t>LA MAR</t>
        </is>
      </c>
      <c r="D1025" t="inlineStr">
        <is>
          <t>SANTA ROSA</t>
        </is>
      </c>
      <c r="E1025" t="n">
        <v>5522</v>
      </c>
      <c r="F1025" s="14" t="n">
        <v>0</v>
      </c>
      <c r="G1025" s="14" t="n">
        <v>72.78</v>
      </c>
      <c r="H1025" s="14" t="n">
        <v>0.07000000000000001</v>
      </c>
      <c r="I1025" s="14" t="n">
        <v>1.01</v>
      </c>
      <c r="J1025" s="14" t="n">
        <v>0</v>
      </c>
      <c r="K1025" s="14" t="n">
        <v>0.02</v>
      </c>
      <c r="L1025" s="14" t="n">
        <v>2.1</v>
      </c>
      <c r="M1025" s="14" t="n">
        <v>10.79</v>
      </c>
      <c r="N1025" s="14" t="n">
        <v>2.99</v>
      </c>
      <c r="O1025" s="14" t="n">
        <v>3.01</v>
      </c>
      <c r="P1025" s="14" t="n">
        <v>0.05</v>
      </c>
      <c r="Q1025" s="14" t="n">
        <v>0.05</v>
      </c>
      <c r="R1025" s="14" t="n">
        <v>0</v>
      </c>
      <c r="S1025" s="14" t="n">
        <v>0.91</v>
      </c>
      <c r="T1025" s="14" t="n">
        <v>0.18</v>
      </c>
      <c r="U1025" s="14" t="n">
        <v>1.23</v>
      </c>
      <c r="V1025" s="14" t="n">
        <v>2.39</v>
      </c>
      <c r="W1025" s="14" t="n">
        <v>0.89</v>
      </c>
      <c r="X1025" s="14" t="n">
        <v>0.11</v>
      </c>
      <c r="Y1025" s="14" t="n">
        <v>1.07</v>
      </c>
      <c r="Z1025" s="14" t="n">
        <v>0.34</v>
      </c>
      <c r="AA1025" s="14" t="n">
        <v>0</v>
      </c>
    </row>
    <row r="1026">
      <c r="A1026" t="inlineStr">
        <is>
          <t>090413</t>
        </is>
      </c>
      <c r="B1026" t="inlineStr">
        <is>
          <t>HUANCAVELICA</t>
        </is>
      </c>
      <c r="C1026" t="inlineStr">
        <is>
          <t>CASTROVIRREYNA</t>
        </is>
      </c>
      <c r="D1026" t="inlineStr">
        <is>
          <t>TICRAPO</t>
        </is>
      </c>
      <c r="E1026" t="n">
        <v>612</v>
      </c>
      <c r="F1026" s="14" t="n">
        <v>0</v>
      </c>
      <c r="G1026" s="14" t="n">
        <v>54.08</v>
      </c>
      <c r="H1026" s="14" t="n">
        <v>3.43</v>
      </c>
      <c r="I1026" s="14" t="n">
        <v>0.98</v>
      </c>
      <c r="J1026" s="14" t="n">
        <v>0</v>
      </c>
      <c r="K1026" s="14" t="n">
        <v>0</v>
      </c>
      <c r="L1026" s="14" t="n">
        <v>4.25</v>
      </c>
      <c r="M1026" s="14" t="n">
        <v>5.56</v>
      </c>
      <c r="N1026" s="14" t="n">
        <v>4.41</v>
      </c>
      <c r="O1026" s="14" t="n">
        <v>2.78</v>
      </c>
      <c r="P1026" s="14" t="n">
        <v>0.16</v>
      </c>
      <c r="Q1026" s="14" t="n">
        <v>0</v>
      </c>
      <c r="R1026" s="14" t="n">
        <v>0</v>
      </c>
      <c r="S1026" s="14" t="n">
        <v>1.47</v>
      </c>
      <c r="T1026" s="14" t="n">
        <v>0</v>
      </c>
      <c r="U1026" s="14" t="n">
        <v>7.84</v>
      </c>
      <c r="V1026" s="14" t="n">
        <v>11.44</v>
      </c>
      <c r="W1026" s="14" t="n">
        <v>2.29</v>
      </c>
      <c r="X1026" s="14" t="n">
        <v>0</v>
      </c>
      <c r="Y1026" s="14" t="n">
        <v>0.16</v>
      </c>
      <c r="Z1026" s="14" t="n">
        <v>1.14</v>
      </c>
      <c r="AA1026" s="14" t="n">
        <v>0</v>
      </c>
    </row>
    <row r="1027">
      <c r="A1027" t="inlineStr">
        <is>
          <t>080913</t>
        </is>
      </c>
      <c r="B1027" t="inlineStr">
        <is>
          <t>CUSCO</t>
        </is>
      </c>
      <c r="C1027" t="inlineStr">
        <is>
          <t>LA CONVENCION</t>
        </is>
      </c>
      <c r="D1027" t="inlineStr">
        <is>
          <t>VILLA KINTIARINA</t>
        </is>
      </c>
      <c r="E1027" t="n">
        <v>745</v>
      </c>
      <c r="F1027" s="14" t="n">
        <v>0</v>
      </c>
      <c r="G1027" s="14" t="n">
        <v>82.81999999999999</v>
      </c>
      <c r="H1027" s="14" t="n">
        <v>0</v>
      </c>
      <c r="I1027" s="14" t="n">
        <v>0.67</v>
      </c>
      <c r="J1027" s="14" t="n">
        <v>0</v>
      </c>
      <c r="K1027" s="14" t="n">
        <v>0</v>
      </c>
      <c r="L1027" s="14" t="n">
        <v>2.82</v>
      </c>
      <c r="M1027" s="14" t="n">
        <v>3.36</v>
      </c>
      <c r="N1027" s="14" t="n">
        <v>0.4</v>
      </c>
      <c r="O1027" s="14" t="n">
        <v>1.74</v>
      </c>
      <c r="P1027" s="14" t="n">
        <v>0</v>
      </c>
      <c r="Q1027" s="14" t="n">
        <v>0</v>
      </c>
      <c r="R1027" s="14" t="n">
        <v>0</v>
      </c>
      <c r="S1027" s="14" t="n">
        <v>0.9399999999999999</v>
      </c>
      <c r="T1027" s="14" t="n">
        <v>0.27</v>
      </c>
      <c r="U1027" s="14" t="n">
        <v>1.88</v>
      </c>
      <c r="V1027" s="14" t="n">
        <v>2.95</v>
      </c>
      <c r="W1027" s="14" t="n">
        <v>1.61</v>
      </c>
      <c r="X1027" s="14" t="n">
        <v>0</v>
      </c>
      <c r="Y1027" s="14" t="n">
        <v>0.54</v>
      </c>
      <c r="Z1027" s="14" t="n">
        <v>0</v>
      </c>
      <c r="AA1027" s="14" t="n">
        <v>0</v>
      </c>
    </row>
    <row r="1028">
      <c r="A1028" t="inlineStr">
        <is>
          <t>090716</t>
        </is>
      </c>
      <c r="B1028" t="inlineStr">
        <is>
          <t>HUANCAVELICA</t>
        </is>
      </c>
      <c r="C1028" t="inlineStr">
        <is>
          <t>TAYACAJA</t>
        </is>
      </c>
      <c r="D1028" t="inlineStr">
        <is>
          <t>SAN MARCOS DE ROCCHAC</t>
        </is>
      </c>
      <c r="E1028" t="n">
        <v>425</v>
      </c>
      <c r="F1028" s="14" t="n">
        <v>0</v>
      </c>
      <c r="G1028" s="14" t="n">
        <v>84.70999999999999</v>
      </c>
      <c r="H1028" s="14" t="n">
        <v>0</v>
      </c>
      <c r="I1028" s="14" t="n">
        <v>0.47</v>
      </c>
      <c r="J1028" s="14" t="n">
        <v>0</v>
      </c>
      <c r="K1028" s="14" t="n">
        <v>0</v>
      </c>
      <c r="L1028" s="14" t="n">
        <v>1.88</v>
      </c>
      <c r="M1028" s="14" t="n">
        <v>4</v>
      </c>
      <c r="N1028" s="14" t="n">
        <v>2.12</v>
      </c>
      <c r="O1028" s="14" t="n">
        <v>1.88</v>
      </c>
      <c r="P1028" s="14" t="n">
        <v>0</v>
      </c>
      <c r="Q1028" s="14" t="n">
        <v>0</v>
      </c>
      <c r="R1028" s="14" t="n">
        <v>0</v>
      </c>
      <c r="S1028" s="14" t="n">
        <v>0.9399999999999999</v>
      </c>
      <c r="T1028" s="14" t="n">
        <v>0</v>
      </c>
      <c r="U1028" s="14" t="n">
        <v>0.9399999999999999</v>
      </c>
      <c r="V1028" s="14" t="n">
        <v>1.18</v>
      </c>
      <c r="W1028" s="14" t="n">
        <v>1.18</v>
      </c>
      <c r="X1028" s="14" t="n">
        <v>0</v>
      </c>
      <c r="Y1028" s="14" t="n">
        <v>0.47</v>
      </c>
      <c r="Z1028" s="14" t="n">
        <v>0.24</v>
      </c>
      <c r="AA1028" s="14" t="n">
        <v>0</v>
      </c>
    </row>
    <row r="1029">
      <c r="A1029" t="inlineStr">
        <is>
          <t>022001</t>
        </is>
      </c>
      <c r="B1029" t="inlineStr">
        <is>
          <t>ANCASH</t>
        </is>
      </c>
      <c r="C1029" t="inlineStr">
        <is>
          <t>YUNGAY</t>
        </is>
      </c>
      <c r="D1029" t="inlineStr">
        <is>
          <t>YUNGAY</t>
        </is>
      </c>
      <c r="E1029" t="n">
        <v>7931</v>
      </c>
      <c r="F1029" s="14" t="n">
        <v>0</v>
      </c>
      <c r="G1029" s="14" t="n">
        <v>53.1</v>
      </c>
      <c r="H1029" s="14" t="n">
        <v>0.28</v>
      </c>
      <c r="I1029" s="14" t="n">
        <v>2.27</v>
      </c>
      <c r="J1029" s="14" t="n">
        <v>0.01</v>
      </c>
      <c r="K1029" s="14" t="n">
        <v>0.01</v>
      </c>
      <c r="L1029" s="14" t="n">
        <v>2.89</v>
      </c>
      <c r="M1029" s="14" t="n">
        <v>12.32</v>
      </c>
      <c r="N1029" s="14" t="n">
        <v>5.64</v>
      </c>
      <c r="O1029" s="14" t="n">
        <v>4.14</v>
      </c>
      <c r="P1029" s="14" t="n">
        <v>0.3</v>
      </c>
      <c r="Q1029" s="14" t="n">
        <v>0.34</v>
      </c>
      <c r="R1029" s="14" t="n">
        <v>0.01</v>
      </c>
      <c r="S1029" s="14" t="n">
        <v>1.56</v>
      </c>
      <c r="T1029" s="14" t="n">
        <v>0.71</v>
      </c>
      <c r="U1029" s="14" t="n">
        <v>3.58</v>
      </c>
      <c r="V1029" s="14" t="n">
        <v>8.81</v>
      </c>
      <c r="W1029" s="14" t="n">
        <v>1.77</v>
      </c>
      <c r="X1029" s="14" t="n">
        <v>0.26</v>
      </c>
      <c r="Y1029" s="14" t="n">
        <v>1.34</v>
      </c>
      <c r="Z1029" s="14" t="n">
        <v>0.67</v>
      </c>
      <c r="AA1029" s="14" t="n">
        <v>0</v>
      </c>
    </row>
    <row r="1030">
      <c r="A1030" t="inlineStr">
        <is>
          <t>020601</t>
        </is>
      </c>
      <c r="B1030" t="inlineStr">
        <is>
          <t>ANCASH</t>
        </is>
      </c>
      <c r="C1030" t="inlineStr">
        <is>
          <t>CARHUAZ</t>
        </is>
      </c>
      <c r="D1030" t="inlineStr">
        <is>
          <t>CARHUAZ</t>
        </is>
      </c>
      <c r="E1030" t="n">
        <v>5097</v>
      </c>
      <c r="F1030" s="14" t="n">
        <v>0</v>
      </c>
      <c r="G1030" s="14" t="n">
        <v>42.71</v>
      </c>
      <c r="H1030" s="14" t="n">
        <v>0.31</v>
      </c>
      <c r="I1030" s="14" t="n">
        <v>3.47</v>
      </c>
      <c r="J1030" s="14" t="n">
        <v>0.02</v>
      </c>
      <c r="K1030" s="14" t="n">
        <v>0.04</v>
      </c>
      <c r="L1030" s="14" t="n">
        <v>3.96</v>
      </c>
      <c r="M1030" s="14" t="n">
        <v>14.66</v>
      </c>
      <c r="N1030" s="14" t="n">
        <v>6.36</v>
      </c>
      <c r="O1030" s="14" t="n">
        <v>6.53</v>
      </c>
      <c r="P1030" s="14" t="n">
        <v>0.35</v>
      </c>
      <c r="Q1030" s="14" t="n">
        <v>0.71</v>
      </c>
      <c r="R1030" s="14" t="n">
        <v>0.04</v>
      </c>
      <c r="S1030" s="14" t="n">
        <v>2.51</v>
      </c>
      <c r="T1030" s="14" t="n">
        <v>1.18</v>
      </c>
      <c r="U1030" s="14" t="n">
        <v>4.1</v>
      </c>
      <c r="V1030" s="14" t="n">
        <v>5.75</v>
      </c>
      <c r="W1030" s="14" t="n">
        <v>2.32</v>
      </c>
      <c r="X1030" s="14" t="n">
        <v>2.41</v>
      </c>
      <c r="Y1030" s="14" t="n">
        <v>1.47</v>
      </c>
      <c r="Z1030" s="14" t="n">
        <v>1.1</v>
      </c>
      <c r="AA1030" s="14" t="n">
        <v>0</v>
      </c>
    </row>
    <row r="1031">
      <c r="A1031" t="inlineStr">
        <is>
          <t>050105</t>
        </is>
      </c>
      <c r="B1031" t="inlineStr">
        <is>
          <t>AYACUCHO</t>
        </is>
      </c>
      <c r="C1031" t="inlineStr">
        <is>
          <t>HUAMANGA</t>
        </is>
      </c>
      <c r="D1031" t="inlineStr">
        <is>
          <t>CHIARA</t>
        </is>
      </c>
      <c r="E1031" t="n">
        <v>2739</v>
      </c>
      <c r="F1031" s="14" t="n">
        <v>0</v>
      </c>
      <c r="G1031" s="14" t="n">
        <v>86.2</v>
      </c>
      <c r="H1031" s="14" t="n">
        <v>0</v>
      </c>
      <c r="I1031" s="14" t="n">
        <v>0.6899999999999999</v>
      </c>
      <c r="J1031" s="14" t="n">
        <v>0</v>
      </c>
      <c r="K1031" s="14" t="n">
        <v>0.11</v>
      </c>
      <c r="L1031" s="14" t="n">
        <v>1.94</v>
      </c>
      <c r="M1031" s="14" t="n">
        <v>4.64</v>
      </c>
      <c r="N1031" s="14" t="n">
        <v>1.61</v>
      </c>
      <c r="O1031" s="14" t="n">
        <v>1.17</v>
      </c>
      <c r="P1031" s="14" t="n">
        <v>0.04</v>
      </c>
      <c r="Q1031" s="14" t="n">
        <v>0.07000000000000001</v>
      </c>
      <c r="R1031" s="14" t="n">
        <v>0</v>
      </c>
      <c r="S1031" s="14" t="n">
        <v>0.55</v>
      </c>
      <c r="T1031" s="14" t="n">
        <v>0.15</v>
      </c>
      <c r="U1031" s="14" t="n">
        <v>0.73</v>
      </c>
      <c r="V1031" s="14" t="n">
        <v>0.88</v>
      </c>
      <c r="W1031" s="14" t="n">
        <v>0.51</v>
      </c>
      <c r="X1031" s="14" t="n">
        <v>0.04</v>
      </c>
      <c r="Y1031" s="14" t="n">
        <v>0.44</v>
      </c>
      <c r="Z1031" s="14" t="n">
        <v>0.26</v>
      </c>
      <c r="AA1031" s="14" t="n">
        <v>0</v>
      </c>
    </row>
    <row r="1032">
      <c r="A1032" t="inlineStr">
        <is>
          <t>090717</t>
        </is>
      </c>
      <c r="B1032" t="inlineStr">
        <is>
          <t>HUANCAVELICA</t>
        </is>
      </c>
      <c r="C1032" t="inlineStr">
        <is>
          <t>TAYACAJA</t>
        </is>
      </c>
      <c r="D1032" t="inlineStr">
        <is>
          <t>SURCUBAMBA</t>
        </is>
      </c>
      <c r="E1032" t="n">
        <v>1225</v>
      </c>
      <c r="F1032" s="14" t="n">
        <v>0</v>
      </c>
      <c r="G1032" s="14" t="n">
        <v>75.59</v>
      </c>
      <c r="H1032" s="14" t="n">
        <v>0.33</v>
      </c>
      <c r="I1032" s="14" t="n">
        <v>0.49</v>
      </c>
      <c r="J1032" s="14" t="n">
        <v>0.16</v>
      </c>
      <c r="K1032" s="14" t="n">
        <v>0.24</v>
      </c>
      <c r="L1032" s="14" t="n">
        <v>3.1</v>
      </c>
      <c r="M1032" s="14" t="n">
        <v>5.06</v>
      </c>
      <c r="N1032" s="14" t="n">
        <v>0.65</v>
      </c>
      <c r="O1032" s="14" t="n">
        <v>1.71</v>
      </c>
      <c r="P1032" s="14" t="n">
        <v>0</v>
      </c>
      <c r="Q1032" s="14" t="n">
        <v>0.08</v>
      </c>
      <c r="R1032" s="14" t="n">
        <v>0</v>
      </c>
      <c r="S1032" s="14" t="n">
        <v>1.14</v>
      </c>
      <c r="T1032" s="14" t="n">
        <v>1.06</v>
      </c>
      <c r="U1032" s="14" t="n">
        <v>3.02</v>
      </c>
      <c r="V1032" s="14" t="n">
        <v>4.49</v>
      </c>
      <c r="W1032" s="14" t="n">
        <v>1.47</v>
      </c>
      <c r="X1032" s="14" t="n">
        <v>0</v>
      </c>
      <c r="Y1032" s="14" t="n">
        <v>0.57</v>
      </c>
      <c r="Z1032" s="14" t="n">
        <v>0.82</v>
      </c>
      <c r="AA1032" s="14" t="n">
        <v>0</v>
      </c>
    </row>
    <row r="1033">
      <c r="A1033" t="inlineStr">
        <is>
          <t>090208</t>
        </is>
      </c>
      <c r="B1033" t="inlineStr">
        <is>
          <t>HUANCAVELICA</t>
        </is>
      </c>
      <c r="C1033" t="inlineStr">
        <is>
          <t>ACOBAMBA</t>
        </is>
      </c>
      <c r="D1033" t="inlineStr">
        <is>
          <t>ROSARIO</t>
        </is>
      </c>
      <c r="E1033" t="n">
        <v>1262</v>
      </c>
      <c r="F1033" s="14" t="n">
        <v>0</v>
      </c>
      <c r="G1033" s="14" t="n">
        <v>88.27</v>
      </c>
      <c r="H1033" s="14" t="n">
        <v>0</v>
      </c>
      <c r="I1033" s="14" t="n">
        <v>0.4</v>
      </c>
      <c r="J1033" s="14" t="n">
        <v>0</v>
      </c>
      <c r="K1033" s="14" t="n">
        <v>0.08</v>
      </c>
      <c r="L1033" s="14" t="n">
        <v>2.69</v>
      </c>
      <c r="M1033" s="14" t="n">
        <v>2.77</v>
      </c>
      <c r="N1033" s="14" t="n">
        <v>0.79</v>
      </c>
      <c r="O1033" s="14" t="n">
        <v>0.32</v>
      </c>
      <c r="P1033" s="14" t="n">
        <v>0.08</v>
      </c>
      <c r="Q1033" s="14" t="n">
        <v>0</v>
      </c>
      <c r="R1033" s="14" t="n">
        <v>0</v>
      </c>
      <c r="S1033" s="14" t="n">
        <v>0.48</v>
      </c>
      <c r="T1033" s="14" t="n">
        <v>0</v>
      </c>
      <c r="U1033" s="14" t="n">
        <v>0.87</v>
      </c>
      <c r="V1033" s="14" t="n">
        <v>1.74</v>
      </c>
      <c r="W1033" s="14" t="n">
        <v>1.35</v>
      </c>
      <c r="X1033" s="14" t="n">
        <v>0</v>
      </c>
      <c r="Y1033" s="14" t="n">
        <v>0</v>
      </c>
      <c r="Z1033" s="14" t="n">
        <v>0.16</v>
      </c>
      <c r="AA1033" s="14" t="n">
        <v>0</v>
      </c>
    </row>
    <row r="1034">
      <c r="A1034" t="inlineStr">
        <is>
          <t>030701</t>
        </is>
      </c>
      <c r="B1034" t="inlineStr">
        <is>
          <t>APURIMAC</t>
        </is>
      </c>
      <c r="C1034" t="inlineStr">
        <is>
          <t>GRAU</t>
        </is>
      </c>
      <c r="D1034" t="inlineStr">
        <is>
          <t>CHUQUIBAMBILLA</t>
        </is>
      </c>
      <c r="E1034" t="n">
        <v>1612</v>
      </c>
      <c r="F1034" s="14" t="n">
        <v>0</v>
      </c>
      <c r="G1034" s="14" t="n">
        <v>37.47</v>
      </c>
      <c r="H1034" s="14" t="n">
        <v>1.12</v>
      </c>
      <c r="I1034" s="14" t="n">
        <v>1.86</v>
      </c>
      <c r="J1034" s="14" t="n">
        <v>0.06</v>
      </c>
      <c r="K1034" s="14" t="n">
        <v>0.06</v>
      </c>
      <c r="L1034" s="14" t="n">
        <v>6.89</v>
      </c>
      <c r="M1034" s="14" t="n">
        <v>10.55</v>
      </c>
      <c r="N1034" s="14" t="n">
        <v>3.47</v>
      </c>
      <c r="O1034" s="14" t="n">
        <v>4.28</v>
      </c>
      <c r="P1034" s="14" t="n">
        <v>0.43</v>
      </c>
      <c r="Q1034" s="14" t="n">
        <v>0.43</v>
      </c>
      <c r="R1034" s="14" t="n">
        <v>0</v>
      </c>
      <c r="S1034" s="14" t="n">
        <v>1.8</v>
      </c>
      <c r="T1034" s="14" t="n">
        <v>1.24</v>
      </c>
      <c r="U1034" s="14" t="n">
        <v>4.78</v>
      </c>
      <c r="V1034" s="14" t="n">
        <v>20.47</v>
      </c>
      <c r="W1034" s="14" t="n">
        <v>3.04</v>
      </c>
      <c r="X1034" s="14" t="n">
        <v>0.06</v>
      </c>
      <c r="Y1034" s="14" t="n">
        <v>1.8</v>
      </c>
      <c r="Z1034" s="14" t="n">
        <v>0.19</v>
      </c>
      <c r="AA1034" s="14" t="n">
        <v>0</v>
      </c>
    </row>
    <row r="1035">
      <c r="A1035" t="inlineStr">
        <is>
          <t>030505</t>
        </is>
      </c>
      <c r="B1035" t="inlineStr">
        <is>
          <t>APURIMAC</t>
        </is>
      </c>
      <c r="C1035" t="inlineStr">
        <is>
          <t>COTABAMBAS</t>
        </is>
      </c>
      <c r="D1035" t="inlineStr">
        <is>
          <t>MARA</t>
        </is>
      </c>
      <c r="E1035" t="n">
        <v>1260</v>
      </c>
      <c r="F1035" s="14" t="n">
        <v>0</v>
      </c>
      <c r="G1035" s="14" t="n">
        <v>59.52</v>
      </c>
      <c r="H1035" s="14" t="n">
        <v>0.08</v>
      </c>
      <c r="I1035" s="14" t="n">
        <v>1.75</v>
      </c>
      <c r="J1035" s="14" t="n">
        <v>0</v>
      </c>
      <c r="K1035" s="14" t="n">
        <v>0.08</v>
      </c>
      <c r="L1035" s="14" t="n">
        <v>11.67</v>
      </c>
      <c r="M1035" s="14" t="n">
        <v>5.79</v>
      </c>
      <c r="N1035" s="14" t="n">
        <v>1.03</v>
      </c>
      <c r="O1035" s="14" t="n">
        <v>1.43</v>
      </c>
      <c r="P1035" s="14" t="n">
        <v>0.16</v>
      </c>
      <c r="Q1035" s="14" t="n">
        <v>0</v>
      </c>
      <c r="R1035" s="14" t="n">
        <v>0</v>
      </c>
      <c r="S1035" s="14" t="n">
        <v>1.43</v>
      </c>
      <c r="T1035" s="14" t="n">
        <v>0.71</v>
      </c>
      <c r="U1035" s="14" t="n">
        <v>6.75</v>
      </c>
      <c r="V1035" s="14" t="n">
        <v>6.27</v>
      </c>
      <c r="W1035" s="14" t="n">
        <v>1.59</v>
      </c>
      <c r="X1035" s="14" t="n">
        <v>0.08</v>
      </c>
      <c r="Y1035" s="14" t="n">
        <v>1.27</v>
      </c>
      <c r="Z1035" s="14" t="n">
        <v>0.4</v>
      </c>
      <c r="AA1035" s="14" t="n">
        <v>0</v>
      </c>
    </row>
    <row r="1036">
      <c r="A1036" t="inlineStr">
        <is>
          <t>090507</t>
        </is>
      </c>
      <c r="B1036" t="inlineStr">
        <is>
          <t>HUANCAVELICA</t>
        </is>
      </c>
      <c r="C1036" t="inlineStr">
        <is>
          <t>CHURCAMPA</t>
        </is>
      </c>
      <c r="D1036" t="inlineStr">
        <is>
          <t>PAUCARBAMBA</t>
        </is>
      </c>
      <c r="E1036" t="n">
        <v>1332</v>
      </c>
      <c r="F1036" s="14" t="n">
        <v>0</v>
      </c>
      <c r="G1036" s="14" t="n">
        <v>77.55</v>
      </c>
      <c r="H1036" s="14" t="n">
        <v>0</v>
      </c>
      <c r="I1036" s="14" t="n">
        <v>1.05</v>
      </c>
      <c r="J1036" s="14" t="n">
        <v>0</v>
      </c>
      <c r="K1036" s="14" t="n">
        <v>0</v>
      </c>
      <c r="L1036" s="14" t="n">
        <v>1.05</v>
      </c>
      <c r="M1036" s="14" t="n">
        <v>5.86</v>
      </c>
      <c r="N1036" s="14" t="n">
        <v>1.35</v>
      </c>
      <c r="O1036" s="14" t="n">
        <v>1.13</v>
      </c>
      <c r="P1036" s="14" t="n">
        <v>0</v>
      </c>
      <c r="Q1036" s="14" t="n">
        <v>0.08</v>
      </c>
      <c r="R1036" s="14" t="n">
        <v>0</v>
      </c>
      <c r="S1036" s="14" t="n">
        <v>0.08</v>
      </c>
      <c r="T1036" s="14" t="n">
        <v>0</v>
      </c>
      <c r="U1036" s="14" t="n">
        <v>3.75</v>
      </c>
      <c r="V1036" s="14" t="n">
        <v>5.86</v>
      </c>
      <c r="W1036" s="14" t="n">
        <v>1.65</v>
      </c>
      <c r="X1036" s="14" t="n">
        <v>0.08</v>
      </c>
      <c r="Y1036" s="14" t="n">
        <v>0.53</v>
      </c>
      <c r="Z1036" s="14" t="n">
        <v>0</v>
      </c>
      <c r="AA1036" s="14" t="n">
        <v>0</v>
      </c>
    </row>
    <row r="1037">
      <c r="A1037" t="inlineStr">
        <is>
          <t>050508</t>
        </is>
      </c>
      <c r="B1037" t="inlineStr">
        <is>
          <t>AYACUCHO</t>
        </is>
      </c>
      <c r="C1037" t="inlineStr">
        <is>
          <t>LA MAR</t>
        </is>
      </c>
      <c r="D1037" t="inlineStr">
        <is>
          <t>TAMBO</t>
        </is>
      </c>
      <c r="E1037" t="n">
        <v>2753</v>
      </c>
      <c r="F1037" s="14" t="n">
        <v>0</v>
      </c>
      <c r="G1037" s="14" t="n">
        <v>73.16</v>
      </c>
      <c r="H1037" s="14" t="n">
        <v>0</v>
      </c>
      <c r="I1037" s="14" t="n">
        <v>1.27</v>
      </c>
      <c r="J1037" s="14" t="n">
        <v>0.04</v>
      </c>
      <c r="K1037" s="14" t="n">
        <v>0.04</v>
      </c>
      <c r="L1037" s="14" t="n">
        <v>4.25</v>
      </c>
      <c r="M1037" s="14" t="n">
        <v>7.34</v>
      </c>
      <c r="N1037" s="14" t="n">
        <v>2.4</v>
      </c>
      <c r="O1037" s="14" t="n">
        <v>2.62</v>
      </c>
      <c r="P1037" s="14" t="n">
        <v>0.11</v>
      </c>
      <c r="Q1037" s="14" t="n">
        <v>0.22</v>
      </c>
      <c r="R1037" s="14" t="n">
        <v>0</v>
      </c>
      <c r="S1037" s="14" t="n">
        <v>0.44</v>
      </c>
      <c r="T1037" s="14" t="n">
        <v>0.33</v>
      </c>
      <c r="U1037" s="14" t="n">
        <v>2.18</v>
      </c>
      <c r="V1037" s="14" t="n">
        <v>3.89</v>
      </c>
      <c r="W1037" s="14" t="n">
        <v>0.76</v>
      </c>
      <c r="X1037" s="14" t="n">
        <v>0.15</v>
      </c>
      <c r="Y1037" s="14" t="n">
        <v>0.6899999999999999</v>
      </c>
      <c r="Z1037" s="14" t="n">
        <v>0.15</v>
      </c>
      <c r="AA1037" s="14" t="n">
        <v>0</v>
      </c>
    </row>
    <row r="1038">
      <c r="A1038" t="inlineStr">
        <is>
          <t>060308</t>
        </is>
      </c>
      <c r="B1038" t="inlineStr">
        <is>
          <t>CAJAMARCA</t>
        </is>
      </c>
      <c r="C1038" t="inlineStr">
        <is>
          <t>CELENDIN</t>
        </is>
      </c>
      <c r="D1038" t="inlineStr">
        <is>
          <t>OXAMARCA</t>
        </is>
      </c>
      <c r="E1038" t="n">
        <v>1325</v>
      </c>
      <c r="F1038" s="14" t="n">
        <v>0</v>
      </c>
      <c r="G1038" s="14" t="n">
        <v>89.73999999999999</v>
      </c>
      <c r="H1038" s="14" t="n">
        <v>0</v>
      </c>
      <c r="I1038" s="14" t="n">
        <v>2.57</v>
      </c>
      <c r="J1038" s="14" t="n">
        <v>0</v>
      </c>
      <c r="K1038" s="14" t="n">
        <v>0</v>
      </c>
      <c r="L1038" s="14" t="n">
        <v>0.98</v>
      </c>
      <c r="M1038" s="14" t="n">
        <v>1.13</v>
      </c>
      <c r="N1038" s="14" t="n">
        <v>0.45</v>
      </c>
      <c r="O1038" s="14" t="n">
        <v>0.38</v>
      </c>
      <c r="P1038" s="14" t="n">
        <v>0</v>
      </c>
      <c r="Q1038" s="14" t="n">
        <v>0</v>
      </c>
      <c r="R1038" s="14" t="n">
        <v>0</v>
      </c>
      <c r="S1038" s="14" t="n">
        <v>0.23</v>
      </c>
      <c r="T1038" s="14" t="n">
        <v>0.3</v>
      </c>
      <c r="U1038" s="14" t="n">
        <v>0.38</v>
      </c>
      <c r="V1038" s="14" t="n">
        <v>1.81</v>
      </c>
      <c r="W1038" s="14" t="n">
        <v>0.83</v>
      </c>
      <c r="X1038" s="14" t="n">
        <v>0.15</v>
      </c>
      <c r="Y1038" s="14" t="n">
        <v>0.3</v>
      </c>
      <c r="Z1038" s="14" t="n">
        <v>0.75</v>
      </c>
      <c r="AA1038" s="14" t="n">
        <v>0</v>
      </c>
    </row>
    <row r="1039">
      <c r="A1039" t="inlineStr">
        <is>
          <t>060417</t>
        </is>
      </c>
      <c r="B1039" t="inlineStr">
        <is>
          <t>CAJAMARCA</t>
        </is>
      </c>
      <c r="C1039" t="inlineStr">
        <is>
          <t>CHOTA</t>
        </is>
      </c>
      <c r="D1039" t="inlineStr">
        <is>
          <t>TACABAMBA</t>
        </is>
      </c>
      <c r="E1039" t="n">
        <v>5130</v>
      </c>
      <c r="F1039" s="14" t="n">
        <v>0</v>
      </c>
      <c r="G1039" s="14" t="n">
        <v>77.31</v>
      </c>
      <c r="H1039" s="14" t="n">
        <v>0.08</v>
      </c>
      <c r="I1039" s="14" t="n">
        <v>2.4</v>
      </c>
      <c r="J1039" s="14" t="n">
        <v>0.04</v>
      </c>
      <c r="K1039" s="14" t="n">
        <v>0.04</v>
      </c>
      <c r="L1039" s="14" t="n">
        <v>1.31</v>
      </c>
      <c r="M1039" s="14" t="n">
        <v>5.48</v>
      </c>
      <c r="N1039" s="14" t="n">
        <v>2.28</v>
      </c>
      <c r="O1039" s="14" t="n">
        <v>0.99</v>
      </c>
      <c r="P1039" s="14" t="n">
        <v>0.1</v>
      </c>
      <c r="Q1039" s="14" t="n">
        <v>0.16</v>
      </c>
      <c r="R1039" s="14" t="n">
        <v>0.02</v>
      </c>
      <c r="S1039" s="14" t="n">
        <v>1.09</v>
      </c>
      <c r="T1039" s="14" t="n">
        <v>0.29</v>
      </c>
      <c r="U1039" s="14" t="n">
        <v>2.07</v>
      </c>
      <c r="V1039" s="14" t="n">
        <v>3.94</v>
      </c>
      <c r="W1039" s="14" t="n">
        <v>1.31</v>
      </c>
      <c r="X1039" s="14" t="n">
        <v>0.06</v>
      </c>
      <c r="Y1039" s="14" t="n">
        <v>0.7</v>
      </c>
      <c r="Z1039" s="14" t="n">
        <v>0.35</v>
      </c>
      <c r="AA1039" s="14" t="n">
        <v>0</v>
      </c>
    </row>
    <row r="1040">
      <c r="A1040" t="inlineStr">
        <is>
          <t>050409</t>
        </is>
      </c>
      <c r="B1040" t="inlineStr">
        <is>
          <t>AYACUCHO</t>
        </is>
      </c>
      <c r="C1040" t="inlineStr">
        <is>
          <t>HUANTA</t>
        </is>
      </c>
      <c r="D1040" t="inlineStr">
        <is>
          <t>CANAYRE</t>
        </is>
      </c>
      <c r="E1040" t="n">
        <v>1562</v>
      </c>
      <c r="F1040" s="14" t="n">
        <v>0</v>
      </c>
      <c r="G1040" s="14" t="n">
        <v>75.93000000000001</v>
      </c>
      <c r="H1040" s="14" t="n">
        <v>0</v>
      </c>
      <c r="I1040" s="14" t="n">
        <v>1.02</v>
      </c>
      <c r="J1040" s="14" t="n">
        <v>0</v>
      </c>
      <c r="K1040" s="14" t="n">
        <v>0</v>
      </c>
      <c r="L1040" s="14" t="n">
        <v>2.3</v>
      </c>
      <c r="M1040" s="14" t="n">
        <v>8.07</v>
      </c>
      <c r="N1040" s="14" t="n">
        <v>1.92</v>
      </c>
      <c r="O1040" s="14" t="n">
        <v>3.59</v>
      </c>
      <c r="P1040" s="14" t="n">
        <v>0.13</v>
      </c>
      <c r="Q1040" s="14" t="n">
        <v>0.06</v>
      </c>
      <c r="R1040" s="14" t="n">
        <v>0</v>
      </c>
      <c r="S1040" s="14" t="n">
        <v>0.58</v>
      </c>
      <c r="T1040" s="14" t="n">
        <v>0.38</v>
      </c>
      <c r="U1040" s="14" t="n">
        <v>1.15</v>
      </c>
      <c r="V1040" s="14" t="n">
        <v>2.94</v>
      </c>
      <c r="W1040" s="14" t="n">
        <v>0.26</v>
      </c>
      <c r="X1040" s="14" t="n">
        <v>0.06</v>
      </c>
      <c r="Y1040" s="14" t="n">
        <v>1.15</v>
      </c>
      <c r="Z1040" s="14" t="n">
        <v>0.45</v>
      </c>
      <c r="AA1040" s="14" t="n">
        <v>0</v>
      </c>
    </row>
    <row r="1041">
      <c r="A1041" t="inlineStr">
        <is>
          <t>060105</t>
        </is>
      </c>
      <c r="B1041" t="inlineStr">
        <is>
          <t>CAJAMARCA</t>
        </is>
      </c>
      <c r="C1041" t="inlineStr">
        <is>
          <t>CAJAMARCA</t>
        </is>
      </c>
      <c r="D1041" t="inlineStr">
        <is>
          <t>ENCAÑADA</t>
        </is>
      </c>
      <c r="E1041" t="n">
        <v>4994</v>
      </c>
      <c r="F1041" s="14" t="n">
        <v>0</v>
      </c>
      <c r="G1041" s="14" t="n">
        <v>80.58</v>
      </c>
      <c r="H1041" s="14" t="n">
        <v>0.18</v>
      </c>
      <c r="I1041" s="14" t="n">
        <v>2.16</v>
      </c>
      <c r="J1041" s="14" t="n">
        <v>0.02</v>
      </c>
      <c r="K1041" s="14" t="n">
        <v>0.04</v>
      </c>
      <c r="L1041" s="14" t="n">
        <v>4.23</v>
      </c>
      <c r="M1041" s="14" t="n">
        <v>4.95</v>
      </c>
      <c r="N1041" s="14" t="n">
        <v>1.74</v>
      </c>
      <c r="O1041" s="14" t="n">
        <v>1.18</v>
      </c>
      <c r="P1041" s="14" t="n">
        <v>0</v>
      </c>
      <c r="Q1041" s="14" t="n">
        <v>0.06</v>
      </c>
      <c r="R1041" s="14" t="n">
        <v>0.02</v>
      </c>
      <c r="S1041" s="14" t="n">
        <v>0.78</v>
      </c>
      <c r="T1041" s="14" t="n">
        <v>0.6</v>
      </c>
      <c r="U1041" s="14" t="n">
        <v>0.86</v>
      </c>
      <c r="V1041" s="14" t="n">
        <v>0.66</v>
      </c>
      <c r="W1041" s="14" t="n">
        <v>0.18</v>
      </c>
      <c r="X1041" s="14" t="n">
        <v>0.02</v>
      </c>
      <c r="Y1041" s="14" t="n">
        <v>0.5600000000000001</v>
      </c>
      <c r="Z1041" s="14" t="n">
        <v>1.18</v>
      </c>
      <c r="AA1041" s="14" t="n">
        <v>0</v>
      </c>
    </row>
    <row r="1042">
      <c r="A1042" t="inlineStr">
        <is>
          <t>051108</t>
        </is>
      </c>
      <c r="B1042" t="inlineStr">
        <is>
          <t>AYACUCHO</t>
        </is>
      </c>
      <c r="C1042" t="inlineStr">
        <is>
          <t>VILCAS HUAMAN</t>
        </is>
      </c>
      <c r="D1042" t="inlineStr">
        <is>
          <t>VISCHONGO</t>
        </is>
      </c>
      <c r="E1042" t="n">
        <v>1164</v>
      </c>
      <c r="F1042" s="14" t="n">
        <v>0</v>
      </c>
      <c r="G1042" s="14" t="n">
        <v>71.98999999999999</v>
      </c>
      <c r="H1042" s="14" t="n">
        <v>0.26</v>
      </c>
      <c r="I1042" s="14" t="n">
        <v>1.37</v>
      </c>
      <c r="J1042" s="14" t="n">
        <v>0</v>
      </c>
      <c r="K1042" s="14" t="n">
        <v>0</v>
      </c>
      <c r="L1042" s="14" t="n">
        <v>6.27</v>
      </c>
      <c r="M1042" s="14" t="n">
        <v>5.93</v>
      </c>
      <c r="N1042" s="14" t="n">
        <v>0.86</v>
      </c>
      <c r="O1042" s="14" t="n">
        <v>2.41</v>
      </c>
      <c r="P1042" s="14" t="n">
        <v>0.09</v>
      </c>
      <c r="Q1042" s="14" t="n">
        <v>0</v>
      </c>
      <c r="R1042" s="14" t="n">
        <v>0</v>
      </c>
      <c r="S1042" s="14" t="n">
        <v>1.2</v>
      </c>
      <c r="T1042" s="14" t="n">
        <v>0.6899999999999999</v>
      </c>
      <c r="U1042" s="14" t="n">
        <v>1.37</v>
      </c>
      <c r="V1042" s="14" t="n">
        <v>3.87</v>
      </c>
      <c r="W1042" s="14" t="n">
        <v>1.63</v>
      </c>
      <c r="X1042" s="14" t="n">
        <v>0</v>
      </c>
      <c r="Y1042" s="14" t="n">
        <v>0.86</v>
      </c>
      <c r="Z1042" s="14" t="n">
        <v>1.2</v>
      </c>
      <c r="AA1042" s="14" t="n">
        <v>0</v>
      </c>
    </row>
    <row r="1043">
      <c r="A1043" t="inlineStr">
        <is>
          <t>090721</t>
        </is>
      </c>
      <c r="B1043" t="inlineStr">
        <is>
          <t>HUANCAVELICA</t>
        </is>
      </c>
      <c r="C1043" t="inlineStr">
        <is>
          <t>TAYACAJA</t>
        </is>
      </c>
      <c r="D1043" t="inlineStr">
        <is>
          <t>ROBLE</t>
        </is>
      </c>
      <c r="E1043" t="n">
        <v>382</v>
      </c>
      <c r="F1043" s="14" t="n">
        <v>0</v>
      </c>
      <c r="G1043" s="14" t="n">
        <v>78.53</v>
      </c>
      <c r="H1043" s="14" t="n">
        <v>0</v>
      </c>
      <c r="I1043" s="14" t="n">
        <v>0.26</v>
      </c>
      <c r="J1043" s="14" t="n">
        <v>0</v>
      </c>
      <c r="K1043" s="14" t="n">
        <v>0</v>
      </c>
      <c r="L1043" s="14" t="n">
        <v>7.85</v>
      </c>
      <c r="M1043" s="14" t="n">
        <v>2.62</v>
      </c>
      <c r="N1043" s="14" t="n">
        <v>1.05</v>
      </c>
      <c r="O1043" s="14" t="n">
        <v>0.26</v>
      </c>
      <c r="P1043" s="14" t="n">
        <v>0</v>
      </c>
      <c r="Q1043" s="14" t="n">
        <v>0</v>
      </c>
      <c r="R1043" s="14" t="n">
        <v>0</v>
      </c>
      <c r="S1043" s="14" t="n">
        <v>0.52</v>
      </c>
      <c r="T1043" s="14" t="n">
        <v>0</v>
      </c>
      <c r="U1043" s="14" t="n">
        <v>2.88</v>
      </c>
      <c r="V1043" s="14" t="n">
        <v>5.24</v>
      </c>
      <c r="W1043" s="14" t="n">
        <v>0.79</v>
      </c>
      <c r="X1043" s="14" t="n">
        <v>0</v>
      </c>
      <c r="Y1043" s="14" t="n">
        <v>0</v>
      </c>
      <c r="Z1043" s="14" t="n">
        <v>0</v>
      </c>
      <c r="AA1043" s="14" t="n">
        <v>0</v>
      </c>
    </row>
    <row r="1044">
      <c r="A1044" t="inlineStr">
        <is>
          <t>010101</t>
        </is>
      </c>
      <c r="B1044" t="inlineStr">
        <is>
          <t>AMAZONAS</t>
        </is>
      </c>
      <c r="C1044" t="inlineStr">
        <is>
          <t>CHACHAPOYAS</t>
        </is>
      </c>
      <c r="D1044" t="inlineStr">
        <is>
          <t>CHACHAPOYAS</t>
        </is>
      </c>
      <c r="E1044" t="n">
        <v>14394</v>
      </c>
      <c r="F1044" s="14" t="n">
        <v>0</v>
      </c>
      <c r="G1044" s="14" t="n">
        <v>8.949999999999999</v>
      </c>
      <c r="H1044" s="14" t="n">
        <v>0.05</v>
      </c>
      <c r="I1044" s="14" t="n">
        <v>3.99</v>
      </c>
      <c r="J1044" s="14" t="n">
        <v>0.2</v>
      </c>
      <c r="K1044" s="14" t="n">
        <v>0.17</v>
      </c>
      <c r="L1044" s="14" t="n">
        <v>11.02</v>
      </c>
      <c r="M1044" s="14" t="n">
        <v>17.94</v>
      </c>
      <c r="N1044" s="14" t="n">
        <v>6.1</v>
      </c>
      <c r="O1044" s="14" t="n">
        <v>6.53</v>
      </c>
      <c r="P1044" s="14" t="n">
        <v>0.78</v>
      </c>
      <c r="Q1044" s="14" t="n">
        <v>0.99</v>
      </c>
      <c r="R1044" s="14" t="n">
        <v>0.1</v>
      </c>
      <c r="S1044" s="14" t="n">
        <v>8.300000000000001</v>
      </c>
      <c r="T1044" s="14" t="n">
        <v>3.49</v>
      </c>
      <c r="U1044" s="14" t="n">
        <v>9</v>
      </c>
      <c r="V1044" s="14" t="n">
        <v>11.82</v>
      </c>
      <c r="W1044" s="14" t="n">
        <v>4.92</v>
      </c>
      <c r="X1044" s="14" t="n">
        <v>0.97</v>
      </c>
      <c r="Y1044" s="14" t="n">
        <v>2.47</v>
      </c>
      <c r="Z1044" s="14" t="n">
        <v>2.18</v>
      </c>
      <c r="AA1044" s="14" t="n">
        <v>0.01</v>
      </c>
    </row>
    <row r="1045">
      <c r="A1045" t="inlineStr">
        <is>
          <t>010702</t>
        </is>
      </c>
      <c r="B1045" t="inlineStr">
        <is>
          <t>AMAZONAS</t>
        </is>
      </c>
      <c r="C1045" t="inlineStr">
        <is>
          <t>UTCUBAMBA</t>
        </is>
      </c>
      <c r="D1045" t="inlineStr">
        <is>
          <t>CAJARURO</t>
        </is>
      </c>
      <c r="E1045" t="n">
        <v>7689</v>
      </c>
      <c r="F1045" s="14" t="n">
        <v>0</v>
      </c>
      <c r="G1045" s="14" t="n">
        <v>83.26000000000001</v>
      </c>
      <c r="H1045" s="14" t="n">
        <v>0.01</v>
      </c>
      <c r="I1045" s="14" t="n">
        <v>0.9</v>
      </c>
      <c r="J1045" s="14" t="n">
        <v>0</v>
      </c>
      <c r="K1045" s="14" t="n">
        <v>0.03</v>
      </c>
      <c r="L1045" s="14" t="n">
        <v>1.21</v>
      </c>
      <c r="M1045" s="14" t="n">
        <v>4.33</v>
      </c>
      <c r="N1045" s="14" t="n">
        <v>2.35</v>
      </c>
      <c r="O1045" s="14" t="n">
        <v>1.09</v>
      </c>
      <c r="P1045" s="14" t="n">
        <v>0.08</v>
      </c>
      <c r="Q1045" s="14" t="n">
        <v>0.01</v>
      </c>
      <c r="R1045" s="14" t="n">
        <v>0</v>
      </c>
      <c r="S1045" s="14" t="n">
        <v>0.39</v>
      </c>
      <c r="T1045" s="14" t="n">
        <v>0.42</v>
      </c>
      <c r="U1045" s="14" t="n">
        <v>0.99</v>
      </c>
      <c r="V1045" s="14" t="n">
        <v>2.81</v>
      </c>
      <c r="W1045" s="14" t="n">
        <v>0.74</v>
      </c>
      <c r="X1045" s="14" t="n">
        <v>0.07000000000000001</v>
      </c>
      <c r="Y1045" s="14" t="n">
        <v>0.47</v>
      </c>
      <c r="Z1045" s="14" t="n">
        <v>0.85</v>
      </c>
      <c r="AA1045" s="14" t="n">
        <v>0</v>
      </c>
    </row>
    <row r="1046">
      <c r="A1046" t="inlineStr">
        <is>
          <t>090715</t>
        </is>
      </c>
      <c r="B1046" t="inlineStr">
        <is>
          <t>HUANCAVELICA</t>
        </is>
      </c>
      <c r="C1046" t="inlineStr">
        <is>
          <t>TAYACAJA</t>
        </is>
      </c>
      <c r="D1046" t="inlineStr">
        <is>
          <t>SALCAHUASI</t>
        </is>
      </c>
      <c r="E1046" t="n">
        <v>655</v>
      </c>
      <c r="F1046" s="14" t="n">
        <v>0</v>
      </c>
      <c r="G1046" s="14" t="n">
        <v>85.8</v>
      </c>
      <c r="H1046" s="14" t="n">
        <v>0</v>
      </c>
      <c r="I1046" s="14" t="n">
        <v>0.92</v>
      </c>
      <c r="J1046" s="14" t="n">
        <v>0</v>
      </c>
      <c r="K1046" s="14" t="n">
        <v>0</v>
      </c>
      <c r="L1046" s="14" t="n">
        <v>0.92</v>
      </c>
      <c r="M1046" s="14" t="n">
        <v>6.72</v>
      </c>
      <c r="N1046" s="14" t="n">
        <v>0.61</v>
      </c>
      <c r="O1046" s="14" t="n">
        <v>0.31</v>
      </c>
      <c r="P1046" s="14" t="n">
        <v>0</v>
      </c>
      <c r="Q1046" s="14" t="n">
        <v>0</v>
      </c>
      <c r="R1046" s="14" t="n">
        <v>0</v>
      </c>
      <c r="S1046" s="14" t="n">
        <v>0.46</v>
      </c>
      <c r="T1046" s="14" t="n">
        <v>0</v>
      </c>
      <c r="U1046" s="14" t="n">
        <v>1.53</v>
      </c>
      <c r="V1046" s="14" t="n">
        <v>1.68</v>
      </c>
      <c r="W1046" s="14" t="n">
        <v>0.61</v>
      </c>
      <c r="X1046" s="14" t="n">
        <v>0</v>
      </c>
      <c r="Y1046" s="14" t="n">
        <v>0.31</v>
      </c>
      <c r="Z1046" s="14" t="n">
        <v>0.15</v>
      </c>
      <c r="AA1046" s="14" t="n">
        <v>0</v>
      </c>
    </row>
    <row r="1047">
      <c r="A1047" t="inlineStr">
        <is>
          <t>060801</t>
        </is>
      </c>
      <c r="B1047" t="inlineStr">
        <is>
          <t>CAJAMARCA</t>
        </is>
      </c>
      <c r="C1047" t="inlineStr">
        <is>
          <t>JAEN</t>
        </is>
      </c>
      <c r="D1047" t="inlineStr">
        <is>
          <t>JAEN</t>
        </is>
      </c>
      <c r="E1047" t="n">
        <v>40179</v>
      </c>
      <c r="F1047" s="14" t="n">
        <v>0</v>
      </c>
      <c r="G1047" s="14" t="n">
        <v>18.74</v>
      </c>
      <c r="H1047" s="14" t="n">
        <v>0.12</v>
      </c>
      <c r="I1047" s="14" t="n">
        <v>5.01</v>
      </c>
      <c r="J1047" s="14" t="n">
        <v>0.09</v>
      </c>
      <c r="K1047" s="14" t="n">
        <v>0.19</v>
      </c>
      <c r="L1047" s="14" t="n">
        <v>7.49</v>
      </c>
      <c r="M1047" s="14" t="n">
        <v>21.98</v>
      </c>
      <c r="N1047" s="14" t="n">
        <v>11.95</v>
      </c>
      <c r="O1047" s="14" t="n">
        <v>5.69</v>
      </c>
      <c r="P1047" s="14" t="n">
        <v>0.58</v>
      </c>
      <c r="Q1047" s="14" t="n">
        <v>0.99</v>
      </c>
      <c r="R1047" s="14" t="n">
        <v>0.16</v>
      </c>
      <c r="S1047" s="14" t="n">
        <v>5.99</v>
      </c>
      <c r="T1047" s="14" t="n">
        <v>2.05</v>
      </c>
      <c r="U1047" s="14" t="n">
        <v>2.8</v>
      </c>
      <c r="V1047" s="14" t="n">
        <v>8.32</v>
      </c>
      <c r="W1047" s="14" t="n">
        <v>2.75</v>
      </c>
      <c r="X1047" s="14" t="n">
        <v>0.75</v>
      </c>
      <c r="Y1047" s="14" t="n">
        <v>2.94</v>
      </c>
      <c r="Z1047" s="14" t="n">
        <v>1.41</v>
      </c>
      <c r="AA1047" s="14" t="n">
        <v>0</v>
      </c>
    </row>
    <row r="1048">
      <c r="A1048" t="inlineStr">
        <is>
          <t>060102</t>
        </is>
      </c>
      <c r="B1048" t="inlineStr">
        <is>
          <t>CAJAMARCA</t>
        </is>
      </c>
      <c r="C1048" t="inlineStr">
        <is>
          <t>CAJAMARCA</t>
        </is>
      </c>
      <c r="D1048" t="inlineStr">
        <is>
          <t>ASUNCION</t>
        </is>
      </c>
      <c r="E1048" t="n">
        <v>1561</v>
      </c>
      <c r="F1048" s="14" t="n">
        <v>0</v>
      </c>
      <c r="G1048" s="14" t="n">
        <v>74.12</v>
      </c>
      <c r="H1048" s="14" t="n">
        <v>0.06</v>
      </c>
      <c r="I1048" s="14" t="n">
        <v>2.82</v>
      </c>
      <c r="J1048" s="14" t="n">
        <v>0</v>
      </c>
      <c r="K1048" s="14" t="n">
        <v>0</v>
      </c>
      <c r="L1048" s="14" t="n">
        <v>4.93</v>
      </c>
      <c r="M1048" s="14" t="n">
        <v>5.32</v>
      </c>
      <c r="N1048" s="14" t="n">
        <v>2.11</v>
      </c>
      <c r="O1048" s="14" t="n">
        <v>1.73</v>
      </c>
      <c r="P1048" s="14" t="n">
        <v>0.32</v>
      </c>
      <c r="Q1048" s="14" t="n">
        <v>0.06</v>
      </c>
      <c r="R1048" s="14" t="n">
        <v>0</v>
      </c>
      <c r="S1048" s="14" t="n">
        <v>1.02</v>
      </c>
      <c r="T1048" s="14" t="n">
        <v>0.45</v>
      </c>
      <c r="U1048" s="14" t="n">
        <v>1.28</v>
      </c>
      <c r="V1048" s="14" t="n">
        <v>2.95</v>
      </c>
      <c r="W1048" s="14" t="n">
        <v>0.96</v>
      </c>
      <c r="X1048" s="14" t="n">
        <v>0.13</v>
      </c>
      <c r="Y1048" s="14" t="n">
        <v>1.02</v>
      </c>
      <c r="Z1048" s="14" t="n">
        <v>0.7</v>
      </c>
      <c r="AA1048" s="14" t="n">
        <v>0</v>
      </c>
    </row>
    <row r="1049">
      <c r="A1049" t="inlineStr">
        <is>
          <t>060812</t>
        </is>
      </c>
      <c r="B1049" t="inlineStr">
        <is>
          <t>CAJAMARCA</t>
        </is>
      </c>
      <c r="C1049" t="inlineStr">
        <is>
          <t>JAEN</t>
        </is>
      </c>
      <c r="D1049" t="inlineStr">
        <is>
          <t>SANTA ROSA</t>
        </is>
      </c>
      <c r="E1049" t="n">
        <v>3884</v>
      </c>
      <c r="F1049" s="14" t="n">
        <v>0</v>
      </c>
      <c r="G1049" s="14" t="n">
        <v>89.8</v>
      </c>
      <c r="H1049" s="14" t="n">
        <v>0.03</v>
      </c>
      <c r="I1049" s="14" t="n">
        <v>0.57</v>
      </c>
      <c r="J1049" s="14" t="n">
        <v>0</v>
      </c>
      <c r="K1049" s="14" t="n">
        <v>0.03</v>
      </c>
      <c r="L1049" s="14" t="n">
        <v>0.51</v>
      </c>
      <c r="M1049" s="14" t="n">
        <v>2.6</v>
      </c>
      <c r="N1049" s="14" t="n">
        <v>0.77</v>
      </c>
      <c r="O1049" s="14" t="n">
        <v>0.54</v>
      </c>
      <c r="P1049" s="14" t="n">
        <v>0</v>
      </c>
      <c r="Q1049" s="14" t="n">
        <v>0.1</v>
      </c>
      <c r="R1049" s="14" t="n">
        <v>0</v>
      </c>
      <c r="S1049" s="14" t="n">
        <v>0.28</v>
      </c>
      <c r="T1049" s="14" t="n">
        <v>0.03</v>
      </c>
      <c r="U1049" s="14" t="n">
        <v>1.16</v>
      </c>
      <c r="V1049" s="14" t="n">
        <v>2.55</v>
      </c>
      <c r="W1049" s="14" t="n">
        <v>0.67</v>
      </c>
      <c r="X1049" s="14" t="n">
        <v>0</v>
      </c>
      <c r="Y1049" s="14" t="n">
        <v>0.26</v>
      </c>
      <c r="Z1049" s="14" t="n">
        <v>0.1</v>
      </c>
      <c r="AA1049" s="14" t="n">
        <v>0</v>
      </c>
    </row>
    <row r="1050">
      <c r="A1050" t="inlineStr">
        <is>
          <t>090719</t>
        </is>
      </c>
      <c r="B1050" t="inlineStr">
        <is>
          <t>HUANCAVELICA</t>
        </is>
      </c>
      <c r="C1050" t="inlineStr">
        <is>
          <t>TAYACAJA</t>
        </is>
      </c>
      <c r="D1050" t="inlineStr">
        <is>
          <t>QUICHUAS</t>
        </is>
      </c>
      <c r="E1050" t="n">
        <v>1154</v>
      </c>
      <c r="F1050" s="14" t="n">
        <v>0</v>
      </c>
      <c r="G1050" s="14" t="n">
        <v>81.89</v>
      </c>
      <c r="H1050" s="14" t="n">
        <v>0</v>
      </c>
      <c r="I1050" s="14" t="n">
        <v>0.78</v>
      </c>
      <c r="J1050" s="14" t="n">
        <v>1.04</v>
      </c>
      <c r="K1050" s="14" t="n">
        <v>0</v>
      </c>
      <c r="L1050" s="14" t="n">
        <v>2.51</v>
      </c>
      <c r="M1050" s="14" t="n">
        <v>4.33</v>
      </c>
      <c r="N1050" s="14" t="n">
        <v>0.95</v>
      </c>
      <c r="O1050" s="14" t="n">
        <v>3.03</v>
      </c>
      <c r="P1050" s="14" t="n">
        <v>0</v>
      </c>
      <c r="Q1050" s="14" t="n">
        <v>0.09</v>
      </c>
      <c r="R1050" s="14" t="n">
        <v>0</v>
      </c>
      <c r="S1050" s="14" t="n">
        <v>0.52</v>
      </c>
      <c r="T1050" s="14" t="n">
        <v>0.6899999999999999</v>
      </c>
      <c r="U1050" s="14" t="n">
        <v>1.99</v>
      </c>
      <c r="V1050" s="14" t="n">
        <v>1.3</v>
      </c>
      <c r="W1050" s="14" t="n">
        <v>0.43</v>
      </c>
      <c r="X1050" s="14" t="n">
        <v>0</v>
      </c>
      <c r="Y1050" s="14" t="n">
        <v>0.26</v>
      </c>
      <c r="Z1050" s="14" t="n">
        <v>0.17</v>
      </c>
      <c r="AA1050" s="14" t="n">
        <v>0</v>
      </c>
    </row>
    <row r="1051">
      <c r="A1051" t="inlineStr">
        <is>
          <t>060802</t>
        </is>
      </c>
      <c r="B1051" t="inlineStr">
        <is>
          <t>CAJAMARCA</t>
        </is>
      </c>
      <c r="C1051" t="inlineStr">
        <is>
          <t>JAEN</t>
        </is>
      </c>
      <c r="D1051" t="inlineStr">
        <is>
          <t>BELLAVISTA</t>
        </is>
      </c>
      <c r="E1051" t="n">
        <v>5238</v>
      </c>
      <c r="F1051" s="14" t="n">
        <v>0</v>
      </c>
      <c r="G1051" s="14" t="n">
        <v>74.44</v>
      </c>
      <c r="H1051" s="14" t="n">
        <v>0.06</v>
      </c>
      <c r="I1051" s="14" t="n">
        <v>1.87</v>
      </c>
      <c r="J1051" s="14" t="n">
        <v>0.06</v>
      </c>
      <c r="K1051" s="14" t="n">
        <v>0.1</v>
      </c>
      <c r="L1051" s="14" t="n">
        <v>2.02</v>
      </c>
      <c r="M1051" s="14" t="n">
        <v>5.99</v>
      </c>
      <c r="N1051" s="14" t="n">
        <v>3.51</v>
      </c>
      <c r="O1051" s="14" t="n">
        <v>2.69</v>
      </c>
      <c r="P1051" s="14" t="n">
        <v>0.08</v>
      </c>
      <c r="Q1051" s="14" t="n">
        <v>0.1</v>
      </c>
      <c r="R1051" s="14" t="n">
        <v>0</v>
      </c>
      <c r="S1051" s="14" t="n">
        <v>0.6899999999999999</v>
      </c>
      <c r="T1051" s="14" t="n">
        <v>0.57</v>
      </c>
      <c r="U1051" s="14" t="n">
        <v>1.43</v>
      </c>
      <c r="V1051" s="14" t="n">
        <v>2.41</v>
      </c>
      <c r="W1051" s="14" t="n">
        <v>1.39</v>
      </c>
      <c r="X1051" s="14" t="n">
        <v>0.34</v>
      </c>
      <c r="Y1051" s="14" t="n">
        <v>0.71</v>
      </c>
      <c r="Z1051" s="14" t="n">
        <v>1.55</v>
      </c>
      <c r="AA1051" s="14" t="n">
        <v>0</v>
      </c>
    </row>
    <row r="1052">
      <c r="A1052" t="inlineStr">
        <is>
          <t>090607</t>
        </is>
      </c>
      <c r="B1052" t="inlineStr">
        <is>
          <t>HUANCAVELICA</t>
        </is>
      </c>
      <c r="C1052" t="inlineStr">
        <is>
          <t>HUAYTARA</t>
        </is>
      </c>
      <c r="D1052" t="inlineStr">
        <is>
          <t>PILPICHACA</t>
        </is>
      </c>
      <c r="E1052" t="n">
        <v>828</v>
      </c>
      <c r="F1052" s="14" t="n">
        <v>0</v>
      </c>
      <c r="G1052" s="14" t="n">
        <v>71.14</v>
      </c>
      <c r="H1052" s="14" t="n">
        <v>0.12</v>
      </c>
      <c r="I1052" s="14" t="n">
        <v>0.48</v>
      </c>
      <c r="J1052" s="14" t="n">
        <v>0</v>
      </c>
      <c r="K1052" s="14" t="n">
        <v>0.36</v>
      </c>
      <c r="L1052" s="14" t="n">
        <v>6.4</v>
      </c>
      <c r="M1052" s="14" t="n">
        <v>6.52</v>
      </c>
      <c r="N1052" s="14" t="n">
        <v>3.26</v>
      </c>
      <c r="O1052" s="14" t="n">
        <v>3.5</v>
      </c>
      <c r="P1052" s="14" t="n">
        <v>0</v>
      </c>
      <c r="Q1052" s="14" t="n">
        <v>0.24</v>
      </c>
      <c r="R1052" s="14" t="n">
        <v>0</v>
      </c>
      <c r="S1052" s="14" t="n">
        <v>0.72</v>
      </c>
      <c r="T1052" s="14" t="n">
        <v>0.6</v>
      </c>
      <c r="U1052" s="14" t="n">
        <v>2.29</v>
      </c>
      <c r="V1052" s="14" t="n">
        <v>2.05</v>
      </c>
      <c r="W1052" s="14" t="n">
        <v>1.93</v>
      </c>
      <c r="X1052" s="14" t="n">
        <v>0.12</v>
      </c>
      <c r="Y1052" s="14" t="n">
        <v>0.24</v>
      </c>
      <c r="Z1052" s="14" t="n">
        <v>0</v>
      </c>
      <c r="AA1052" s="14" t="n">
        <v>0</v>
      </c>
    </row>
    <row r="1053">
      <c r="A1053" t="inlineStr">
        <is>
          <t>010306</t>
        </is>
      </c>
      <c r="B1053" t="inlineStr">
        <is>
          <t>AMAZONAS</t>
        </is>
      </c>
      <c r="C1053" t="inlineStr">
        <is>
          <t>BONGARA</t>
        </is>
      </c>
      <c r="D1053" t="inlineStr">
        <is>
          <t>FLORIDA</t>
        </is>
      </c>
      <c r="E1053" t="n">
        <v>2312</v>
      </c>
      <c r="F1053" s="14" t="n">
        <v>0</v>
      </c>
      <c r="G1053" s="14" t="n">
        <v>59</v>
      </c>
      <c r="H1053" s="14" t="n">
        <v>0.17</v>
      </c>
      <c r="I1053" s="14" t="n">
        <v>2.38</v>
      </c>
      <c r="J1053" s="14" t="n">
        <v>0.04</v>
      </c>
      <c r="K1053" s="14" t="n">
        <v>0.04</v>
      </c>
      <c r="L1053" s="14" t="n">
        <v>4.93</v>
      </c>
      <c r="M1053" s="14" t="n">
        <v>13.49</v>
      </c>
      <c r="N1053" s="14" t="n">
        <v>3.85</v>
      </c>
      <c r="O1053" s="14" t="n">
        <v>3.85</v>
      </c>
      <c r="P1053" s="14" t="n">
        <v>0.22</v>
      </c>
      <c r="Q1053" s="14" t="n">
        <v>0.22</v>
      </c>
      <c r="R1053" s="14" t="n">
        <v>0.04</v>
      </c>
      <c r="S1053" s="14" t="n">
        <v>0.74</v>
      </c>
      <c r="T1053" s="14" t="n">
        <v>0.5600000000000001</v>
      </c>
      <c r="U1053" s="14" t="n">
        <v>2.94</v>
      </c>
      <c r="V1053" s="14" t="n">
        <v>4.76</v>
      </c>
      <c r="W1053" s="14" t="n">
        <v>0.99</v>
      </c>
      <c r="X1053" s="14" t="n">
        <v>0.09</v>
      </c>
      <c r="Y1053" s="14" t="n">
        <v>1.08</v>
      </c>
      <c r="Z1053" s="14" t="n">
        <v>0.61</v>
      </c>
      <c r="AA1053" s="14" t="n">
        <v>0</v>
      </c>
    </row>
    <row r="1054">
      <c r="A1054" t="inlineStr">
        <is>
          <t>030603</t>
        </is>
      </c>
      <c r="B1054" t="inlineStr">
        <is>
          <t>APURIMAC</t>
        </is>
      </c>
      <c r="C1054" t="inlineStr">
        <is>
          <t>CHINCHEROS</t>
        </is>
      </c>
      <c r="D1054" t="inlineStr">
        <is>
          <t>COCHARCAS</t>
        </is>
      </c>
      <c r="E1054" t="n">
        <v>594</v>
      </c>
      <c r="F1054" s="14" t="n">
        <v>0</v>
      </c>
      <c r="G1054" s="14" t="n">
        <v>82.83</v>
      </c>
      <c r="H1054" s="14" t="n">
        <v>0</v>
      </c>
      <c r="I1054" s="14" t="n">
        <v>0</v>
      </c>
      <c r="J1054" s="14" t="n">
        <v>0</v>
      </c>
      <c r="K1054" s="14" t="n">
        <v>0</v>
      </c>
      <c r="L1054" s="14" t="n">
        <v>6.73</v>
      </c>
      <c r="M1054" s="14" t="n">
        <v>1.35</v>
      </c>
      <c r="N1054" s="14" t="n">
        <v>0</v>
      </c>
      <c r="O1054" s="14" t="n">
        <v>1.18</v>
      </c>
      <c r="P1054" s="14" t="n">
        <v>0</v>
      </c>
      <c r="Q1054" s="14" t="n">
        <v>0</v>
      </c>
      <c r="R1054" s="14" t="n">
        <v>0</v>
      </c>
      <c r="S1054" s="14" t="n">
        <v>0.67</v>
      </c>
      <c r="T1054" s="14" t="n">
        <v>0.17</v>
      </c>
      <c r="U1054" s="14" t="n">
        <v>3.2</v>
      </c>
      <c r="V1054" s="14" t="n">
        <v>3.03</v>
      </c>
      <c r="W1054" s="14" t="n">
        <v>0.51</v>
      </c>
      <c r="X1054" s="14" t="n">
        <v>0</v>
      </c>
      <c r="Y1054" s="14" t="n">
        <v>0.34</v>
      </c>
      <c r="Z1054" s="14" t="n">
        <v>0</v>
      </c>
      <c r="AA1054" s="14" t="n">
        <v>0</v>
      </c>
    </row>
    <row r="1055">
      <c r="A1055" t="inlineStr">
        <is>
          <t>030106</t>
        </is>
      </c>
      <c r="B1055" t="inlineStr">
        <is>
          <t>APURIMAC</t>
        </is>
      </c>
      <c r="C1055" t="inlineStr">
        <is>
          <t>ABANCAY</t>
        </is>
      </c>
      <c r="D1055" t="inlineStr">
        <is>
          <t>LAMBRAMA</t>
        </is>
      </c>
      <c r="E1055" t="n">
        <v>1115</v>
      </c>
      <c r="F1055" s="14" t="n">
        <v>0</v>
      </c>
      <c r="G1055" s="14" t="n">
        <v>68.7</v>
      </c>
      <c r="H1055" s="14" t="n">
        <v>0.36</v>
      </c>
      <c r="I1055" s="14" t="n">
        <v>1.7</v>
      </c>
      <c r="J1055" s="14" t="n">
        <v>0</v>
      </c>
      <c r="K1055" s="14" t="n">
        <v>0.45</v>
      </c>
      <c r="L1055" s="14" t="n">
        <v>10.13</v>
      </c>
      <c r="M1055" s="14" t="n">
        <v>5.74</v>
      </c>
      <c r="N1055" s="14" t="n">
        <v>1.79</v>
      </c>
      <c r="O1055" s="14" t="n">
        <v>2.69</v>
      </c>
      <c r="P1055" s="14" t="n">
        <v>0</v>
      </c>
      <c r="Q1055" s="14" t="n">
        <v>0</v>
      </c>
      <c r="R1055" s="14" t="n">
        <v>0</v>
      </c>
      <c r="S1055" s="14" t="n">
        <v>0.54</v>
      </c>
      <c r="T1055" s="14" t="n">
        <v>0.63</v>
      </c>
      <c r="U1055" s="14" t="n">
        <v>3.68</v>
      </c>
      <c r="V1055" s="14" t="n">
        <v>1.26</v>
      </c>
      <c r="W1055" s="14" t="n">
        <v>1.7</v>
      </c>
      <c r="X1055" s="14" t="n">
        <v>0</v>
      </c>
      <c r="Y1055" s="14" t="n">
        <v>0.45</v>
      </c>
      <c r="Z1055" s="14" t="n">
        <v>0.18</v>
      </c>
      <c r="AA1055" s="14" t="n">
        <v>0</v>
      </c>
    </row>
    <row r="1056">
      <c r="A1056" t="inlineStr">
        <is>
          <t>080918</t>
        </is>
      </c>
      <c r="B1056" t="inlineStr">
        <is>
          <t>CUSCO</t>
        </is>
      </c>
      <c r="C1056" t="inlineStr">
        <is>
          <t>LA CONVENCION</t>
        </is>
      </c>
      <c r="D1056" t="inlineStr">
        <is>
          <t>UNION ASHÁNINKA</t>
        </is>
      </c>
      <c r="E1056" t="n">
        <v>0</v>
      </c>
      <c r="F1056" s="14" t="n">
        <v>0</v>
      </c>
      <c r="G1056" s="14" t="n">
        <v>67.31999999999999</v>
      </c>
      <c r="H1056" s="14" t="n">
        <v>0.13</v>
      </c>
      <c r="I1056" s="14" t="n">
        <v>1.63</v>
      </c>
      <c r="J1056" s="14" t="n">
        <v>0.07000000000000001</v>
      </c>
      <c r="K1056" s="14" t="n">
        <v>0.05</v>
      </c>
      <c r="L1056" s="14" t="n">
        <v>3.69</v>
      </c>
      <c r="M1056" s="14" t="n">
        <v>7.52</v>
      </c>
      <c r="N1056" s="14" t="n">
        <v>3.16</v>
      </c>
      <c r="O1056" s="14" t="n">
        <v>2.75</v>
      </c>
      <c r="P1056" s="14" t="n">
        <v>0.19</v>
      </c>
      <c r="Q1056" s="14" t="n">
        <v>0.13</v>
      </c>
      <c r="R1056" s="14" t="n">
        <v>0</v>
      </c>
      <c r="S1056" s="14" t="n">
        <v>1.87</v>
      </c>
      <c r="T1056" s="14" t="n">
        <v>0.76</v>
      </c>
      <c r="U1056" s="14" t="n">
        <v>5.16</v>
      </c>
      <c r="V1056" s="14" t="n">
        <v>3.17</v>
      </c>
      <c r="W1056" s="14" t="n">
        <v>1.02</v>
      </c>
      <c r="X1056" s="14" t="n">
        <v>0.06</v>
      </c>
      <c r="Y1056" s="14" t="n">
        <v>0.98</v>
      </c>
      <c r="Z1056" s="14" t="n">
        <v>0.37</v>
      </c>
      <c r="AA1056" s="14" t="n">
        <v>0</v>
      </c>
    </row>
    <row r="1057">
      <c r="A1057" t="inlineStr">
        <is>
          <t>030506</t>
        </is>
      </c>
      <c r="B1057" t="inlineStr">
        <is>
          <t>APURIMAC</t>
        </is>
      </c>
      <c r="C1057" t="inlineStr">
        <is>
          <t>COTABAMBAS</t>
        </is>
      </c>
      <c r="D1057" t="inlineStr">
        <is>
          <t>CHALLHUAHUACHO</t>
        </is>
      </c>
      <c r="E1057" t="n">
        <v>5950</v>
      </c>
      <c r="F1057" s="14" t="n">
        <v>0</v>
      </c>
      <c r="G1057" s="14" t="n">
        <v>9.75</v>
      </c>
      <c r="H1057" s="14" t="n">
        <v>13.18</v>
      </c>
      <c r="I1057" s="14" t="n">
        <v>8.44</v>
      </c>
      <c r="J1057" s="14" t="n">
        <v>0.08</v>
      </c>
      <c r="K1057" s="14" t="n">
        <v>0.24</v>
      </c>
      <c r="L1057" s="14" t="n">
        <v>16.54</v>
      </c>
      <c r="M1057" s="14" t="n">
        <v>12.4</v>
      </c>
      <c r="N1057" s="14" t="n">
        <v>8</v>
      </c>
      <c r="O1057" s="14" t="n">
        <v>8.18</v>
      </c>
      <c r="P1057" s="14" t="n">
        <v>0.52</v>
      </c>
      <c r="Q1057" s="14" t="n">
        <v>0.34</v>
      </c>
      <c r="R1057" s="14" t="n">
        <v>0.03</v>
      </c>
      <c r="S1057" s="14" t="n">
        <v>5.63</v>
      </c>
      <c r="T1057" s="14" t="n">
        <v>4.45</v>
      </c>
      <c r="U1057" s="14" t="n">
        <v>5.36</v>
      </c>
      <c r="V1057" s="14" t="n">
        <v>2.89</v>
      </c>
      <c r="W1057" s="14" t="n">
        <v>0.99</v>
      </c>
      <c r="X1057" s="14" t="n">
        <v>0.13</v>
      </c>
      <c r="Y1057" s="14" t="n">
        <v>2.18</v>
      </c>
      <c r="Z1057" s="14" t="n">
        <v>0.66</v>
      </c>
      <c r="AA1057" s="14" t="n">
        <v>0</v>
      </c>
    </row>
    <row r="1058">
      <c r="A1058" t="inlineStr">
        <is>
          <t>060309</t>
        </is>
      </c>
      <c r="B1058" t="inlineStr">
        <is>
          <t>CAJAMARCA</t>
        </is>
      </c>
      <c r="C1058" t="inlineStr">
        <is>
          <t>CELENDIN</t>
        </is>
      </c>
      <c r="D1058" t="inlineStr">
        <is>
          <t>SOROCHUCO</t>
        </is>
      </c>
      <c r="E1058" t="n">
        <v>3387</v>
      </c>
      <c r="F1058" s="14" t="n">
        <v>0</v>
      </c>
      <c r="G1058" s="14" t="n">
        <v>78.77</v>
      </c>
      <c r="H1058" s="14" t="n">
        <v>0.09</v>
      </c>
      <c r="I1058" s="14" t="n">
        <v>10.1</v>
      </c>
      <c r="J1058" s="14" t="n">
        <v>0</v>
      </c>
      <c r="K1058" s="14" t="n">
        <v>0</v>
      </c>
      <c r="L1058" s="14" t="n">
        <v>1.27</v>
      </c>
      <c r="M1058" s="14" t="n">
        <v>4.22</v>
      </c>
      <c r="N1058" s="14" t="n">
        <v>0.62</v>
      </c>
      <c r="O1058" s="14" t="n">
        <v>0.77</v>
      </c>
      <c r="P1058" s="14" t="n">
        <v>0.03</v>
      </c>
      <c r="Q1058" s="14" t="n">
        <v>0</v>
      </c>
      <c r="R1058" s="14" t="n">
        <v>0</v>
      </c>
      <c r="S1058" s="14" t="n">
        <v>0.44</v>
      </c>
      <c r="T1058" s="14" t="n">
        <v>0.15</v>
      </c>
      <c r="U1058" s="14" t="n">
        <v>0.86</v>
      </c>
      <c r="V1058" s="14" t="n">
        <v>1.59</v>
      </c>
      <c r="W1058" s="14" t="n">
        <v>0.38</v>
      </c>
      <c r="X1058" s="14" t="n">
        <v>0.03</v>
      </c>
      <c r="Y1058" s="14" t="n">
        <v>0.27</v>
      </c>
      <c r="Z1058" s="14" t="n">
        <v>0.41</v>
      </c>
      <c r="AA1058" s="14" t="n">
        <v>0</v>
      </c>
    </row>
    <row r="1059">
      <c r="A1059" t="inlineStr">
        <is>
          <t>060303</t>
        </is>
      </c>
      <c r="B1059" t="inlineStr">
        <is>
          <t>CAJAMARCA</t>
        </is>
      </c>
      <c r="C1059" t="inlineStr">
        <is>
          <t>CELENDIN</t>
        </is>
      </c>
      <c r="D1059" t="inlineStr">
        <is>
          <t>CORTEGANA</t>
        </is>
      </c>
      <c r="E1059" t="n">
        <v>1541</v>
      </c>
      <c r="F1059" s="14" t="n">
        <v>0</v>
      </c>
      <c r="G1059" s="14" t="n">
        <v>90.40000000000001</v>
      </c>
      <c r="H1059" s="14" t="n">
        <v>0</v>
      </c>
      <c r="I1059" s="14" t="n">
        <v>0.84</v>
      </c>
      <c r="J1059" s="14" t="n">
        <v>0</v>
      </c>
      <c r="K1059" s="14" t="n">
        <v>0</v>
      </c>
      <c r="L1059" s="14" t="n">
        <v>0.19</v>
      </c>
      <c r="M1059" s="14" t="n">
        <v>0.84</v>
      </c>
      <c r="N1059" s="14" t="n">
        <v>0</v>
      </c>
      <c r="O1059" s="14" t="n">
        <v>0.78</v>
      </c>
      <c r="P1059" s="14" t="n">
        <v>0</v>
      </c>
      <c r="Q1059" s="14" t="n">
        <v>0</v>
      </c>
      <c r="R1059" s="14" t="n">
        <v>0</v>
      </c>
      <c r="S1059" s="14" t="n">
        <v>0.65</v>
      </c>
      <c r="T1059" s="14" t="n">
        <v>0.13</v>
      </c>
      <c r="U1059" s="14" t="n">
        <v>0.65</v>
      </c>
      <c r="V1059" s="14" t="n">
        <v>3.31</v>
      </c>
      <c r="W1059" s="14" t="n">
        <v>1.04</v>
      </c>
      <c r="X1059" s="14" t="n">
        <v>0</v>
      </c>
      <c r="Y1059" s="14" t="n">
        <v>0.32</v>
      </c>
      <c r="Z1059" s="14" t="n">
        <v>0.84</v>
      </c>
      <c r="AA1059" s="14" t="n">
        <v>0</v>
      </c>
    </row>
    <row r="1060">
      <c r="A1060" t="inlineStr">
        <is>
          <t>090304</t>
        </is>
      </c>
      <c r="B1060" t="inlineStr">
        <is>
          <t>HUANCAVELICA</t>
        </is>
      </c>
      <c r="C1060" t="inlineStr">
        <is>
          <t>ANGARAES</t>
        </is>
      </c>
      <c r="D1060" t="inlineStr">
        <is>
          <t>CCOCHACCASA</t>
        </is>
      </c>
      <c r="E1060" t="n">
        <v>726</v>
      </c>
      <c r="F1060" s="14" t="n">
        <v>0</v>
      </c>
      <c r="G1060" s="14" t="n">
        <v>18.32</v>
      </c>
      <c r="H1060" s="14" t="n">
        <v>55.65</v>
      </c>
      <c r="I1060" s="14" t="n">
        <v>0.6899999999999999</v>
      </c>
      <c r="J1060" s="14" t="n">
        <v>0.41</v>
      </c>
      <c r="K1060" s="14" t="n">
        <v>0.28</v>
      </c>
      <c r="L1060" s="14" t="n">
        <v>4.13</v>
      </c>
      <c r="M1060" s="14" t="n">
        <v>6.75</v>
      </c>
      <c r="N1060" s="14" t="n">
        <v>2.2</v>
      </c>
      <c r="O1060" s="14" t="n">
        <v>2.07</v>
      </c>
      <c r="P1060" s="14" t="n">
        <v>0.14</v>
      </c>
      <c r="Q1060" s="14" t="n">
        <v>0</v>
      </c>
      <c r="R1060" s="14" t="n">
        <v>0</v>
      </c>
      <c r="S1060" s="14" t="n">
        <v>0.83</v>
      </c>
      <c r="T1060" s="14" t="n">
        <v>1.24</v>
      </c>
      <c r="U1060" s="14" t="n">
        <v>3.03</v>
      </c>
      <c r="V1060" s="14" t="n">
        <v>0.6899999999999999</v>
      </c>
      <c r="W1060" s="14" t="n">
        <v>1.65</v>
      </c>
      <c r="X1060" s="14" t="n">
        <v>0.14</v>
      </c>
      <c r="Y1060" s="14" t="n">
        <v>1.52</v>
      </c>
      <c r="Z1060" s="14" t="n">
        <v>0.28</v>
      </c>
      <c r="AA1060" s="14" t="n">
        <v>0</v>
      </c>
    </row>
    <row r="1061">
      <c r="A1061" t="inlineStr">
        <is>
          <t>030104</t>
        </is>
      </c>
      <c r="B1061" t="inlineStr">
        <is>
          <t>APURIMAC</t>
        </is>
      </c>
      <c r="C1061" t="inlineStr">
        <is>
          <t>ABANCAY</t>
        </is>
      </c>
      <c r="D1061" t="inlineStr">
        <is>
          <t>CURAHUASI</t>
        </is>
      </c>
      <c r="E1061" t="n">
        <v>6428</v>
      </c>
      <c r="F1061" s="14" t="n">
        <v>0</v>
      </c>
      <c r="G1061" s="14" t="n">
        <v>59.1</v>
      </c>
      <c r="H1061" s="14" t="n">
        <v>0.12</v>
      </c>
      <c r="I1061" s="14" t="n">
        <v>2.16</v>
      </c>
      <c r="J1061" s="14" t="n">
        <v>0.02</v>
      </c>
      <c r="K1061" s="14" t="n">
        <v>0.03</v>
      </c>
      <c r="L1061" s="14" t="n">
        <v>4.68</v>
      </c>
      <c r="M1061" s="14" t="n">
        <v>11.09</v>
      </c>
      <c r="N1061" s="14" t="n">
        <v>4.08</v>
      </c>
      <c r="O1061" s="14" t="n">
        <v>4.5</v>
      </c>
      <c r="P1061" s="14" t="n">
        <v>0.2</v>
      </c>
      <c r="Q1061" s="14" t="n">
        <v>0.47</v>
      </c>
      <c r="R1061" s="14" t="n">
        <v>0</v>
      </c>
      <c r="S1061" s="14" t="n">
        <v>1.38</v>
      </c>
      <c r="T1061" s="14" t="n">
        <v>1.03</v>
      </c>
      <c r="U1061" s="14" t="n">
        <v>2.05</v>
      </c>
      <c r="V1061" s="14" t="n">
        <v>3.69</v>
      </c>
      <c r="W1061" s="14" t="n">
        <v>2.66</v>
      </c>
      <c r="X1061" s="14" t="n">
        <v>0.17</v>
      </c>
      <c r="Y1061" s="14" t="n">
        <v>1.04</v>
      </c>
      <c r="Z1061" s="14" t="n">
        <v>1.52</v>
      </c>
      <c r="AA1061" s="14" t="n">
        <v>0</v>
      </c>
    </row>
    <row r="1062">
      <c r="A1062" t="inlineStr">
        <is>
          <t>090119</t>
        </is>
      </c>
      <c r="B1062" t="inlineStr">
        <is>
          <t>HUANCAVELICA</t>
        </is>
      </c>
      <c r="C1062" t="inlineStr">
        <is>
          <t>HUANCAVELICA</t>
        </is>
      </c>
      <c r="D1062" t="inlineStr">
        <is>
          <t>HUANDO</t>
        </is>
      </c>
      <c r="E1062" t="n">
        <v>2026</v>
      </c>
      <c r="F1062" s="14" t="n">
        <v>0</v>
      </c>
      <c r="G1062" s="14" t="n">
        <v>72.84999999999999</v>
      </c>
      <c r="H1062" s="14" t="n">
        <v>1.78</v>
      </c>
      <c r="I1062" s="14" t="n">
        <v>0.99</v>
      </c>
      <c r="J1062" s="14" t="n">
        <v>0.05</v>
      </c>
      <c r="K1062" s="14" t="n">
        <v>0</v>
      </c>
      <c r="L1062" s="14" t="n">
        <v>5.87</v>
      </c>
      <c r="M1062" s="14" t="n">
        <v>5.82</v>
      </c>
      <c r="N1062" s="14" t="n">
        <v>2.62</v>
      </c>
      <c r="O1062" s="14" t="n">
        <v>2.52</v>
      </c>
      <c r="P1062" s="14" t="n">
        <v>0.1</v>
      </c>
      <c r="Q1062" s="14" t="n">
        <v>0.1</v>
      </c>
      <c r="R1062" s="14" t="n">
        <v>0</v>
      </c>
      <c r="S1062" s="14" t="n">
        <v>0.35</v>
      </c>
      <c r="T1062" s="14" t="n">
        <v>0.15</v>
      </c>
      <c r="U1062" s="14" t="n">
        <v>2.71</v>
      </c>
      <c r="V1062" s="14" t="n">
        <v>1.53</v>
      </c>
      <c r="W1062" s="14" t="n">
        <v>1.88</v>
      </c>
      <c r="X1062" s="14" t="n">
        <v>0.3</v>
      </c>
      <c r="Y1062" s="14" t="n">
        <v>0.25</v>
      </c>
      <c r="Z1062" s="14" t="n">
        <v>0.15</v>
      </c>
      <c r="AA1062" s="14" t="n">
        <v>0</v>
      </c>
    </row>
    <row r="1063">
      <c r="A1063" t="inlineStr">
        <is>
          <t>060204</t>
        </is>
      </c>
      <c r="B1063" t="inlineStr">
        <is>
          <t>CAJAMARCA</t>
        </is>
      </c>
      <c r="C1063" t="inlineStr">
        <is>
          <t>CAJABAMBA</t>
        </is>
      </c>
      <c r="D1063" t="inlineStr">
        <is>
          <t>SITACOCHA</t>
        </is>
      </c>
      <c r="E1063" t="n">
        <v>2013</v>
      </c>
      <c r="F1063" s="14" t="n">
        <v>0</v>
      </c>
      <c r="G1063" s="14" t="n">
        <v>81.06999999999999</v>
      </c>
      <c r="H1063" s="14" t="n">
        <v>0.15</v>
      </c>
      <c r="I1063" s="14" t="n">
        <v>2.78</v>
      </c>
      <c r="J1063" s="14" t="n">
        <v>0</v>
      </c>
      <c r="K1063" s="14" t="n">
        <v>0.05</v>
      </c>
      <c r="L1063" s="14" t="n">
        <v>1.54</v>
      </c>
      <c r="M1063" s="14" t="n">
        <v>4.22</v>
      </c>
      <c r="N1063" s="14" t="n">
        <v>1.29</v>
      </c>
      <c r="O1063" s="14" t="n">
        <v>2.04</v>
      </c>
      <c r="P1063" s="14" t="n">
        <v>0</v>
      </c>
      <c r="Q1063" s="14" t="n">
        <v>0.05</v>
      </c>
      <c r="R1063" s="14" t="n">
        <v>0.05</v>
      </c>
      <c r="S1063" s="14" t="n">
        <v>0.45</v>
      </c>
      <c r="T1063" s="14" t="n">
        <v>0.15</v>
      </c>
      <c r="U1063" s="14" t="n">
        <v>1.34</v>
      </c>
      <c r="V1063" s="14" t="n">
        <v>2.04</v>
      </c>
      <c r="W1063" s="14" t="n">
        <v>0.9399999999999999</v>
      </c>
      <c r="X1063" s="14" t="n">
        <v>0</v>
      </c>
      <c r="Y1063" s="14" t="n">
        <v>0.55</v>
      </c>
      <c r="Z1063" s="14" t="n">
        <v>1.29</v>
      </c>
      <c r="AA1063" s="14" t="n">
        <v>0</v>
      </c>
    </row>
    <row r="1064">
      <c r="A1064" t="inlineStr">
        <is>
          <t>051105</t>
        </is>
      </c>
      <c r="B1064" t="inlineStr">
        <is>
          <t>AYACUCHO</t>
        </is>
      </c>
      <c r="C1064" t="inlineStr">
        <is>
          <t>VILCAS HUAMAN</t>
        </is>
      </c>
      <c r="D1064" t="inlineStr">
        <is>
          <t>HUAMBALPA</t>
        </is>
      </c>
      <c r="E1064" t="n">
        <v>385</v>
      </c>
      <c r="F1064" s="14" t="n">
        <v>0</v>
      </c>
      <c r="G1064" s="14" t="n">
        <v>70.65000000000001</v>
      </c>
      <c r="H1064" s="14" t="n">
        <v>0</v>
      </c>
      <c r="I1064" s="14" t="n">
        <v>1.3</v>
      </c>
      <c r="J1064" s="14" t="n">
        <v>0</v>
      </c>
      <c r="K1064" s="14" t="n">
        <v>0</v>
      </c>
      <c r="L1064" s="14" t="n">
        <v>3.38</v>
      </c>
      <c r="M1064" s="14" t="n">
        <v>7.01</v>
      </c>
      <c r="N1064" s="14" t="n">
        <v>0</v>
      </c>
      <c r="O1064" s="14" t="n">
        <v>1.3</v>
      </c>
      <c r="P1064" s="14" t="n">
        <v>0</v>
      </c>
      <c r="Q1064" s="14" t="n">
        <v>0</v>
      </c>
      <c r="R1064" s="14" t="n">
        <v>0</v>
      </c>
      <c r="S1064" s="14" t="n">
        <v>1.04</v>
      </c>
      <c r="T1064" s="14" t="n">
        <v>1.3</v>
      </c>
      <c r="U1064" s="14" t="n">
        <v>5.97</v>
      </c>
      <c r="V1064" s="14" t="n">
        <v>4.94</v>
      </c>
      <c r="W1064" s="14" t="n">
        <v>0.78</v>
      </c>
      <c r="X1064" s="14" t="n">
        <v>0</v>
      </c>
      <c r="Y1064" s="14" t="n">
        <v>2.34</v>
      </c>
      <c r="Z1064" s="14" t="n">
        <v>0</v>
      </c>
      <c r="AA1064" s="14" t="n">
        <v>0</v>
      </c>
    </row>
    <row r="1065">
      <c r="A1065" t="inlineStr">
        <is>
          <t>020701</t>
        </is>
      </c>
      <c r="B1065" t="inlineStr">
        <is>
          <t>ANCASH</t>
        </is>
      </c>
      <c r="C1065" t="inlineStr">
        <is>
          <t>CARLOS FERMIN FITZCARRALD</t>
        </is>
      </c>
      <c r="D1065" t="inlineStr">
        <is>
          <t>SAN LUIS</t>
        </is>
      </c>
      <c r="E1065" t="n">
        <v>2646</v>
      </c>
      <c r="F1065" s="14" t="n">
        <v>0</v>
      </c>
      <c r="G1065" s="14" t="n">
        <v>53.36</v>
      </c>
      <c r="H1065" s="14" t="n">
        <v>0.23</v>
      </c>
      <c r="I1065" s="14" t="n">
        <v>3.44</v>
      </c>
      <c r="J1065" s="14" t="n">
        <v>0</v>
      </c>
      <c r="K1065" s="14" t="n">
        <v>0.04</v>
      </c>
      <c r="L1065" s="14" t="n">
        <v>4.8</v>
      </c>
      <c r="M1065" s="14" t="n">
        <v>10.24</v>
      </c>
      <c r="N1065" s="14" t="n">
        <v>1.47</v>
      </c>
      <c r="O1065" s="14" t="n">
        <v>2</v>
      </c>
      <c r="P1065" s="14" t="n">
        <v>0.04</v>
      </c>
      <c r="Q1065" s="14" t="n">
        <v>0.04</v>
      </c>
      <c r="R1065" s="14" t="n">
        <v>0</v>
      </c>
      <c r="S1065" s="14" t="n">
        <v>2.31</v>
      </c>
      <c r="T1065" s="14" t="n">
        <v>0.6</v>
      </c>
      <c r="U1065" s="14" t="n">
        <v>5.44</v>
      </c>
      <c r="V1065" s="14" t="n">
        <v>10.81</v>
      </c>
      <c r="W1065" s="14" t="n">
        <v>2.15</v>
      </c>
      <c r="X1065" s="14" t="n">
        <v>0</v>
      </c>
      <c r="Y1065" s="14" t="n">
        <v>2.38</v>
      </c>
      <c r="Z1065" s="14" t="n">
        <v>0.64</v>
      </c>
      <c r="AA1065" s="14" t="n">
        <v>0</v>
      </c>
    </row>
    <row r="1066">
      <c r="A1066" t="inlineStr">
        <is>
          <t>020401</t>
        </is>
      </c>
      <c r="B1066" t="inlineStr">
        <is>
          <t>ANCASH</t>
        </is>
      </c>
      <c r="C1066" t="inlineStr">
        <is>
          <t>ASUNCION</t>
        </is>
      </c>
      <c r="D1066" t="inlineStr">
        <is>
          <t>CHACAS</t>
        </is>
      </c>
      <c r="E1066" t="n">
        <v>1296</v>
      </c>
      <c r="F1066" s="14" t="n">
        <v>0</v>
      </c>
      <c r="G1066" s="14" t="n">
        <v>33.02</v>
      </c>
      <c r="H1066" s="14" t="n">
        <v>5.48</v>
      </c>
      <c r="I1066" s="14" t="n">
        <v>9.34</v>
      </c>
      <c r="J1066" s="14" t="n">
        <v>0.39</v>
      </c>
      <c r="K1066" s="14" t="n">
        <v>0.08</v>
      </c>
      <c r="L1066" s="14" t="n">
        <v>5.48</v>
      </c>
      <c r="M1066" s="14" t="n">
        <v>11.96</v>
      </c>
      <c r="N1066" s="14" t="n">
        <v>2.31</v>
      </c>
      <c r="O1066" s="14" t="n">
        <v>3.47</v>
      </c>
      <c r="P1066" s="14" t="n">
        <v>0.08</v>
      </c>
      <c r="Q1066" s="14" t="n">
        <v>0.23</v>
      </c>
      <c r="R1066" s="14" t="n">
        <v>0.08</v>
      </c>
      <c r="S1066" s="14" t="n">
        <v>2.62</v>
      </c>
      <c r="T1066" s="14" t="n">
        <v>1.31</v>
      </c>
      <c r="U1066" s="14" t="n">
        <v>3.78</v>
      </c>
      <c r="V1066" s="14" t="n">
        <v>12.11</v>
      </c>
      <c r="W1066" s="14" t="n">
        <v>4.01</v>
      </c>
      <c r="X1066" s="14" t="n">
        <v>0.39</v>
      </c>
      <c r="Y1066" s="14" t="n">
        <v>2.85</v>
      </c>
      <c r="Z1066" s="14" t="n">
        <v>1</v>
      </c>
      <c r="AA1066" s="14" t="n">
        <v>0</v>
      </c>
    </row>
    <row r="1067">
      <c r="A1067" t="inlineStr">
        <is>
          <t>030107</t>
        </is>
      </c>
      <c r="B1067" t="inlineStr">
        <is>
          <t>APURIMAC</t>
        </is>
      </c>
      <c r="C1067" t="inlineStr">
        <is>
          <t>ABANCAY</t>
        </is>
      </c>
      <c r="D1067" t="inlineStr">
        <is>
          <t>PICHIRHUA</t>
        </is>
      </c>
      <c r="E1067" t="n">
        <v>656</v>
      </c>
      <c r="F1067" s="14" t="n">
        <v>0</v>
      </c>
      <c r="G1067" s="14" t="n">
        <v>79.42</v>
      </c>
      <c r="H1067" s="14" t="n">
        <v>0.15</v>
      </c>
      <c r="I1067" s="14" t="n">
        <v>1.68</v>
      </c>
      <c r="J1067" s="14" t="n">
        <v>0</v>
      </c>
      <c r="K1067" s="14" t="n">
        <v>0</v>
      </c>
      <c r="L1067" s="14" t="n">
        <v>3.2</v>
      </c>
      <c r="M1067" s="14" t="n">
        <v>4.12</v>
      </c>
      <c r="N1067" s="14" t="n">
        <v>1.68</v>
      </c>
      <c r="O1067" s="14" t="n">
        <v>1.37</v>
      </c>
      <c r="P1067" s="14" t="n">
        <v>0</v>
      </c>
      <c r="Q1067" s="14" t="n">
        <v>0</v>
      </c>
      <c r="R1067" s="14" t="n">
        <v>0</v>
      </c>
      <c r="S1067" s="14" t="n">
        <v>0.91</v>
      </c>
      <c r="T1067" s="14" t="n">
        <v>0.91</v>
      </c>
      <c r="U1067" s="14" t="n">
        <v>2.29</v>
      </c>
      <c r="V1067" s="14" t="n">
        <v>1.83</v>
      </c>
      <c r="W1067" s="14" t="n">
        <v>0.46</v>
      </c>
      <c r="X1067" s="14" t="n">
        <v>0</v>
      </c>
      <c r="Y1067" s="14" t="n">
        <v>1.52</v>
      </c>
      <c r="Z1067" s="14" t="n">
        <v>0.46</v>
      </c>
      <c r="AA1067" s="14" t="n">
        <v>0</v>
      </c>
    </row>
    <row r="1068">
      <c r="A1068" t="inlineStr">
        <is>
          <t>050410</t>
        </is>
      </c>
      <c r="B1068" t="inlineStr">
        <is>
          <t>AYACUCHO</t>
        </is>
      </c>
      <c r="C1068" t="inlineStr">
        <is>
          <t>HUANTA</t>
        </is>
      </c>
      <c r="D1068" t="inlineStr">
        <is>
          <t>UCHURACCAY</t>
        </is>
      </c>
      <c r="E1068" t="n">
        <v>931</v>
      </c>
      <c r="F1068" s="14" t="n">
        <v>0</v>
      </c>
      <c r="G1068" s="14" t="n">
        <v>86.68000000000001</v>
      </c>
      <c r="H1068" s="14" t="n">
        <v>0</v>
      </c>
      <c r="I1068" s="14" t="n">
        <v>0.21</v>
      </c>
      <c r="J1068" s="14" t="n">
        <v>0</v>
      </c>
      <c r="K1068" s="14" t="n">
        <v>0</v>
      </c>
      <c r="L1068" s="14" t="n">
        <v>1.83</v>
      </c>
      <c r="M1068" s="14" t="n">
        <v>1.93</v>
      </c>
      <c r="N1068" s="14" t="n">
        <v>0.11</v>
      </c>
      <c r="O1068" s="14" t="n">
        <v>0.86</v>
      </c>
      <c r="P1068" s="14" t="n">
        <v>0</v>
      </c>
      <c r="Q1068" s="14" t="n">
        <v>0</v>
      </c>
      <c r="R1068" s="14" t="n">
        <v>0</v>
      </c>
      <c r="S1068" s="14" t="n">
        <v>0</v>
      </c>
      <c r="T1068" s="14" t="n">
        <v>0</v>
      </c>
      <c r="U1068" s="14" t="n">
        <v>5.91</v>
      </c>
      <c r="V1068" s="14" t="n">
        <v>0.97</v>
      </c>
      <c r="W1068" s="14" t="n">
        <v>0.75</v>
      </c>
      <c r="X1068" s="14" t="n">
        <v>0</v>
      </c>
      <c r="Y1068" s="14" t="n">
        <v>0.54</v>
      </c>
      <c r="Z1068" s="14" t="n">
        <v>0.21</v>
      </c>
      <c r="AA1068" s="14" t="n">
        <v>0</v>
      </c>
    </row>
    <row r="1069">
      <c r="A1069" t="inlineStr">
        <is>
          <t>060401</t>
        </is>
      </c>
      <c r="B1069" t="inlineStr">
        <is>
          <t>CAJAMARCA</t>
        </is>
      </c>
      <c r="C1069" t="inlineStr">
        <is>
          <t>CHOTA</t>
        </is>
      </c>
      <c r="D1069" t="inlineStr">
        <is>
          <t>CHOTA</t>
        </is>
      </c>
      <c r="E1069" t="n">
        <v>16892</v>
      </c>
      <c r="F1069" s="14" t="n">
        <v>0</v>
      </c>
      <c r="G1069" s="14" t="n">
        <v>42.52</v>
      </c>
      <c r="H1069" s="14" t="n">
        <v>0.21</v>
      </c>
      <c r="I1069" s="14" t="n">
        <v>5.25</v>
      </c>
      <c r="J1069" s="14" t="n">
        <v>0.1</v>
      </c>
      <c r="K1069" s="14" t="n">
        <v>0.08</v>
      </c>
      <c r="L1069" s="14" t="n">
        <v>4.62</v>
      </c>
      <c r="M1069" s="14" t="n">
        <v>11.35</v>
      </c>
      <c r="N1069" s="14" t="n">
        <v>5.09</v>
      </c>
      <c r="O1069" s="14" t="n">
        <v>3.06</v>
      </c>
      <c r="P1069" s="14" t="n">
        <v>0.38</v>
      </c>
      <c r="Q1069" s="14" t="n">
        <v>0.67</v>
      </c>
      <c r="R1069" s="14" t="n">
        <v>0.02</v>
      </c>
      <c r="S1069" s="14" t="n">
        <v>3.2</v>
      </c>
      <c r="T1069" s="14" t="n">
        <v>1.08</v>
      </c>
      <c r="U1069" s="14" t="n">
        <v>3.23</v>
      </c>
      <c r="V1069" s="14" t="n">
        <v>12.38</v>
      </c>
      <c r="W1069" s="14" t="n">
        <v>3.32</v>
      </c>
      <c r="X1069" s="14" t="n">
        <v>0.27</v>
      </c>
      <c r="Y1069" s="14" t="n">
        <v>1.96</v>
      </c>
      <c r="Z1069" s="14" t="n">
        <v>1.2</v>
      </c>
      <c r="AA1069" s="14" t="n">
        <v>0.01</v>
      </c>
    </row>
    <row r="1070">
      <c r="A1070" t="inlineStr">
        <is>
          <t>050505</t>
        </is>
      </c>
      <c r="B1070" t="inlineStr">
        <is>
          <t>AYACUCHO</t>
        </is>
      </c>
      <c r="C1070" t="inlineStr">
        <is>
          <t>LA MAR</t>
        </is>
      </c>
      <c r="D1070" t="inlineStr">
        <is>
          <t>CHUNGUI</t>
        </is>
      </c>
      <c r="E1070" t="n">
        <v>1169</v>
      </c>
      <c r="F1070" s="14" t="n">
        <v>0</v>
      </c>
      <c r="G1070" s="14" t="n">
        <v>82.04000000000001</v>
      </c>
      <c r="H1070" s="14" t="n">
        <v>0</v>
      </c>
      <c r="I1070" s="14" t="n">
        <v>0.34</v>
      </c>
      <c r="J1070" s="14" t="n">
        <v>0</v>
      </c>
      <c r="K1070" s="14" t="n">
        <v>0</v>
      </c>
      <c r="L1070" s="14" t="n">
        <v>1.28</v>
      </c>
      <c r="M1070" s="14" t="n">
        <v>1.54</v>
      </c>
      <c r="N1070" s="14" t="n">
        <v>0.34</v>
      </c>
      <c r="O1070" s="14" t="n">
        <v>0.34</v>
      </c>
      <c r="P1070" s="14" t="n">
        <v>0</v>
      </c>
      <c r="Q1070" s="14" t="n">
        <v>0.17</v>
      </c>
      <c r="R1070" s="14" t="n">
        <v>0</v>
      </c>
      <c r="S1070" s="14" t="n">
        <v>0.26</v>
      </c>
      <c r="T1070" s="14" t="n">
        <v>0</v>
      </c>
      <c r="U1070" s="14" t="n">
        <v>4.53</v>
      </c>
      <c r="V1070" s="14" t="n">
        <v>5.82</v>
      </c>
      <c r="W1070" s="14" t="n">
        <v>2.48</v>
      </c>
      <c r="X1070" s="14" t="n">
        <v>0</v>
      </c>
      <c r="Y1070" s="14" t="n">
        <v>0.51</v>
      </c>
      <c r="Z1070" s="14" t="n">
        <v>0.34</v>
      </c>
      <c r="AA1070" s="14" t="n">
        <v>0</v>
      </c>
    </row>
    <row r="1071">
      <c r="A1071" t="inlineStr">
        <is>
          <t>090206</t>
        </is>
      </c>
      <c r="B1071" t="inlineStr">
        <is>
          <t>HUANCAVELICA</t>
        </is>
      </c>
      <c r="C1071" t="inlineStr">
        <is>
          <t>ACOBAMBA</t>
        </is>
      </c>
      <c r="D1071" t="inlineStr">
        <is>
          <t>PAUCARA</t>
        </is>
      </c>
      <c r="E1071" t="n">
        <v>2428</v>
      </c>
      <c r="F1071" s="14" t="n">
        <v>0</v>
      </c>
      <c r="G1071" s="14" t="n">
        <v>51.94</v>
      </c>
      <c r="H1071" s="14" t="n">
        <v>0.16</v>
      </c>
      <c r="I1071" s="14" t="n">
        <v>1.85</v>
      </c>
      <c r="J1071" s="14" t="n">
        <v>0.04</v>
      </c>
      <c r="K1071" s="14" t="n">
        <v>0.16</v>
      </c>
      <c r="L1071" s="14" t="n">
        <v>4.65</v>
      </c>
      <c r="M1071" s="14" t="n">
        <v>21.99</v>
      </c>
      <c r="N1071" s="14" t="n">
        <v>1.89</v>
      </c>
      <c r="O1071" s="14" t="n">
        <v>3.67</v>
      </c>
      <c r="P1071" s="14" t="n">
        <v>0.41</v>
      </c>
      <c r="Q1071" s="14" t="n">
        <v>0.25</v>
      </c>
      <c r="R1071" s="14" t="n">
        <v>0</v>
      </c>
      <c r="S1071" s="14" t="n">
        <v>2.47</v>
      </c>
      <c r="T1071" s="14" t="n">
        <v>0.41</v>
      </c>
      <c r="U1071" s="14" t="n">
        <v>2.84</v>
      </c>
      <c r="V1071" s="14" t="n">
        <v>4.12</v>
      </c>
      <c r="W1071" s="14" t="n">
        <v>2.02</v>
      </c>
      <c r="X1071" s="14" t="n">
        <v>0.08</v>
      </c>
      <c r="Y1071" s="14" t="n">
        <v>0.95</v>
      </c>
      <c r="Z1071" s="14" t="n">
        <v>0.08</v>
      </c>
      <c r="AA1071" s="14" t="n">
        <v>0</v>
      </c>
    </row>
    <row r="1072">
      <c r="A1072" t="inlineStr">
        <is>
          <t>060412</t>
        </is>
      </c>
      <c r="B1072" t="inlineStr">
        <is>
          <t>CAJAMARCA</t>
        </is>
      </c>
      <c r="C1072" t="inlineStr">
        <is>
          <t>CHOTA</t>
        </is>
      </c>
      <c r="D1072" t="inlineStr">
        <is>
          <t>MIRACOSTA</t>
        </is>
      </c>
      <c r="E1072" t="n">
        <v>888</v>
      </c>
      <c r="F1072" s="14" t="n">
        <v>0</v>
      </c>
      <c r="G1072" s="14" t="n">
        <v>89.64</v>
      </c>
      <c r="H1072" s="14" t="n">
        <v>0</v>
      </c>
      <c r="I1072" s="14" t="n">
        <v>0.68</v>
      </c>
      <c r="J1072" s="14" t="n">
        <v>0</v>
      </c>
      <c r="K1072" s="14" t="n">
        <v>0</v>
      </c>
      <c r="L1072" s="14" t="n">
        <v>2.48</v>
      </c>
      <c r="M1072" s="14" t="n">
        <v>1.24</v>
      </c>
      <c r="N1072" s="14" t="n">
        <v>0.23</v>
      </c>
      <c r="O1072" s="14" t="n">
        <v>0.45</v>
      </c>
      <c r="P1072" s="14" t="n">
        <v>0</v>
      </c>
      <c r="Q1072" s="14" t="n">
        <v>0</v>
      </c>
      <c r="R1072" s="14" t="n">
        <v>0</v>
      </c>
      <c r="S1072" s="14" t="n">
        <v>0.45</v>
      </c>
      <c r="T1072" s="14" t="n">
        <v>0.11</v>
      </c>
      <c r="U1072" s="14" t="n">
        <v>1.24</v>
      </c>
      <c r="V1072" s="14" t="n">
        <v>2.03</v>
      </c>
      <c r="W1072" s="14" t="n">
        <v>0.79</v>
      </c>
      <c r="X1072" s="14" t="n">
        <v>0</v>
      </c>
      <c r="Y1072" s="14" t="n">
        <v>0.45</v>
      </c>
      <c r="Z1072" s="14" t="n">
        <v>0.23</v>
      </c>
      <c r="AA1072" s="14" t="n">
        <v>0</v>
      </c>
    </row>
    <row r="1073">
      <c r="A1073" t="inlineStr">
        <is>
          <t>060203</t>
        </is>
      </c>
      <c r="B1073" t="inlineStr">
        <is>
          <t>CAJAMARCA</t>
        </is>
      </c>
      <c r="C1073" t="inlineStr">
        <is>
          <t>CAJABAMBA</t>
        </is>
      </c>
      <c r="D1073" t="inlineStr">
        <is>
          <t>CONDEBAMBA</t>
        </is>
      </c>
      <c r="E1073" t="n">
        <v>3482</v>
      </c>
      <c r="F1073" s="14" t="n">
        <v>0</v>
      </c>
      <c r="G1073" s="14" t="n">
        <v>84.34999999999999</v>
      </c>
      <c r="H1073" s="14" t="n">
        <v>0.26</v>
      </c>
      <c r="I1073" s="14" t="n">
        <v>1.41</v>
      </c>
      <c r="J1073" s="14" t="n">
        <v>0</v>
      </c>
      <c r="K1073" s="14" t="n">
        <v>0.03</v>
      </c>
      <c r="L1073" s="14" t="n">
        <v>1.26</v>
      </c>
      <c r="M1073" s="14" t="n">
        <v>3.65</v>
      </c>
      <c r="N1073" s="14" t="n">
        <v>2.15</v>
      </c>
      <c r="O1073" s="14" t="n">
        <v>1.52</v>
      </c>
      <c r="P1073" s="14" t="n">
        <v>0</v>
      </c>
      <c r="Q1073" s="14" t="n">
        <v>0.03</v>
      </c>
      <c r="R1073" s="14" t="n">
        <v>0</v>
      </c>
      <c r="S1073" s="14" t="n">
        <v>0.4</v>
      </c>
      <c r="T1073" s="14" t="n">
        <v>0.32</v>
      </c>
      <c r="U1073" s="14" t="n">
        <v>1.41</v>
      </c>
      <c r="V1073" s="14" t="n">
        <v>1.9</v>
      </c>
      <c r="W1073" s="14" t="n">
        <v>0.66</v>
      </c>
      <c r="X1073" s="14" t="n">
        <v>0</v>
      </c>
      <c r="Y1073" s="14" t="n">
        <v>0.49</v>
      </c>
      <c r="Z1073" s="14" t="n">
        <v>0.17</v>
      </c>
      <c r="AA1073" s="14" t="n">
        <v>0</v>
      </c>
    </row>
    <row r="1074">
      <c r="A1074" t="inlineStr">
        <is>
          <t>090709</t>
        </is>
      </c>
      <c r="B1074" t="inlineStr">
        <is>
          <t>HUANCAVELICA</t>
        </is>
      </c>
      <c r="C1074" t="inlineStr">
        <is>
          <t>TAYACAJA</t>
        </is>
      </c>
      <c r="D1074" t="inlineStr">
        <is>
          <t>HUARIBAMBA</t>
        </is>
      </c>
      <c r="E1074" t="n">
        <v>1371</v>
      </c>
      <c r="F1074" s="14" t="n">
        <v>0</v>
      </c>
      <c r="G1074" s="14" t="n">
        <v>93.36</v>
      </c>
      <c r="H1074" s="14" t="n">
        <v>0.15</v>
      </c>
      <c r="I1074" s="14" t="n">
        <v>0.44</v>
      </c>
      <c r="J1074" s="14" t="n">
        <v>0</v>
      </c>
      <c r="K1074" s="14" t="n">
        <v>0.07000000000000001</v>
      </c>
      <c r="L1074" s="14" t="n">
        <v>1.24</v>
      </c>
      <c r="M1074" s="14" t="n">
        <v>2.19</v>
      </c>
      <c r="N1074" s="14" t="n">
        <v>0.51</v>
      </c>
      <c r="O1074" s="14" t="n">
        <v>0.22</v>
      </c>
      <c r="P1074" s="14" t="n">
        <v>0</v>
      </c>
      <c r="Q1074" s="14" t="n">
        <v>0.07000000000000001</v>
      </c>
      <c r="R1074" s="14" t="n">
        <v>0</v>
      </c>
      <c r="S1074" s="14" t="n">
        <v>0.07000000000000001</v>
      </c>
      <c r="T1074" s="14" t="n">
        <v>0.29</v>
      </c>
      <c r="U1074" s="14" t="n">
        <v>0.51</v>
      </c>
      <c r="V1074" s="14" t="n">
        <v>0.66</v>
      </c>
      <c r="W1074" s="14" t="n">
        <v>0.07000000000000001</v>
      </c>
      <c r="X1074" s="14" t="n">
        <v>0</v>
      </c>
      <c r="Y1074" s="14" t="n">
        <v>0.07000000000000001</v>
      </c>
      <c r="Z1074" s="14" t="n">
        <v>0.07000000000000001</v>
      </c>
      <c r="AA1074" s="14" t="n">
        <v>0</v>
      </c>
    </row>
    <row r="1075">
      <c r="A1075" t="inlineStr">
        <is>
          <t>030301</t>
        </is>
      </c>
      <c r="B1075" t="inlineStr">
        <is>
          <t>APURIMAC</t>
        </is>
      </c>
      <c r="C1075" t="inlineStr">
        <is>
          <t>ANTABAMBA</t>
        </is>
      </c>
      <c r="D1075" t="inlineStr">
        <is>
          <t>ANTABAMBA</t>
        </is>
      </c>
      <c r="E1075" t="n">
        <v>1076</v>
      </c>
      <c r="F1075" s="14" t="n">
        <v>0</v>
      </c>
      <c r="G1075" s="14" t="n">
        <v>52.32</v>
      </c>
      <c r="H1075" s="14" t="n">
        <v>0.5600000000000001</v>
      </c>
      <c r="I1075" s="14" t="n">
        <v>1.21</v>
      </c>
      <c r="J1075" s="14" t="n">
        <v>0.09</v>
      </c>
      <c r="K1075" s="14" t="n">
        <v>0.19</v>
      </c>
      <c r="L1075" s="14" t="n">
        <v>6.6</v>
      </c>
      <c r="M1075" s="14" t="n">
        <v>10.97</v>
      </c>
      <c r="N1075" s="14" t="n">
        <v>1.21</v>
      </c>
      <c r="O1075" s="14" t="n">
        <v>2.7</v>
      </c>
      <c r="P1075" s="14" t="n">
        <v>0.19</v>
      </c>
      <c r="Q1075" s="14" t="n">
        <v>0.19</v>
      </c>
      <c r="R1075" s="14" t="n">
        <v>0</v>
      </c>
      <c r="S1075" s="14" t="n">
        <v>2.6</v>
      </c>
      <c r="T1075" s="14" t="n">
        <v>0.84</v>
      </c>
      <c r="U1075" s="14" t="n">
        <v>5.39</v>
      </c>
      <c r="V1075" s="14" t="n">
        <v>7.99</v>
      </c>
      <c r="W1075" s="14" t="n">
        <v>4.46</v>
      </c>
      <c r="X1075" s="14" t="n">
        <v>0</v>
      </c>
      <c r="Y1075" s="14" t="n">
        <v>2.04</v>
      </c>
      <c r="Z1075" s="14" t="n">
        <v>0.46</v>
      </c>
      <c r="AA1075" s="14" t="n">
        <v>0</v>
      </c>
    </row>
    <row r="1076">
      <c r="A1076" t="inlineStr">
        <is>
          <t>030201</t>
        </is>
      </c>
      <c r="B1076" t="inlineStr">
        <is>
          <t>APURIMAC</t>
        </is>
      </c>
      <c r="C1076" t="inlineStr">
        <is>
          <t>ANDAHUAYLAS</t>
        </is>
      </c>
      <c r="D1076" t="inlineStr">
        <is>
          <t>ANDAHUAYLAS</t>
        </is>
      </c>
      <c r="E1076" t="n">
        <v>17370</v>
      </c>
      <c r="F1076" s="14" t="n">
        <v>0</v>
      </c>
      <c r="G1076" s="14" t="n">
        <v>24.62</v>
      </c>
      <c r="H1076" s="14" t="n">
        <v>0.23</v>
      </c>
      <c r="I1076" s="14" t="n">
        <v>5.91</v>
      </c>
      <c r="J1076" s="14" t="n">
        <v>0.08</v>
      </c>
      <c r="K1076" s="14" t="n">
        <v>0.08</v>
      </c>
      <c r="L1076" s="14" t="n">
        <v>5.64</v>
      </c>
      <c r="M1076" s="14" t="n">
        <v>21.51</v>
      </c>
      <c r="N1076" s="14" t="n">
        <v>5.73</v>
      </c>
      <c r="O1076" s="14" t="n">
        <v>5.57</v>
      </c>
      <c r="P1076" s="14" t="n">
        <v>0.75</v>
      </c>
      <c r="Q1076" s="14" t="n">
        <v>1.05</v>
      </c>
      <c r="R1076" s="14" t="n">
        <v>0.05</v>
      </c>
      <c r="S1076" s="14" t="n">
        <v>4.92</v>
      </c>
      <c r="T1076" s="14" t="n">
        <v>1.39</v>
      </c>
      <c r="U1076" s="14" t="n">
        <v>4.65</v>
      </c>
      <c r="V1076" s="14" t="n">
        <v>9.609999999999999</v>
      </c>
      <c r="W1076" s="14" t="n">
        <v>4.34</v>
      </c>
      <c r="X1076" s="14" t="n">
        <v>0.5600000000000001</v>
      </c>
      <c r="Y1076" s="14" t="n">
        <v>2.57</v>
      </c>
      <c r="Z1076" s="14" t="n">
        <v>0.74</v>
      </c>
      <c r="AA1076" s="14" t="n">
        <v>0</v>
      </c>
    </row>
    <row r="1077">
      <c r="A1077" t="inlineStr">
        <is>
          <t>060811</t>
        </is>
      </c>
      <c r="B1077" t="inlineStr">
        <is>
          <t>CAJAMARCA</t>
        </is>
      </c>
      <c r="C1077" t="inlineStr">
        <is>
          <t>JAEN</t>
        </is>
      </c>
      <c r="D1077" t="inlineStr">
        <is>
          <t>SAN JOSE DEL ALTO</t>
        </is>
      </c>
      <c r="E1077" t="n">
        <v>2566</v>
      </c>
      <c r="F1077" s="14" t="n">
        <v>0</v>
      </c>
      <c r="G1077" s="14" t="n">
        <v>83.75</v>
      </c>
      <c r="H1077" s="14" t="n">
        <v>0.23</v>
      </c>
      <c r="I1077" s="14" t="n">
        <v>0.66</v>
      </c>
      <c r="J1077" s="14" t="n">
        <v>0.04</v>
      </c>
      <c r="K1077" s="14" t="n">
        <v>0</v>
      </c>
      <c r="L1077" s="14" t="n">
        <v>1.44</v>
      </c>
      <c r="M1077" s="14" t="n">
        <v>4.6</v>
      </c>
      <c r="N1077" s="14" t="n">
        <v>1.56</v>
      </c>
      <c r="O1077" s="14" t="n">
        <v>1.09</v>
      </c>
      <c r="P1077" s="14" t="n">
        <v>0.04</v>
      </c>
      <c r="Q1077" s="14" t="n">
        <v>0.08</v>
      </c>
      <c r="R1077" s="14" t="n">
        <v>0</v>
      </c>
      <c r="S1077" s="14" t="n">
        <v>0.27</v>
      </c>
      <c r="T1077" s="14" t="n">
        <v>0.12</v>
      </c>
      <c r="U1077" s="14" t="n">
        <v>1.87</v>
      </c>
      <c r="V1077" s="14" t="n">
        <v>2.53</v>
      </c>
      <c r="W1077" s="14" t="n">
        <v>1.21</v>
      </c>
      <c r="X1077" s="14" t="n">
        <v>0</v>
      </c>
      <c r="Y1077" s="14" t="n">
        <v>0.31</v>
      </c>
      <c r="Z1077" s="14" t="n">
        <v>0.19</v>
      </c>
      <c r="AA1077" s="14" t="n">
        <v>0</v>
      </c>
    </row>
    <row r="1078">
      <c r="A1078" t="inlineStr">
        <is>
          <t>080903</t>
        </is>
      </c>
      <c r="B1078" t="inlineStr">
        <is>
          <t>CUSCO</t>
        </is>
      </c>
      <c r="C1078" t="inlineStr">
        <is>
          <t>LA CONVENCION</t>
        </is>
      </c>
      <c r="D1078" t="inlineStr">
        <is>
          <t>HUAYOPATA</t>
        </is>
      </c>
      <c r="E1078" t="n">
        <v>2009</v>
      </c>
      <c r="F1078" s="14" t="n">
        <v>0</v>
      </c>
      <c r="G1078" s="14" t="n">
        <v>60.03</v>
      </c>
      <c r="H1078" s="14" t="n">
        <v>0.25</v>
      </c>
      <c r="I1078" s="14" t="n">
        <v>1.59</v>
      </c>
      <c r="J1078" s="14" t="n">
        <v>0</v>
      </c>
      <c r="K1078" s="14" t="n">
        <v>0.05</v>
      </c>
      <c r="L1078" s="14" t="n">
        <v>6.67</v>
      </c>
      <c r="M1078" s="14" t="n">
        <v>9.41</v>
      </c>
      <c r="N1078" s="14" t="n">
        <v>3.58</v>
      </c>
      <c r="O1078" s="14" t="n">
        <v>2.69</v>
      </c>
      <c r="P1078" s="14" t="n">
        <v>0.2</v>
      </c>
      <c r="Q1078" s="14" t="n">
        <v>0.25</v>
      </c>
      <c r="R1078" s="14" t="n">
        <v>0.1</v>
      </c>
      <c r="S1078" s="14" t="n">
        <v>2.54</v>
      </c>
      <c r="T1078" s="14" t="n">
        <v>1.29</v>
      </c>
      <c r="U1078" s="14" t="n">
        <v>5.62</v>
      </c>
      <c r="V1078" s="14" t="n">
        <v>3.88</v>
      </c>
      <c r="W1078" s="14" t="n">
        <v>1</v>
      </c>
      <c r="X1078" s="14" t="n">
        <v>0.05</v>
      </c>
      <c r="Y1078" s="14" t="n">
        <v>0.45</v>
      </c>
      <c r="Z1078" s="14" t="n">
        <v>0.35</v>
      </c>
      <c r="AA1078" s="14" t="n">
        <v>0</v>
      </c>
    </row>
    <row r="1079">
      <c r="A1079" t="inlineStr">
        <is>
          <t>080701</t>
        </is>
      </c>
      <c r="B1079" t="inlineStr">
        <is>
          <t>CUSCO</t>
        </is>
      </c>
      <c r="C1079" t="inlineStr">
        <is>
          <t>CHUMBIVILCAS</t>
        </is>
      </c>
      <c r="D1079" t="inlineStr">
        <is>
          <t>SANTO TOMAS</t>
        </is>
      </c>
      <c r="E1079" t="n">
        <v>7331</v>
      </c>
      <c r="F1079" s="14" t="n">
        <v>0</v>
      </c>
      <c r="G1079" s="14" t="n">
        <v>58.76</v>
      </c>
      <c r="H1079" s="14" t="n">
        <v>0.78</v>
      </c>
      <c r="I1079" s="14" t="n">
        <v>2.85</v>
      </c>
      <c r="J1079" s="14" t="n">
        <v>0.01</v>
      </c>
      <c r="K1079" s="14" t="n">
        <v>0.03</v>
      </c>
      <c r="L1079" s="14" t="n">
        <v>4.31</v>
      </c>
      <c r="M1079" s="14" t="n">
        <v>11.8</v>
      </c>
      <c r="N1079" s="14" t="n">
        <v>2.03</v>
      </c>
      <c r="O1079" s="14" t="n">
        <v>3.63</v>
      </c>
      <c r="P1079" s="14" t="n">
        <v>0.2</v>
      </c>
      <c r="Q1079" s="14" t="n">
        <v>0.35</v>
      </c>
      <c r="R1079" s="14" t="n">
        <v>0.01</v>
      </c>
      <c r="S1079" s="14" t="n">
        <v>1.23</v>
      </c>
      <c r="T1079" s="14" t="n">
        <v>0.9</v>
      </c>
      <c r="U1079" s="14" t="n">
        <v>2.65</v>
      </c>
      <c r="V1079" s="14" t="n">
        <v>7.45</v>
      </c>
      <c r="W1079" s="14" t="n">
        <v>1.31</v>
      </c>
      <c r="X1079" s="14" t="n">
        <v>0.12</v>
      </c>
      <c r="Y1079" s="14" t="n">
        <v>1.13</v>
      </c>
      <c r="Z1079" s="14" t="n">
        <v>0.44</v>
      </c>
      <c r="AA1079" s="14" t="n">
        <v>0</v>
      </c>
    </row>
    <row r="1080">
      <c r="A1080" t="inlineStr">
        <is>
          <t>030611</t>
        </is>
      </c>
      <c r="B1080" t="inlineStr">
        <is>
          <t>APURIMAC</t>
        </is>
      </c>
      <c r="C1080" t="inlineStr">
        <is>
          <t>CHINCHEROS</t>
        </is>
      </c>
      <c r="D1080" t="inlineStr">
        <is>
          <t>LOS CHANKAS</t>
        </is>
      </c>
      <c r="E1080" t="n">
        <v>293</v>
      </c>
      <c r="F1080" s="14" t="n">
        <v>0</v>
      </c>
      <c r="G1080" s="14" t="n">
        <v>75.43000000000001</v>
      </c>
      <c r="H1080" s="14" t="n">
        <v>0</v>
      </c>
      <c r="I1080" s="14" t="n">
        <v>1.71</v>
      </c>
      <c r="J1080" s="14" t="n">
        <v>0</v>
      </c>
      <c r="K1080" s="14" t="n">
        <v>0</v>
      </c>
      <c r="L1080" s="14" t="n">
        <v>2.39</v>
      </c>
      <c r="M1080" s="14" t="n">
        <v>5.8</v>
      </c>
      <c r="N1080" s="14" t="n">
        <v>2.05</v>
      </c>
      <c r="O1080" s="14" t="n">
        <v>2.39</v>
      </c>
      <c r="P1080" s="14" t="n">
        <v>0</v>
      </c>
      <c r="Q1080" s="14" t="n">
        <v>0</v>
      </c>
      <c r="R1080" s="14" t="n">
        <v>0</v>
      </c>
      <c r="S1080" s="14" t="n">
        <v>1.37</v>
      </c>
      <c r="T1080" s="14" t="n">
        <v>0</v>
      </c>
      <c r="U1080" s="14" t="n">
        <v>2.05</v>
      </c>
      <c r="V1080" s="14" t="n">
        <v>3.75</v>
      </c>
      <c r="W1080" s="14" t="n">
        <v>2.05</v>
      </c>
      <c r="X1080" s="14" t="n">
        <v>0</v>
      </c>
      <c r="Y1080" s="14" t="n">
        <v>1.02</v>
      </c>
      <c r="Z1080" s="14" t="n">
        <v>0</v>
      </c>
      <c r="AA1080" s="14" t="n">
        <v>0</v>
      </c>
    </row>
    <row r="1081">
      <c r="A1081" t="inlineStr">
        <is>
          <t>090718</t>
        </is>
      </c>
      <c r="B1081" t="inlineStr">
        <is>
          <t>HUANCAVELICA</t>
        </is>
      </c>
      <c r="C1081" t="inlineStr">
        <is>
          <t>TAYACAJA</t>
        </is>
      </c>
      <c r="D1081" t="inlineStr">
        <is>
          <t>TINTAY PUNCU</t>
        </is>
      </c>
      <c r="E1081" t="n">
        <v>1212</v>
      </c>
      <c r="F1081" s="14" t="n">
        <v>0</v>
      </c>
      <c r="G1081" s="14" t="n">
        <v>68.48</v>
      </c>
      <c r="H1081" s="14" t="n">
        <v>0</v>
      </c>
      <c r="I1081" s="14" t="n">
        <v>0.58</v>
      </c>
      <c r="J1081" s="14" t="n">
        <v>0</v>
      </c>
      <c r="K1081" s="14" t="n">
        <v>0</v>
      </c>
      <c r="L1081" s="14" t="n">
        <v>9.32</v>
      </c>
      <c r="M1081" s="14" t="n">
        <v>3.71</v>
      </c>
      <c r="N1081" s="14" t="n">
        <v>1.98</v>
      </c>
      <c r="O1081" s="14" t="n">
        <v>1.57</v>
      </c>
      <c r="P1081" s="14" t="n">
        <v>0.17</v>
      </c>
      <c r="Q1081" s="14" t="n">
        <v>0</v>
      </c>
      <c r="R1081" s="14" t="n">
        <v>0</v>
      </c>
      <c r="S1081" s="14" t="n">
        <v>0.08</v>
      </c>
      <c r="T1081" s="14" t="n">
        <v>0.83</v>
      </c>
      <c r="U1081" s="14" t="n">
        <v>6.6</v>
      </c>
      <c r="V1081" s="14" t="n">
        <v>4.7</v>
      </c>
      <c r="W1081" s="14" t="n">
        <v>1.65</v>
      </c>
      <c r="X1081" s="14" t="n">
        <v>0</v>
      </c>
      <c r="Y1081" s="14" t="n">
        <v>0.25</v>
      </c>
      <c r="Z1081" s="14" t="n">
        <v>0.08</v>
      </c>
      <c r="AA1081" s="14" t="n">
        <v>0</v>
      </c>
    </row>
    <row r="1082">
      <c r="A1082" t="inlineStr">
        <is>
          <t>030604</t>
        </is>
      </c>
      <c r="B1082" t="inlineStr">
        <is>
          <t>APURIMAC</t>
        </is>
      </c>
      <c r="C1082" t="inlineStr">
        <is>
          <t>CHINCHEROS</t>
        </is>
      </c>
      <c r="D1082" t="inlineStr">
        <is>
          <t>HUACCANA</t>
        </is>
      </c>
      <c r="E1082" t="n">
        <v>1859</v>
      </c>
      <c r="F1082" s="14" t="n">
        <v>0</v>
      </c>
      <c r="G1082" s="14" t="n">
        <v>60.57</v>
      </c>
      <c r="H1082" s="14" t="n">
        <v>0.05</v>
      </c>
      <c r="I1082" s="14" t="n">
        <v>1.61</v>
      </c>
      <c r="J1082" s="14" t="n">
        <v>0.05</v>
      </c>
      <c r="K1082" s="14" t="n">
        <v>0</v>
      </c>
      <c r="L1082" s="14" t="n">
        <v>3.44</v>
      </c>
      <c r="M1082" s="14" t="n">
        <v>8.710000000000001</v>
      </c>
      <c r="N1082" s="14" t="n">
        <v>2.1</v>
      </c>
      <c r="O1082" s="14" t="n">
        <v>2.53</v>
      </c>
      <c r="P1082" s="14" t="n">
        <v>0.22</v>
      </c>
      <c r="Q1082" s="14" t="n">
        <v>0.43</v>
      </c>
      <c r="R1082" s="14" t="n">
        <v>0</v>
      </c>
      <c r="S1082" s="14" t="n">
        <v>1.88</v>
      </c>
      <c r="T1082" s="14" t="n">
        <v>0.22</v>
      </c>
      <c r="U1082" s="14" t="n">
        <v>3.34</v>
      </c>
      <c r="V1082" s="14" t="n">
        <v>9.31</v>
      </c>
      <c r="W1082" s="14" t="n">
        <v>2.96</v>
      </c>
      <c r="X1082" s="14" t="n">
        <v>0</v>
      </c>
      <c r="Y1082" s="14" t="n">
        <v>2.26</v>
      </c>
      <c r="Z1082" s="14" t="n">
        <v>0.32</v>
      </c>
      <c r="AA1082" s="14" t="n">
        <v>0</v>
      </c>
    </row>
    <row r="1083">
      <c r="A1083" t="inlineStr">
        <is>
          <t>090511</t>
        </is>
      </c>
      <c r="B1083" t="inlineStr">
        <is>
          <t>HUANCAVELICA</t>
        </is>
      </c>
      <c r="C1083" t="inlineStr">
        <is>
          <t>CHURCAMPA</t>
        </is>
      </c>
      <c r="D1083" t="inlineStr">
        <is>
          <t>COSME</t>
        </is>
      </c>
      <c r="E1083" t="n">
        <v>914</v>
      </c>
      <c r="F1083" s="14" t="n">
        <v>0</v>
      </c>
      <c r="G1083" s="14" t="n">
        <v>91.03</v>
      </c>
      <c r="H1083" s="14" t="n">
        <v>0</v>
      </c>
      <c r="I1083" s="14" t="n">
        <v>0.44</v>
      </c>
      <c r="J1083" s="14" t="n">
        <v>0</v>
      </c>
      <c r="K1083" s="14" t="n">
        <v>0</v>
      </c>
      <c r="L1083" s="14" t="n">
        <v>0.11</v>
      </c>
      <c r="M1083" s="14" t="n">
        <v>4.05</v>
      </c>
      <c r="N1083" s="14" t="n">
        <v>0.88</v>
      </c>
      <c r="O1083" s="14" t="n">
        <v>0.77</v>
      </c>
      <c r="P1083" s="14" t="n">
        <v>0</v>
      </c>
      <c r="Q1083" s="14" t="n">
        <v>0</v>
      </c>
      <c r="R1083" s="14" t="n">
        <v>0</v>
      </c>
      <c r="S1083" s="14" t="n">
        <v>0</v>
      </c>
      <c r="T1083" s="14" t="n">
        <v>0.33</v>
      </c>
      <c r="U1083" s="14" t="n">
        <v>0.11</v>
      </c>
      <c r="V1083" s="14" t="n">
        <v>1.64</v>
      </c>
      <c r="W1083" s="14" t="n">
        <v>0.44</v>
      </c>
      <c r="X1083" s="14" t="n">
        <v>0</v>
      </c>
      <c r="Y1083" s="14" t="n">
        <v>0.11</v>
      </c>
      <c r="Z1083" s="14" t="n">
        <v>0.11</v>
      </c>
      <c r="AA1083" s="14" t="n">
        <v>0</v>
      </c>
    </row>
    <row r="1084">
      <c r="A1084" t="inlineStr">
        <is>
          <t>030202</t>
        </is>
      </c>
      <c r="B1084" t="inlineStr">
        <is>
          <t>APURIMAC</t>
        </is>
      </c>
      <c r="C1084" t="inlineStr">
        <is>
          <t>ANDAHUAYLAS</t>
        </is>
      </c>
      <c r="D1084" t="inlineStr">
        <is>
          <t>ANDARAPA</t>
        </is>
      </c>
      <c r="E1084" t="n">
        <v>974</v>
      </c>
      <c r="F1084" s="14" t="n">
        <v>0</v>
      </c>
      <c r="G1084" s="14" t="n">
        <v>86.86</v>
      </c>
      <c r="H1084" s="14" t="n">
        <v>0.1</v>
      </c>
      <c r="I1084" s="14" t="n">
        <v>0.82</v>
      </c>
      <c r="J1084" s="14" t="n">
        <v>0.1</v>
      </c>
      <c r="K1084" s="14" t="n">
        <v>0</v>
      </c>
      <c r="L1084" s="14" t="n">
        <v>2.26</v>
      </c>
      <c r="M1084" s="14" t="n">
        <v>3.59</v>
      </c>
      <c r="N1084" s="14" t="n">
        <v>1.64</v>
      </c>
      <c r="O1084" s="14" t="n">
        <v>0.72</v>
      </c>
      <c r="P1084" s="14" t="n">
        <v>0.1</v>
      </c>
      <c r="Q1084" s="14" t="n">
        <v>0</v>
      </c>
      <c r="R1084" s="14" t="n">
        <v>0</v>
      </c>
      <c r="S1084" s="14" t="n">
        <v>0.21</v>
      </c>
      <c r="T1084" s="14" t="n">
        <v>0.1</v>
      </c>
      <c r="U1084" s="14" t="n">
        <v>0.92</v>
      </c>
      <c r="V1084" s="14" t="n">
        <v>0.72</v>
      </c>
      <c r="W1084" s="14" t="n">
        <v>1.03</v>
      </c>
      <c r="X1084" s="14" t="n">
        <v>0.1</v>
      </c>
      <c r="Y1084" s="14" t="n">
        <v>0.72</v>
      </c>
      <c r="Z1084" s="14" t="n">
        <v>0</v>
      </c>
      <c r="AA1084" s="14" t="n">
        <v>0</v>
      </c>
    </row>
    <row r="1085">
      <c r="A1085" t="inlineStr">
        <is>
          <t>030708</t>
        </is>
      </c>
      <c r="B1085" t="inlineStr">
        <is>
          <t>APURIMAC</t>
        </is>
      </c>
      <c r="C1085" t="inlineStr">
        <is>
          <t>GRAU</t>
        </is>
      </c>
      <c r="D1085" t="inlineStr">
        <is>
          <t>PROGRESO</t>
        </is>
      </c>
      <c r="E1085" t="n">
        <v>465</v>
      </c>
      <c r="F1085" s="14" t="n">
        <v>0</v>
      </c>
      <c r="G1085" s="14" t="n">
        <v>29.46</v>
      </c>
      <c r="H1085" s="14" t="n">
        <v>9.460000000000001</v>
      </c>
      <c r="I1085" s="14" t="n">
        <v>2.37</v>
      </c>
      <c r="J1085" s="14" t="n">
        <v>0.43</v>
      </c>
      <c r="K1085" s="14" t="n">
        <v>0</v>
      </c>
      <c r="L1085" s="14" t="n">
        <v>12.9</v>
      </c>
      <c r="M1085" s="14" t="n">
        <v>8.6</v>
      </c>
      <c r="N1085" s="14" t="n">
        <v>6.67</v>
      </c>
      <c r="O1085" s="14" t="n">
        <v>4.52</v>
      </c>
      <c r="P1085" s="14" t="n">
        <v>0.65</v>
      </c>
      <c r="Q1085" s="14" t="n">
        <v>0.43</v>
      </c>
      <c r="R1085" s="14" t="n">
        <v>0</v>
      </c>
      <c r="S1085" s="14" t="n">
        <v>1.29</v>
      </c>
      <c r="T1085" s="14" t="n">
        <v>0.22</v>
      </c>
      <c r="U1085" s="14" t="n">
        <v>6.88</v>
      </c>
      <c r="V1085" s="14" t="n">
        <v>10.32</v>
      </c>
      <c r="W1085" s="14" t="n">
        <v>3.87</v>
      </c>
      <c r="X1085" s="14" t="n">
        <v>0.22</v>
      </c>
      <c r="Y1085" s="14" t="n">
        <v>1.72</v>
      </c>
      <c r="Z1085" s="14" t="n">
        <v>0</v>
      </c>
      <c r="AA1085" s="14" t="n">
        <v>0</v>
      </c>
    </row>
    <row r="1086">
      <c r="A1086" t="inlineStr">
        <is>
          <t>090704</t>
        </is>
      </c>
      <c r="B1086" t="inlineStr">
        <is>
          <t>HUANCAVELICA</t>
        </is>
      </c>
      <c r="C1086" t="inlineStr">
        <is>
          <t>TAYACAJA</t>
        </is>
      </c>
      <c r="D1086" t="inlineStr">
        <is>
          <t>AHUAYCHA</t>
        </is>
      </c>
      <c r="E1086" t="n">
        <v>1230</v>
      </c>
      <c r="F1086" s="14" t="n">
        <v>0</v>
      </c>
      <c r="G1086" s="14" t="n">
        <v>75.69</v>
      </c>
      <c r="H1086" s="14" t="n">
        <v>0.33</v>
      </c>
      <c r="I1086" s="14" t="n">
        <v>1.38</v>
      </c>
      <c r="J1086" s="14" t="n">
        <v>0.08</v>
      </c>
      <c r="K1086" s="14" t="n">
        <v>0.08</v>
      </c>
      <c r="L1086" s="14" t="n">
        <v>3.41</v>
      </c>
      <c r="M1086" s="14" t="n">
        <v>5.12</v>
      </c>
      <c r="N1086" s="14" t="n">
        <v>3.25</v>
      </c>
      <c r="O1086" s="14" t="n">
        <v>1.87</v>
      </c>
      <c r="P1086" s="14" t="n">
        <v>0</v>
      </c>
      <c r="Q1086" s="14" t="n">
        <v>0.16</v>
      </c>
      <c r="R1086" s="14" t="n">
        <v>0.08</v>
      </c>
      <c r="S1086" s="14" t="n">
        <v>0.41</v>
      </c>
      <c r="T1086" s="14" t="n">
        <v>0.41</v>
      </c>
      <c r="U1086" s="14" t="n">
        <v>1.71</v>
      </c>
      <c r="V1086" s="14" t="n">
        <v>3.82</v>
      </c>
      <c r="W1086" s="14" t="n">
        <v>1.54</v>
      </c>
      <c r="X1086" s="14" t="n">
        <v>0</v>
      </c>
      <c r="Y1086" s="14" t="n">
        <v>0.33</v>
      </c>
      <c r="Z1086" s="14" t="n">
        <v>0.33</v>
      </c>
      <c r="AA1086" s="14" t="n">
        <v>0</v>
      </c>
    </row>
    <row r="1087">
      <c r="A1087" t="inlineStr">
        <is>
          <t>060201</t>
        </is>
      </c>
      <c r="B1087" t="inlineStr">
        <is>
          <t>CAJAMARCA</t>
        </is>
      </c>
      <c r="C1087" t="inlineStr">
        <is>
          <t>CAJABAMBA</t>
        </is>
      </c>
      <c r="D1087" t="inlineStr">
        <is>
          <t>CAJABAMBA</t>
        </is>
      </c>
      <c r="E1087" t="n">
        <v>10678</v>
      </c>
      <c r="F1087" s="14" t="n">
        <v>0</v>
      </c>
      <c r="G1087" s="14" t="n">
        <v>33.55</v>
      </c>
      <c r="H1087" s="14" t="n">
        <v>1.19</v>
      </c>
      <c r="I1087" s="14" t="n">
        <v>4.31</v>
      </c>
      <c r="J1087" s="14" t="n">
        <v>0.07000000000000001</v>
      </c>
      <c r="K1087" s="14" t="n">
        <v>0.06</v>
      </c>
      <c r="L1087" s="14" t="n">
        <v>7.3</v>
      </c>
      <c r="M1087" s="14" t="n">
        <v>16.95</v>
      </c>
      <c r="N1087" s="14" t="n">
        <v>5.62</v>
      </c>
      <c r="O1087" s="14" t="n">
        <v>5.13</v>
      </c>
      <c r="P1087" s="14" t="n">
        <v>0.42</v>
      </c>
      <c r="Q1087" s="14" t="n">
        <v>0.87</v>
      </c>
      <c r="R1087" s="14" t="n">
        <v>0.06</v>
      </c>
      <c r="S1087" s="14" t="n">
        <v>2.83</v>
      </c>
      <c r="T1087" s="14" t="n">
        <v>1.37</v>
      </c>
      <c r="U1087" s="14" t="n">
        <v>2.58</v>
      </c>
      <c r="V1087" s="14" t="n">
        <v>11.72</v>
      </c>
      <c r="W1087" s="14" t="n">
        <v>2.21</v>
      </c>
      <c r="X1087" s="14" t="n">
        <v>0.35</v>
      </c>
      <c r="Y1087" s="14" t="n">
        <v>2.02</v>
      </c>
      <c r="Z1087" s="14" t="n">
        <v>1.4</v>
      </c>
      <c r="AA1087" s="14" t="n">
        <v>0</v>
      </c>
    </row>
    <row r="1088">
      <c r="A1088" t="inlineStr">
        <is>
          <t>050801</t>
        </is>
      </c>
      <c r="B1088" t="inlineStr">
        <is>
          <t>AYACUCHO</t>
        </is>
      </c>
      <c r="C1088" t="inlineStr">
        <is>
          <t>PAUCAR DEL SARA SARA</t>
        </is>
      </c>
      <c r="D1088" t="inlineStr">
        <is>
          <t>PAUSA</t>
        </is>
      </c>
      <c r="E1088" t="n">
        <v>1414</v>
      </c>
      <c r="F1088" s="14" t="n">
        <v>0</v>
      </c>
      <c r="G1088" s="14" t="n">
        <v>27.44</v>
      </c>
      <c r="H1088" s="14" t="n">
        <v>0.99</v>
      </c>
      <c r="I1088" s="14" t="n">
        <v>2.48</v>
      </c>
      <c r="J1088" s="14" t="n">
        <v>0.07000000000000001</v>
      </c>
      <c r="K1088" s="14" t="n">
        <v>0</v>
      </c>
      <c r="L1088" s="14" t="n">
        <v>9.19</v>
      </c>
      <c r="M1088" s="14" t="n">
        <v>12.8</v>
      </c>
      <c r="N1088" s="14" t="n">
        <v>6.65</v>
      </c>
      <c r="O1088" s="14" t="n">
        <v>6.15</v>
      </c>
      <c r="P1088" s="14" t="n">
        <v>0.35</v>
      </c>
      <c r="Q1088" s="14" t="n">
        <v>0.99</v>
      </c>
      <c r="R1088" s="14" t="n">
        <v>0.14</v>
      </c>
      <c r="S1088" s="14" t="n">
        <v>1.77</v>
      </c>
      <c r="T1088" s="14" t="n">
        <v>1.06</v>
      </c>
      <c r="U1088" s="14" t="n">
        <v>7.71</v>
      </c>
      <c r="V1088" s="14" t="n">
        <v>13.93</v>
      </c>
      <c r="W1088" s="14" t="n">
        <v>4.46</v>
      </c>
      <c r="X1088" s="14" t="n">
        <v>0.28</v>
      </c>
      <c r="Y1088" s="14" t="n">
        <v>1.41</v>
      </c>
      <c r="Z1088" s="14" t="n">
        <v>2.12</v>
      </c>
      <c r="AA1088" s="14" t="n">
        <v>0</v>
      </c>
    </row>
    <row r="1089">
      <c r="A1089" t="inlineStr">
        <is>
          <t>060803</t>
        </is>
      </c>
      <c r="B1089" t="inlineStr">
        <is>
          <t>CAJAMARCA</t>
        </is>
      </c>
      <c r="C1089" t="inlineStr">
        <is>
          <t>JAEN</t>
        </is>
      </c>
      <c r="D1089" t="inlineStr">
        <is>
          <t>CHONTALI</t>
        </is>
      </c>
      <c r="E1089" t="n">
        <v>3261</v>
      </c>
      <c r="F1089" s="14" t="n">
        <v>0</v>
      </c>
      <c r="G1089" s="14" t="n">
        <v>86.23</v>
      </c>
      <c r="H1089" s="14" t="n">
        <v>0.03</v>
      </c>
      <c r="I1089" s="14" t="n">
        <v>1.23</v>
      </c>
      <c r="J1089" s="14" t="n">
        <v>0</v>
      </c>
      <c r="K1089" s="14" t="n">
        <v>0</v>
      </c>
      <c r="L1089" s="14" t="n">
        <v>0.43</v>
      </c>
      <c r="M1089" s="14" t="n">
        <v>2.88</v>
      </c>
      <c r="N1089" s="14" t="n">
        <v>0.89</v>
      </c>
      <c r="O1089" s="14" t="n">
        <v>0.83</v>
      </c>
      <c r="P1089" s="14" t="n">
        <v>0</v>
      </c>
      <c r="Q1089" s="14" t="n">
        <v>0.06</v>
      </c>
      <c r="R1089" s="14" t="n">
        <v>0</v>
      </c>
      <c r="S1089" s="14" t="n">
        <v>0.34</v>
      </c>
      <c r="T1089" s="14" t="n">
        <v>0.15</v>
      </c>
      <c r="U1089" s="14" t="n">
        <v>0.98</v>
      </c>
      <c r="V1089" s="14" t="n">
        <v>3.99</v>
      </c>
      <c r="W1089" s="14" t="n">
        <v>0.8</v>
      </c>
      <c r="X1089" s="14" t="n">
        <v>0</v>
      </c>
      <c r="Y1089" s="14" t="n">
        <v>0.67</v>
      </c>
      <c r="Z1089" s="14" t="n">
        <v>0.49</v>
      </c>
      <c r="AA1089" s="14" t="n">
        <v>0</v>
      </c>
    </row>
    <row r="1090">
      <c r="A1090" t="inlineStr">
        <is>
          <t>060701</t>
        </is>
      </c>
      <c r="B1090" t="inlineStr">
        <is>
          <t>CAJAMARCA</t>
        </is>
      </c>
      <c r="C1090" t="inlineStr">
        <is>
          <t>HUALGAYOC</t>
        </is>
      </c>
      <c r="D1090" t="inlineStr">
        <is>
          <t>BAMBAMARCA</t>
        </is>
      </c>
      <c r="E1090" t="n">
        <v>19498</v>
      </c>
      <c r="F1090" s="14" t="n">
        <v>0</v>
      </c>
      <c r="G1090" s="14" t="n">
        <v>58.8</v>
      </c>
      <c r="H1090" s="14" t="n">
        <v>0.17</v>
      </c>
      <c r="I1090" s="14" t="n">
        <v>11.21</v>
      </c>
      <c r="J1090" s="14" t="n">
        <v>0.02</v>
      </c>
      <c r="K1090" s="14" t="n">
        <v>0.04</v>
      </c>
      <c r="L1090" s="14" t="n">
        <v>2.61</v>
      </c>
      <c r="M1090" s="14" t="n">
        <v>7.5</v>
      </c>
      <c r="N1090" s="14" t="n">
        <v>3</v>
      </c>
      <c r="O1090" s="14" t="n">
        <v>1.75</v>
      </c>
      <c r="P1090" s="14" t="n">
        <v>0.21</v>
      </c>
      <c r="Q1090" s="14" t="n">
        <v>0.34</v>
      </c>
      <c r="R1090" s="14" t="n">
        <v>0.01</v>
      </c>
      <c r="S1090" s="14" t="n">
        <v>1.32</v>
      </c>
      <c r="T1090" s="14" t="n">
        <v>0.57</v>
      </c>
      <c r="U1090" s="14" t="n">
        <v>2.91</v>
      </c>
      <c r="V1090" s="14" t="n">
        <v>6.66</v>
      </c>
      <c r="W1090" s="14" t="n">
        <v>1.05</v>
      </c>
      <c r="X1090" s="14" t="n">
        <v>0.07000000000000001</v>
      </c>
      <c r="Y1090" s="14" t="n">
        <v>1.17</v>
      </c>
      <c r="Z1090" s="14" t="n">
        <v>0.61</v>
      </c>
      <c r="AA1090" s="14" t="n">
        <v>0</v>
      </c>
    </row>
    <row r="1091">
      <c r="A1091" t="inlineStr">
        <is>
          <t>061305</t>
        </is>
      </c>
      <c r="B1091" t="inlineStr">
        <is>
          <t>CAJAMARCA</t>
        </is>
      </c>
      <c r="C1091" t="inlineStr">
        <is>
          <t>SANTA CRUZ</t>
        </is>
      </c>
      <c r="D1091" t="inlineStr">
        <is>
          <t>LA ESPERANZA</t>
        </is>
      </c>
      <c r="E1091" t="n">
        <v>638</v>
      </c>
      <c r="F1091" s="14" t="n">
        <v>0</v>
      </c>
      <c r="G1091" s="14" t="n">
        <v>86.05</v>
      </c>
      <c r="H1091" s="14" t="n">
        <v>0.16</v>
      </c>
      <c r="I1091" s="14" t="n">
        <v>0.63</v>
      </c>
      <c r="J1091" s="14" t="n">
        <v>0</v>
      </c>
      <c r="K1091" s="14" t="n">
        <v>0</v>
      </c>
      <c r="L1091" s="14" t="n">
        <v>2.19</v>
      </c>
      <c r="M1091" s="14" t="n">
        <v>0.63</v>
      </c>
      <c r="N1091" s="14" t="n">
        <v>0.63</v>
      </c>
      <c r="O1091" s="14" t="n">
        <v>0.16</v>
      </c>
      <c r="P1091" s="14" t="n">
        <v>0</v>
      </c>
      <c r="Q1091" s="14" t="n">
        <v>0</v>
      </c>
      <c r="R1091" s="14" t="n">
        <v>0</v>
      </c>
      <c r="S1091" s="14" t="n">
        <v>1.1</v>
      </c>
      <c r="T1091" s="14" t="n">
        <v>0.63</v>
      </c>
      <c r="U1091" s="14" t="n">
        <v>1.25</v>
      </c>
      <c r="V1091" s="14" t="n">
        <v>4.7</v>
      </c>
      <c r="W1091" s="14" t="n">
        <v>0.63</v>
      </c>
      <c r="X1091" s="14" t="n">
        <v>0.16</v>
      </c>
      <c r="Y1091" s="14" t="n">
        <v>0.47</v>
      </c>
      <c r="Z1091" s="14" t="n">
        <v>0.63</v>
      </c>
      <c r="AA1091" s="14" t="n">
        <v>0</v>
      </c>
    </row>
    <row r="1092">
      <c r="A1092" t="inlineStr">
        <is>
          <t>090102</t>
        </is>
      </c>
      <c r="B1092" t="inlineStr">
        <is>
          <t>HUANCAVELICA</t>
        </is>
      </c>
      <c r="C1092" t="inlineStr">
        <is>
          <t>HUANCAVELICA</t>
        </is>
      </c>
      <c r="D1092" t="inlineStr">
        <is>
          <t>ACOBAMBILLA</t>
        </is>
      </c>
      <c r="E1092" t="n">
        <v>736</v>
      </c>
      <c r="F1092" s="14" t="n">
        <v>0</v>
      </c>
      <c r="G1092" s="14" t="n">
        <v>64.95</v>
      </c>
      <c r="H1092" s="14" t="n">
        <v>0.54</v>
      </c>
      <c r="I1092" s="14" t="n">
        <v>1.49</v>
      </c>
      <c r="J1092" s="14" t="n">
        <v>0</v>
      </c>
      <c r="K1092" s="14" t="n">
        <v>0.14</v>
      </c>
      <c r="L1092" s="14" t="n">
        <v>8.699999999999999</v>
      </c>
      <c r="M1092" s="14" t="n">
        <v>9.65</v>
      </c>
      <c r="N1092" s="14" t="n">
        <v>1.36</v>
      </c>
      <c r="O1092" s="14" t="n">
        <v>2.04</v>
      </c>
      <c r="P1092" s="14" t="n">
        <v>0</v>
      </c>
      <c r="Q1092" s="14" t="n">
        <v>0</v>
      </c>
      <c r="R1092" s="14" t="n">
        <v>0.14</v>
      </c>
      <c r="S1092" s="14" t="n">
        <v>1.22</v>
      </c>
      <c r="T1092" s="14" t="n">
        <v>0.27</v>
      </c>
      <c r="U1092" s="14" t="n">
        <v>3.67</v>
      </c>
      <c r="V1092" s="14" t="n">
        <v>3.8</v>
      </c>
      <c r="W1092" s="14" t="n">
        <v>1.63</v>
      </c>
      <c r="X1092" s="14" t="n">
        <v>0.27</v>
      </c>
      <c r="Y1092" s="14" t="n">
        <v>0.14</v>
      </c>
      <c r="Z1092" s="14" t="n">
        <v>0</v>
      </c>
      <c r="AA1092" s="14" t="n">
        <v>0</v>
      </c>
    </row>
    <row r="1093">
      <c r="A1093" t="inlineStr">
        <is>
          <t>021909</t>
        </is>
      </c>
      <c r="B1093" t="inlineStr">
        <is>
          <t>ANCASH</t>
        </is>
      </c>
      <c r="C1093" t="inlineStr">
        <is>
          <t>SIHUAS</t>
        </is>
      </c>
      <c r="D1093" t="inlineStr">
        <is>
          <t>SAN JUAN</t>
        </is>
      </c>
      <c r="E1093" t="n">
        <v>1537</v>
      </c>
      <c r="F1093" s="14" t="n">
        <v>0</v>
      </c>
      <c r="G1093" s="14" t="n">
        <v>84.06</v>
      </c>
      <c r="H1093" s="14" t="n">
        <v>0.2</v>
      </c>
      <c r="I1093" s="14" t="n">
        <v>0.59</v>
      </c>
      <c r="J1093" s="14" t="n">
        <v>0</v>
      </c>
      <c r="K1093" s="14" t="n">
        <v>0</v>
      </c>
      <c r="L1093" s="14" t="n">
        <v>1.24</v>
      </c>
      <c r="M1093" s="14" t="n">
        <v>5.92</v>
      </c>
      <c r="N1093" s="14" t="n">
        <v>0.33</v>
      </c>
      <c r="O1093" s="14" t="n">
        <v>0.33</v>
      </c>
      <c r="P1093" s="14" t="n">
        <v>0</v>
      </c>
      <c r="Q1093" s="14" t="n">
        <v>0</v>
      </c>
      <c r="R1093" s="14" t="n">
        <v>0</v>
      </c>
      <c r="S1093" s="14" t="n">
        <v>0.33</v>
      </c>
      <c r="T1093" s="14" t="n">
        <v>0</v>
      </c>
      <c r="U1093" s="14" t="n">
        <v>0.98</v>
      </c>
      <c r="V1093" s="14" t="n">
        <v>4.42</v>
      </c>
      <c r="W1093" s="14" t="n">
        <v>1.17</v>
      </c>
      <c r="X1093" s="14" t="n">
        <v>0</v>
      </c>
      <c r="Y1093" s="14" t="n">
        <v>0.26</v>
      </c>
      <c r="Z1093" s="14" t="n">
        <v>0.2</v>
      </c>
      <c r="AA1093" s="14" t="n">
        <v>0</v>
      </c>
    </row>
    <row r="1094">
      <c r="A1094" t="inlineStr">
        <is>
          <t>050901</t>
        </is>
      </c>
      <c r="B1094" t="inlineStr">
        <is>
          <t>AYACUCHO</t>
        </is>
      </c>
      <c r="C1094" t="inlineStr">
        <is>
          <t>SUCRE</t>
        </is>
      </c>
      <c r="D1094" t="inlineStr">
        <is>
          <t>QUEROBAMBA</t>
        </is>
      </c>
      <c r="E1094" t="n">
        <v>1040</v>
      </c>
      <c r="F1094" s="14" t="n">
        <v>0</v>
      </c>
      <c r="G1094" s="14" t="n">
        <v>33.85</v>
      </c>
      <c r="H1094" s="14" t="n">
        <v>0.48</v>
      </c>
      <c r="I1094" s="14" t="n">
        <v>1.44</v>
      </c>
      <c r="J1094" s="14" t="n">
        <v>0.38</v>
      </c>
      <c r="K1094" s="14" t="n">
        <v>0</v>
      </c>
      <c r="L1094" s="14" t="n">
        <v>7.88</v>
      </c>
      <c r="M1094" s="14" t="n">
        <v>15.19</v>
      </c>
      <c r="N1094" s="14" t="n">
        <v>2.5</v>
      </c>
      <c r="O1094" s="14" t="n">
        <v>3.17</v>
      </c>
      <c r="P1094" s="14" t="n">
        <v>0.1</v>
      </c>
      <c r="Q1094" s="14" t="n">
        <v>0.67</v>
      </c>
      <c r="R1094" s="14" t="n">
        <v>0</v>
      </c>
      <c r="S1094" s="14" t="n">
        <v>3.46</v>
      </c>
      <c r="T1094" s="14" t="n">
        <v>0.67</v>
      </c>
      <c r="U1094" s="14" t="n">
        <v>11.35</v>
      </c>
      <c r="V1094" s="14" t="n">
        <v>14.33</v>
      </c>
      <c r="W1094" s="14" t="n">
        <v>2.31</v>
      </c>
      <c r="X1094" s="14" t="n">
        <v>0.1</v>
      </c>
      <c r="Y1094" s="14" t="n">
        <v>1.83</v>
      </c>
      <c r="Z1094" s="14" t="n">
        <v>0.29</v>
      </c>
      <c r="AA1094" s="14" t="n">
        <v>0</v>
      </c>
    </row>
    <row r="1095">
      <c r="A1095" t="inlineStr">
        <is>
          <t>010206</t>
        </is>
      </c>
      <c r="B1095" t="inlineStr">
        <is>
          <t>AMAZONAS</t>
        </is>
      </c>
      <c r="C1095" t="inlineStr">
        <is>
          <t>BAGUA</t>
        </is>
      </c>
      <c r="D1095" t="inlineStr">
        <is>
          <t>LA PECA</t>
        </is>
      </c>
      <c r="E1095" t="n">
        <v>2256</v>
      </c>
      <c r="F1095" s="14" t="n">
        <v>0</v>
      </c>
      <c r="G1095" s="14" t="n">
        <v>70.39</v>
      </c>
      <c r="H1095" s="14" t="n">
        <v>0</v>
      </c>
      <c r="I1095" s="14" t="n">
        <v>2.13</v>
      </c>
      <c r="J1095" s="14" t="n">
        <v>0</v>
      </c>
      <c r="K1095" s="14" t="n">
        <v>0</v>
      </c>
      <c r="L1095" s="14" t="n">
        <v>3.41</v>
      </c>
      <c r="M1095" s="14" t="n">
        <v>5.05</v>
      </c>
      <c r="N1095" s="14" t="n">
        <v>3.15</v>
      </c>
      <c r="O1095" s="14" t="n">
        <v>1.95</v>
      </c>
      <c r="P1095" s="14" t="n">
        <v>0.04</v>
      </c>
      <c r="Q1095" s="14" t="n">
        <v>0.09</v>
      </c>
      <c r="R1095" s="14" t="n">
        <v>0</v>
      </c>
      <c r="S1095" s="14" t="n">
        <v>0.71</v>
      </c>
      <c r="T1095" s="14" t="n">
        <v>0.4</v>
      </c>
      <c r="U1095" s="14" t="n">
        <v>2.84</v>
      </c>
      <c r="V1095" s="14" t="n">
        <v>6.56</v>
      </c>
      <c r="W1095" s="14" t="n">
        <v>1.42</v>
      </c>
      <c r="X1095" s="14" t="n">
        <v>0</v>
      </c>
      <c r="Y1095" s="14" t="n">
        <v>0.66</v>
      </c>
      <c r="Z1095" s="14" t="n">
        <v>1.2</v>
      </c>
      <c r="AA1095" s="14" t="n">
        <v>0</v>
      </c>
    </row>
    <row r="1096">
      <c r="A1096" t="inlineStr">
        <is>
          <t>050611</t>
        </is>
      </c>
      <c r="B1096" t="inlineStr">
        <is>
          <t>AYACUCHO</t>
        </is>
      </c>
      <c r="C1096" t="inlineStr">
        <is>
          <t>LUCANAS</t>
        </is>
      </c>
      <c r="D1096" t="inlineStr">
        <is>
          <t>LUCANAS</t>
        </is>
      </c>
      <c r="E1096" t="n">
        <v>868</v>
      </c>
      <c r="F1096" s="14" t="n">
        <v>0</v>
      </c>
      <c r="G1096" s="14" t="n">
        <v>46.43</v>
      </c>
      <c r="H1096" s="14" t="n">
        <v>6.68</v>
      </c>
      <c r="I1096" s="14" t="n">
        <v>3.34</v>
      </c>
      <c r="J1096" s="14" t="n">
        <v>0</v>
      </c>
      <c r="K1096" s="14" t="n">
        <v>0</v>
      </c>
      <c r="L1096" s="14" t="n">
        <v>11.06</v>
      </c>
      <c r="M1096" s="14" t="n">
        <v>8.41</v>
      </c>
      <c r="N1096" s="14" t="n">
        <v>3.46</v>
      </c>
      <c r="O1096" s="14" t="n">
        <v>4.38</v>
      </c>
      <c r="P1096" s="14" t="n">
        <v>0.12</v>
      </c>
      <c r="Q1096" s="14" t="n">
        <v>0</v>
      </c>
      <c r="R1096" s="14" t="n">
        <v>0</v>
      </c>
      <c r="S1096" s="14" t="n">
        <v>1.73</v>
      </c>
      <c r="T1096" s="14" t="n">
        <v>1.73</v>
      </c>
      <c r="U1096" s="14" t="n">
        <v>5.07</v>
      </c>
      <c r="V1096" s="14" t="n">
        <v>3.8</v>
      </c>
      <c r="W1096" s="14" t="n">
        <v>2.3</v>
      </c>
      <c r="X1096" s="14" t="n">
        <v>0</v>
      </c>
      <c r="Y1096" s="14" t="n">
        <v>1.38</v>
      </c>
      <c r="Z1096" s="14" t="n">
        <v>0.12</v>
      </c>
      <c r="AA1096" s="14" t="n">
        <v>0</v>
      </c>
    </row>
    <row r="1097">
      <c r="A1097" t="inlineStr">
        <is>
          <t>060806</t>
        </is>
      </c>
      <c r="B1097" t="inlineStr">
        <is>
          <t>CAJAMARCA</t>
        </is>
      </c>
      <c r="C1097" t="inlineStr">
        <is>
          <t>JAEN</t>
        </is>
      </c>
      <c r="D1097" t="inlineStr">
        <is>
          <t>LAS PIRIAS</t>
        </is>
      </c>
      <c r="E1097" t="n">
        <v>1473</v>
      </c>
      <c r="F1097" s="14" t="n">
        <v>0</v>
      </c>
      <c r="G1097" s="14" t="n">
        <v>91.17</v>
      </c>
      <c r="H1097" s="14" t="n">
        <v>0</v>
      </c>
      <c r="I1097" s="14" t="n">
        <v>0.48</v>
      </c>
      <c r="J1097" s="14" t="n">
        <v>0</v>
      </c>
      <c r="K1097" s="14" t="n">
        <v>0</v>
      </c>
      <c r="L1097" s="14" t="n">
        <v>0.75</v>
      </c>
      <c r="M1097" s="14" t="n">
        <v>2.04</v>
      </c>
      <c r="N1097" s="14" t="n">
        <v>1.43</v>
      </c>
      <c r="O1097" s="14" t="n">
        <v>0.54</v>
      </c>
      <c r="P1097" s="14" t="n">
        <v>0</v>
      </c>
      <c r="Q1097" s="14" t="n">
        <v>0</v>
      </c>
      <c r="R1097" s="14" t="n">
        <v>0</v>
      </c>
      <c r="S1097" s="14" t="n">
        <v>0.14</v>
      </c>
      <c r="T1097" s="14" t="n">
        <v>0.41</v>
      </c>
      <c r="U1097" s="14" t="n">
        <v>0.8100000000000001</v>
      </c>
      <c r="V1097" s="14" t="n">
        <v>1.29</v>
      </c>
      <c r="W1097" s="14" t="n">
        <v>0.27</v>
      </c>
      <c r="X1097" s="14" t="n">
        <v>0</v>
      </c>
      <c r="Y1097" s="14" t="n">
        <v>0.54</v>
      </c>
      <c r="Z1097" s="14" t="n">
        <v>0.14</v>
      </c>
      <c r="AA1097" s="14" t="n">
        <v>0</v>
      </c>
    </row>
    <row r="1098">
      <c r="A1098" t="inlineStr">
        <is>
          <t>090501</t>
        </is>
      </c>
      <c r="B1098" t="inlineStr">
        <is>
          <t>HUANCAVELICA</t>
        </is>
      </c>
      <c r="C1098" t="inlineStr">
        <is>
          <t>CHURCAMPA</t>
        </is>
      </c>
      <c r="D1098" t="inlineStr">
        <is>
          <t>CHURCAMPA</t>
        </is>
      </c>
      <c r="E1098" t="n">
        <v>1905</v>
      </c>
      <c r="F1098" s="14" t="n">
        <v>0</v>
      </c>
      <c r="G1098" s="14" t="n">
        <v>56.43</v>
      </c>
      <c r="H1098" s="14" t="n">
        <v>0.21</v>
      </c>
      <c r="I1098" s="14" t="n">
        <v>0.84</v>
      </c>
      <c r="J1098" s="14" t="n">
        <v>0.1</v>
      </c>
      <c r="K1098" s="14" t="n">
        <v>0</v>
      </c>
      <c r="L1098" s="14" t="n">
        <v>3.46</v>
      </c>
      <c r="M1098" s="14" t="n">
        <v>7.56</v>
      </c>
      <c r="N1098" s="14" t="n">
        <v>2.94</v>
      </c>
      <c r="O1098" s="14" t="n">
        <v>3.25</v>
      </c>
      <c r="P1098" s="14" t="n">
        <v>0.1</v>
      </c>
      <c r="Q1098" s="14" t="n">
        <v>0.42</v>
      </c>
      <c r="R1098" s="14" t="n">
        <v>0</v>
      </c>
      <c r="S1098" s="14" t="n">
        <v>2.62</v>
      </c>
      <c r="T1098" s="14" t="n">
        <v>0.42</v>
      </c>
      <c r="U1098" s="14" t="n">
        <v>6.4</v>
      </c>
      <c r="V1098" s="14" t="n">
        <v>10.13</v>
      </c>
      <c r="W1098" s="14" t="n">
        <v>3.25</v>
      </c>
      <c r="X1098" s="14" t="n">
        <v>0.05</v>
      </c>
      <c r="Y1098" s="14" t="n">
        <v>1.05</v>
      </c>
      <c r="Z1098" s="14" t="n">
        <v>0.73</v>
      </c>
      <c r="AA1098" s="14" t="n">
        <v>0</v>
      </c>
    </row>
    <row r="1099">
      <c r="A1099" t="inlineStr">
        <is>
          <t>090202</t>
        </is>
      </c>
      <c r="B1099" t="inlineStr">
        <is>
          <t>HUANCAVELICA</t>
        </is>
      </c>
      <c r="C1099" t="inlineStr">
        <is>
          <t>ACOBAMBA</t>
        </is>
      </c>
      <c r="D1099" t="inlineStr">
        <is>
          <t>ANDABAMBA</t>
        </is>
      </c>
      <c r="E1099" t="n">
        <v>981</v>
      </c>
      <c r="F1099" s="14" t="n">
        <v>0</v>
      </c>
      <c r="G1099" s="14" t="n">
        <v>87.36</v>
      </c>
      <c r="H1099" s="14" t="n">
        <v>0</v>
      </c>
      <c r="I1099" s="14" t="n">
        <v>1.12</v>
      </c>
      <c r="J1099" s="14" t="n">
        <v>0</v>
      </c>
      <c r="K1099" s="14" t="n">
        <v>0</v>
      </c>
      <c r="L1099" s="14" t="n">
        <v>2.65</v>
      </c>
      <c r="M1099" s="14" t="n">
        <v>3.67</v>
      </c>
      <c r="N1099" s="14" t="n">
        <v>0.51</v>
      </c>
      <c r="O1099" s="14" t="n">
        <v>0.31</v>
      </c>
      <c r="P1099" s="14" t="n">
        <v>0</v>
      </c>
      <c r="Q1099" s="14" t="n">
        <v>0</v>
      </c>
      <c r="R1099" s="14" t="n">
        <v>0</v>
      </c>
      <c r="S1099" s="14" t="n">
        <v>0.82</v>
      </c>
      <c r="T1099" s="14" t="n">
        <v>0.1</v>
      </c>
      <c r="U1099" s="14" t="n">
        <v>1.63</v>
      </c>
      <c r="V1099" s="14" t="n">
        <v>1.53</v>
      </c>
      <c r="W1099" s="14" t="n">
        <v>0.31</v>
      </c>
      <c r="X1099" s="14" t="n">
        <v>0</v>
      </c>
      <c r="Y1099" s="14" t="n">
        <v>0</v>
      </c>
      <c r="Z1099" s="14" t="n">
        <v>0</v>
      </c>
      <c r="AA1099" s="14" t="n">
        <v>0</v>
      </c>
    </row>
    <row r="1100">
      <c r="A1100" t="inlineStr">
        <is>
          <t>051101</t>
        </is>
      </c>
      <c r="B1100" t="inlineStr">
        <is>
          <t>AYACUCHO</t>
        </is>
      </c>
      <c r="C1100" t="inlineStr">
        <is>
          <t>VILCAS HUAMAN</t>
        </is>
      </c>
      <c r="D1100" t="inlineStr">
        <is>
          <t>VILCAS HUAMAN</t>
        </is>
      </c>
      <c r="E1100" t="n">
        <v>1770</v>
      </c>
      <c r="F1100" s="14" t="n">
        <v>0</v>
      </c>
      <c r="G1100" s="14" t="n">
        <v>52.77</v>
      </c>
      <c r="H1100" s="14" t="n">
        <v>0.06</v>
      </c>
      <c r="I1100" s="14" t="n">
        <v>1.98</v>
      </c>
      <c r="J1100" s="14" t="n">
        <v>0</v>
      </c>
      <c r="K1100" s="14" t="n">
        <v>0.62</v>
      </c>
      <c r="L1100" s="14" t="n">
        <v>4.92</v>
      </c>
      <c r="M1100" s="14" t="n">
        <v>13.95</v>
      </c>
      <c r="N1100" s="14" t="n">
        <v>2.26</v>
      </c>
      <c r="O1100" s="14" t="n">
        <v>3.11</v>
      </c>
      <c r="P1100" s="14" t="n">
        <v>0.06</v>
      </c>
      <c r="Q1100" s="14" t="n">
        <v>0</v>
      </c>
      <c r="R1100" s="14" t="n">
        <v>0</v>
      </c>
      <c r="S1100" s="14" t="n">
        <v>2.03</v>
      </c>
      <c r="T1100" s="14" t="n">
        <v>0.85</v>
      </c>
      <c r="U1100" s="14" t="n">
        <v>3.79</v>
      </c>
      <c r="V1100" s="14" t="n">
        <v>6.84</v>
      </c>
      <c r="W1100" s="14" t="n">
        <v>1.58</v>
      </c>
      <c r="X1100" s="14" t="n">
        <v>0</v>
      </c>
      <c r="Y1100" s="14" t="n">
        <v>4.58</v>
      </c>
      <c r="Z1100" s="14" t="n">
        <v>0.62</v>
      </c>
      <c r="AA1100" s="14" t="n">
        <v>0</v>
      </c>
    </row>
    <row r="1101">
      <c r="A1101" t="inlineStr">
        <is>
          <t>050402</t>
        </is>
      </c>
      <c r="B1101" t="inlineStr">
        <is>
          <t>AYACUCHO</t>
        </is>
      </c>
      <c r="C1101" t="inlineStr">
        <is>
          <t>HUANTA</t>
        </is>
      </c>
      <c r="D1101" t="inlineStr">
        <is>
          <t>AYAHUANCO</t>
        </is>
      </c>
      <c r="E1101" t="n">
        <v>324</v>
      </c>
      <c r="F1101" s="14" t="n">
        <v>0</v>
      </c>
      <c r="G1101" s="14" t="n">
        <v>63.58</v>
      </c>
      <c r="H1101" s="14" t="n">
        <v>0</v>
      </c>
      <c r="I1101" s="14" t="n">
        <v>1.23</v>
      </c>
      <c r="J1101" s="14" t="n">
        <v>0</v>
      </c>
      <c r="K1101" s="14" t="n">
        <v>0</v>
      </c>
      <c r="L1101" s="14" t="n">
        <v>6.48</v>
      </c>
      <c r="M1101" s="14" t="n">
        <v>9.880000000000001</v>
      </c>
      <c r="N1101" s="14" t="n">
        <v>0.62</v>
      </c>
      <c r="O1101" s="14" t="n">
        <v>2.47</v>
      </c>
      <c r="P1101" s="14" t="n">
        <v>0</v>
      </c>
      <c r="Q1101" s="14" t="n">
        <v>0</v>
      </c>
      <c r="R1101" s="14" t="n">
        <v>0</v>
      </c>
      <c r="S1101" s="14" t="n">
        <v>2.47</v>
      </c>
      <c r="T1101" s="14" t="n">
        <v>1.54</v>
      </c>
      <c r="U1101" s="14" t="n">
        <v>3.09</v>
      </c>
      <c r="V1101" s="14" t="n">
        <v>4.32</v>
      </c>
      <c r="W1101" s="14" t="n">
        <v>2.78</v>
      </c>
      <c r="X1101" s="14" t="n">
        <v>0</v>
      </c>
      <c r="Y1101" s="14" t="n">
        <v>1.54</v>
      </c>
      <c r="Z1101" s="14" t="n">
        <v>0</v>
      </c>
      <c r="AA1101" s="14" t="n">
        <v>0</v>
      </c>
    </row>
    <row r="1102">
      <c r="A1102" t="inlineStr">
        <is>
          <t>061004</t>
        </is>
      </c>
      <c r="B1102" t="inlineStr">
        <is>
          <t>CAJAMARCA</t>
        </is>
      </c>
      <c r="C1102" t="inlineStr">
        <is>
          <t>SAN MARCOS</t>
        </is>
      </c>
      <c r="D1102" t="inlineStr">
        <is>
          <t>GREGORIO PITA</t>
        </is>
      </c>
      <c r="E1102" t="n">
        <v>1384</v>
      </c>
      <c r="F1102" s="14" t="n">
        <v>0</v>
      </c>
      <c r="G1102" s="14" t="n">
        <v>87.72</v>
      </c>
      <c r="H1102" s="14" t="n">
        <v>0.14</v>
      </c>
      <c r="I1102" s="14" t="n">
        <v>0.65</v>
      </c>
      <c r="J1102" s="14" t="n">
        <v>0</v>
      </c>
      <c r="K1102" s="14" t="n">
        <v>0</v>
      </c>
      <c r="L1102" s="14" t="n">
        <v>1.16</v>
      </c>
      <c r="M1102" s="14" t="n">
        <v>3.54</v>
      </c>
      <c r="N1102" s="14" t="n">
        <v>0.51</v>
      </c>
      <c r="O1102" s="14" t="n">
        <v>0.51</v>
      </c>
      <c r="P1102" s="14" t="n">
        <v>0</v>
      </c>
      <c r="Q1102" s="14" t="n">
        <v>0</v>
      </c>
      <c r="R1102" s="14" t="n">
        <v>0</v>
      </c>
      <c r="S1102" s="14" t="n">
        <v>0.29</v>
      </c>
      <c r="T1102" s="14" t="n">
        <v>0.22</v>
      </c>
      <c r="U1102" s="14" t="n">
        <v>1.16</v>
      </c>
      <c r="V1102" s="14" t="n">
        <v>1.52</v>
      </c>
      <c r="W1102" s="14" t="n">
        <v>0.9399999999999999</v>
      </c>
      <c r="X1102" s="14" t="n">
        <v>0.14</v>
      </c>
      <c r="Y1102" s="14" t="n">
        <v>0</v>
      </c>
      <c r="Z1102" s="14" t="n">
        <v>1.52</v>
      </c>
      <c r="AA1102" s="14" t="n">
        <v>0</v>
      </c>
    </row>
    <row r="1103">
      <c r="A1103" t="inlineStr">
        <is>
          <t>010706</t>
        </is>
      </c>
      <c r="B1103" t="inlineStr">
        <is>
          <t>AMAZONAS</t>
        </is>
      </c>
      <c r="C1103" t="inlineStr">
        <is>
          <t>UTCUBAMBA</t>
        </is>
      </c>
      <c r="D1103" t="inlineStr">
        <is>
          <t>LONYA GRANDE</t>
        </is>
      </c>
      <c r="E1103" t="n">
        <v>3659</v>
      </c>
      <c r="F1103" s="14" t="n">
        <v>0</v>
      </c>
      <c r="G1103" s="14" t="n">
        <v>76.93000000000001</v>
      </c>
      <c r="H1103" s="14" t="n">
        <v>0.05</v>
      </c>
      <c r="I1103" s="14" t="n">
        <v>1.09</v>
      </c>
      <c r="J1103" s="14" t="n">
        <v>0.05</v>
      </c>
      <c r="K1103" s="14" t="n">
        <v>0</v>
      </c>
      <c r="L1103" s="14" t="n">
        <v>1.94</v>
      </c>
      <c r="M1103" s="14" t="n">
        <v>4.95</v>
      </c>
      <c r="N1103" s="14" t="n">
        <v>2.87</v>
      </c>
      <c r="O1103" s="14" t="n">
        <v>1.45</v>
      </c>
      <c r="P1103" s="14" t="n">
        <v>0.14</v>
      </c>
      <c r="Q1103" s="14" t="n">
        <v>0.38</v>
      </c>
      <c r="R1103" s="14" t="n">
        <v>0</v>
      </c>
      <c r="S1103" s="14" t="n">
        <v>0.49</v>
      </c>
      <c r="T1103" s="14" t="n">
        <v>0.46</v>
      </c>
      <c r="U1103" s="14" t="n">
        <v>1.26</v>
      </c>
      <c r="V1103" s="14" t="n">
        <v>4.56</v>
      </c>
      <c r="W1103" s="14" t="n">
        <v>1.04</v>
      </c>
      <c r="X1103" s="14" t="n">
        <v>0</v>
      </c>
      <c r="Y1103" s="14" t="n">
        <v>0.57</v>
      </c>
      <c r="Z1103" s="14" t="n">
        <v>1.75</v>
      </c>
      <c r="AA1103" s="14" t="n">
        <v>0</v>
      </c>
    </row>
    <row r="1104">
      <c r="A1104" t="inlineStr">
        <is>
          <t>060807</t>
        </is>
      </c>
      <c r="B1104" t="inlineStr">
        <is>
          <t>CAJAMARCA</t>
        </is>
      </c>
      <c r="C1104" t="inlineStr">
        <is>
          <t>JAEN</t>
        </is>
      </c>
      <c r="D1104" t="inlineStr">
        <is>
          <t>POMAHUACA</t>
        </is>
      </c>
      <c r="E1104" t="n">
        <v>2594</v>
      </c>
      <c r="F1104" s="14" t="n">
        <v>0</v>
      </c>
      <c r="G1104" s="14" t="n">
        <v>77.87</v>
      </c>
      <c r="H1104" s="14" t="n">
        <v>0.12</v>
      </c>
      <c r="I1104" s="14" t="n">
        <v>1.46</v>
      </c>
      <c r="J1104" s="14" t="n">
        <v>0</v>
      </c>
      <c r="K1104" s="14" t="n">
        <v>0.08</v>
      </c>
      <c r="L1104" s="14" t="n">
        <v>1.66</v>
      </c>
      <c r="M1104" s="14" t="n">
        <v>4.97</v>
      </c>
      <c r="N1104" s="14" t="n">
        <v>2.08</v>
      </c>
      <c r="O1104" s="14" t="n">
        <v>1.62</v>
      </c>
      <c r="P1104" s="14" t="n">
        <v>0.04</v>
      </c>
      <c r="Q1104" s="14" t="n">
        <v>0.04</v>
      </c>
      <c r="R1104" s="14" t="n">
        <v>0</v>
      </c>
      <c r="S1104" s="14" t="n">
        <v>0.58</v>
      </c>
      <c r="T1104" s="14" t="n">
        <v>1.08</v>
      </c>
      <c r="U1104" s="14" t="n">
        <v>1.58</v>
      </c>
      <c r="V1104" s="14" t="n">
        <v>4.24</v>
      </c>
      <c r="W1104" s="14" t="n">
        <v>1.35</v>
      </c>
      <c r="X1104" s="14" t="n">
        <v>0.04</v>
      </c>
      <c r="Y1104" s="14" t="n">
        <v>0.58</v>
      </c>
      <c r="Z1104" s="14" t="n">
        <v>0.62</v>
      </c>
      <c r="AA1104" s="14" t="n">
        <v>0</v>
      </c>
    </row>
    <row r="1105">
      <c r="A1105" t="inlineStr">
        <is>
          <t>090302</t>
        </is>
      </c>
      <c r="B1105" t="inlineStr">
        <is>
          <t>HUANCAVELICA</t>
        </is>
      </c>
      <c r="C1105" t="inlineStr">
        <is>
          <t>ANGARAES</t>
        </is>
      </c>
      <c r="D1105" t="inlineStr">
        <is>
          <t>ANCHONGA</t>
        </is>
      </c>
      <c r="E1105" t="n">
        <v>1355</v>
      </c>
      <c r="F1105" s="14" t="n">
        <v>0</v>
      </c>
      <c r="G1105" s="14" t="n">
        <v>78.45</v>
      </c>
      <c r="H1105" s="14" t="n">
        <v>5.83</v>
      </c>
      <c r="I1105" s="14" t="n">
        <v>1.48</v>
      </c>
      <c r="J1105" s="14" t="n">
        <v>0</v>
      </c>
      <c r="K1105" s="14" t="n">
        <v>0.07000000000000001</v>
      </c>
      <c r="L1105" s="14" t="n">
        <v>3.1</v>
      </c>
      <c r="M1105" s="14" t="n">
        <v>3.76</v>
      </c>
      <c r="N1105" s="14" t="n">
        <v>1.4</v>
      </c>
      <c r="O1105" s="14" t="n">
        <v>0.44</v>
      </c>
      <c r="P1105" s="14" t="n">
        <v>0</v>
      </c>
      <c r="Q1105" s="14" t="n">
        <v>0</v>
      </c>
      <c r="R1105" s="14" t="n">
        <v>0</v>
      </c>
      <c r="S1105" s="14" t="n">
        <v>0.8100000000000001</v>
      </c>
      <c r="T1105" s="14" t="n">
        <v>0.07000000000000001</v>
      </c>
      <c r="U1105" s="14" t="n">
        <v>1.11</v>
      </c>
      <c r="V1105" s="14" t="n">
        <v>2.36</v>
      </c>
      <c r="W1105" s="14" t="n">
        <v>0.22</v>
      </c>
      <c r="X1105" s="14" t="n">
        <v>0</v>
      </c>
      <c r="Y1105" s="14" t="n">
        <v>0.37</v>
      </c>
      <c r="Z1105" s="14" t="n">
        <v>0.52</v>
      </c>
      <c r="AA1105" s="14" t="n">
        <v>0</v>
      </c>
    </row>
    <row r="1106">
      <c r="A1106" t="inlineStr">
        <is>
          <t>051104</t>
        </is>
      </c>
      <c r="B1106" t="inlineStr">
        <is>
          <t>AYACUCHO</t>
        </is>
      </c>
      <c r="C1106" t="inlineStr">
        <is>
          <t>VILCAS HUAMAN</t>
        </is>
      </c>
      <c r="D1106" t="inlineStr">
        <is>
          <t>CONCEPCION</t>
        </is>
      </c>
      <c r="E1106" t="n">
        <v>426</v>
      </c>
      <c r="F1106" s="14" t="n">
        <v>0</v>
      </c>
      <c r="G1106" s="14" t="n">
        <v>82.16</v>
      </c>
      <c r="H1106" s="14" t="n">
        <v>0.23</v>
      </c>
      <c r="I1106" s="14" t="n">
        <v>3.99</v>
      </c>
      <c r="J1106" s="14" t="n">
        <v>0</v>
      </c>
      <c r="K1106" s="14" t="n">
        <v>0</v>
      </c>
      <c r="L1106" s="14" t="n">
        <v>2.35</v>
      </c>
      <c r="M1106" s="14" t="n">
        <v>1.88</v>
      </c>
      <c r="N1106" s="14" t="n">
        <v>0.47</v>
      </c>
      <c r="O1106" s="14" t="n">
        <v>0.9399999999999999</v>
      </c>
      <c r="P1106" s="14" t="n">
        <v>0.47</v>
      </c>
      <c r="Q1106" s="14" t="n">
        <v>0</v>
      </c>
      <c r="R1106" s="14" t="n">
        <v>0</v>
      </c>
      <c r="S1106" s="14" t="n">
        <v>0.47</v>
      </c>
      <c r="T1106" s="14" t="n">
        <v>0.23</v>
      </c>
      <c r="U1106" s="14" t="n">
        <v>2.11</v>
      </c>
      <c r="V1106" s="14" t="n">
        <v>3.29</v>
      </c>
      <c r="W1106" s="14" t="n">
        <v>1.17</v>
      </c>
      <c r="X1106" s="14" t="n">
        <v>0.23</v>
      </c>
      <c r="Y1106" s="14" t="n">
        <v>0</v>
      </c>
      <c r="Z1106" s="14" t="n">
        <v>0</v>
      </c>
      <c r="AA1106" s="14" t="n">
        <v>0</v>
      </c>
    </row>
    <row r="1107">
      <c r="A1107" t="inlineStr">
        <is>
          <t>030109</t>
        </is>
      </c>
      <c r="B1107" t="inlineStr">
        <is>
          <t>APURIMAC</t>
        </is>
      </c>
      <c r="C1107" t="inlineStr">
        <is>
          <t>ABANCAY</t>
        </is>
      </c>
      <c r="D1107" t="inlineStr">
        <is>
          <t>TAMBURCO</t>
        </is>
      </c>
      <c r="E1107" t="n">
        <v>4291</v>
      </c>
      <c r="F1107" s="14" t="n">
        <v>0</v>
      </c>
      <c r="G1107" s="14" t="n">
        <v>10.95</v>
      </c>
      <c r="H1107" s="14" t="n">
        <v>0.7</v>
      </c>
      <c r="I1107" s="14" t="n">
        <v>4.12</v>
      </c>
      <c r="J1107" s="14" t="n">
        <v>0.12</v>
      </c>
      <c r="K1107" s="14" t="n">
        <v>0.28</v>
      </c>
      <c r="L1107" s="14" t="n">
        <v>12.16</v>
      </c>
      <c r="M1107" s="14" t="n">
        <v>17.01</v>
      </c>
      <c r="N1107" s="14" t="n">
        <v>9.970000000000001</v>
      </c>
      <c r="O1107" s="14" t="n">
        <v>8.390000000000001</v>
      </c>
      <c r="P1107" s="14" t="n">
        <v>0.89</v>
      </c>
      <c r="Q1107" s="14" t="n">
        <v>1.49</v>
      </c>
      <c r="R1107" s="14" t="n">
        <v>0</v>
      </c>
      <c r="S1107" s="14" t="n">
        <v>3.87</v>
      </c>
      <c r="T1107" s="14" t="n">
        <v>1.84</v>
      </c>
      <c r="U1107" s="14" t="n">
        <v>9.109999999999999</v>
      </c>
      <c r="V1107" s="14" t="n">
        <v>11.07</v>
      </c>
      <c r="W1107" s="14" t="n">
        <v>4.59</v>
      </c>
      <c r="X1107" s="14" t="n">
        <v>0.54</v>
      </c>
      <c r="Y1107" s="14" t="n">
        <v>1.47</v>
      </c>
      <c r="Z1107" s="14" t="n">
        <v>1.42</v>
      </c>
      <c r="AA1107" s="14" t="n">
        <v>0</v>
      </c>
    </row>
    <row r="1108">
      <c r="A1108" t="inlineStr">
        <is>
          <t>030105</t>
        </is>
      </c>
      <c r="B1108" t="inlineStr">
        <is>
          <t>APURIMAC</t>
        </is>
      </c>
      <c r="C1108" t="inlineStr">
        <is>
          <t>ABANCAY</t>
        </is>
      </c>
      <c r="D1108" t="inlineStr">
        <is>
          <t>HUANIPACA</t>
        </is>
      </c>
      <c r="E1108" t="n">
        <v>702</v>
      </c>
      <c r="F1108" s="14" t="n">
        <v>0</v>
      </c>
      <c r="G1108" s="14" t="n">
        <v>85.61</v>
      </c>
      <c r="H1108" s="14" t="n">
        <v>0</v>
      </c>
      <c r="I1108" s="14" t="n">
        <v>0.28</v>
      </c>
      <c r="J1108" s="14" t="n">
        <v>0</v>
      </c>
      <c r="K1108" s="14" t="n">
        <v>0</v>
      </c>
      <c r="L1108" s="14" t="n">
        <v>1.14</v>
      </c>
      <c r="M1108" s="14" t="n">
        <v>5.13</v>
      </c>
      <c r="N1108" s="14" t="n">
        <v>2.14</v>
      </c>
      <c r="O1108" s="14" t="n">
        <v>1.71</v>
      </c>
      <c r="P1108" s="14" t="n">
        <v>0</v>
      </c>
      <c r="Q1108" s="14" t="n">
        <v>0</v>
      </c>
      <c r="R1108" s="14" t="n">
        <v>0</v>
      </c>
      <c r="S1108" s="14" t="n">
        <v>0.14</v>
      </c>
      <c r="T1108" s="14" t="n">
        <v>0.85</v>
      </c>
      <c r="U1108" s="14" t="n">
        <v>0.71</v>
      </c>
      <c r="V1108" s="14" t="n">
        <v>0.71</v>
      </c>
      <c r="W1108" s="14" t="n">
        <v>1.14</v>
      </c>
      <c r="X1108" s="14" t="n">
        <v>0</v>
      </c>
      <c r="Y1108" s="14" t="n">
        <v>0.28</v>
      </c>
      <c r="Z1108" s="14" t="n">
        <v>0.14</v>
      </c>
      <c r="AA1108" s="14" t="n">
        <v>0</v>
      </c>
    </row>
    <row r="1109">
      <c r="A1109" t="inlineStr">
        <is>
          <t>060810</t>
        </is>
      </c>
      <c r="B1109" t="inlineStr">
        <is>
          <t>CAJAMARCA</t>
        </is>
      </c>
      <c r="C1109" t="inlineStr">
        <is>
          <t>JAEN</t>
        </is>
      </c>
      <c r="D1109" t="inlineStr">
        <is>
          <t>SAN FELIPE</t>
        </is>
      </c>
      <c r="E1109" t="n">
        <v>1444</v>
      </c>
      <c r="F1109" s="14" t="n">
        <v>0</v>
      </c>
      <c r="G1109" s="14" t="n">
        <v>78.19</v>
      </c>
      <c r="H1109" s="14" t="n">
        <v>0.07000000000000001</v>
      </c>
      <c r="I1109" s="14" t="n">
        <v>1.18</v>
      </c>
      <c r="J1109" s="14" t="n">
        <v>0</v>
      </c>
      <c r="K1109" s="14" t="n">
        <v>0.07000000000000001</v>
      </c>
      <c r="L1109" s="14" t="n">
        <v>1.59</v>
      </c>
      <c r="M1109" s="14" t="n">
        <v>5.68</v>
      </c>
      <c r="N1109" s="14" t="n">
        <v>2.35</v>
      </c>
      <c r="O1109" s="14" t="n">
        <v>2.29</v>
      </c>
      <c r="P1109" s="14" t="n">
        <v>0.07000000000000001</v>
      </c>
      <c r="Q1109" s="14" t="n">
        <v>0</v>
      </c>
      <c r="R1109" s="14" t="n">
        <v>0</v>
      </c>
      <c r="S1109" s="14" t="n">
        <v>0.14</v>
      </c>
      <c r="T1109" s="14" t="n">
        <v>0.83</v>
      </c>
      <c r="U1109" s="14" t="n">
        <v>0.76</v>
      </c>
      <c r="V1109" s="14" t="n">
        <v>3.81</v>
      </c>
      <c r="W1109" s="14" t="n">
        <v>1.25</v>
      </c>
      <c r="X1109" s="14" t="n">
        <v>0.07000000000000001</v>
      </c>
      <c r="Y1109" s="14" t="n">
        <v>1.11</v>
      </c>
      <c r="Z1109" s="14" t="n">
        <v>0.55</v>
      </c>
      <c r="AA1109" s="14" t="n">
        <v>0</v>
      </c>
    </row>
    <row r="1110">
      <c r="A1110" t="inlineStr">
        <is>
          <t>081209</t>
        </is>
      </c>
      <c r="B1110" t="inlineStr">
        <is>
          <t>CUSCO</t>
        </is>
      </c>
      <c r="C1110" t="inlineStr">
        <is>
          <t>QUISPICANCHI</t>
        </is>
      </c>
      <c r="D1110" t="inlineStr">
        <is>
          <t>MARCAPATA</t>
        </is>
      </c>
      <c r="E1110" t="n">
        <v>1222</v>
      </c>
      <c r="F1110" s="14" t="n">
        <v>0</v>
      </c>
      <c r="G1110" s="14" t="n">
        <v>81.67</v>
      </c>
      <c r="H1110" s="14" t="n">
        <v>0.57</v>
      </c>
      <c r="I1110" s="14" t="n">
        <v>1.31</v>
      </c>
      <c r="J1110" s="14" t="n">
        <v>0</v>
      </c>
      <c r="K1110" s="14" t="n">
        <v>0</v>
      </c>
      <c r="L1110" s="14" t="n">
        <v>1.23</v>
      </c>
      <c r="M1110" s="14" t="n">
        <v>4.42</v>
      </c>
      <c r="N1110" s="14" t="n">
        <v>2.29</v>
      </c>
      <c r="O1110" s="14" t="n">
        <v>2.54</v>
      </c>
      <c r="P1110" s="14" t="n">
        <v>0</v>
      </c>
      <c r="Q1110" s="14" t="n">
        <v>0</v>
      </c>
      <c r="R1110" s="14" t="n">
        <v>0</v>
      </c>
      <c r="S1110" s="14" t="n">
        <v>0.41</v>
      </c>
      <c r="T1110" s="14" t="n">
        <v>0.65</v>
      </c>
      <c r="U1110" s="14" t="n">
        <v>1.39</v>
      </c>
      <c r="V1110" s="14" t="n">
        <v>2.13</v>
      </c>
      <c r="W1110" s="14" t="n">
        <v>0.57</v>
      </c>
      <c r="X1110" s="14" t="n">
        <v>0.08</v>
      </c>
      <c r="Y1110" s="14" t="n">
        <v>0.65</v>
      </c>
      <c r="Z1110" s="14" t="n">
        <v>0.08</v>
      </c>
      <c r="AA1110" s="14" t="n">
        <v>0</v>
      </c>
    </row>
    <row r="1111">
      <c r="A1111" t="inlineStr">
        <is>
          <t>010705</t>
        </is>
      </c>
      <c r="B1111" t="inlineStr">
        <is>
          <t>AMAZONAS</t>
        </is>
      </c>
      <c r="C1111" t="inlineStr">
        <is>
          <t>UTCUBAMBA</t>
        </is>
      </c>
      <c r="D1111" t="inlineStr">
        <is>
          <t>JAMALCA</t>
        </is>
      </c>
      <c r="E1111" t="n">
        <v>2105</v>
      </c>
      <c r="F1111" s="14" t="n">
        <v>0</v>
      </c>
      <c r="G1111" s="14" t="n">
        <v>85.89</v>
      </c>
      <c r="H1111" s="14" t="n">
        <v>0</v>
      </c>
      <c r="I1111" s="14" t="n">
        <v>0.67</v>
      </c>
      <c r="J1111" s="14" t="n">
        <v>0</v>
      </c>
      <c r="K1111" s="14" t="n">
        <v>0</v>
      </c>
      <c r="L1111" s="14" t="n">
        <v>1.28</v>
      </c>
      <c r="M1111" s="14" t="n">
        <v>3.47</v>
      </c>
      <c r="N1111" s="14" t="n">
        <v>1.71</v>
      </c>
      <c r="O1111" s="14" t="n">
        <v>1.24</v>
      </c>
      <c r="P1111" s="14" t="n">
        <v>0.1</v>
      </c>
      <c r="Q1111" s="14" t="n">
        <v>0</v>
      </c>
      <c r="R1111" s="14" t="n">
        <v>0</v>
      </c>
      <c r="S1111" s="14" t="n">
        <v>0.57</v>
      </c>
      <c r="T1111" s="14" t="n">
        <v>0.1</v>
      </c>
      <c r="U1111" s="14" t="n">
        <v>1.57</v>
      </c>
      <c r="V1111" s="14" t="n">
        <v>2.42</v>
      </c>
      <c r="W1111" s="14" t="n">
        <v>0.67</v>
      </c>
      <c r="X1111" s="14" t="n">
        <v>0</v>
      </c>
      <c r="Y1111" s="14" t="n">
        <v>0.19</v>
      </c>
      <c r="Z1111" s="14" t="n">
        <v>0.14</v>
      </c>
      <c r="AA1111" s="14" t="n">
        <v>0</v>
      </c>
    </row>
    <row r="1112">
      <c r="A1112" t="inlineStr">
        <is>
          <t>090205</t>
        </is>
      </c>
      <c r="B1112" t="inlineStr">
        <is>
          <t>HUANCAVELICA</t>
        </is>
      </c>
      <c r="C1112" t="inlineStr">
        <is>
          <t>ACOBAMBA</t>
        </is>
      </c>
      <c r="D1112" t="inlineStr">
        <is>
          <t>MARCAS</t>
        </is>
      </c>
      <c r="E1112" t="n">
        <v>421</v>
      </c>
      <c r="F1112" s="14" t="n">
        <v>0</v>
      </c>
      <c r="G1112" s="14" t="n">
        <v>63.66</v>
      </c>
      <c r="H1112" s="14" t="n">
        <v>0.48</v>
      </c>
      <c r="I1112" s="14" t="n">
        <v>2.14</v>
      </c>
      <c r="J1112" s="14" t="n">
        <v>0</v>
      </c>
      <c r="K1112" s="14" t="n">
        <v>0</v>
      </c>
      <c r="L1112" s="14" t="n">
        <v>8.789999999999999</v>
      </c>
      <c r="M1112" s="14" t="n">
        <v>4.51</v>
      </c>
      <c r="N1112" s="14" t="n">
        <v>5.23</v>
      </c>
      <c r="O1112" s="14" t="n">
        <v>2.61</v>
      </c>
      <c r="P1112" s="14" t="n">
        <v>0.24</v>
      </c>
      <c r="Q1112" s="14" t="n">
        <v>0</v>
      </c>
      <c r="R1112" s="14" t="n">
        <v>0</v>
      </c>
      <c r="S1112" s="14" t="n">
        <v>0.48</v>
      </c>
      <c r="T1112" s="14" t="n">
        <v>0.24</v>
      </c>
      <c r="U1112" s="14" t="n">
        <v>6.65</v>
      </c>
      <c r="V1112" s="14" t="n">
        <v>2.61</v>
      </c>
      <c r="W1112" s="14" t="n">
        <v>1.66</v>
      </c>
      <c r="X1112" s="14" t="n">
        <v>0</v>
      </c>
      <c r="Y1112" s="14" t="n">
        <v>0.71</v>
      </c>
      <c r="Z1112" s="14" t="n">
        <v>0</v>
      </c>
      <c r="AA1112" s="14" t="n">
        <v>0</v>
      </c>
    </row>
    <row r="1113">
      <c r="A1113" t="inlineStr">
        <is>
          <t>050806</t>
        </is>
      </c>
      <c r="B1113" t="inlineStr">
        <is>
          <t>AYACUCHO</t>
        </is>
      </c>
      <c r="C1113" t="inlineStr">
        <is>
          <t>PAUCAR DEL SARA SARA</t>
        </is>
      </c>
      <c r="D1113" t="inlineStr">
        <is>
          <t>OYOLO</t>
        </is>
      </c>
      <c r="E1113" t="n">
        <v>717</v>
      </c>
      <c r="F1113" s="14" t="n">
        <v>0</v>
      </c>
      <c r="G1113" s="14" t="n">
        <v>23.29</v>
      </c>
      <c r="H1113" s="14" t="n">
        <v>46.44</v>
      </c>
      <c r="I1113" s="14" t="n">
        <v>3.35</v>
      </c>
      <c r="J1113" s="14" t="n">
        <v>0</v>
      </c>
      <c r="K1113" s="14" t="n">
        <v>0.98</v>
      </c>
      <c r="L1113" s="14" t="n">
        <v>4.46</v>
      </c>
      <c r="M1113" s="14" t="n">
        <v>4.18</v>
      </c>
      <c r="N1113" s="14" t="n">
        <v>1.12</v>
      </c>
      <c r="O1113" s="14" t="n">
        <v>3.49</v>
      </c>
      <c r="P1113" s="14" t="n">
        <v>0.14</v>
      </c>
      <c r="Q1113" s="14" t="n">
        <v>0</v>
      </c>
      <c r="R1113" s="14" t="n">
        <v>0</v>
      </c>
      <c r="S1113" s="14" t="n">
        <v>1.39</v>
      </c>
      <c r="T1113" s="14" t="n">
        <v>0.98</v>
      </c>
      <c r="U1113" s="14" t="n">
        <v>2.65</v>
      </c>
      <c r="V1113" s="14" t="n">
        <v>5.16</v>
      </c>
      <c r="W1113" s="14" t="n">
        <v>1.26</v>
      </c>
      <c r="X1113" s="14" t="n">
        <v>0.42</v>
      </c>
      <c r="Y1113" s="14" t="n">
        <v>0.5600000000000001</v>
      </c>
      <c r="Z1113" s="14" t="n">
        <v>0.14</v>
      </c>
      <c r="AA1113" s="14" t="n">
        <v>0</v>
      </c>
    </row>
    <row r="1114">
      <c r="A1114" t="inlineStr">
        <is>
          <t>060305</t>
        </is>
      </c>
      <c r="B1114" t="inlineStr">
        <is>
          <t>CAJAMARCA</t>
        </is>
      </c>
      <c r="C1114" t="inlineStr">
        <is>
          <t>CELENDIN</t>
        </is>
      </c>
      <c r="D1114" t="inlineStr">
        <is>
          <t>JORGE CHAVEZ</t>
        </is>
      </c>
      <c r="E1114" t="n">
        <v>137</v>
      </c>
      <c r="F1114" s="14" t="n">
        <v>0</v>
      </c>
      <c r="G1114" s="14" t="n">
        <v>46.72</v>
      </c>
      <c r="H1114" s="14" t="n">
        <v>0</v>
      </c>
      <c r="I1114" s="14" t="n">
        <v>29.93</v>
      </c>
      <c r="J1114" s="14" t="n">
        <v>0</v>
      </c>
      <c r="K1114" s="14" t="n">
        <v>0</v>
      </c>
      <c r="L1114" s="14" t="n">
        <v>2.19</v>
      </c>
      <c r="M1114" s="14" t="n">
        <v>7.3</v>
      </c>
      <c r="N1114" s="14" t="n">
        <v>0.73</v>
      </c>
      <c r="O1114" s="14" t="n">
        <v>0</v>
      </c>
      <c r="P1114" s="14" t="n">
        <v>0</v>
      </c>
      <c r="Q1114" s="14" t="n">
        <v>0</v>
      </c>
      <c r="R1114" s="14" t="n">
        <v>0</v>
      </c>
      <c r="S1114" s="14" t="n">
        <v>0.73</v>
      </c>
      <c r="T1114" s="14" t="n">
        <v>0</v>
      </c>
      <c r="U1114" s="14" t="n">
        <v>0.73</v>
      </c>
      <c r="V1114" s="14" t="n">
        <v>8.029999999999999</v>
      </c>
      <c r="W1114" s="14" t="n">
        <v>0.73</v>
      </c>
      <c r="X1114" s="14" t="n">
        <v>0</v>
      </c>
      <c r="Y1114" s="14" t="n">
        <v>2.92</v>
      </c>
      <c r="Z1114" s="14" t="n">
        <v>0</v>
      </c>
      <c r="AA1114" s="14" t="n">
        <v>0</v>
      </c>
    </row>
    <row r="1115">
      <c r="A1115" t="inlineStr">
        <is>
          <t>060805</t>
        </is>
      </c>
      <c r="B1115" t="inlineStr">
        <is>
          <t>CAJAMARCA</t>
        </is>
      </c>
      <c r="C1115" t="inlineStr">
        <is>
          <t>JAEN</t>
        </is>
      </c>
      <c r="D1115" t="inlineStr">
        <is>
          <t>HUABAL</t>
        </is>
      </c>
      <c r="E1115" t="n">
        <v>2722</v>
      </c>
      <c r="F1115" s="14" t="n">
        <v>0</v>
      </c>
      <c r="G1115" s="14" t="n">
        <v>88.8</v>
      </c>
      <c r="H1115" s="14" t="n">
        <v>0.18</v>
      </c>
      <c r="I1115" s="14" t="n">
        <v>0.44</v>
      </c>
      <c r="J1115" s="14" t="n">
        <v>0</v>
      </c>
      <c r="K1115" s="14" t="n">
        <v>0</v>
      </c>
      <c r="L1115" s="14" t="n">
        <v>1.47</v>
      </c>
      <c r="M1115" s="14" t="n">
        <v>4.22</v>
      </c>
      <c r="N1115" s="14" t="n">
        <v>0.88</v>
      </c>
      <c r="O1115" s="14" t="n">
        <v>0.4</v>
      </c>
      <c r="P1115" s="14" t="n">
        <v>0</v>
      </c>
      <c r="Q1115" s="14" t="n">
        <v>0</v>
      </c>
      <c r="R1115" s="14" t="n">
        <v>0</v>
      </c>
      <c r="S1115" s="14" t="n">
        <v>0.15</v>
      </c>
      <c r="T1115" s="14" t="n">
        <v>0.22</v>
      </c>
      <c r="U1115" s="14" t="n">
        <v>0.88</v>
      </c>
      <c r="V1115" s="14" t="n">
        <v>1.14</v>
      </c>
      <c r="W1115" s="14" t="n">
        <v>0.77</v>
      </c>
      <c r="X1115" s="14" t="n">
        <v>0</v>
      </c>
      <c r="Y1115" s="14" t="n">
        <v>0.18</v>
      </c>
      <c r="Z1115" s="14" t="n">
        <v>0.26</v>
      </c>
      <c r="AA1115" s="14" t="n">
        <v>0</v>
      </c>
    </row>
    <row r="1116">
      <c r="A1116" t="inlineStr">
        <is>
          <t>050101</t>
        </is>
      </c>
      <c r="B1116" t="inlineStr">
        <is>
          <t>AYACUCHO</t>
        </is>
      </c>
      <c r="C1116" t="inlineStr">
        <is>
          <t>HUAMANGA</t>
        </is>
      </c>
      <c r="D1116" t="inlineStr">
        <is>
          <t>AYACUCHO</t>
        </is>
      </c>
      <c r="E1116" t="n">
        <v>42937</v>
      </c>
      <c r="F1116" s="14" t="n">
        <v>0</v>
      </c>
      <c r="G1116" s="14" t="n">
        <v>7.08</v>
      </c>
      <c r="H1116" s="14" t="n">
        <v>0.3</v>
      </c>
      <c r="I1116" s="14" t="n">
        <v>5.46</v>
      </c>
      <c r="J1116" s="14" t="n">
        <v>0.07000000000000001</v>
      </c>
      <c r="K1116" s="14" t="n">
        <v>0.15</v>
      </c>
      <c r="L1116" s="14" t="n">
        <v>9.18</v>
      </c>
      <c r="M1116" s="14" t="n">
        <v>22.99</v>
      </c>
      <c r="N1116" s="14" t="n">
        <v>8.92</v>
      </c>
      <c r="O1116" s="14" t="n">
        <v>7</v>
      </c>
      <c r="P1116" s="14" t="n">
        <v>1.05</v>
      </c>
      <c r="Q1116" s="14" t="n">
        <v>1.21</v>
      </c>
      <c r="R1116" s="14" t="n">
        <v>0.07000000000000001</v>
      </c>
      <c r="S1116" s="14" t="n">
        <v>8.119999999999999</v>
      </c>
      <c r="T1116" s="14" t="n">
        <v>2.01</v>
      </c>
      <c r="U1116" s="14" t="n">
        <v>5.95</v>
      </c>
      <c r="V1116" s="14" t="n">
        <v>10.64</v>
      </c>
      <c r="W1116" s="14" t="n">
        <v>4.36</v>
      </c>
      <c r="X1116" s="14" t="n">
        <v>1.26</v>
      </c>
      <c r="Y1116" s="14" t="n">
        <v>3.23</v>
      </c>
      <c r="Z1116" s="14" t="n">
        <v>0.92</v>
      </c>
      <c r="AA1116" s="14" t="n">
        <v>0</v>
      </c>
    </row>
    <row r="1117">
      <c r="A1117" t="inlineStr">
        <is>
          <t>060907</t>
        </is>
      </c>
      <c r="B1117" t="inlineStr">
        <is>
          <t>CAJAMARCA</t>
        </is>
      </c>
      <c r="C1117" t="inlineStr">
        <is>
          <t>SAN IGNACIO</t>
        </is>
      </c>
      <c r="D1117" t="inlineStr">
        <is>
          <t>TABACONAS</t>
        </is>
      </c>
      <c r="E1117" t="n">
        <v>6006</v>
      </c>
      <c r="F1117" s="14" t="n">
        <v>0</v>
      </c>
      <c r="G1117" s="14" t="n">
        <v>89.16</v>
      </c>
      <c r="H1117" s="14" t="n">
        <v>0.07000000000000001</v>
      </c>
      <c r="I1117" s="14" t="n">
        <v>0.72</v>
      </c>
      <c r="J1117" s="14" t="n">
        <v>0</v>
      </c>
      <c r="K1117" s="14" t="n">
        <v>0</v>
      </c>
      <c r="L1117" s="14" t="n">
        <v>0.42</v>
      </c>
      <c r="M1117" s="14" t="n">
        <v>3</v>
      </c>
      <c r="N1117" s="14" t="n">
        <v>0.58</v>
      </c>
      <c r="O1117" s="14" t="n">
        <v>0.8</v>
      </c>
      <c r="P1117" s="14" t="n">
        <v>0.03</v>
      </c>
      <c r="Q1117" s="14" t="n">
        <v>0</v>
      </c>
      <c r="R1117" s="14" t="n">
        <v>0</v>
      </c>
      <c r="S1117" s="14" t="n">
        <v>0.43</v>
      </c>
      <c r="T1117" s="14" t="n">
        <v>0.08</v>
      </c>
      <c r="U1117" s="14" t="n">
        <v>0.43</v>
      </c>
      <c r="V1117" s="14" t="n">
        <v>3.05</v>
      </c>
      <c r="W1117" s="14" t="n">
        <v>0.48</v>
      </c>
      <c r="X1117" s="14" t="n">
        <v>0</v>
      </c>
      <c r="Y1117" s="14" t="n">
        <v>0.05</v>
      </c>
      <c r="Z1117" s="14" t="n">
        <v>0.7</v>
      </c>
      <c r="AA1117" s="14" t="n">
        <v>0</v>
      </c>
    </row>
    <row r="1118">
      <c r="A1118" t="inlineStr">
        <is>
          <t>090506</t>
        </is>
      </c>
      <c r="B1118" t="inlineStr">
        <is>
          <t>HUANCAVELICA</t>
        </is>
      </c>
      <c r="C1118" t="inlineStr">
        <is>
          <t>CHURCAMPA</t>
        </is>
      </c>
      <c r="D1118" t="inlineStr">
        <is>
          <t>LOCROJA</t>
        </is>
      </c>
      <c r="E1118" t="n">
        <v>1019</v>
      </c>
      <c r="F1118" s="14" t="n">
        <v>0</v>
      </c>
      <c r="G1118" s="14" t="n">
        <v>90.28</v>
      </c>
      <c r="H1118" s="14" t="n">
        <v>0</v>
      </c>
      <c r="I1118" s="14" t="n">
        <v>0.2</v>
      </c>
      <c r="J1118" s="14" t="n">
        <v>0</v>
      </c>
      <c r="K1118" s="14" t="n">
        <v>0</v>
      </c>
      <c r="L1118" s="14" t="n">
        <v>0.29</v>
      </c>
      <c r="M1118" s="14" t="n">
        <v>2.85</v>
      </c>
      <c r="N1118" s="14" t="n">
        <v>0.39</v>
      </c>
      <c r="O1118" s="14" t="n">
        <v>0.2</v>
      </c>
      <c r="P1118" s="14" t="n">
        <v>0</v>
      </c>
      <c r="Q1118" s="14" t="n">
        <v>0</v>
      </c>
      <c r="R1118" s="14" t="n">
        <v>0</v>
      </c>
      <c r="S1118" s="14" t="n">
        <v>0.6899999999999999</v>
      </c>
      <c r="T1118" s="14" t="n">
        <v>0.1</v>
      </c>
      <c r="U1118" s="14" t="n">
        <v>0.29</v>
      </c>
      <c r="V1118" s="14" t="n">
        <v>4.12</v>
      </c>
      <c r="W1118" s="14" t="n">
        <v>0.59</v>
      </c>
      <c r="X1118" s="14" t="n">
        <v>0</v>
      </c>
      <c r="Y1118" s="14" t="n">
        <v>0</v>
      </c>
      <c r="Z1118" s="14" t="n">
        <v>0</v>
      </c>
      <c r="AA1118" s="14" t="n">
        <v>0</v>
      </c>
    </row>
    <row r="1119">
      <c r="A1119" t="inlineStr">
        <is>
          <t>090720</t>
        </is>
      </c>
      <c r="B1119" t="inlineStr">
        <is>
          <t>HUANCAVELICA</t>
        </is>
      </c>
      <c r="C1119" t="inlineStr">
        <is>
          <t>TAYACAJA</t>
        </is>
      </c>
      <c r="D1119" t="inlineStr">
        <is>
          <t>ANDAYMARCA</t>
        </is>
      </c>
      <c r="E1119" t="n">
        <v>633</v>
      </c>
      <c r="F1119" s="14" t="n">
        <v>0</v>
      </c>
      <c r="G1119" s="14" t="n">
        <v>70.93000000000001</v>
      </c>
      <c r="H1119" s="14" t="n">
        <v>1.58</v>
      </c>
      <c r="I1119" s="14" t="n">
        <v>2.05</v>
      </c>
      <c r="J1119" s="14" t="n">
        <v>0.32</v>
      </c>
      <c r="K1119" s="14" t="n">
        <v>0.16</v>
      </c>
      <c r="L1119" s="14" t="n">
        <v>4.27</v>
      </c>
      <c r="M1119" s="14" t="n">
        <v>6.32</v>
      </c>
      <c r="N1119" s="14" t="n">
        <v>2.69</v>
      </c>
      <c r="O1119" s="14" t="n">
        <v>1.9</v>
      </c>
      <c r="P1119" s="14" t="n">
        <v>0.16</v>
      </c>
      <c r="Q1119" s="14" t="n">
        <v>0</v>
      </c>
      <c r="R1119" s="14" t="n">
        <v>0</v>
      </c>
      <c r="S1119" s="14" t="n">
        <v>0.16</v>
      </c>
      <c r="T1119" s="14" t="n">
        <v>2.05</v>
      </c>
      <c r="U1119" s="14" t="n">
        <v>2.37</v>
      </c>
      <c r="V1119" s="14" t="n">
        <v>1.9</v>
      </c>
      <c r="W1119" s="14" t="n">
        <v>2.21</v>
      </c>
      <c r="X1119" s="14" t="n">
        <v>0</v>
      </c>
      <c r="Y1119" s="14" t="n">
        <v>0.95</v>
      </c>
      <c r="Z1119" s="14" t="n">
        <v>0</v>
      </c>
      <c r="AA1119" s="14" t="n">
        <v>0</v>
      </c>
    </row>
    <row r="1120">
      <c r="A1120" t="inlineStr">
        <is>
          <t>060302</t>
        </is>
      </c>
      <c r="B1120" t="inlineStr">
        <is>
          <t>CAJAMARCA</t>
        </is>
      </c>
      <c r="C1120" t="inlineStr">
        <is>
          <t>CELENDIN</t>
        </is>
      </c>
      <c r="D1120" t="inlineStr">
        <is>
          <t>CHUMUCH</t>
        </is>
      </c>
      <c r="E1120" t="n">
        <v>655</v>
      </c>
      <c r="F1120" s="14" t="n">
        <v>0</v>
      </c>
      <c r="G1120" s="14" t="n">
        <v>86.87</v>
      </c>
      <c r="H1120" s="14" t="n">
        <v>0</v>
      </c>
      <c r="I1120" s="14" t="n">
        <v>3.82</v>
      </c>
      <c r="J1120" s="14" t="n">
        <v>0</v>
      </c>
      <c r="K1120" s="14" t="n">
        <v>0</v>
      </c>
      <c r="L1120" s="14" t="n">
        <v>1.98</v>
      </c>
      <c r="M1120" s="14" t="n">
        <v>1.68</v>
      </c>
      <c r="N1120" s="14" t="n">
        <v>0.31</v>
      </c>
      <c r="O1120" s="14" t="n">
        <v>0.76</v>
      </c>
      <c r="P1120" s="14" t="n">
        <v>0</v>
      </c>
      <c r="Q1120" s="14" t="n">
        <v>0</v>
      </c>
      <c r="R1120" s="14" t="n">
        <v>0</v>
      </c>
      <c r="S1120" s="14" t="n">
        <v>0.31</v>
      </c>
      <c r="T1120" s="14" t="n">
        <v>0.15</v>
      </c>
      <c r="U1120" s="14" t="n">
        <v>1.53</v>
      </c>
      <c r="V1120" s="14" t="n">
        <v>1.22</v>
      </c>
      <c r="W1120" s="14" t="n">
        <v>1.07</v>
      </c>
      <c r="X1120" s="14" t="n">
        <v>0.15</v>
      </c>
      <c r="Y1120" s="14" t="n">
        <v>0</v>
      </c>
      <c r="Z1120" s="14" t="n">
        <v>0.15</v>
      </c>
      <c r="AA1120" s="14" t="n">
        <v>0</v>
      </c>
    </row>
    <row r="1121">
      <c r="A1121" t="inlineStr">
        <is>
          <t>090306</t>
        </is>
      </c>
      <c r="B1121" t="inlineStr">
        <is>
          <t>HUANCAVELICA</t>
        </is>
      </c>
      <c r="C1121" t="inlineStr">
        <is>
          <t>ANGARAES</t>
        </is>
      </c>
      <c r="D1121" t="inlineStr">
        <is>
          <t>CONGALLA</t>
        </is>
      </c>
      <c r="E1121" t="n">
        <v>777</v>
      </c>
      <c r="F1121" s="14" t="n">
        <v>0</v>
      </c>
      <c r="G1121" s="14" t="n">
        <v>64.86</v>
      </c>
      <c r="H1121" s="14" t="n">
        <v>0.13</v>
      </c>
      <c r="I1121" s="14" t="n">
        <v>1.16</v>
      </c>
      <c r="J1121" s="14" t="n">
        <v>0</v>
      </c>
      <c r="K1121" s="14" t="n">
        <v>0</v>
      </c>
      <c r="L1121" s="14" t="n">
        <v>5.66</v>
      </c>
      <c r="M1121" s="14" t="n">
        <v>11.71</v>
      </c>
      <c r="N1121" s="14" t="n">
        <v>1.03</v>
      </c>
      <c r="O1121" s="14" t="n">
        <v>1.67</v>
      </c>
      <c r="P1121" s="14" t="n">
        <v>0</v>
      </c>
      <c r="Q1121" s="14" t="n">
        <v>0.13</v>
      </c>
      <c r="R1121" s="14" t="n">
        <v>0</v>
      </c>
      <c r="S1121" s="14" t="n">
        <v>1.54</v>
      </c>
      <c r="T1121" s="14" t="n">
        <v>0.26</v>
      </c>
      <c r="U1121" s="14" t="n">
        <v>5.02</v>
      </c>
      <c r="V1121" s="14" t="n">
        <v>6.31</v>
      </c>
      <c r="W1121" s="14" t="n">
        <v>0.13</v>
      </c>
      <c r="X1121" s="14" t="n">
        <v>0</v>
      </c>
      <c r="Y1121" s="14" t="n">
        <v>0.26</v>
      </c>
      <c r="Z1121" s="14" t="n">
        <v>0.13</v>
      </c>
      <c r="AA1121" s="14" t="n">
        <v>0</v>
      </c>
    </row>
    <row r="1122">
      <c r="A1122" t="inlineStr">
        <is>
          <t>090407</t>
        </is>
      </c>
      <c r="B1122" t="inlineStr">
        <is>
          <t>HUANCAVELICA</t>
        </is>
      </c>
      <c r="C1122" t="inlineStr">
        <is>
          <t>CASTROVIRREYNA</t>
        </is>
      </c>
      <c r="D1122" t="inlineStr">
        <is>
          <t>HUACHOS</t>
        </is>
      </c>
      <c r="E1122" t="n">
        <v>400</v>
      </c>
      <c r="F1122" s="14" t="n">
        <v>0</v>
      </c>
      <c r="G1122" s="14" t="n">
        <v>66.75</v>
      </c>
      <c r="H1122" s="14" t="n">
        <v>4</v>
      </c>
      <c r="I1122" s="14" t="n">
        <v>0.5</v>
      </c>
      <c r="J1122" s="14" t="n">
        <v>0.25</v>
      </c>
      <c r="K1122" s="14" t="n">
        <v>0</v>
      </c>
      <c r="L1122" s="14" t="n">
        <v>4.25</v>
      </c>
      <c r="M1122" s="14" t="n">
        <v>2.75</v>
      </c>
      <c r="N1122" s="14" t="n">
        <v>2</v>
      </c>
      <c r="O1122" s="14" t="n">
        <v>2.5</v>
      </c>
      <c r="P1122" s="14" t="n">
        <v>0</v>
      </c>
      <c r="Q1122" s="14" t="n">
        <v>0</v>
      </c>
      <c r="R1122" s="14" t="n">
        <v>0</v>
      </c>
      <c r="S1122" s="14" t="n">
        <v>1.75</v>
      </c>
      <c r="T1122" s="14" t="n">
        <v>0.25</v>
      </c>
      <c r="U1122" s="14" t="n">
        <v>4.75</v>
      </c>
      <c r="V1122" s="14" t="n">
        <v>6.5</v>
      </c>
      <c r="W1122" s="14" t="n">
        <v>3.75</v>
      </c>
      <c r="X1122" s="14" t="n">
        <v>0</v>
      </c>
      <c r="Y1122" s="14" t="n">
        <v>0</v>
      </c>
      <c r="Z1122" s="14" t="n">
        <v>0</v>
      </c>
      <c r="AA1122" s="14" t="n">
        <v>0</v>
      </c>
    </row>
    <row r="1123">
      <c r="A1123" t="inlineStr">
        <is>
          <t>050708</t>
        </is>
      </c>
      <c r="B1123" t="inlineStr">
        <is>
          <t>AYACUCHO</t>
        </is>
      </c>
      <c r="C1123" t="inlineStr">
        <is>
          <t>PARINACOCHAS</t>
        </is>
      </c>
      <c r="D1123" t="inlineStr">
        <is>
          <t>UPAHUACHO</t>
        </is>
      </c>
      <c r="E1123" t="n">
        <v>353</v>
      </c>
      <c r="F1123" s="14" t="n">
        <v>0</v>
      </c>
      <c r="G1123" s="14" t="n">
        <v>66.86</v>
      </c>
      <c r="H1123" s="14" t="n">
        <v>0</v>
      </c>
      <c r="I1123" s="14" t="n">
        <v>1.13</v>
      </c>
      <c r="J1123" s="14" t="n">
        <v>0</v>
      </c>
      <c r="K1123" s="14" t="n">
        <v>0</v>
      </c>
      <c r="L1123" s="14" t="n">
        <v>11.05</v>
      </c>
      <c r="M1123" s="14" t="n">
        <v>4.82</v>
      </c>
      <c r="N1123" s="14" t="n">
        <v>1.13</v>
      </c>
      <c r="O1123" s="14" t="n">
        <v>1.13</v>
      </c>
      <c r="P1123" s="14" t="n">
        <v>0</v>
      </c>
      <c r="Q1123" s="14" t="n">
        <v>0</v>
      </c>
      <c r="R1123" s="14" t="n">
        <v>0</v>
      </c>
      <c r="S1123" s="14" t="n">
        <v>0.57</v>
      </c>
      <c r="T1123" s="14" t="n">
        <v>0.85</v>
      </c>
      <c r="U1123" s="14" t="n">
        <v>1.42</v>
      </c>
      <c r="V1123" s="14" t="n">
        <v>7.37</v>
      </c>
      <c r="W1123" s="14" t="n">
        <v>1.7</v>
      </c>
      <c r="X1123" s="14" t="n">
        <v>0</v>
      </c>
      <c r="Y1123" s="14" t="n">
        <v>1.98</v>
      </c>
      <c r="Z1123" s="14" t="n">
        <v>0</v>
      </c>
      <c r="AA1123" s="14" t="n">
        <v>0</v>
      </c>
    </row>
    <row r="1124">
      <c r="A1124" t="inlineStr">
        <is>
          <t>090312</t>
        </is>
      </c>
      <c r="B1124" t="inlineStr">
        <is>
          <t>HUANCAVELICA</t>
        </is>
      </c>
      <c r="C1124" t="inlineStr">
        <is>
          <t>ANGARAES</t>
        </is>
      </c>
      <c r="D1124" t="inlineStr">
        <is>
          <t>SECCLLA</t>
        </is>
      </c>
      <c r="E1124" t="n">
        <v>912</v>
      </c>
      <c r="F1124" s="14" t="n">
        <v>0</v>
      </c>
      <c r="G1124" s="14" t="n">
        <v>67.65000000000001</v>
      </c>
      <c r="H1124" s="14" t="n">
        <v>0.11</v>
      </c>
      <c r="I1124" s="14" t="n">
        <v>0.55</v>
      </c>
      <c r="J1124" s="14" t="n">
        <v>0</v>
      </c>
      <c r="K1124" s="14" t="n">
        <v>0</v>
      </c>
      <c r="L1124" s="14" t="n">
        <v>3.18</v>
      </c>
      <c r="M1124" s="14" t="n">
        <v>12.94</v>
      </c>
      <c r="N1124" s="14" t="n">
        <v>0.88</v>
      </c>
      <c r="O1124" s="14" t="n">
        <v>1.43</v>
      </c>
      <c r="P1124" s="14" t="n">
        <v>0.22</v>
      </c>
      <c r="Q1124" s="14" t="n">
        <v>0.22</v>
      </c>
      <c r="R1124" s="14" t="n">
        <v>0</v>
      </c>
      <c r="S1124" s="14" t="n">
        <v>0.88</v>
      </c>
      <c r="T1124" s="14" t="n">
        <v>0.33</v>
      </c>
      <c r="U1124" s="14" t="n">
        <v>2.08</v>
      </c>
      <c r="V1124" s="14" t="n">
        <v>6.03</v>
      </c>
      <c r="W1124" s="14" t="n">
        <v>2.85</v>
      </c>
      <c r="X1124" s="14" t="n">
        <v>0.22</v>
      </c>
      <c r="Y1124" s="14" t="n">
        <v>0.33</v>
      </c>
      <c r="Z1124" s="14" t="n">
        <v>0.11</v>
      </c>
      <c r="AA1124" s="14" t="n">
        <v>0</v>
      </c>
    </row>
    <row r="1125">
      <c r="A1125" t="inlineStr">
        <is>
          <t>021509</t>
        </is>
      </c>
      <c r="B1125" t="inlineStr">
        <is>
          <t>ANCASH</t>
        </is>
      </c>
      <c r="C1125" t="inlineStr">
        <is>
          <t>PALLASCA</t>
        </is>
      </c>
      <c r="D1125" t="inlineStr">
        <is>
          <t>PAMPAS</t>
        </is>
      </c>
      <c r="E1125" t="n">
        <v>795</v>
      </c>
      <c r="F1125" s="14" t="n">
        <v>0</v>
      </c>
      <c r="G1125" s="14" t="n">
        <v>50.82</v>
      </c>
      <c r="H1125" s="14" t="n">
        <v>0.88</v>
      </c>
      <c r="I1125" s="14" t="n">
        <v>2.14</v>
      </c>
      <c r="J1125" s="14" t="n">
        <v>0.38</v>
      </c>
      <c r="K1125" s="14" t="n">
        <v>0</v>
      </c>
      <c r="L1125" s="14" t="n">
        <v>8.68</v>
      </c>
      <c r="M1125" s="14" t="n">
        <v>8.050000000000001</v>
      </c>
      <c r="N1125" s="14" t="n">
        <v>1.89</v>
      </c>
      <c r="O1125" s="14" t="n">
        <v>0.75</v>
      </c>
      <c r="P1125" s="14" t="n">
        <v>0</v>
      </c>
      <c r="Q1125" s="14" t="n">
        <v>0.25</v>
      </c>
      <c r="R1125" s="14" t="n">
        <v>0</v>
      </c>
      <c r="S1125" s="14" t="n">
        <v>1.89</v>
      </c>
      <c r="T1125" s="14" t="n">
        <v>2.01</v>
      </c>
      <c r="U1125" s="14" t="n">
        <v>7.17</v>
      </c>
      <c r="V1125" s="14" t="n">
        <v>12.45</v>
      </c>
      <c r="W1125" s="14" t="n">
        <v>1.51</v>
      </c>
      <c r="X1125" s="14" t="n">
        <v>0.13</v>
      </c>
      <c r="Y1125" s="14" t="n">
        <v>0.75</v>
      </c>
      <c r="Z1125" s="14" t="n">
        <v>0.25</v>
      </c>
      <c r="AA1125" s="14" t="n">
        <v>0</v>
      </c>
    </row>
    <row r="1126">
      <c r="A1126" t="inlineStr">
        <is>
          <t>090722</t>
        </is>
      </c>
      <c r="B1126" t="inlineStr">
        <is>
          <t>HUANCAVELICA</t>
        </is>
      </c>
      <c r="C1126" t="inlineStr">
        <is>
          <t>TAYACAJA</t>
        </is>
      </c>
      <c r="D1126" t="inlineStr">
        <is>
          <t>PICHOS</t>
        </is>
      </c>
      <c r="E1126" t="n">
        <v>731</v>
      </c>
      <c r="F1126" s="14" t="n">
        <v>0</v>
      </c>
      <c r="G1126" s="14" t="n">
        <v>84.54000000000001</v>
      </c>
      <c r="H1126" s="14" t="n">
        <v>0</v>
      </c>
      <c r="I1126" s="14" t="n">
        <v>0.82</v>
      </c>
      <c r="J1126" s="14" t="n">
        <v>0</v>
      </c>
      <c r="K1126" s="14" t="n">
        <v>0</v>
      </c>
      <c r="L1126" s="14" t="n">
        <v>1.5</v>
      </c>
      <c r="M1126" s="14" t="n">
        <v>6.7</v>
      </c>
      <c r="N1126" s="14" t="n">
        <v>0.82</v>
      </c>
      <c r="O1126" s="14" t="n">
        <v>1.23</v>
      </c>
      <c r="P1126" s="14" t="n">
        <v>0</v>
      </c>
      <c r="Q1126" s="14" t="n">
        <v>0</v>
      </c>
      <c r="R1126" s="14" t="n">
        <v>0</v>
      </c>
      <c r="S1126" s="14" t="n">
        <v>0.27</v>
      </c>
      <c r="T1126" s="14" t="n">
        <v>0.14</v>
      </c>
      <c r="U1126" s="14" t="n">
        <v>0.82</v>
      </c>
      <c r="V1126" s="14" t="n">
        <v>1.09</v>
      </c>
      <c r="W1126" s="14" t="n">
        <v>0.41</v>
      </c>
      <c r="X1126" s="14" t="n">
        <v>0</v>
      </c>
      <c r="Y1126" s="14" t="n">
        <v>0.96</v>
      </c>
      <c r="Z1126" s="14" t="n">
        <v>0.68</v>
      </c>
      <c r="AA1126" s="14" t="n">
        <v>0</v>
      </c>
    </row>
    <row r="1127">
      <c r="A1127" t="inlineStr">
        <is>
          <t>090510</t>
        </is>
      </c>
      <c r="B1127" t="inlineStr">
        <is>
          <t>HUANCAVELICA</t>
        </is>
      </c>
      <c r="C1127" t="inlineStr">
        <is>
          <t>CHURCAMPA</t>
        </is>
      </c>
      <c r="D1127" t="inlineStr">
        <is>
          <t>PACHAMARCA</t>
        </is>
      </c>
      <c r="E1127" t="n">
        <v>403</v>
      </c>
      <c r="F1127" s="14" t="n">
        <v>0</v>
      </c>
      <c r="G1127" s="14" t="n">
        <v>77.67</v>
      </c>
      <c r="H1127" s="14" t="n">
        <v>0.5</v>
      </c>
      <c r="I1127" s="14" t="n">
        <v>0.25</v>
      </c>
      <c r="J1127" s="14" t="n">
        <v>0</v>
      </c>
      <c r="K1127" s="14" t="n">
        <v>0</v>
      </c>
      <c r="L1127" s="14" t="n">
        <v>6.7</v>
      </c>
      <c r="M1127" s="14" t="n">
        <v>4.47</v>
      </c>
      <c r="N1127" s="14" t="n">
        <v>0.74</v>
      </c>
      <c r="O1127" s="14" t="n">
        <v>0.74</v>
      </c>
      <c r="P1127" s="14" t="n">
        <v>0</v>
      </c>
      <c r="Q1127" s="14" t="n">
        <v>0</v>
      </c>
      <c r="R1127" s="14" t="n">
        <v>0</v>
      </c>
      <c r="S1127" s="14" t="n">
        <v>1.49</v>
      </c>
      <c r="T1127" s="14" t="n">
        <v>0</v>
      </c>
      <c r="U1127" s="14" t="n">
        <v>1.49</v>
      </c>
      <c r="V1127" s="14" t="n">
        <v>3.97</v>
      </c>
      <c r="W1127" s="14" t="n">
        <v>0.99</v>
      </c>
      <c r="X1127" s="14" t="n">
        <v>0</v>
      </c>
      <c r="Y1127" s="14" t="n">
        <v>0.99</v>
      </c>
      <c r="Z1127" s="14" t="n">
        <v>0</v>
      </c>
      <c r="AA1127" s="14" t="n">
        <v>0</v>
      </c>
    </row>
    <row r="1128">
      <c r="A1128" t="inlineStr">
        <is>
          <t>010205</t>
        </is>
      </c>
      <c r="B1128" t="inlineStr">
        <is>
          <t>AMAZONAS</t>
        </is>
      </c>
      <c r="C1128" t="inlineStr">
        <is>
          <t>BAGUA</t>
        </is>
      </c>
      <c r="D1128" t="inlineStr">
        <is>
          <t>IMAZA</t>
        </is>
      </c>
      <c r="E1128" t="n">
        <v>5743</v>
      </c>
      <c r="F1128" s="14" t="n">
        <v>0</v>
      </c>
      <c r="G1128" s="14" t="n">
        <v>62.74</v>
      </c>
      <c r="H1128" s="14" t="n">
        <v>0.07000000000000001</v>
      </c>
      <c r="I1128" s="14" t="n">
        <v>2.33</v>
      </c>
      <c r="J1128" s="14" t="n">
        <v>0</v>
      </c>
      <c r="K1128" s="14" t="n">
        <v>0.35</v>
      </c>
      <c r="L1128" s="14" t="n">
        <v>4.3</v>
      </c>
      <c r="M1128" s="14" t="n">
        <v>7.19</v>
      </c>
      <c r="N1128" s="14" t="n">
        <v>2.44</v>
      </c>
      <c r="O1128" s="14" t="n">
        <v>2.56</v>
      </c>
      <c r="P1128" s="14" t="n">
        <v>0.12</v>
      </c>
      <c r="Q1128" s="14" t="n">
        <v>0.05</v>
      </c>
      <c r="R1128" s="14" t="n">
        <v>0.02</v>
      </c>
      <c r="S1128" s="14" t="n">
        <v>0.82</v>
      </c>
      <c r="T1128" s="14" t="n">
        <v>0.42</v>
      </c>
      <c r="U1128" s="14" t="n">
        <v>2.84</v>
      </c>
      <c r="V1128" s="14" t="n">
        <v>9.699999999999999</v>
      </c>
      <c r="W1128" s="14" t="n">
        <v>1.79</v>
      </c>
      <c r="X1128" s="14" t="n">
        <v>0.07000000000000001</v>
      </c>
      <c r="Y1128" s="14" t="n">
        <v>1.06</v>
      </c>
      <c r="Z1128" s="14" t="n">
        <v>1.13</v>
      </c>
      <c r="AA1128" s="14" t="n">
        <v>0</v>
      </c>
    </row>
    <row r="1129">
      <c r="A1129" t="inlineStr">
        <is>
          <t>090503</t>
        </is>
      </c>
      <c r="B1129" t="inlineStr">
        <is>
          <t>HUANCAVELICA</t>
        </is>
      </c>
      <c r="C1129" t="inlineStr">
        <is>
          <t>CHURCAMPA</t>
        </is>
      </c>
      <c r="D1129" t="inlineStr">
        <is>
          <t>CHINCHIHUASI</t>
        </is>
      </c>
      <c r="E1129" t="n">
        <v>586</v>
      </c>
      <c r="F1129" s="14" t="n">
        <v>0</v>
      </c>
      <c r="G1129" s="14" t="n">
        <v>84.3</v>
      </c>
      <c r="H1129" s="14" t="n">
        <v>0</v>
      </c>
      <c r="I1129" s="14" t="n">
        <v>0.17</v>
      </c>
      <c r="J1129" s="14" t="n">
        <v>0</v>
      </c>
      <c r="K1129" s="14" t="n">
        <v>0</v>
      </c>
      <c r="L1129" s="14" t="n">
        <v>0.68</v>
      </c>
      <c r="M1129" s="14" t="n">
        <v>3.41</v>
      </c>
      <c r="N1129" s="14" t="n">
        <v>0.51</v>
      </c>
      <c r="O1129" s="14" t="n">
        <v>1.37</v>
      </c>
      <c r="P1129" s="14" t="n">
        <v>0</v>
      </c>
      <c r="Q1129" s="14" t="n">
        <v>0</v>
      </c>
      <c r="R1129" s="14" t="n">
        <v>0</v>
      </c>
      <c r="S1129" s="14" t="n">
        <v>0.85</v>
      </c>
      <c r="T1129" s="14" t="n">
        <v>0.51</v>
      </c>
      <c r="U1129" s="14" t="n">
        <v>0.68</v>
      </c>
      <c r="V1129" s="14" t="n">
        <v>6.48</v>
      </c>
      <c r="W1129" s="14" t="n">
        <v>0.85</v>
      </c>
      <c r="X1129" s="14" t="n">
        <v>0</v>
      </c>
      <c r="Y1129" s="14" t="n">
        <v>0</v>
      </c>
      <c r="Z1129" s="14" t="n">
        <v>0.17</v>
      </c>
      <c r="AA1129" s="14" t="n">
        <v>0</v>
      </c>
    </row>
    <row r="1130">
      <c r="A1130" t="inlineStr">
        <is>
          <t>020112</t>
        </is>
      </c>
      <c r="B1130" t="inlineStr">
        <is>
          <t>ANCASH</t>
        </is>
      </c>
      <c r="C1130" t="inlineStr">
        <is>
          <t>HUARAZ</t>
        </is>
      </c>
      <c r="D1130" t="inlineStr">
        <is>
          <t>TARICA</t>
        </is>
      </c>
      <c r="E1130" t="n">
        <v>1766</v>
      </c>
      <c r="F1130" s="14" t="n">
        <v>0</v>
      </c>
      <c r="G1130" s="14" t="n">
        <v>45.75</v>
      </c>
      <c r="H1130" s="14" t="n">
        <v>2.32</v>
      </c>
      <c r="I1130" s="14" t="n">
        <v>4.36</v>
      </c>
      <c r="J1130" s="14" t="n">
        <v>0.06</v>
      </c>
      <c r="K1130" s="14" t="n">
        <v>0.11</v>
      </c>
      <c r="L1130" s="14" t="n">
        <v>7.36</v>
      </c>
      <c r="M1130" s="14" t="n">
        <v>10.02</v>
      </c>
      <c r="N1130" s="14" t="n">
        <v>6.63</v>
      </c>
      <c r="O1130" s="14" t="n">
        <v>3.45</v>
      </c>
      <c r="P1130" s="14" t="n">
        <v>0.06</v>
      </c>
      <c r="Q1130" s="14" t="n">
        <v>0.4</v>
      </c>
      <c r="R1130" s="14" t="n">
        <v>0.06</v>
      </c>
      <c r="S1130" s="14" t="n">
        <v>2.66</v>
      </c>
      <c r="T1130" s="14" t="n">
        <v>1.47</v>
      </c>
      <c r="U1130" s="14" t="n">
        <v>3.68</v>
      </c>
      <c r="V1130" s="14" t="n">
        <v>5.61</v>
      </c>
      <c r="W1130" s="14" t="n">
        <v>2.27</v>
      </c>
      <c r="X1130" s="14" t="n">
        <v>0.79</v>
      </c>
      <c r="Y1130" s="14" t="n">
        <v>1.87</v>
      </c>
      <c r="Z1130" s="14" t="n">
        <v>1.08</v>
      </c>
      <c r="AA1130" s="14" t="n">
        <v>0</v>
      </c>
    </row>
    <row r="1131">
      <c r="A1131" t="inlineStr">
        <is>
          <t>050702</t>
        </is>
      </c>
      <c r="B1131" t="inlineStr">
        <is>
          <t>AYACUCHO</t>
        </is>
      </c>
      <c r="C1131" t="inlineStr">
        <is>
          <t>PARINACOCHAS</t>
        </is>
      </c>
      <c r="D1131" t="inlineStr">
        <is>
          <t>CHUMPI</t>
        </is>
      </c>
      <c r="E1131" t="n">
        <v>602</v>
      </c>
      <c r="F1131" s="14" t="n">
        <v>0</v>
      </c>
      <c r="G1131" s="14" t="n">
        <v>53.65</v>
      </c>
      <c r="H1131" s="14" t="n">
        <v>2.99</v>
      </c>
      <c r="I1131" s="14" t="n">
        <v>3.32</v>
      </c>
      <c r="J1131" s="14" t="n">
        <v>0</v>
      </c>
      <c r="K1131" s="14" t="n">
        <v>0.5</v>
      </c>
      <c r="L1131" s="14" t="n">
        <v>15.61</v>
      </c>
      <c r="M1131" s="14" t="n">
        <v>5.15</v>
      </c>
      <c r="N1131" s="14" t="n">
        <v>2.16</v>
      </c>
      <c r="O1131" s="14" t="n">
        <v>2.99</v>
      </c>
      <c r="P1131" s="14" t="n">
        <v>0.33</v>
      </c>
      <c r="Q1131" s="14" t="n">
        <v>0</v>
      </c>
      <c r="R1131" s="14" t="n">
        <v>0</v>
      </c>
      <c r="S1131" s="14" t="n">
        <v>0.83</v>
      </c>
      <c r="T1131" s="14" t="n">
        <v>1.16</v>
      </c>
      <c r="U1131" s="14" t="n">
        <v>4.65</v>
      </c>
      <c r="V1131" s="14" t="n">
        <v>3.82</v>
      </c>
      <c r="W1131" s="14" t="n">
        <v>1.66</v>
      </c>
      <c r="X1131" s="14" t="n">
        <v>0</v>
      </c>
      <c r="Y1131" s="14" t="n">
        <v>0.83</v>
      </c>
      <c r="Z1131" s="14" t="n">
        <v>0.33</v>
      </c>
      <c r="AA1131" s="14" t="n">
        <v>0</v>
      </c>
    </row>
    <row r="1132">
      <c r="A1132" t="inlineStr">
        <is>
          <t>090204</t>
        </is>
      </c>
      <c r="B1132" t="inlineStr">
        <is>
          <t>HUANCAVELICA</t>
        </is>
      </c>
      <c r="C1132" t="inlineStr">
        <is>
          <t>ACOBAMBA</t>
        </is>
      </c>
      <c r="D1132" t="inlineStr">
        <is>
          <t>CAJA</t>
        </is>
      </c>
      <c r="E1132" t="n">
        <v>760</v>
      </c>
      <c r="F1132" s="14" t="n">
        <v>0</v>
      </c>
      <c r="G1132" s="14" t="n">
        <v>88.95</v>
      </c>
      <c r="H1132" s="14" t="n">
        <v>0</v>
      </c>
      <c r="I1132" s="14" t="n">
        <v>0.13</v>
      </c>
      <c r="J1132" s="14" t="n">
        <v>0</v>
      </c>
      <c r="K1132" s="14" t="n">
        <v>0</v>
      </c>
      <c r="L1132" s="14" t="n">
        <v>0.53</v>
      </c>
      <c r="M1132" s="14" t="n">
        <v>1.18</v>
      </c>
      <c r="N1132" s="14" t="n">
        <v>0.53</v>
      </c>
      <c r="O1132" s="14" t="n">
        <v>0</v>
      </c>
      <c r="P1132" s="14" t="n">
        <v>0</v>
      </c>
      <c r="Q1132" s="14" t="n">
        <v>0</v>
      </c>
      <c r="R1132" s="14" t="n">
        <v>0</v>
      </c>
      <c r="S1132" s="14" t="n">
        <v>0.53</v>
      </c>
      <c r="T1132" s="14" t="n">
        <v>0.26</v>
      </c>
      <c r="U1132" s="14" t="n">
        <v>2.76</v>
      </c>
      <c r="V1132" s="14" t="n">
        <v>3.42</v>
      </c>
      <c r="W1132" s="14" t="n">
        <v>1.18</v>
      </c>
      <c r="X1132" s="14" t="n">
        <v>0.13</v>
      </c>
      <c r="Y1132" s="14" t="n">
        <v>0.39</v>
      </c>
      <c r="Z1132" s="14" t="n">
        <v>0</v>
      </c>
      <c r="AA1132" s="14" t="n">
        <v>0</v>
      </c>
    </row>
    <row r="1133">
      <c r="A1133" t="inlineStr">
        <is>
          <t>021301</t>
        </is>
      </c>
      <c r="B1133" t="inlineStr">
        <is>
          <t>ANCASH</t>
        </is>
      </c>
      <c r="C1133" t="inlineStr">
        <is>
          <t>MARISCAL LUZURIAGA</t>
        </is>
      </c>
      <c r="D1133" t="inlineStr">
        <is>
          <t>PISCOBAMBA</t>
        </is>
      </c>
      <c r="E1133" t="n">
        <v>865</v>
      </c>
      <c r="F1133" s="14" t="n">
        <v>0</v>
      </c>
      <c r="G1133" s="14" t="n">
        <v>34.8</v>
      </c>
      <c r="H1133" s="14" t="n">
        <v>0</v>
      </c>
      <c r="I1133" s="14" t="n">
        <v>2.08</v>
      </c>
      <c r="J1133" s="14" t="n">
        <v>0</v>
      </c>
      <c r="K1133" s="14" t="n">
        <v>0.12</v>
      </c>
      <c r="L1133" s="14" t="n">
        <v>1.85</v>
      </c>
      <c r="M1133" s="14" t="n">
        <v>9.6</v>
      </c>
      <c r="N1133" s="14" t="n">
        <v>1.73</v>
      </c>
      <c r="O1133" s="14" t="n">
        <v>2.54</v>
      </c>
      <c r="P1133" s="14" t="n">
        <v>0</v>
      </c>
      <c r="Q1133" s="14" t="n">
        <v>0.46</v>
      </c>
      <c r="R1133" s="14" t="n">
        <v>0</v>
      </c>
      <c r="S1133" s="14" t="n">
        <v>3.93</v>
      </c>
      <c r="T1133" s="14" t="n">
        <v>2.43</v>
      </c>
      <c r="U1133" s="14" t="n">
        <v>6.24</v>
      </c>
      <c r="V1133" s="14" t="n">
        <v>28.21</v>
      </c>
      <c r="W1133" s="14" t="n">
        <v>4.05</v>
      </c>
      <c r="X1133" s="14" t="n">
        <v>0</v>
      </c>
      <c r="Y1133" s="14" t="n">
        <v>1.27</v>
      </c>
      <c r="Z1133" s="14" t="n">
        <v>0.6899999999999999</v>
      </c>
      <c r="AA1133" s="14" t="n">
        <v>0</v>
      </c>
    </row>
    <row r="1134">
      <c r="A1134" t="inlineStr">
        <is>
          <t>050511</t>
        </is>
      </c>
      <c r="B1134" t="inlineStr">
        <is>
          <t>AYACUCHO</t>
        </is>
      </c>
      <c r="C1134" t="inlineStr">
        <is>
          <t>LA MAR</t>
        </is>
      </c>
      <c r="D1134" t="inlineStr">
        <is>
          <t>ORONCCOY</t>
        </is>
      </c>
      <c r="E1134" t="n">
        <v>314</v>
      </c>
      <c r="F1134" s="14" t="n">
        <v>0</v>
      </c>
      <c r="G1134" s="14" t="n">
        <v>75.48</v>
      </c>
      <c r="H1134" s="14" t="n">
        <v>0</v>
      </c>
      <c r="I1134" s="14" t="n">
        <v>0</v>
      </c>
      <c r="J1134" s="14" t="n">
        <v>0</v>
      </c>
      <c r="K1134" s="14" t="n">
        <v>0</v>
      </c>
      <c r="L1134" s="14" t="n">
        <v>0.96</v>
      </c>
      <c r="M1134" s="14" t="n">
        <v>11.46</v>
      </c>
      <c r="N1134" s="14" t="n">
        <v>0</v>
      </c>
      <c r="O1134" s="14" t="n">
        <v>0.64</v>
      </c>
      <c r="P1134" s="14" t="n">
        <v>0</v>
      </c>
      <c r="Q1134" s="14" t="n">
        <v>0</v>
      </c>
      <c r="R1134" s="14" t="n">
        <v>0</v>
      </c>
      <c r="S1134" s="14" t="n">
        <v>0.64</v>
      </c>
      <c r="T1134" s="14" t="n">
        <v>0</v>
      </c>
      <c r="U1134" s="14" t="n">
        <v>0.96</v>
      </c>
      <c r="V1134" s="14" t="n">
        <v>8.279999999999999</v>
      </c>
      <c r="W1134" s="14" t="n">
        <v>1.27</v>
      </c>
      <c r="X1134" s="14" t="n">
        <v>0</v>
      </c>
      <c r="Y1134" s="14" t="n">
        <v>0.32</v>
      </c>
      <c r="Z1134" s="14" t="n">
        <v>0</v>
      </c>
      <c r="AA1134" s="14" t="n">
        <v>0</v>
      </c>
    </row>
    <row r="1135">
      <c r="A1135" t="inlineStr">
        <is>
          <t>050513</t>
        </is>
      </c>
      <c r="B1135" t="inlineStr">
        <is>
          <t>AYACUCHO</t>
        </is>
      </c>
      <c r="C1135" t="inlineStr">
        <is>
          <t>LA MAR</t>
        </is>
      </c>
      <c r="D1135" t="inlineStr">
        <is>
          <t>RIO MAGDALENA</t>
        </is>
      </c>
      <c r="E1135" t="n">
        <v>0</v>
      </c>
      <c r="F1135" s="14" t="n">
        <v>0</v>
      </c>
      <c r="G1135" s="14" t="n">
        <v>74.94</v>
      </c>
      <c r="H1135" s="14" t="n">
        <v>0</v>
      </c>
      <c r="I1135" s="14" t="n">
        <v>1.04</v>
      </c>
      <c r="J1135" s="14" t="n">
        <v>0</v>
      </c>
      <c r="K1135" s="14" t="n">
        <v>0</v>
      </c>
      <c r="L1135" s="14" t="n">
        <v>2.95</v>
      </c>
      <c r="M1135" s="14" t="n">
        <v>8.279999999999999</v>
      </c>
      <c r="N1135" s="14" t="n">
        <v>1.08</v>
      </c>
      <c r="O1135" s="14" t="n">
        <v>2.19</v>
      </c>
      <c r="P1135" s="14" t="n">
        <v>0.07000000000000001</v>
      </c>
      <c r="Q1135" s="14" t="n">
        <v>0.06</v>
      </c>
      <c r="R1135" s="14" t="n">
        <v>0</v>
      </c>
      <c r="S1135" s="14" t="n">
        <v>0.65</v>
      </c>
      <c r="T1135" s="14" t="n">
        <v>0.33</v>
      </c>
      <c r="U1135" s="14" t="n">
        <v>2.23</v>
      </c>
      <c r="V1135" s="14" t="n">
        <v>4.07</v>
      </c>
      <c r="W1135" s="14" t="n">
        <v>0.97</v>
      </c>
      <c r="X1135" s="14" t="n">
        <v>0.02</v>
      </c>
      <c r="Y1135" s="14" t="n">
        <v>0.78</v>
      </c>
      <c r="Z1135" s="14" t="n">
        <v>0.32</v>
      </c>
      <c r="AA1135" s="14" t="n">
        <v>0</v>
      </c>
    </row>
    <row r="1136">
      <c r="A1136" t="inlineStr">
        <is>
          <t>061103</t>
        </is>
      </c>
      <c r="B1136" t="inlineStr">
        <is>
          <t>CAJAMARCA</t>
        </is>
      </c>
      <c r="C1136" t="inlineStr">
        <is>
          <t>SAN MIGUEL</t>
        </is>
      </c>
      <c r="D1136" t="inlineStr">
        <is>
          <t>CALQUIS</t>
        </is>
      </c>
      <c r="E1136" t="n">
        <v>1610</v>
      </c>
      <c r="F1136" s="14" t="n">
        <v>0</v>
      </c>
      <c r="G1136" s="14" t="n">
        <v>80.06</v>
      </c>
      <c r="H1136" s="14" t="n">
        <v>0.37</v>
      </c>
      <c r="I1136" s="14" t="n">
        <v>11.37</v>
      </c>
      <c r="J1136" s="14" t="n">
        <v>0</v>
      </c>
      <c r="K1136" s="14" t="n">
        <v>0</v>
      </c>
      <c r="L1136" s="14" t="n">
        <v>0.93</v>
      </c>
      <c r="M1136" s="14" t="n">
        <v>0.75</v>
      </c>
      <c r="N1136" s="14" t="n">
        <v>0.75</v>
      </c>
      <c r="O1136" s="14" t="n">
        <v>0.31</v>
      </c>
      <c r="P1136" s="14" t="n">
        <v>0.06</v>
      </c>
      <c r="Q1136" s="14" t="n">
        <v>0</v>
      </c>
      <c r="R1136" s="14" t="n">
        <v>0</v>
      </c>
      <c r="S1136" s="14" t="n">
        <v>0.25</v>
      </c>
      <c r="T1136" s="14" t="n">
        <v>0.37</v>
      </c>
      <c r="U1136" s="14" t="n">
        <v>0.87</v>
      </c>
      <c r="V1136" s="14" t="n">
        <v>3.11</v>
      </c>
      <c r="W1136" s="14" t="n">
        <v>0.19</v>
      </c>
      <c r="X1136" s="14" t="n">
        <v>0</v>
      </c>
      <c r="Y1136" s="14" t="n">
        <v>0</v>
      </c>
      <c r="Z1136" s="14" t="n">
        <v>0.62</v>
      </c>
      <c r="AA1136" s="14" t="n">
        <v>0</v>
      </c>
    </row>
    <row r="1137">
      <c r="A1137" t="inlineStr">
        <is>
          <t>050802</t>
        </is>
      </c>
      <c r="B1137" t="inlineStr">
        <is>
          <t>AYACUCHO</t>
        </is>
      </c>
      <c r="C1137" t="inlineStr">
        <is>
          <t>PAUCAR DEL SARA SARA</t>
        </is>
      </c>
      <c r="D1137" t="inlineStr">
        <is>
          <t>COLTA</t>
        </is>
      </c>
      <c r="E1137" t="n">
        <v>179</v>
      </c>
      <c r="F1137" s="14" t="n">
        <v>0</v>
      </c>
      <c r="G1137" s="14" t="n">
        <v>60.34</v>
      </c>
      <c r="H1137" s="14" t="n">
        <v>6.15</v>
      </c>
      <c r="I1137" s="14" t="n">
        <v>2.79</v>
      </c>
      <c r="J1137" s="14" t="n">
        <v>0</v>
      </c>
      <c r="K1137" s="14" t="n">
        <v>0</v>
      </c>
      <c r="L1137" s="14" t="n">
        <v>5.59</v>
      </c>
      <c r="M1137" s="14" t="n">
        <v>6.15</v>
      </c>
      <c r="N1137" s="14" t="n">
        <v>0.5600000000000001</v>
      </c>
      <c r="O1137" s="14" t="n">
        <v>2.23</v>
      </c>
      <c r="P1137" s="14" t="n">
        <v>0</v>
      </c>
      <c r="Q1137" s="14" t="n">
        <v>0</v>
      </c>
      <c r="R1137" s="14" t="n">
        <v>0</v>
      </c>
      <c r="S1137" s="14" t="n">
        <v>0</v>
      </c>
      <c r="T1137" s="14" t="n">
        <v>0</v>
      </c>
      <c r="U1137" s="14" t="n">
        <v>5.03</v>
      </c>
      <c r="V1137" s="14" t="n">
        <v>10.06</v>
      </c>
      <c r="W1137" s="14" t="n">
        <v>1.12</v>
      </c>
      <c r="X1137" s="14" t="n">
        <v>0</v>
      </c>
      <c r="Y1137" s="14" t="n">
        <v>0</v>
      </c>
      <c r="Z1137" s="14" t="n">
        <v>0</v>
      </c>
      <c r="AA1137" s="14" t="n">
        <v>0</v>
      </c>
    </row>
    <row r="1138">
      <c r="A1138" t="inlineStr">
        <is>
          <t>050411</t>
        </is>
      </c>
      <c r="B1138" t="inlineStr">
        <is>
          <t>AYACUCHO</t>
        </is>
      </c>
      <c r="C1138" t="inlineStr">
        <is>
          <t>HUANTA</t>
        </is>
      </c>
      <c r="D1138" t="inlineStr">
        <is>
          <t>PUCACOLPA</t>
        </is>
      </c>
      <c r="E1138" t="n">
        <v>596</v>
      </c>
      <c r="F1138" s="14" t="n">
        <v>0</v>
      </c>
      <c r="G1138" s="14" t="n">
        <v>83.89</v>
      </c>
      <c r="H1138" s="14" t="n">
        <v>0</v>
      </c>
      <c r="I1138" s="14" t="n">
        <v>1.17</v>
      </c>
      <c r="J1138" s="14" t="n">
        <v>0</v>
      </c>
      <c r="K1138" s="14" t="n">
        <v>0</v>
      </c>
      <c r="L1138" s="14" t="n">
        <v>0.5</v>
      </c>
      <c r="M1138" s="14" t="n">
        <v>1.68</v>
      </c>
      <c r="N1138" s="14" t="n">
        <v>0.34</v>
      </c>
      <c r="O1138" s="14" t="n">
        <v>0.17</v>
      </c>
      <c r="P1138" s="14" t="n">
        <v>0.34</v>
      </c>
      <c r="Q1138" s="14" t="n">
        <v>0</v>
      </c>
      <c r="R1138" s="14" t="n">
        <v>0</v>
      </c>
      <c r="S1138" s="14" t="n">
        <v>0.5</v>
      </c>
      <c r="T1138" s="14" t="n">
        <v>3.19</v>
      </c>
      <c r="U1138" s="14" t="n">
        <v>2.52</v>
      </c>
      <c r="V1138" s="14" t="n">
        <v>2.85</v>
      </c>
      <c r="W1138" s="14" t="n">
        <v>1.68</v>
      </c>
      <c r="X1138" s="14" t="n">
        <v>0</v>
      </c>
      <c r="Y1138" s="14" t="n">
        <v>0.84</v>
      </c>
      <c r="Z1138" s="14" t="n">
        <v>0.34</v>
      </c>
      <c r="AA1138" s="14" t="n">
        <v>0</v>
      </c>
    </row>
    <row r="1139">
      <c r="A1139" t="inlineStr">
        <is>
          <t>090309</t>
        </is>
      </c>
      <c r="B1139" t="inlineStr">
        <is>
          <t>HUANCAVELICA</t>
        </is>
      </c>
      <c r="C1139" t="inlineStr">
        <is>
          <t>ANGARAES</t>
        </is>
      </c>
      <c r="D1139" t="inlineStr">
        <is>
          <t>JULCAMARCA</t>
        </is>
      </c>
      <c r="E1139" t="n">
        <v>643</v>
      </c>
      <c r="F1139" s="14" t="n">
        <v>0</v>
      </c>
      <c r="G1139" s="14" t="n">
        <v>40.28</v>
      </c>
      <c r="H1139" s="14" t="n">
        <v>0.47</v>
      </c>
      <c r="I1139" s="14" t="n">
        <v>3.27</v>
      </c>
      <c r="J1139" s="14" t="n">
        <v>0</v>
      </c>
      <c r="K1139" s="14" t="n">
        <v>0</v>
      </c>
      <c r="L1139" s="14" t="n">
        <v>13.22</v>
      </c>
      <c r="M1139" s="14" t="n">
        <v>9.640000000000001</v>
      </c>
      <c r="N1139" s="14" t="n">
        <v>3.89</v>
      </c>
      <c r="O1139" s="14" t="n">
        <v>3.73</v>
      </c>
      <c r="P1139" s="14" t="n">
        <v>0</v>
      </c>
      <c r="Q1139" s="14" t="n">
        <v>0</v>
      </c>
      <c r="R1139" s="14" t="n">
        <v>0</v>
      </c>
      <c r="S1139" s="14" t="n">
        <v>2.33</v>
      </c>
      <c r="T1139" s="14" t="n">
        <v>0.16</v>
      </c>
      <c r="U1139" s="14" t="n">
        <v>5.91</v>
      </c>
      <c r="V1139" s="14" t="n">
        <v>10.11</v>
      </c>
      <c r="W1139" s="14" t="n">
        <v>4.98</v>
      </c>
      <c r="X1139" s="14" t="n">
        <v>0</v>
      </c>
      <c r="Y1139" s="14" t="n">
        <v>0.78</v>
      </c>
      <c r="Z1139" s="14" t="n">
        <v>1.24</v>
      </c>
      <c r="AA1139" s="14" t="n">
        <v>0</v>
      </c>
    </row>
    <row r="1140">
      <c r="A1140" t="inlineStr">
        <is>
          <t>030606</t>
        </is>
      </c>
      <c r="B1140" t="inlineStr">
        <is>
          <t>APURIMAC</t>
        </is>
      </c>
      <c r="C1140" t="inlineStr">
        <is>
          <t>CHINCHEROS</t>
        </is>
      </c>
      <c r="D1140" t="inlineStr">
        <is>
          <t>ONGOY</t>
        </is>
      </c>
      <c r="E1140" t="n">
        <v>656</v>
      </c>
      <c r="F1140" s="14" t="n">
        <v>0</v>
      </c>
      <c r="G1140" s="14" t="n">
        <v>66.31</v>
      </c>
      <c r="H1140" s="14" t="n">
        <v>0</v>
      </c>
      <c r="I1140" s="14" t="n">
        <v>0.91</v>
      </c>
      <c r="J1140" s="14" t="n">
        <v>0</v>
      </c>
      <c r="K1140" s="14" t="n">
        <v>0</v>
      </c>
      <c r="L1140" s="14" t="n">
        <v>7.47</v>
      </c>
      <c r="M1140" s="14" t="n">
        <v>8.84</v>
      </c>
      <c r="N1140" s="14" t="n">
        <v>1.83</v>
      </c>
      <c r="O1140" s="14" t="n">
        <v>1.52</v>
      </c>
      <c r="P1140" s="14" t="n">
        <v>0</v>
      </c>
      <c r="Q1140" s="14" t="n">
        <v>0</v>
      </c>
      <c r="R1140" s="14" t="n">
        <v>0.15</v>
      </c>
      <c r="S1140" s="14" t="n">
        <v>0.91</v>
      </c>
      <c r="T1140" s="14" t="n">
        <v>0.46</v>
      </c>
      <c r="U1140" s="14" t="n">
        <v>2.74</v>
      </c>
      <c r="V1140" s="14" t="n">
        <v>4.73</v>
      </c>
      <c r="W1140" s="14" t="n">
        <v>3.2</v>
      </c>
      <c r="X1140" s="14" t="n">
        <v>0.15</v>
      </c>
      <c r="Y1140" s="14" t="n">
        <v>0.61</v>
      </c>
      <c r="Z1140" s="14" t="n">
        <v>0.15</v>
      </c>
      <c r="AA1140" s="14" t="n">
        <v>0</v>
      </c>
    </row>
    <row r="1141">
      <c r="A1141" t="inlineStr">
        <is>
          <t>020606</t>
        </is>
      </c>
      <c r="B1141" t="inlineStr">
        <is>
          <t>ANCASH</t>
        </is>
      </c>
      <c r="C1141" t="inlineStr">
        <is>
          <t>CARHUAZ</t>
        </is>
      </c>
      <c r="D1141" t="inlineStr">
        <is>
          <t>MARCARA</t>
        </is>
      </c>
      <c r="E1141" t="n">
        <v>2999</v>
      </c>
      <c r="F1141" s="14" t="n">
        <v>0</v>
      </c>
      <c r="G1141" s="14" t="n">
        <v>54.52</v>
      </c>
      <c r="H1141" s="14" t="n">
        <v>9.300000000000001</v>
      </c>
      <c r="I1141" s="14" t="n">
        <v>2.23</v>
      </c>
      <c r="J1141" s="14" t="n">
        <v>0.03</v>
      </c>
      <c r="K1141" s="14" t="n">
        <v>0</v>
      </c>
      <c r="L1141" s="14" t="n">
        <v>2.53</v>
      </c>
      <c r="M1141" s="14" t="n">
        <v>10.44</v>
      </c>
      <c r="N1141" s="14" t="n">
        <v>4.33</v>
      </c>
      <c r="O1141" s="14" t="n">
        <v>2.7</v>
      </c>
      <c r="P1141" s="14" t="n">
        <v>0.1</v>
      </c>
      <c r="Q1141" s="14" t="n">
        <v>0.2</v>
      </c>
      <c r="R1141" s="14" t="n">
        <v>0</v>
      </c>
      <c r="S1141" s="14" t="n">
        <v>1.87</v>
      </c>
      <c r="T1141" s="14" t="n">
        <v>1.17</v>
      </c>
      <c r="U1141" s="14" t="n">
        <v>3.3</v>
      </c>
      <c r="V1141" s="14" t="n">
        <v>2.57</v>
      </c>
      <c r="W1141" s="14" t="n">
        <v>1.57</v>
      </c>
      <c r="X1141" s="14" t="n">
        <v>0.87</v>
      </c>
      <c r="Y1141" s="14" t="n">
        <v>1.77</v>
      </c>
      <c r="Z1141" s="14" t="n">
        <v>0.5</v>
      </c>
      <c r="AA1141" s="14" t="n">
        <v>0</v>
      </c>
    </row>
    <row r="1142">
      <c r="A1142" t="inlineStr">
        <is>
          <t>060311</t>
        </is>
      </c>
      <c r="B1142" t="inlineStr">
        <is>
          <t>CAJAMARCA</t>
        </is>
      </c>
      <c r="C1142" t="inlineStr">
        <is>
          <t>CELENDIN</t>
        </is>
      </c>
      <c r="D1142" t="inlineStr">
        <is>
          <t>UTCO</t>
        </is>
      </c>
      <c r="E1142" t="n">
        <v>335</v>
      </c>
      <c r="F1142" s="14" t="n">
        <v>0</v>
      </c>
      <c r="G1142" s="14" t="n">
        <v>88.36</v>
      </c>
      <c r="H1142" s="14" t="n">
        <v>0</v>
      </c>
      <c r="I1142" s="14" t="n">
        <v>2.09</v>
      </c>
      <c r="J1142" s="14" t="n">
        <v>0</v>
      </c>
      <c r="K1142" s="14" t="n">
        <v>0</v>
      </c>
      <c r="L1142" s="14" t="n">
        <v>1.49</v>
      </c>
      <c r="M1142" s="14" t="n">
        <v>1.79</v>
      </c>
      <c r="N1142" s="14" t="n">
        <v>1.19</v>
      </c>
      <c r="O1142" s="14" t="n">
        <v>0.9</v>
      </c>
      <c r="P1142" s="14" t="n">
        <v>0</v>
      </c>
      <c r="Q1142" s="14" t="n">
        <v>0</v>
      </c>
      <c r="R1142" s="14" t="n">
        <v>0</v>
      </c>
      <c r="S1142" s="14" t="n">
        <v>0.3</v>
      </c>
      <c r="T1142" s="14" t="n">
        <v>0</v>
      </c>
      <c r="U1142" s="14" t="n">
        <v>1.79</v>
      </c>
      <c r="V1142" s="14" t="n">
        <v>1.19</v>
      </c>
      <c r="W1142" s="14" t="n">
        <v>0.3</v>
      </c>
      <c r="X1142" s="14" t="n">
        <v>0</v>
      </c>
      <c r="Y1142" s="14" t="n">
        <v>0</v>
      </c>
      <c r="Z1142" s="14" t="n">
        <v>0.6</v>
      </c>
      <c r="AA1142" s="14" t="n">
        <v>0</v>
      </c>
    </row>
    <row r="1143">
      <c r="A1143" t="inlineStr">
        <is>
          <t>021701</t>
        </is>
      </c>
      <c r="B1143" t="inlineStr">
        <is>
          <t>ANCASH</t>
        </is>
      </c>
      <c r="C1143" t="inlineStr">
        <is>
          <t>RECUAY</t>
        </is>
      </c>
      <c r="D1143" t="inlineStr">
        <is>
          <t>RECUAY</t>
        </is>
      </c>
      <c r="E1143" t="n">
        <v>1320</v>
      </c>
      <c r="F1143" s="14" t="n">
        <v>0</v>
      </c>
      <c r="G1143" s="14" t="n">
        <v>32.35</v>
      </c>
      <c r="H1143" s="14" t="n">
        <v>2.35</v>
      </c>
      <c r="I1143" s="14" t="n">
        <v>3.71</v>
      </c>
      <c r="J1143" s="14" t="n">
        <v>0.08</v>
      </c>
      <c r="K1143" s="14" t="n">
        <v>0.15</v>
      </c>
      <c r="L1143" s="14" t="n">
        <v>8.640000000000001</v>
      </c>
      <c r="M1143" s="14" t="n">
        <v>11.29</v>
      </c>
      <c r="N1143" s="14" t="n">
        <v>5.83</v>
      </c>
      <c r="O1143" s="14" t="n">
        <v>5.61</v>
      </c>
      <c r="P1143" s="14" t="n">
        <v>0.3</v>
      </c>
      <c r="Q1143" s="14" t="n">
        <v>0.53</v>
      </c>
      <c r="R1143" s="14" t="n">
        <v>0</v>
      </c>
      <c r="S1143" s="14" t="n">
        <v>4.24</v>
      </c>
      <c r="T1143" s="14" t="n">
        <v>2.58</v>
      </c>
      <c r="U1143" s="14" t="n">
        <v>7.73</v>
      </c>
      <c r="V1143" s="14" t="n">
        <v>7.5</v>
      </c>
      <c r="W1143" s="14" t="n">
        <v>2.5</v>
      </c>
      <c r="X1143" s="14" t="n">
        <v>0.3</v>
      </c>
      <c r="Y1143" s="14" t="n">
        <v>3.79</v>
      </c>
      <c r="Z1143" s="14" t="n">
        <v>0.53</v>
      </c>
      <c r="AA1143" s="14" t="n">
        <v>0</v>
      </c>
    </row>
    <row r="1144">
      <c r="A1144" t="inlineStr">
        <is>
          <t>010202</t>
        </is>
      </c>
      <c r="B1144" t="inlineStr">
        <is>
          <t>AMAZONAS</t>
        </is>
      </c>
      <c r="C1144" t="inlineStr">
        <is>
          <t>BAGUA</t>
        </is>
      </c>
      <c r="D1144" t="inlineStr">
        <is>
          <t>ARAMANGO</t>
        </is>
      </c>
      <c r="E1144" t="n">
        <v>3307</v>
      </c>
      <c r="F1144" s="14" t="n">
        <v>0</v>
      </c>
      <c r="G1144" s="14" t="n">
        <v>80.25</v>
      </c>
      <c r="H1144" s="14" t="n">
        <v>0.15</v>
      </c>
      <c r="I1144" s="14" t="n">
        <v>1.42</v>
      </c>
      <c r="J1144" s="14" t="n">
        <v>0.12</v>
      </c>
      <c r="K1144" s="14" t="n">
        <v>0</v>
      </c>
      <c r="L1144" s="14" t="n">
        <v>1.91</v>
      </c>
      <c r="M1144" s="14" t="n">
        <v>5.08</v>
      </c>
      <c r="N1144" s="14" t="n">
        <v>2.18</v>
      </c>
      <c r="O1144" s="14" t="n">
        <v>2.15</v>
      </c>
      <c r="P1144" s="14" t="n">
        <v>0.03</v>
      </c>
      <c r="Q1144" s="14" t="n">
        <v>0.09</v>
      </c>
      <c r="R1144" s="14" t="n">
        <v>0</v>
      </c>
      <c r="S1144" s="14" t="n">
        <v>0.3</v>
      </c>
      <c r="T1144" s="14" t="n">
        <v>0.12</v>
      </c>
      <c r="U1144" s="14" t="n">
        <v>1.06</v>
      </c>
      <c r="V1144" s="14" t="n">
        <v>2.81</v>
      </c>
      <c r="W1144" s="14" t="n">
        <v>1.36</v>
      </c>
      <c r="X1144" s="14" t="n">
        <v>0.09</v>
      </c>
      <c r="Y1144" s="14" t="n">
        <v>0.57</v>
      </c>
      <c r="Z1144" s="14" t="n">
        <v>0.3</v>
      </c>
      <c r="AA1144" s="14" t="n">
        <v>0</v>
      </c>
    </row>
    <row r="1145">
      <c r="A1145" t="inlineStr">
        <is>
          <t>060415</t>
        </is>
      </c>
      <c r="B1145" t="inlineStr">
        <is>
          <t>CAJAMARCA</t>
        </is>
      </c>
      <c r="C1145" t="inlineStr">
        <is>
          <t>CHOTA</t>
        </is>
      </c>
      <c r="D1145" t="inlineStr">
        <is>
          <t>QUEROCOTO</t>
        </is>
      </c>
      <c r="E1145" t="n">
        <v>2322</v>
      </c>
      <c r="F1145" s="14" t="n">
        <v>0</v>
      </c>
      <c r="G1145" s="14" t="n">
        <v>70.8</v>
      </c>
      <c r="H1145" s="14" t="n">
        <v>0.39</v>
      </c>
      <c r="I1145" s="14" t="n">
        <v>1.81</v>
      </c>
      <c r="J1145" s="14" t="n">
        <v>0</v>
      </c>
      <c r="K1145" s="14" t="n">
        <v>0</v>
      </c>
      <c r="L1145" s="14" t="n">
        <v>3.06</v>
      </c>
      <c r="M1145" s="14" t="n">
        <v>10.12</v>
      </c>
      <c r="N1145" s="14" t="n">
        <v>1.98</v>
      </c>
      <c r="O1145" s="14" t="n">
        <v>2.11</v>
      </c>
      <c r="P1145" s="14" t="n">
        <v>0</v>
      </c>
      <c r="Q1145" s="14" t="n">
        <v>0.09</v>
      </c>
      <c r="R1145" s="14" t="n">
        <v>0</v>
      </c>
      <c r="S1145" s="14" t="n">
        <v>1.38</v>
      </c>
      <c r="T1145" s="14" t="n">
        <v>0.6899999999999999</v>
      </c>
      <c r="U1145" s="14" t="n">
        <v>0.99</v>
      </c>
      <c r="V1145" s="14" t="n">
        <v>3.88</v>
      </c>
      <c r="W1145" s="14" t="n">
        <v>1.12</v>
      </c>
      <c r="X1145" s="14" t="n">
        <v>0.04</v>
      </c>
      <c r="Y1145" s="14" t="n">
        <v>0.6899999999999999</v>
      </c>
      <c r="Z1145" s="14" t="n">
        <v>0.86</v>
      </c>
      <c r="AA1145" s="14" t="n">
        <v>0</v>
      </c>
    </row>
    <row r="1146">
      <c r="A1146" t="inlineStr">
        <is>
          <t>060202</t>
        </is>
      </c>
      <c r="B1146" t="inlineStr">
        <is>
          <t>CAJAMARCA</t>
        </is>
      </c>
      <c r="C1146" t="inlineStr">
        <is>
          <t>CAJABAMBA</t>
        </is>
      </c>
      <c r="D1146" t="inlineStr">
        <is>
          <t>CACHACHI</t>
        </is>
      </c>
      <c r="E1146" t="n">
        <v>6278</v>
      </c>
      <c r="F1146" s="14" t="n">
        <v>0</v>
      </c>
      <c r="G1146" s="14" t="n">
        <v>68.45999999999999</v>
      </c>
      <c r="H1146" s="14" t="n">
        <v>6.93</v>
      </c>
      <c r="I1146" s="14" t="n">
        <v>2.66</v>
      </c>
      <c r="J1146" s="14" t="n">
        <v>0</v>
      </c>
      <c r="K1146" s="14" t="n">
        <v>0.03</v>
      </c>
      <c r="L1146" s="14" t="n">
        <v>5.69</v>
      </c>
      <c r="M1146" s="14" t="n">
        <v>5.61</v>
      </c>
      <c r="N1146" s="14" t="n">
        <v>2.18</v>
      </c>
      <c r="O1146" s="14" t="n">
        <v>1.39</v>
      </c>
      <c r="P1146" s="14" t="n">
        <v>0.02</v>
      </c>
      <c r="Q1146" s="14" t="n">
        <v>0.05</v>
      </c>
      <c r="R1146" s="14" t="n">
        <v>0</v>
      </c>
      <c r="S1146" s="14" t="n">
        <v>0.99</v>
      </c>
      <c r="T1146" s="14" t="n">
        <v>2.33</v>
      </c>
      <c r="U1146" s="14" t="n">
        <v>1.12</v>
      </c>
      <c r="V1146" s="14" t="n">
        <v>1.12</v>
      </c>
      <c r="W1146" s="14" t="n">
        <v>0.41</v>
      </c>
      <c r="X1146" s="14" t="n">
        <v>0</v>
      </c>
      <c r="Y1146" s="14" t="n">
        <v>0.5600000000000001</v>
      </c>
      <c r="Z1146" s="14" t="n">
        <v>0.48</v>
      </c>
      <c r="AA1146" s="14" t="n">
        <v>0</v>
      </c>
    </row>
    <row r="1147">
      <c r="A1147" t="inlineStr">
        <is>
          <t>080601</t>
        </is>
      </c>
      <c r="B1147" t="inlineStr">
        <is>
          <t>CUSCO</t>
        </is>
      </c>
      <c r="C1147" t="inlineStr">
        <is>
          <t>CANCHIS</t>
        </is>
      </c>
      <c r="D1147" t="inlineStr">
        <is>
          <t>SICUANI</t>
        </is>
      </c>
      <c r="E1147" t="n">
        <v>25022</v>
      </c>
      <c r="F1147" s="14" t="n">
        <v>0</v>
      </c>
      <c r="G1147" s="14" t="n">
        <v>24.67</v>
      </c>
      <c r="H1147" s="14" t="n">
        <v>0.5</v>
      </c>
      <c r="I1147" s="14" t="n">
        <v>6.37</v>
      </c>
      <c r="J1147" s="14" t="n">
        <v>0.08</v>
      </c>
      <c r="K1147" s="14" t="n">
        <v>0.1</v>
      </c>
      <c r="L1147" s="14" t="n">
        <v>5.91</v>
      </c>
      <c r="M1147" s="14" t="n">
        <v>20.26</v>
      </c>
      <c r="N1147" s="14" t="n">
        <v>9.26</v>
      </c>
      <c r="O1147" s="14" t="n">
        <v>6.76</v>
      </c>
      <c r="P1147" s="14" t="n">
        <v>0.67</v>
      </c>
      <c r="Q1147" s="14" t="n">
        <v>1.47</v>
      </c>
      <c r="R1147" s="14" t="n">
        <v>0.02</v>
      </c>
      <c r="S1147" s="14" t="n">
        <v>2.87</v>
      </c>
      <c r="T1147" s="14" t="n">
        <v>1.03</v>
      </c>
      <c r="U1147" s="14" t="n">
        <v>4.34</v>
      </c>
      <c r="V1147" s="14" t="n">
        <v>10.45</v>
      </c>
      <c r="W1147" s="14" t="n">
        <v>2.23</v>
      </c>
      <c r="X1147" s="14" t="n">
        <v>0.55</v>
      </c>
      <c r="Y1147" s="14" t="n">
        <v>1.86</v>
      </c>
      <c r="Z1147" s="14" t="n">
        <v>0.6</v>
      </c>
      <c r="AA1147" s="14" t="n">
        <v>0</v>
      </c>
    </row>
    <row r="1148">
      <c r="A1148" t="inlineStr">
        <is>
          <t>030103</t>
        </is>
      </c>
      <c r="B1148" t="inlineStr">
        <is>
          <t>APURIMAC</t>
        </is>
      </c>
      <c r="C1148" t="inlineStr">
        <is>
          <t>ABANCAY</t>
        </is>
      </c>
      <c r="D1148" t="inlineStr">
        <is>
          <t>CIRCA</t>
        </is>
      </c>
      <c r="E1148" t="n">
        <v>573</v>
      </c>
      <c r="F1148" s="14" t="n">
        <v>0</v>
      </c>
      <c r="G1148" s="14" t="n">
        <v>73.12</v>
      </c>
      <c r="H1148" s="14" t="n">
        <v>0</v>
      </c>
      <c r="I1148" s="14" t="n">
        <v>0.35</v>
      </c>
      <c r="J1148" s="14" t="n">
        <v>0</v>
      </c>
      <c r="K1148" s="14" t="n">
        <v>0</v>
      </c>
      <c r="L1148" s="14" t="n">
        <v>13.61</v>
      </c>
      <c r="M1148" s="14" t="n">
        <v>4.36</v>
      </c>
      <c r="N1148" s="14" t="n">
        <v>2.27</v>
      </c>
      <c r="O1148" s="14" t="n">
        <v>1.22</v>
      </c>
      <c r="P1148" s="14" t="n">
        <v>0</v>
      </c>
      <c r="Q1148" s="14" t="n">
        <v>0</v>
      </c>
      <c r="R1148" s="14" t="n">
        <v>0</v>
      </c>
      <c r="S1148" s="14" t="n">
        <v>0.87</v>
      </c>
      <c r="T1148" s="14" t="n">
        <v>0.35</v>
      </c>
      <c r="U1148" s="14" t="n">
        <v>1.22</v>
      </c>
      <c r="V1148" s="14" t="n">
        <v>1.57</v>
      </c>
      <c r="W1148" s="14" t="n">
        <v>0.52</v>
      </c>
      <c r="X1148" s="14" t="n">
        <v>0</v>
      </c>
      <c r="Y1148" s="14" t="n">
        <v>0.35</v>
      </c>
      <c r="Z1148" s="14" t="n">
        <v>0.17</v>
      </c>
      <c r="AA1148" s="14" t="n">
        <v>0</v>
      </c>
    </row>
    <row r="1149">
      <c r="A1149" t="inlineStr">
        <is>
          <t>021004</t>
        </is>
      </c>
      <c r="B1149" t="inlineStr">
        <is>
          <t>ANCASH</t>
        </is>
      </c>
      <c r="C1149" t="inlineStr">
        <is>
          <t>HUARI</t>
        </is>
      </c>
      <c r="D1149" t="inlineStr">
        <is>
          <t>CHAVIN DE HUANTAR</t>
        </is>
      </c>
      <c r="E1149" t="n">
        <v>2104</v>
      </c>
      <c r="F1149" s="14" t="n">
        <v>0</v>
      </c>
      <c r="G1149" s="14" t="n">
        <v>59.51</v>
      </c>
      <c r="H1149" s="14" t="n">
        <v>0.19</v>
      </c>
      <c r="I1149" s="14" t="n">
        <v>1.85</v>
      </c>
      <c r="J1149" s="14" t="n">
        <v>0</v>
      </c>
      <c r="K1149" s="14" t="n">
        <v>0.33</v>
      </c>
      <c r="L1149" s="14" t="n">
        <v>5.37</v>
      </c>
      <c r="M1149" s="14" t="n">
        <v>8.98</v>
      </c>
      <c r="N1149" s="14" t="n">
        <v>2.99</v>
      </c>
      <c r="O1149" s="14" t="n">
        <v>3.47</v>
      </c>
      <c r="P1149" s="14" t="n">
        <v>0.24</v>
      </c>
      <c r="Q1149" s="14" t="n">
        <v>0.1</v>
      </c>
      <c r="R1149" s="14" t="n">
        <v>0</v>
      </c>
      <c r="S1149" s="14" t="n">
        <v>2.57</v>
      </c>
      <c r="T1149" s="14" t="n">
        <v>1</v>
      </c>
      <c r="U1149" s="14" t="n">
        <v>3.61</v>
      </c>
      <c r="V1149" s="14" t="n">
        <v>5.37</v>
      </c>
      <c r="W1149" s="14" t="n">
        <v>1.71</v>
      </c>
      <c r="X1149" s="14" t="n">
        <v>0.48</v>
      </c>
      <c r="Y1149" s="14" t="n">
        <v>1.62</v>
      </c>
      <c r="Z1149" s="14" t="n">
        <v>0.62</v>
      </c>
      <c r="AA1149" s="14" t="n">
        <v>0</v>
      </c>
    </row>
    <row r="1150">
      <c r="A1150" t="inlineStr">
        <is>
          <t>090509</t>
        </is>
      </c>
      <c r="B1150" t="inlineStr">
        <is>
          <t>HUANCAVELICA</t>
        </is>
      </c>
      <c r="C1150" t="inlineStr">
        <is>
          <t>CHURCAMPA</t>
        </is>
      </c>
      <c r="D1150" t="inlineStr">
        <is>
          <t>SAN PEDRO DE CORIS</t>
        </is>
      </c>
      <c r="E1150" t="n">
        <v>1352</v>
      </c>
      <c r="F1150" s="14" t="n">
        <v>0</v>
      </c>
      <c r="G1150" s="14" t="n">
        <v>26.85</v>
      </c>
      <c r="H1150" s="14" t="n">
        <v>34.39</v>
      </c>
      <c r="I1150" s="14" t="n">
        <v>1.48</v>
      </c>
      <c r="J1150" s="14" t="n">
        <v>0.07000000000000001</v>
      </c>
      <c r="K1150" s="14" t="n">
        <v>0.07000000000000001</v>
      </c>
      <c r="L1150" s="14" t="n">
        <v>3.25</v>
      </c>
      <c r="M1150" s="14" t="n">
        <v>12.2</v>
      </c>
      <c r="N1150" s="14" t="n">
        <v>0.89</v>
      </c>
      <c r="O1150" s="14" t="n">
        <v>3.99</v>
      </c>
      <c r="P1150" s="14" t="n">
        <v>0</v>
      </c>
      <c r="Q1150" s="14" t="n">
        <v>0</v>
      </c>
      <c r="R1150" s="14" t="n">
        <v>0</v>
      </c>
      <c r="S1150" s="14" t="n">
        <v>1.48</v>
      </c>
      <c r="T1150" s="14" t="n">
        <v>4.07</v>
      </c>
      <c r="U1150" s="14" t="n">
        <v>4.44</v>
      </c>
      <c r="V1150" s="14" t="n">
        <v>4.51</v>
      </c>
      <c r="W1150" s="14" t="n">
        <v>1.48</v>
      </c>
      <c r="X1150" s="14" t="n">
        <v>0</v>
      </c>
      <c r="Y1150" s="14" t="n">
        <v>0.8100000000000001</v>
      </c>
      <c r="Z1150" s="14" t="n">
        <v>0</v>
      </c>
      <c r="AA1150" s="14" t="n">
        <v>0</v>
      </c>
    </row>
    <row r="1151">
      <c r="A1151" t="inlineStr">
        <is>
          <t>050102</t>
        </is>
      </c>
      <c r="B1151" t="inlineStr">
        <is>
          <t>AYACUCHO</t>
        </is>
      </c>
      <c r="C1151" t="inlineStr">
        <is>
          <t>HUAMANGA</t>
        </is>
      </c>
      <c r="D1151" t="inlineStr">
        <is>
          <t>ACOCRO</t>
        </is>
      </c>
      <c r="E1151" t="n">
        <v>2639</v>
      </c>
      <c r="F1151" s="14" t="n">
        <v>0</v>
      </c>
      <c r="G1151" s="14" t="n">
        <v>94.62</v>
      </c>
      <c r="H1151" s="14" t="n">
        <v>0.04</v>
      </c>
      <c r="I1151" s="14" t="n">
        <v>0.49</v>
      </c>
      <c r="J1151" s="14" t="n">
        <v>0</v>
      </c>
      <c r="K1151" s="14" t="n">
        <v>0</v>
      </c>
      <c r="L1151" s="14" t="n">
        <v>0.76</v>
      </c>
      <c r="M1151" s="14" t="n">
        <v>1.36</v>
      </c>
      <c r="N1151" s="14" t="n">
        <v>0.42</v>
      </c>
      <c r="O1151" s="14" t="n">
        <v>0.42</v>
      </c>
      <c r="P1151" s="14" t="n">
        <v>0</v>
      </c>
      <c r="Q1151" s="14" t="n">
        <v>0</v>
      </c>
      <c r="R1151" s="14" t="n">
        <v>0</v>
      </c>
      <c r="S1151" s="14" t="n">
        <v>0.11</v>
      </c>
      <c r="T1151" s="14" t="n">
        <v>0.04</v>
      </c>
      <c r="U1151" s="14" t="n">
        <v>0.68</v>
      </c>
      <c r="V1151" s="14" t="n">
        <v>0.34</v>
      </c>
      <c r="W1151" s="14" t="n">
        <v>0.38</v>
      </c>
      <c r="X1151" s="14" t="n">
        <v>0.08</v>
      </c>
      <c r="Y1151" s="14" t="n">
        <v>0.19</v>
      </c>
      <c r="Z1151" s="14" t="n">
        <v>0.08</v>
      </c>
      <c r="AA1151" s="14" t="n">
        <v>0</v>
      </c>
    </row>
    <row r="1152">
      <c r="A1152" t="inlineStr">
        <is>
          <t>030216</t>
        </is>
      </c>
      <c r="B1152" t="inlineStr">
        <is>
          <t>APURIMAC</t>
        </is>
      </c>
      <c r="C1152" t="inlineStr">
        <is>
          <t>ANDAHUAYLAS</t>
        </is>
      </c>
      <c r="D1152" t="inlineStr">
        <is>
          <t>TALAVERA</t>
        </is>
      </c>
      <c r="E1152" t="n">
        <v>6720</v>
      </c>
      <c r="F1152" s="14" t="n">
        <v>0</v>
      </c>
      <c r="G1152" s="14" t="n">
        <v>37.28</v>
      </c>
      <c r="H1152" s="14" t="n">
        <v>0.12</v>
      </c>
      <c r="I1152" s="14" t="n">
        <v>3.6</v>
      </c>
      <c r="J1152" s="14" t="n">
        <v>0.06</v>
      </c>
      <c r="K1152" s="14" t="n">
        <v>0.1</v>
      </c>
      <c r="L1152" s="14" t="n">
        <v>5.64</v>
      </c>
      <c r="M1152" s="14" t="n">
        <v>14.17</v>
      </c>
      <c r="N1152" s="14" t="n">
        <v>6.25</v>
      </c>
      <c r="O1152" s="14" t="n">
        <v>4.21</v>
      </c>
      <c r="P1152" s="14" t="n">
        <v>0.43</v>
      </c>
      <c r="Q1152" s="14" t="n">
        <v>0.68</v>
      </c>
      <c r="R1152" s="14" t="n">
        <v>0.01</v>
      </c>
      <c r="S1152" s="14" t="n">
        <v>2.99</v>
      </c>
      <c r="T1152" s="14" t="n">
        <v>1</v>
      </c>
      <c r="U1152" s="14" t="n">
        <v>4.42</v>
      </c>
      <c r="V1152" s="14" t="n">
        <v>11.49</v>
      </c>
      <c r="W1152" s="14" t="n">
        <v>3.81</v>
      </c>
      <c r="X1152" s="14" t="n">
        <v>0.58</v>
      </c>
      <c r="Y1152" s="14" t="n">
        <v>2.16</v>
      </c>
      <c r="Z1152" s="14" t="n">
        <v>1</v>
      </c>
      <c r="AA1152" s="14" t="n">
        <v>0</v>
      </c>
    </row>
    <row r="1153">
      <c r="A1153" t="inlineStr">
        <is>
          <t>050512</t>
        </is>
      </c>
      <c r="B1153" t="inlineStr">
        <is>
          <t>AYACUCHO</t>
        </is>
      </c>
      <c r="C1153" t="inlineStr">
        <is>
          <t>LA MAR</t>
        </is>
      </c>
      <c r="D1153" t="inlineStr">
        <is>
          <t>UNION PROGRESO</t>
        </is>
      </c>
      <c r="E1153" t="n">
        <v>0</v>
      </c>
      <c r="F1153" s="14" t="n">
        <v>0</v>
      </c>
      <c r="G1153" s="14" t="n">
        <v>74.94</v>
      </c>
      <c r="H1153" s="14" t="n">
        <v>0</v>
      </c>
      <c r="I1153" s="14" t="n">
        <v>1.04</v>
      </c>
      <c r="J1153" s="14" t="n">
        <v>0</v>
      </c>
      <c r="K1153" s="14" t="n">
        <v>0</v>
      </c>
      <c r="L1153" s="14" t="n">
        <v>2.95</v>
      </c>
      <c r="M1153" s="14" t="n">
        <v>8.279999999999999</v>
      </c>
      <c r="N1153" s="14" t="n">
        <v>1.08</v>
      </c>
      <c r="O1153" s="14" t="n">
        <v>2.19</v>
      </c>
      <c r="P1153" s="14" t="n">
        <v>0.07000000000000001</v>
      </c>
      <c r="Q1153" s="14" t="n">
        <v>0.06</v>
      </c>
      <c r="R1153" s="14" t="n">
        <v>0</v>
      </c>
      <c r="S1153" s="14" t="n">
        <v>0.65</v>
      </c>
      <c r="T1153" s="14" t="n">
        <v>0.33</v>
      </c>
      <c r="U1153" s="14" t="n">
        <v>2.23</v>
      </c>
      <c r="V1153" s="14" t="n">
        <v>4.07</v>
      </c>
      <c r="W1153" s="14" t="n">
        <v>0.97</v>
      </c>
      <c r="X1153" s="14" t="n">
        <v>0.02</v>
      </c>
      <c r="Y1153" s="14" t="n">
        <v>0.78</v>
      </c>
      <c r="Z1153" s="14" t="n">
        <v>0.32</v>
      </c>
      <c r="AA1153" s="14" t="n">
        <v>0</v>
      </c>
    </row>
    <row r="1154">
      <c r="A1154" t="inlineStr">
        <is>
          <t>090311</t>
        </is>
      </c>
      <c r="B1154" t="inlineStr">
        <is>
          <t>HUANCAVELICA</t>
        </is>
      </c>
      <c r="C1154" t="inlineStr">
        <is>
          <t>ANGARAES</t>
        </is>
      </c>
      <c r="D1154" t="inlineStr">
        <is>
          <t>SANTO TOMAS DE PATA</t>
        </is>
      </c>
      <c r="E1154" t="n">
        <v>628</v>
      </c>
      <c r="F1154" s="14" t="n">
        <v>0</v>
      </c>
      <c r="G1154" s="14" t="n">
        <v>85.03</v>
      </c>
      <c r="H1154" s="14" t="n">
        <v>0</v>
      </c>
      <c r="I1154" s="14" t="n">
        <v>0.8</v>
      </c>
      <c r="J1154" s="14" t="n">
        <v>0.16</v>
      </c>
      <c r="K1154" s="14" t="n">
        <v>0</v>
      </c>
      <c r="L1154" s="14" t="n">
        <v>3.18</v>
      </c>
      <c r="M1154" s="14" t="n">
        <v>3.5</v>
      </c>
      <c r="N1154" s="14" t="n">
        <v>0.16</v>
      </c>
      <c r="O1154" s="14" t="n">
        <v>0.96</v>
      </c>
      <c r="P1154" s="14" t="n">
        <v>0</v>
      </c>
      <c r="Q1154" s="14" t="n">
        <v>0</v>
      </c>
      <c r="R1154" s="14" t="n">
        <v>0</v>
      </c>
      <c r="S1154" s="14" t="n">
        <v>0.16</v>
      </c>
      <c r="T1154" s="14" t="n">
        <v>0.32</v>
      </c>
      <c r="U1154" s="14" t="n">
        <v>1.91</v>
      </c>
      <c r="V1154" s="14" t="n">
        <v>2.71</v>
      </c>
      <c r="W1154" s="14" t="n">
        <v>0.8</v>
      </c>
      <c r="X1154" s="14" t="n">
        <v>0</v>
      </c>
      <c r="Y1154" s="14" t="n">
        <v>0.16</v>
      </c>
      <c r="Z1154" s="14" t="n">
        <v>0.16</v>
      </c>
      <c r="AA1154" s="14" t="n">
        <v>0</v>
      </c>
    </row>
    <row r="1155">
      <c r="A1155" t="inlineStr">
        <is>
          <t>060607</t>
        </is>
      </c>
      <c r="B1155" t="inlineStr">
        <is>
          <t>CAJAMARCA</t>
        </is>
      </c>
      <c r="C1155" t="inlineStr">
        <is>
          <t>CUTERVO</t>
        </is>
      </c>
      <c r="D1155" t="inlineStr">
        <is>
          <t>QUEROCOTILLO</t>
        </is>
      </c>
      <c r="E1155" t="n">
        <v>3413</v>
      </c>
      <c r="F1155" s="14" t="n">
        <v>0</v>
      </c>
      <c r="G1155" s="14" t="n">
        <v>83.01000000000001</v>
      </c>
      <c r="H1155" s="14" t="n">
        <v>0.18</v>
      </c>
      <c r="I1155" s="14" t="n">
        <v>1.05</v>
      </c>
      <c r="J1155" s="14" t="n">
        <v>0.03</v>
      </c>
      <c r="K1155" s="14" t="n">
        <v>0</v>
      </c>
      <c r="L1155" s="14" t="n">
        <v>0.88</v>
      </c>
      <c r="M1155" s="14" t="n">
        <v>4.83</v>
      </c>
      <c r="N1155" s="14" t="n">
        <v>0.85</v>
      </c>
      <c r="O1155" s="14" t="n">
        <v>0.82</v>
      </c>
      <c r="P1155" s="14" t="n">
        <v>0.06</v>
      </c>
      <c r="Q1155" s="14" t="n">
        <v>0.09</v>
      </c>
      <c r="R1155" s="14" t="n">
        <v>0</v>
      </c>
      <c r="S1155" s="14" t="n">
        <v>0.35</v>
      </c>
      <c r="T1155" s="14" t="n">
        <v>0.15</v>
      </c>
      <c r="U1155" s="14" t="n">
        <v>1.23</v>
      </c>
      <c r="V1155" s="14" t="n">
        <v>4.54</v>
      </c>
      <c r="W1155" s="14" t="n">
        <v>0.9399999999999999</v>
      </c>
      <c r="X1155" s="14" t="n">
        <v>0</v>
      </c>
      <c r="Y1155" s="14" t="n">
        <v>0.26</v>
      </c>
      <c r="Z1155" s="14" t="n">
        <v>0.73</v>
      </c>
      <c r="AA1155" s="14" t="n">
        <v>0</v>
      </c>
    </row>
    <row r="1156">
      <c r="A1156" t="inlineStr">
        <is>
          <t>050114</t>
        </is>
      </c>
      <c r="B1156" t="inlineStr">
        <is>
          <t>AYACUCHO</t>
        </is>
      </c>
      <c r="C1156" t="inlineStr">
        <is>
          <t>HUAMANGA</t>
        </is>
      </c>
      <c r="D1156" t="inlineStr">
        <is>
          <t>VINCHOS</t>
        </is>
      </c>
      <c r="E1156" t="n">
        <v>3902</v>
      </c>
      <c r="F1156" s="14" t="n">
        <v>0</v>
      </c>
      <c r="G1156" s="14" t="n">
        <v>85.03</v>
      </c>
      <c r="H1156" s="14" t="n">
        <v>0.13</v>
      </c>
      <c r="I1156" s="14" t="n">
        <v>0.97</v>
      </c>
      <c r="J1156" s="14" t="n">
        <v>0</v>
      </c>
      <c r="K1156" s="14" t="n">
        <v>0.03</v>
      </c>
      <c r="L1156" s="14" t="n">
        <v>3.56</v>
      </c>
      <c r="M1156" s="14" t="n">
        <v>3.82</v>
      </c>
      <c r="N1156" s="14" t="n">
        <v>1.61</v>
      </c>
      <c r="O1156" s="14" t="n">
        <v>1.13</v>
      </c>
      <c r="P1156" s="14" t="n">
        <v>0</v>
      </c>
      <c r="Q1156" s="14" t="n">
        <v>0</v>
      </c>
      <c r="R1156" s="14" t="n">
        <v>0</v>
      </c>
      <c r="S1156" s="14" t="n">
        <v>0.44</v>
      </c>
      <c r="T1156" s="14" t="n">
        <v>0.28</v>
      </c>
      <c r="U1156" s="14" t="n">
        <v>0.74</v>
      </c>
      <c r="V1156" s="14" t="n">
        <v>0.54</v>
      </c>
      <c r="W1156" s="14" t="n">
        <v>0.6899999999999999</v>
      </c>
      <c r="X1156" s="14" t="n">
        <v>0.03</v>
      </c>
      <c r="Y1156" s="14" t="n">
        <v>0.6899999999999999</v>
      </c>
      <c r="Z1156" s="14" t="n">
        <v>0.31</v>
      </c>
      <c r="AA1156" s="14" t="n">
        <v>0</v>
      </c>
    </row>
    <row r="1157">
      <c r="A1157" t="inlineStr">
        <is>
          <t>080404</t>
        </is>
      </c>
      <c r="B1157" t="inlineStr">
        <is>
          <t>CUSCO</t>
        </is>
      </c>
      <c r="C1157" t="inlineStr">
        <is>
          <t>CALCA</t>
        </is>
      </c>
      <c r="D1157" t="inlineStr">
        <is>
          <t>LARES</t>
        </is>
      </c>
      <c r="E1157" t="n">
        <v>2334</v>
      </c>
      <c r="F1157" s="14" t="n">
        <v>0</v>
      </c>
      <c r="G1157" s="14" t="n">
        <v>76.98999999999999</v>
      </c>
      <c r="H1157" s="14" t="n">
        <v>0.13</v>
      </c>
      <c r="I1157" s="14" t="n">
        <v>6.43</v>
      </c>
      <c r="J1157" s="14" t="n">
        <v>0</v>
      </c>
      <c r="K1157" s="14" t="n">
        <v>0</v>
      </c>
      <c r="L1157" s="14" t="n">
        <v>1.41</v>
      </c>
      <c r="M1157" s="14" t="n">
        <v>5.96</v>
      </c>
      <c r="N1157" s="14" t="n">
        <v>0.86</v>
      </c>
      <c r="O1157" s="14" t="n">
        <v>1.93</v>
      </c>
      <c r="P1157" s="14" t="n">
        <v>0.04</v>
      </c>
      <c r="Q1157" s="14" t="n">
        <v>0</v>
      </c>
      <c r="R1157" s="14" t="n">
        <v>0</v>
      </c>
      <c r="S1157" s="14" t="n">
        <v>0.39</v>
      </c>
      <c r="T1157" s="14" t="n">
        <v>0.5600000000000001</v>
      </c>
      <c r="U1157" s="14" t="n">
        <v>3.04</v>
      </c>
      <c r="V1157" s="14" t="n">
        <v>0.86</v>
      </c>
      <c r="W1157" s="14" t="n">
        <v>1.03</v>
      </c>
      <c r="X1157" s="14" t="n">
        <v>0</v>
      </c>
      <c r="Y1157" s="14" t="n">
        <v>0.26</v>
      </c>
      <c r="Z1157" s="14" t="n">
        <v>0.13</v>
      </c>
      <c r="AA1157" s="14" t="n">
        <v>0</v>
      </c>
    </row>
    <row r="1158">
      <c r="A1158" t="inlineStr">
        <is>
          <t>060407</t>
        </is>
      </c>
      <c r="B1158" t="inlineStr">
        <is>
          <t>CAJAMARCA</t>
        </is>
      </c>
      <c r="C1158" t="inlineStr">
        <is>
          <t>CHOTA</t>
        </is>
      </c>
      <c r="D1158" t="inlineStr">
        <is>
          <t>COCHABAMBA</t>
        </is>
      </c>
      <c r="E1158" t="n">
        <v>1805</v>
      </c>
      <c r="F1158" s="14" t="n">
        <v>0</v>
      </c>
      <c r="G1158" s="14" t="n">
        <v>72.52</v>
      </c>
      <c r="H1158" s="14" t="n">
        <v>0.33</v>
      </c>
      <c r="I1158" s="14" t="n">
        <v>2.11</v>
      </c>
      <c r="J1158" s="14" t="n">
        <v>0.06</v>
      </c>
      <c r="K1158" s="14" t="n">
        <v>0</v>
      </c>
      <c r="L1158" s="14" t="n">
        <v>4.1</v>
      </c>
      <c r="M1158" s="14" t="n">
        <v>4.93</v>
      </c>
      <c r="N1158" s="14" t="n">
        <v>3.1</v>
      </c>
      <c r="O1158" s="14" t="n">
        <v>1.5</v>
      </c>
      <c r="P1158" s="14" t="n">
        <v>0.06</v>
      </c>
      <c r="Q1158" s="14" t="n">
        <v>0.22</v>
      </c>
      <c r="R1158" s="14" t="n">
        <v>0</v>
      </c>
      <c r="S1158" s="14" t="n">
        <v>0.78</v>
      </c>
      <c r="T1158" s="14" t="n">
        <v>0.66</v>
      </c>
      <c r="U1158" s="14" t="n">
        <v>2.66</v>
      </c>
      <c r="V1158" s="14" t="n">
        <v>3.77</v>
      </c>
      <c r="W1158" s="14" t="n">
        <v>1.61</v>
      </c>
      <c r="X1158" s="14" t="n">
        <v>0.06</v>
      </c>
      <c r="Y1158" s="14" t="n">
        <v>1.11</v>
      </c>
      <c r="Z1158" s="14" t="n">
        <v>0.44</v>
      </c>
      <c r="AA1158" s="14" t="n">
        <v>0</v>
      </c>
    </row>
    <row r="1159">
      <c r="A1159" t="inlineStr">
        <is>
          <t>010521</t>
        </is>
      </c>
      <c r="B1159" t="inlineStr">
        <is>
          <t>AMAZONAS</t>
        </is>
      </c>
      <c r="C1159" t="inlineStr">
        <is>
          <t>LUYA</t>
        </is>
      </c>
      <c r="D1159" t="inlineStr">
        <is>
          <t>SANTO TOMAS</t>
        </is>
      </c>
      <c r="E1159" t="n">
        <v>822</v>
      </c>
      <c r="F1159" s="14" t="n">
        <v>0</v>
      </c>
      <c r="G1159" s="14" t="n">
        <v>71.65000000000001</v>
      </c>
      <c r="H1159" s="14" t="n">
        <v>0</v>
      </c>
      <c r="I1159" s="14" t="n">
        <v>2.31</v>
      </c>
      <c r="J1159" s="14" t="n">
        <v>0</v>
      </c>
      <c r="K1159" s="14" t="n">
        <v>0</v>
      </c>
      <c r="L1159" s="14" t="n">
        <v>6.2</v>
      </c>
      <c r="M1159" s="14" t="n">
        <v>4.14</v>
      </c>
      <c r="N1159" s="14" t="n">
        <v>1.95</v>
      </c>
      <c r="O1159" s="14" t="n">
        <v>1.09</v>
      </c>
      <c r="P1159" s="14" t="n">
        <v>0.36</v>
      </c>
      <c r="Q1159" s="14" t="n">
        <v>0</v>
      </c>
      <c r="R1159" s="14" t="n">
        <v>0</v>
      </c>
      <c r="S1159" s="14" t="n">
        <v>1.09</v>
      </c>
      <c r="T1159" s="14" t="n">
        <v>0.73</v>
      </c>
      <c r="U1159" s="14" t="n">
        <v>1.34</v>
      </c>
      <c r="V1159" s="14" t="n">
        <v>4.74</v>
      </c>
      <c r="W1159" s="14" t="n">
        <v>2.55</v>
      </c>
      <c r="X1159" s="14" t="n">
        <v>0</v>
      </c>
      <c r="Y1159" s="14" t="n">
        <v>0.49</v>
      </c>
      <c r="Z1159" s="14" t="n">
        <v>1.34</v>
      </c>
      <c r="AA1159" s="14" t="n">
        <v>0</v>
      </c>
    </row>
    <row r="1160">
      <c r="A1160" t="inlineStr">
        <is>
          <t>050401</t>
        </is>
      </c>
      <c r="B1160" t="inlineStr">
        <is>
          <t>AYACUCHO</t>
        </is>
      </c>
      <c r="C1160" t="inlineStr">
        <is>
          <t>HUANTA</t>
        </is>
      </c>
      <c r="D1160" t="inlineStr">
        <is>
          <t>HUANTA</t>
        </is>
      </c>
      <c r="E1160" t="n">
        <v>14730</v>
      </c>
      <c r="F1160" s="14" t="n">
        <v>0</v>
      </c>
      <c r="G1160" s="14" t="n">
        <v>27.88</v>
      </c>
      <c r="H1160" s="14" t="n">
        <v>0.14</v>
      </c>
      <c r="I1160" s="14" t="n">
        <v>3.42</v>
      </c>
      <c r="J1160" s="14" t="n">
        <v>0.1</v>
      </c>
      <c r="K1160" s="14" t="n">
        <v>0.1</v>
      </c>
      <c r="L1160" s="14" t="n">
        <v>5.88</v>
      </c>
      <c r="M1160" s="14" t="n">
        <v>19.48</v>
      </c>
      <c r="N1160" s="14" t="n">
        <v>7.79</v>
      </c>
      <c r="O1160" s="14" t="n">
        <v>5.11</v>
      </c>
      <c r="P1160" s="14" t="n">
        <v>0.65</v>
      </c>
      <c r="Q1160" s="14" t="n">
        <v>0.79</v>
      </c>
      <c r="R1160" s="14" t="n">
        <v>0.02</v>
      </c>
      <c r="S1160" s="14" t="n">
        <v>3.6</v>
      </c>
      <c r="T1160" s="14" t="n">
        <v>1.17</v>
      </c>
      <c r="U1160" s="14" t="n">
        <v>5.94</v>
      </c>
      <c r="V1160" s="14" t="n">
        <v>11.16</v>
      </c>
      <c r="W1160" s="14" t="n">
        <v>2.5</v>
      </c>
      <c r="X1160" s="14" t="n">
        <v>0.54</v>
      </c>
      <c r="Y1160" s="14" t="n">
        <v>2.81</v>
      </c>
      <c r="Z1160" s="14" t="n">
        <v>0.9399999999999999</v>
      </c>
      <c r="AA1160" s="14" t="n">
        <v>0</v>
      </c>
    </row>
    <row r="1161">
      <c r="A1161" t="inlineStr">
        <is>
          <t>010704</t>
        </is>
      </c>
      <c r="B1161" t="inlineStr">
        <is>
          <t>AMAZONAS</t>
        </is>
      </c>
      <c r="C1161" t="inlineStr">
        <is>
          <t>UTCUBAMBA</t>
        </is>
      </c>
      <c r="D1161" t="inlineStr">
        <is>
          <t>EL MILAGRO</t>
        </is>
      </c>
      <c r="E1161" t="n">
        <v>1788</v>
      </c>
      <c r="F1161" s="14" t="n">
        <v>0</v>
      </c>
      <c r="G1161" s="14" t="n">
        <v>71.92</v>
      </c>
      <c r="H1161" s="14" t="n">
        <v>0.17</v>
      </c>
      <c r="I1161" s="14" t="n">
        <v>1.4</v>
      </c>
      <c r="J1161" s="14" t="n">
        <v>0</v>
      </c>
      <c r="K1161" s="14" t="n">
        <v>0.11</v>
      </c>
      <c r="L1161" s="14" t="n">
        <v>1.79</v>
      </c>
      <c r="M1161" s="14" t="n">
        <v>4.03</v>
      </c>
      <c r="N1161" s="14" t="n">
        <v>3.52</v>
      </c>
      <c r="O1161" s="14" t="n">
        <v>2.24</v>
      </c>
      <c r="P1161" s="14" t="n">
        <v>0</v>
      </c>
      <c r="Q1161" s="14" t="n">
        <v>0.28</v>
      </c>
      <c r="R1161" s="14" t="n">
        <v>0</v>
      </c>
      <c r="S1161" s="14" t="n">
        <v>1.01</v>
      </c>
      <c r="T1161" s="14" t="n">
        <v>0.84</v>
      </c>
      <c r="U1161" s="14" t="n">
        <v>8.109999999999999</v>
      </c>
      <c r="V1161" s="14" t="n">
        <v>2.29</v>
      </c>
      <c r="W1161" s="14" t="n">
        <v>1.06</v>
      </c>
      <c r="X1161" s="14" t="n">
        <v>0</v>
      </c>
      <c r="Y1161" s="14" t="n">
        <v>0.5</v>
      </c>
      <c r="Z1161" s="14" t="n">
        <v>0.73</v>
      </c>
      <c r="AA1161" s="14" t="n">
        <v>0</v>
      </c>
    </row>
    <row r="1162">
      <c r="A1162" t="inlineStr">
        <is>
          <t>090114</t>
        </is>
      </c>
      <c r="B1162" t="inlineStr">
        <is>
          <t>HUANCAVELICA</t>
        </is>
      </c>
      <c r="C1162" t="inlineStr">
        <is>
          <t>HUANCAVELICA</t>
        </is>
      </c>
      <c r="D1162" t="inlineStr">
        <is>
          <t>PALCA</t>
        </is>
      </c>
      <c r="E1162" t="n">
        <v>480</v>
      </c>
      <c r="F1162" s="14" t="n">
        <v>0</v>
      </c>
      <c r="G1162" s="14" t="n">
        <v>64.58</v>
      </c>
      <c r="H1162" s="14" t="n">
        <v>0.42</v>
      </c>
      <c r="I1162" s="14" t="n">
        <v>2.08</v>
      </c>
      <c r="J1162" s="14" t="n">
        <v>0</v>
      </c>
      <c r="K1162" s="14" t="n">
        <v>0</v>
      </c>
      <c r="L1162" s="14" t="n">
        <v>5.83</v>
      </c>
      <c r="M1162" s="14" t="n">
        <v>10.21</v>
      </c>
      <c r="N1162" s="14" t="n">
        <v>2.29</v>
      </c>
      <c r="O1162" s="14" t="n">
        <v>1.46</v>
      </c>
      <c r="P1162" s="14" t="n">
        <v>0</v>
      </c>
      <c r="Q1162" s="14" t="n">
        <v>0.21</v>
      </c>
      <c r="R1162" s="14" t="n">
        <v>0</v>
      </c>
      <c r="S1162" s="14" t="n">
        <v>1.88</v>
      </c>
      <c r="T1162" s="14" t="n">
        <v>0.42</v>
      </c>
      <c r="U1162" s="14" t="n">
        <v>2.92</v>
      </c>
      <c r="V1162" s="14" t="n">
        <v>6.88</v>
      </c>
      <c r="W1162" s="14" t="n">
        <v>0.21</v>
      </c>
      <c r="X1162" s="14" t="n">
        <v>0.21</v>
      </c>
      <c r="Y1162" s="14" t="n">
        <v>0.21</v>
      </c>
      <c r="Z1162" s="14" t="n">
        <v>0.21</v>
      </c>
      <c r="AA1162" s="14" t="n">
        <v>0</v>
      </c>
    </row>
    <row r="1163">
      <c r="A1163" t="inlineStr">
        <is>
          <t>030504</t>
        </is>
      </c>
      <c r="B1163" t="inlineStr">
        <is>
          <t>APURIMAC</t>
        </is>
      </c>
      <c r="C1163" t="inlineStr">
        <is>
          <t>COTABAMBAS</t>
        </is>
      </c>
      <c r="D1163" t="inlineStr">
        <is>
          <t>HAQUIRA</t>
        </is>
      </c>
      <c r="E1163" t="n">
        <v>2382</v>
      </c>
      <c r="F1163" s="14" t="n">
        <v>0</v>
      </c>
      <c r="G1163" s="14" t="n">
        <v>46.39</v>
      </c>
      <c r="H1163" s="14" t="n">
        <v>1.34</v>
      </c>
      <c r="I1163" s="14" t="n">
        <v>2.39</v>
      </c>
      <c r="J1163" s="14" t="n">
        <v>0.04</v>
      </c>
      <c r="K1163" s="14" t="n">
        <v>0.04</v>
      </c>
      <c r="L1163" s="14" t="n">
        <v>11.63</v>
      </c>
      <c r="M1163" s="14" t="n">
        <v>11</v>
      </c>
      <c r="N1163" s="14" t="n">
        <v>3.06</v>
      </c>
      <c r="O1163" s="14" t="n">
        <v>2.69</v>
      </c>
      <c r="P1163" s="14" t="n">
        <v>0.08</v>
      </c>
      <c r="Q1163" s="14" t="n">
        <v>0.17</v>
      </c>
      <c r="R1163" s="14" t="n">
        <v>0</v>
      </c>
      <c r="S1163" s="14" t="n">
        <v>1.85</v>
      </c>
      <c r="T1163" s="14" t="n">
        <v>1.26</v>
      </c>
      <c r="U1163" s="14" t="n">
        <v>2.31</v>
      </c>
      <c r="V1163" s="14" t="n">
        <v>11.08</v>
      </c>
      <c r="W1163" s="14" t="n">
        <v>1.72</v>
      </c>
      <c r="X1163" s="14" t="n">
        <v>0.04</v>
      </c>
      <c r="Y1163" s="14" t="n">
        <v>2.73</v>
      </c>
      <c r="Z1163" s="14" t="n">
        <v>0.17</v>
      </c>
      <c r="AA1163" s="14" t="n">
        <v>0</v>
      </c>
    </row>
    <row r="1164">
      <c r="A1164" t="inlineStr">
        <is>
          <t>061003</t>
        </is>
      </c>
      <c r="B1164" t="inlineStr">
        <is>
          <t>CAJAMARCA</t>
        </is>
      </c>
      <c r="C1164" t="inlineStr">
        <is>
          <t>SAN MARCOS</t>
        </is>
      </c>
      <c r="D1164" t="inlineStr">
        <is>
          <t>EDUARDO VILLANUEVA</t>
        </is>
      </c>
      <c r="E1164" t="n">
        <v>739</v>
      </c>
      <c r="F1164" s="14" t="n">
        <v>0</v>
      </c>
      <c r="G1164" s="14" t="n">
        <v>54.94</v>
      </c>
      <c r="H1164" s="14" t="n">
        <v>0.14</v>
      </c>
      <c r="I1164" s="14" t="n">
        <v>7.98</v>
      </c>
      <c r="J1164" s="14" t="n">
        <v>0.14</v>
      </c>
      <c r="K1164" s="14" t="n">
        <v>0.14</v>
      </c>
      <c r="L1164" s="14" t="n">
        <v>5.55</v>
      </c>
      <c r="M1164" s="14" t="n">
        <v>9.470000000000001</v>
      </c>
      <c r="N1164" s="14" t="n">
        <v>3.79</v>
      </c>
      <c r="O1164" s="14" t="n">
        <v>4.6</v>
      </c>
      <c r="P1164" s="14" t="n">
        <v>0.14</v>
      </c>
      <c r="Q1164" s="14" t="n">
        <v>0</v>
      </c>
      <c r="R1164" s="14" t="n">
        <v>0</v>
      </c>
      <c r="S1164" s="14" t="n">
        <v>1.49</v>
      </c>
      <c r="T1164" s="14" t="n">
        <v>0.41</v>
      </c>
      <c r="U1164" s="14" t="n">
        <v>2.84</v>
      </c>
      <c r="V1164" s="14" t="n">
        <v>4.74</v>
      </c>
      <c r="W1164" s="14" t="n">
        <v>0.41</v>
      </c>
      <c r="X1164" s="14" t="n">
        <v>0.14</v>
      </c>
      <c r="Y1164" s="14" t="n">
        <v>0.8100000000000001</v>
      </c>
      <c r="Z1164" s="14" t="n">
        <v>2.3</v>
      </c>
      <c r="AA1164" s="14" t="n">
        <v>0</v>
      </c>
    </row>
    <row r="1165">
      <c r="A1165" t="inlineStr">
        <is>
          <t>090406</t>
        </is>
      </c>
      <c r="B1165" t="inlineStr">
        <is>
          <t>HUANCAVELICA</t>
        </is>
      </c>
      <c r="C1165" t="inlineStr">
        <is>
          <t>CASTROVIRREYNA</t>
        </is>
      </c>
      <c r="D1165" t="inlineStr">
        <is>
          <t>COCAS</t>
        </is>
      </c>
      <c r="E1165" t="n">
        <v>186</v>
      </c>
      <c r="F1165" s="14" t="n">
        <v>0</v>
      </c>
      <c r="G1165" s="14" t="n">
        <v>76.34</v>
      </c>
      <c r="H1165" s="14" t="n">
        <v>0.54</v>
      </c>
      <c r="I1165" s="14" t="n">
        <v>0</v>
      </c>
      <c r="J1165" s="14" t="n">
        <v>0</v>
      </c>
      <c r="K1165" s="14" t="n">
        <v>0</v>
      </c>
      <c r="L1165" s="14" t="n">
        <v>2.69</v>
      </c>
      <c r="M1165" s="14" t="n">
        <v>4.84</v>
      </c>
      <c r="N1165" s="14" t="n">
        <v>0.54</v>
      </c>
      <c r="O1165" s="14" t="n">
        <v>0</v>
      </c>
      <c r="P1165" s="14" t="n">
        <v>0</v>
      </c>
      <c r="Q1165" s="14" t="n">
        <v>0</v>
      </c>
      <c r="R1165" s="14" t="n">
        <v>0</v>
      </c>
      <c r="S1165" s="14" t="n">
        <v>0</v>
      </c>
      <c r="T1165" s="14" t="n">
        <v>0</v>
      </c>
      <c r="U1165" s="14" t="n">
        <v>5.38</v>
      </c>
      <c r="V1165" s="14" t="n">
        <v>8.6</v>
      </c>
      <c r="W1165" s="14" t="n">
        <v>1.08</v>
      </c>
      <c r="X1165" s="14" t="n">
        <v>0</v>
      </c>
      <c r="Y1165" s="14" t="n">
        <v>0</v>
      </c>
      <c r="Z1165" s="14" t="n">
        <v>0</v>
      </c>
      <c r="AA1165" s="14" t="n">
        <v>0</v>
      </c>
    </row>
    <row r="1166">
      <c r="A1166" t="inlineStr">
        <is>
          <t>051012</t>
        </is>
      </c>
      <c r="B1166" t="inlineStr">
        <is>
          <t>AYACUCHO</t>
        </is>
      </c>
      <c r="C1166" t="inlineStr">
        <is>
          <t>VICTOR FAJARDO</t>
        </is>
      </c>
      <c r="D1166" t="inlineStr">
        <is>
          <t>VILCANCHOS</t>
        </is>
      </c>
      <c r="E1166" t="n">
        <v>800</v>
      </c>
      <c r="F1166" s="14" t="n">
        <v>0</v>
      </c>
      <c r="G1166" s="14" t="n">
        <v>80.25</v>
      </c>
      <c r="H1166" s="14" t="n">
        <v>0.13</v>
      </c>
      <c r="I1166" s="14" t="n">
        <v>1</v>
      </c>
      <c r="J1166" s="14" t="n">
        <v>0</v>
      </c>
      <c r="K1166" s="14" t="n">
        <v>0</v>
      </c>
      <c r="L1166" s="14" t="n">
        <v>5.13</v>
      </c>
      <c r="M1166" s="14" t="n">
        <v>6.63</v>
      </c>
      <c r="N1166" s="14" t="n">
        <v>0.5</v>
      </c>
      <c r="O1166" s="14" t="n">
        <v>0.75</v>
      </c>
      <c r="P1166" s="14" t="n">
        <v>0.25</v>
      </c>
      <c r="Q1166" s="14" t="n">
        <v>0</v>
      </c>
      <c r="R1166" s="14" t="n">
        <v>0</v>
      </c>
      <c r="S1166" s="14" t="n">
        <v>1</v>
      </c>
      <c r="T1166" s="14" t="n">
        <v>0.13</v>
      </c>
      <c r="U1166" s="14" t="n">
        <v>2</v>
      </c>
      <c r="V1166" s="14" t="n">
        <v>1.38</v>
      </c>
      <c r="W1166" s="14" t="n">
        <v>0.5</v>
      </c>
      <c r="X1166" s="14" t="n">
        <v>0.13</v>
      </c>
      <c r="Y1166" s="14" t="n">
        <v>0.13</v>
      </c>
      <c r="Z1166" s="14" t="n">
        <v>0.13</v>
      </c>
      <c r="AA1166" s="14" t="n">
        <v>0</v>
      </c>
    </row>
    <row r="1167">
      <c r="A1167" t="inlineStr">
        <is>
          <t>020204</t>
        </is>
      </c>
      <c r="B1167" t="inlineStr">
        <is>
          <t>ANCASH</t>
        </is>
      </c>
      <c r="C1167" t="inlineStr">
        <is>
          <t>AIJA</t>
        </is>
      </c>
      <c r="D1167" t="inlineStr">
        <is>
          <t>LA MERCED</t>
        </is>
      </c>
      <c r="E1167" t="n">
        <v>401</v>
      </c>
      <c r="F1167" s="14" t="n">
        <v>0</v>
      </c>
      <c r="G1167" s="14" t="n">
        <v>61.1</v>
      </c>
      <c r="H1167" s="14" t="n">
        <v>5.99</v>
      </c>
      <c r="I1167" s="14" t="n">
        <v>2.24</v>
      </c>
      <c r="J1167" s="14" t="n">
        <v>0</v>
      </c>
      <c r="K1167" s="14" t="n">
        <v>0</v>
      </c>
      <c r="L1167" s="14" t="n">
        <v>9.73</v>
      </c>
      <c r="M1167" s="14" t="n">
        <v>3.49</v>
      </c>
      <c r="N1167" s="14" t="n">
        <v>2</v>
      </c>
      <c r="O1167" s="14" t="n">
        <v>1.25</v>
      </c>
      <c r="P1167" s="14" t="n">
        <v>0</v>
      </c>
      <c r="Q1167" s="14" t="n">
        <v>0</v>
      </c>
      <c r="R1167" s="14" t="n">
        <v>0</v>
      </c>
      <c r="S1167" s="14" t="n">
        <v>1.5</v>
      </c>
      <c r="T1167" s="14" t="n">
        <v>0.75</v>
      </c>
      <c r="U1167" s="14" t="n">
        <v>3.49</v>
      </c>
      <c r="V1167" s="14" t="n">
        <v>7.48</v>
      </c>
      <c r="W1167" s="14" t="n">
        <v>0.5</v>
      </c>
      <c r="X1167" s="14" t="n">
        <v>0</v>
      </c>
      <c r="Y1167" s="14" t="n">
        <v>0.5</v>
      </c>
      <c r="Z1167" s="14" t="n">
        <v>0</v>
      </c>
      <c r="AA1167" s="14" t="n">
        <v>0</v>
      </c>
    </row>
    <row r="1168">
      <c r="A1168" t="inlineStr">
        <is>
          <t>061112</t>
        </is>
      </c>
      <c r="B1168" t="inlineStr">
        <is>
          <t>CAJAMARCA</t>
        </is>
      </c>
      <c r="C1168" t="inlineStr">
        <is>
          <t>SAN MIGUEL</t>
        </is>
      </c>
      <c r="D1168" t="inlineStr">
        <is>
          <t>TONGOD</t>
        </is>
      </c>
      <c r="E1168" t="n">
        <v>835</v>
      </c>
      <c r="F1168" s="14" t="n">
        <v>0</v>
      </c>
      <c r="G1168" s="14" t="n">
        <v>73.77</v>
      </c>
      <c r="H1168" s="14" t="n">
        <v>0.24</v>
      </c>
      <c r="I1168" s="14" t="n">
        <v>1.56</v>
      </c>
      <c r="J1168" s="14" t="n">
        <v>0</v>
      </c>
      <c r="K1168" s="14" t="n">
        <v>0</v>
      </c>
      <c r="L1168" s="14" t="n">
        <v>2.51</v>
      </c>
      <c r="M1168" s="14" t="n">
        <v>8.859999999999999</v>
      </c>
      <c r="N1168" s="14" t="n">
        <v>2.28</v>
      </c>
      <c r="O1168" s="14" t="n">
        <v>1.44</v>
      </c>
      <c r="P1168" s="14" t="n">
        <v>0.12</v>
      </c>
      <c r="Q1168" s="14" t="n">
        <v>0.12</v>
      </c>
      <c r="R1168" s="14" t="n">
        <v>0</v>
      </c>
      <c r="S1168" s="14" t="n">
        <v>0.72</v>
      </c>
      <c r="T1168" s="14" t="n">
        <v>0.24</v>
      </c>
      <c r="U1168" s="14" t="n">
        <v>1.8</v>
      </c>
      <c r="V1168" s="14" t="n">
        <v>4.55</v>
      </c>
      <c r="W1168" s="14" t="n">
        <v>0.6</v>
      </c>
      <c r="X1168" s="14" t="n">
        <v>0.12</v>
      </c>
      <c r="Y1168" s="14" t="n">
        <v>0.36</v>
      </c>
      <c r="Z1168" s="14" t="n">
        <v>0.72</v>
      </c>
      <c r="AA1168" s="14" t="n">
        <v>0</v>
      </c>
    </row>
    <row r="1169">
      <c r="A1169" t="inlineStr">
        <is>
          <t>061204</t>
        </is>
      </c>
      <c r="B1169" t="inlineStr">
        <is>
          <t>CAJAMARCA</t>
        </is>
      </c>
      <c r="C1169" t="inlineStr">
        <is>
          <t>SAN PABLO</t>
        </is>
      </c>
      <c r="D1169" t="inlineStr">
        <is>
          <t>TUMBADEN</t>
        </is>
      </c>
      <c r="E1169" t="n">
        <v>1090</v>
      </c>
      <c r="F1169" s="14" t="n">
        <v>0</v>
      </c>
      <c r="G1169" s="14" t="n">
        <v>83.03</v>
      </c>
      <c r="H1169" s="14" t="n">
        <v>0</v>
      </c>
      <c r="I1169" s="14" t="n">
        <v>4.95</v>
      </c>
      <c r="J1169" s="14" t="n">
        <v>0</v>
      </c>
      <c r="K1169" s="14" t="n">
        <v>0</v>
      </c>
      <c r="L1169" s="14" t="n">
        <v>4.22</v>
      </c>
      <c r="M1169" s="14" t="n">
        <v>1.19</v>
      </c>
      <c r="N1169" s="14" t="n">
        <v>1.83</v>
      </c>
      <c r="O1169" s="14" t="n">
        <v>0.73</v>
      </c>
      <c r="P1169" s="14" t="n">
        <v>0.09</v>
      </c>
      <c r="Q1169" s="14" t="n">
        <v>0</v>
      </c>
      <c r="R1169" s="14" t="n">
        <v>0</v>
      </c>
      <c r="S1169" s="14" t="n">
        <v>0.18</v>
      </c>
      <c r="T1169" s="14" t="n">
        <v>0.18</v>
      </c>
      <c r="U1169" s="14" t="n">
        <v>1.19</v>
      </c>
      <c r="V1169" s="14" t="n">
        <v>1.38</v>
      </c>
      <c r="W1169" s="14" t="n">
        <v>0.37</v>
      </c>
      <c r="X1169" s="14" t="n">
        <v>0</v>
      </c>
      <c r="Y1169" s="14" t="n">
        <v>0.46</v>
      </c>
      <c r="Z1169" s="14" t="n">
        <v>0.18</v>
      </c>
      <c r="AA1169" s="14" t="n">
        <v>0</v>
      </c>
    </row>
    <row r="1170">
      <c r="A1170" t="inlineStr">
        <is>
          <t>060606</t>
        </is>
      </c>
      <c r="B1170" t="inlineStr">
        <is>
          <t>CAJAMARCA</t>
        </is>
      </c>
      <c r="C1170" t="inlineStr">
        <is>
          <t>CUTERVO</t>
        </is>
      </c>
      <c r="D1170" t="inlineStr">
        <is>
          <t>PIMPINGOS</t>
        </is>
      </c>
      <c r="E1170" t="n">
        <v>1636</v>
      </c>
      <c r="F1170" s="14" t="n">
        <v>0</v>
      </c>
      <c r="G1170" s="14" t="n">
        <v>87.29000000000001</v>
      </c>
      <c r="H1170" s="14" t="n">
        <v>0.06</v>
      </c>
      <c r="I1170" s="14" t="n">
        <v>0.24</v>
      </c>
      <c r="J1170" s="14" t="n">
        <v>0</v>
      </c>
      <c r="K1170" s="14" t="n">
        <v>0</v>
      </c>
      <c r="L1170" s="14" t="n">
        <v>1.1</v>
      </c>
      <c r="M1170" s="14" t="n">
        <v>2.14</v>
      </c>
      <c r="N1170" s="14" t="n">
        <v>0.55</v>
      </c>
      <c r="O1170" s="14" t="n">
        <v>0.49</v>
      </c>
      <c r="P1170" s="14" t="n">
        <v>0.06</v>
      </c>
      <c r="Q1170" s="14" t="n">
        <v>0.06</v>
      </c>
      <c r="R1170" s="14" t="n">
        <v>0</v>
      </c>
      <c r="S1170" s="14" t="n">
        <v>0.37</v>
      </c>
      <c r="T1170" s="14" t="n">
        <v>0</v>
      </c>
      <c r="U1170" s="14" t="n">
        <v>1.53</v>
      </c>
      <c r="V1170" s="14" t="n">
        <v>4.77</v>
      </c>
      <c r="W1170" s="14" t="n">
        <v>1.16</v>
      </c>
      <c r="X1170" s="14" t="n">
        <v>0.06</v>
      </c>
      <c r="Y1170" s="14" t="n">
        <v>0.12</v>
      </c>
      <c r="Z1170" s="14" t="n">
        <v>0</v>
      </c>
      <c r="AA1170" s="14" t="n">
        <v>0</v>
      </c>
    </row>
    <row r="1171">
      <c r="A1171" t="inlineStr">
        <is>
          <t>050406</t>
        </is>
      </c>
      <c r="B1171" t="inlineStr">
        <is>
          <t>AYACUCHO</t>
        </is>
      </c>
      <c r="C1171" t="inlineStr">
        <is>
          <t>HUANTA</t>
        </is>
      </c>
      <c r="D1171" t="inlineStr">
        <is>
          <t>SANTILLANA</t>
        </is>
      </c>
      <c r="E1171" t="n">
        <v>1164</v>
      </c>
      <c r="F1171" s="14" t="n">
        <v>0</v>
      </c>
      <c r="G1171" s="14" t="n">
        <v>79.3</v>
      </c>
      <c r="H1171" s="14" t="n">
        <v>0</v>
      </c>
      <c r="I1171" s="14" t="n">
        <v>0.86</v>
      </c>
      <c r="J1171" s="14" t="n">
        <v>0</v>
      </c>
      <c r="K1171" s="14" t="n">
        <v>0</v>
      </c>
      <c r="L1171" s="14" t="n">
        <v>3.01</v>
      </c>
      <c r="M1171" s="14" t="n">
        <v>3.26</v>
      </c>
      <c r="N1171" s="14" t="n">
        <v>1.29</v>
      </c>
      <c r="O1171" s="14" t="n">
        <v>1.98</v>
      </c>
      <c r="P1171" s="14" t="n">
        <v>0.34</v>
      </c>
      <c r="Q1171" s="14" t="n">
        <v>0.26</v>
      </c>
      <c r="R1171" s="14" t="n">
        <v>0</v>
      </c>
      <c r="S1171" s="14" t="n">
        <v>0.26</v>
      </c>
      <c r="T1171" s="14" t="n">
        <v>0.17</v>
      </c>
      <c r="U1171" s="14" t="n">
        <v>4.47</v>
      </c>
      <c r="V1171" s="14" t="n">
        <v>2.06</v>
      </c>
      <c r="W1171" s="14" t="n">
        <v>1.8</v>
      </c>
      <c r="X1171" s="14" t="n">
        <v>0.09</v>
      </c>
      <c r="Y1171" s="14" t="n">
        <v>0.6</v>
      </c>
      <c r="Z1171" s="14" t="n">
        <v>0.26</v>
      </c>
      <c r="AA1171" s="14" t="n">
        <v>0</v>
      </c>
    </row>
    <row r="1172">
      <c r="A1172" t="inlineStr">
        <is>
          <t>060306</t>
        </is>
      </c>
      <c r="B1172" t="inlineStr">
        <is>
          <t>CAJAMARCA</t>
        </is>
      </c>
      <c r="C1172" t="inlineStr">
        <is>
          <t>CELENDIN</t>
        </is>
      </c>
      <c r="D1172" t="inlineStr">
        <is>
          <t>JOSE GALVEZ</t>
        </is>
      </c>
      <c r="E1172" t="n">
        <v>731</v>
      </c>
      <c r="F1172" s="14" t="n">
        <v>0</v>
      </c>
      <c r="G1172" s="14" t="n">
        <v>52.94</v>
      </c>
      <c r="H1172" s="14" t="n">
        <v>0.14</v>
      </c>
      <c r="I1172" s="14" t="n">
        <v>8.76</v>
      </c>
      <c r="J1172" s="14" t="n">
        <v>0</v>
      </c>
      <c r="K1172" s="14" t="n">
        <v>0</v>
      </c>
      <c r="L1172" s="14" t="n">
        <v>3.97</v>
      </c>
      <c r="M1172" s="14" t="n">
        <v>7.11</v>
      </c>
      <c r="N1172" s="14" t="n">
        <v>5.34</v>
      </c>
      <c r="O1172" s="14" t="n">
        <v>0.68</v>
      </c>
      <c r="P1172" s="14" t="n">
        <v>0.14</v>
      </c>
      <c r="Q1172" s="14" t="n">
        <v>0.27</v>
      </c>
      <c r="R1172" s="14" t="n">
        <v>0</v>
      </c>
      <c r="S1172" s="14" t="n">
        <v>2.6</v>
      </c>
      <c r="T1172" s="14" t="n">
        <v>0.68</v>
      </c>
      <c r="U1172" s="14" t="n">
        <v>1.5</v>
      </c>
      <c r="V1172" s="14" t="n">
        <v>11.35</v>
      </c>
      <c r="W1172" s="14" t="n">
        <v>1.23</v>
      </c>
      <c r="X1172" s="14" t="n">
        <v>0</v>
      </c>
      <c r="Y1172" s="14" t="n">
        <v>1.92</v>
      </c>
      <c r="Z1172" s="14" t="n">
        <v>1.37</v>
      </c>
      <c r="AA1172" s="14" t="n">
        <v>0</v>
      </c>
    </row>
    <row r="1173">
      <c r="A1173" t="inlineStr">
        <is>
          <t>060703</t>
        </is>
      </c>
      <c r="B1173" t="inlineStr">
        <is>
          <t>CAJAMARCA</t>
        </is>
      </c>
      <c r="C1173" t="inlineStr">
        <is>
          <t>HUALGAYOC</t>
        </is>
      </c>
      <c r="D1173" t="inlineStr">
        <is>
          <t>HUALGAYOC</t>
        </is>
      </c>
      <c r="E1173" t="n">
        <v>5888</v>
      </c>
      <c r="F1173" s="14" t="n">
        <v>0</v>
      </c>
      <c r="G1173" s="14" t="n">
        <v>45.14</v>
      </c>
      <c r="H1173" s="14" t="n">
        <v>19.68</v>
      </c>
      <c r="I1173" s="14" t="n">
        <v>2.79</v>
      </c>
      <c r="J1173" s="14" t="n">
        <v>0.1</v>
      </c>
      <c r="K1173" s="14" t="n">
        <v>0.51</v>
      </c>
      <c r="L1173" s="14" t="n">
        <v>11.23</v>
      </c>
      <c r="M1173" s="14" t="n">
        <v>6.22</v>
      </c>
      <c r="N1173" s="14" t="n">
        <v>3.13</v>
      </c>
      <c r="O1173" s="14" t="n">
        <v>1.95</v>
      </c>
      <c r="P1173" s="14" t="n">
        <v>0.12</v>
      </c>
      <c r="Q1173" s="14" t="n">
        <v>0.02</v>
      </c>
      <c r="R1173" s="14" t="n">
        <v>0</v>
      </c>
      <c r="S1173" s="14" t="n">
        <v>1.73</v>
      </c>
      <c r="T1173" s="14" t="n">
        <v>2.26</v>
      </c>
      <c r="U1173" s="14" t="n">
        <v>1.26</v>
      </c>
      <c r="V1173" s="14" t="n">
        <v>1.19</v>
      </c>
      <c r="W1173" s="14" t="n">
        <v>0.46</v>
      </c>
      <c r="X1173" s="14" t="n">
        <v>0.48</v>
      </c>
      <c r="Y1173" s="14" t="n">
        <v>1.26</v>
      </c>
      <c r="Z1173" s="14" t="n">
        <v>0.49</v>
      </c>
      <c r="AA1173" s="14" t="n">
        <v>0</v>
      </c>
    </row>
    <row r="1174">
      <c r="A1174" t="inlineStr">
        <is>
          <t>081205</t>
        </is>
      </c>
      <c r="B1174" t="inlineStr">
        <is>
          <t>CUSCO</t>
        </is>
      </c>
      <c r="C1174" t="inlineStr">
        <is>
          <t>QUISPICANCHI</t>
        </is>
      </c>
      <c r="D1174" t="inlineStr">
        <is>
          <t>CCATCA</t>
        </is>
      </c>
      <c r="E1174" t="n">
        <v>2203</v>
      </c>
      <c r="F1174" s="14" t="n">
        <v>0</v>
      </c>
      <c r="G1174" s="14" t="n">
        <v>70.09</v>
      </c>
      <c r="H1174" s="14" t="n">
        <v>0.86</v>
      </c>
      <c r="I1174" s="14" t="n">
        <v>3.63</v>
      </c>
      <c r="J1174" s="14" t="n">
        <v>0</v>
      </c>
      <c r="K1174" s="14" t="n">
        <v>0</v>
      </c>
      <c r="L1174" s="14" t="n">
        <v>5.49</v>
      </c>
      <c r="M1174" s="14" t="n">
        <v>7.49</v>
      </c>
      <c r="N1174" s="14" t="n">
        <v>2.63</v>
      </c>
      <c r="O1174" s="14" t="n">
        <v>2.68</v>
      </c>
      <c r="P1174" s="14" t="n">
        <v>0.09</v>
      </c>
      <c r="Q1174" s="14" t="n">
        <v>0</v>
      </c>
      <c r="R1174" s="14" t="n">
        <v>0</v>
      </c>
      <c r="S1174" s="14" t="n">
        <v>0.91</v>
      </c>
      <c r="T1174" s="14" t="n">
        <v>0.36</v>
      </c>
      <c r="U1174" s="14" t="n">
        <v>2.54</v>
      </c>
      <c r="V1174" s="14" t="n">
        <v>0.86</v>
      </c>
      <c r="W1174" s="14" t="n">
        <v>1.23</v>
      </c>
      <c r="X1174" s="14" t="n">
        <v>0.09</v>
      </c>
      <c r="Y1174" s="14" t="n">
        <v>0.73</v>
      </c>
      <c r="Z1174" s="14" t="n">
        <v>0.32</v>
      </c>
      <c r="AA1174" s="14" t="n">
        <v>0</v>
      </c>
    </row>
    <row r="1175">
      <c r="A1175" t="inlineStr">
        <is>
          <t>061109</t>
        </is>
      </c>
      <c r="B1175" t="inlineStr">
        <is>
          <t>CAJAMARCA</t>
        </is>
      </c>
      <c r="C1175" t="inlineStr">
        <is>
          <t>SAN MIGUEL</t>
        </is>
      </c>
      <c r="D1175" t="inlineStr">
        <is>
          <t>NIEPOS</t>
        </is>
      </c>
      <c r="E1175" t="n">
        <v>904</v>
      </c>
      <c r="F1175" s="14" t="n">
        <v>0</v>
      </c>
      <c r="G1175" s="14" t="n">
        <v>66.81</v>
      </c>
      <c r="H1175" s="14" t="n">
        <v>0.11</v>
      </c>
      <c r="I1175" s="14" t="n">
        <v>3.65</v>
      </c>
      <c r="J1175" s="14" t="n">
        <v>0.11</v>
      </c>
      <c r="K1175" s="14" t="n">
        <v>0</v>
      </c>
      <c r="L1175" s="14" t="n">
        <v>2.43</v>
      </c>
      <c r="M1175" s="14" t="n">
        <v>8.52</v>
      </c>
      <c r="N1175" s="14" t="n">
        <v>1.11</v>
      </c>
      <c r="O1175" s="14" t="n">
        <v>1.77</v>
      </c>
      <c r="P1175" s="14" t="n">
        <v>0.11</v>
      </c>
      <c r="Q1175" s="14" t="n">
        <v>0</v>
      </c>
      <c r="R1175" s="14" t="n">
        <v>0</v>
      </c>
      <c r="S1175" s="14" t="n">
        <v>1.33</v>
      </c>
      <c r="T1175" s="14" t="n">
        <v>0.55</v>
      </c>
      <c r="U1175" s="14" t="n">
        <v>2.32</v>
      </c>
      <c r="V1175" s="14" t="n">
        <v>7.63</v>
      </c>
      <c r="W1175" s="14" t="n">
        <v>1.44</v>
      </c>
      <c r="X1175" s="14" t="n">
        <v>0.11</v>
      </c>
      <c r="Y1175" s="14" t="n">
        <v>0.55</v>
      </c>
      <c r="Z1175" s="14" t="n">
        <v>1.44</v>
      </c>
      <c r="AA1175" s="14" t="n">
        <v>0</v>
      </c>
    </row>
    <row r="1176">
      <c r="A1176" t="inlineStr">
        <is>
          <t>050202</t>
        </is>
      </c>
      <c r="B1176" t="inlineStr">
        <is>
          <t>AYACUCHO</t>
        </is>
      </c>
      <c r="C1176" t="inlineStr">
        <is>
          <t>CANGALLO</t>
        </is>
      </c>
      <c r="D1176" t="inlineStr">
        <is>
          <t>CHUSCHI</t>
        </is>
      </c>
      <c r="E1176" t="n">
        <v>3311</v>
      </c>
      <c r="F1176" s="14" t="n">
        <v>0</v>
      </c>
      <c r="G1176" s="14" t="n">
        <v>63.85</v>
      </c>
      <c r="H1176" s="14" t="n">
        <v>0.18</v>
      </c>
      <c r="I1176" s="14" t="n">
        <v>2.72</v>
      </c>
      <c r="J1176" s="14" t="n">
        <v>0</v>
      </c>
      <c r="K1176" s="14" t="n">
        <v>0</v>
      </c>
      <c r="L1176" s="14" t="n">
        <v>11.63</v>
      </c>
      <c r="M1176" s="14" t="n">
        <v>8.609999999999999</v>
      </c>
      <c r="N1176" s="14" t="n">
        <v>2.39</v>
      </c>
      <c r="O1176" s="14" t="n">
        <v>2.05</v>
      </c>
      <c r="P1176" s="14" t="n">
        <v>0.03</v>
      </c>
      <c r="Q1176" s="14" t="n">
        <v>0.03</v>
      </c>
      <c r="R1176" s="14" t="n">
        <v>0.03</v>
      </c>
      <c r="S1176" s="14" t="n">
        <v>0.6899999999999999</v>
      </c>
      <c r="T1176" s="14" t="n">
        <v>0.45</v>
      </c>
      <c r="U1176" s="14" t="n">
        <v>2.11</v>
      </c>
      <c r="V1176" s="14" t="n">
        <v>2.51</v>
      </c>
      <c r="W1176" s="14" t="n">
        <v>1.93</v>
      </c>
      <c r="X1176" s="14" t="n">
        <v>0.06</v>
      </c>
      <c r="Y1176" s="14" t="n">
        <v>0.42</v>
      </c>
      <c r="Z1176" s="14" t="n">
        <v>0.3</v>
      </c>
      <c r="AA1176" s="14" t="n">
        <v>0</v>
      </c>
    </row>
    <row r="1177">
      <c r="A1177" t="inlineStr">
        <is>
          <t>060409</t>
        </is>
      </c>
      <c r="B1177" t="inlineStr">
        <is>
          <t>CAJAMARCA</t>
        </is>
      </c>
      <c r="C1177" t="inlineStr">
        <is>
          <t>CHOTA</t>
        </is>
      </c>
      <c r="D1177" t="inlineStr">
        <is>
          <t>HUAMBOS</t>
        </is>
      </c>
      <c r="E1177" t="n">
        <v>2325</v>
      </c>
      <c r="F1177" s="14" t="n">
        <v>0</v>
      </c>
      <c r="G1177" s="14" t="n">
        <v>79.34999999999999</v>
      </c>
      <c r="H1177" s="14" t="n">
        <v>0</v>
      </c>
      <c r="I1177" s="14" t="n">
        <v>2.02</v>
      </c>
      <c r="J1177" s="14" t="n">
        <v>0</v>
      </c>
      <c r="K1177" s="14" t="n">
        <v>0.04</v>
      </c>
      <c r="L1177" s="14" t="n">
        <v>0.99</v>
      </c>
      <c r="M1177" s="14" t="n">
        <v>5.03</v>
      </c>
      <c r="N1177" s="14" t="n">
        <v>2.15</v>
      </c>
      <c r="O1177" s="14" t="n">
        <v>1.55</v>
      </c>
      <c r="P1177" s="14" t="n">
        <v>0.13</v>
      </c>
      <c r="Q1177" s="14" t="n">
        <v>0.17</v>
      </c>
      <c r="R1177" s="14" t="n">
        <v>0</v>
      </c>
      <c r="S1177" s="14" t="n">
        <v>0.6899999999999999</v>
      </c>
      <c r="T1177" s="14" t="n">
        <v>0.34</v>
      </c>
      <c r="U1177" s="14" t="n">
        <v>2.32</v>
      </c>
      <c r="V1177" s="14" t="n">
        <v>2.67</v>
      </c>
      <c r="W1177" s="14" t="n">
        <v>1.08</v>
      </c>
      <c r="X1177" s="14" t="n">
        <v>0.04</v>
      </c>
      <c r="Y1177" s="14" t="n">
        <v>0.6899999999999999</v>
      </c>
      <c r="Z1177" s="14" t="n">
        <v>0.73</v>
      </c>
      <c r="AA1177" s="14" t="n">
        <v>0</v>
      </c>
    </row>
    <row r="1178">
      <c r="A1178" t="inlineStr">
        <is>
          <t>050909</t>
        </is>
      </c>
      <c r="B1178" t="inlineStr">
        <is>
          <t>AYACUCHO</t>
        </is>
      </c>
      <c r="C1178" t="inlineStr">
        <is>
          <t>SUCRE</t>
        </is>
      </c>
      <c r="D1178" t="inlineStr">
        <is>
          <t>SAN SALVADOR DE QUIJE</t>
        </is>
      </c>
      <c r="E1178" t="n">
        <v>284</v>
      </c>
      <c r="F1178" s="14" t="n">
        <v>0</v>
      </c>
      <c r="G1178" s="14" t="n">
        <v>79.23</v>
      </c>
      <c r="H1178" s="14" t="n">
        <v>0</v>
      </c>
      <c r="I1178" s="14" t="n">
        <v>1.41</v>
      </c>
      <c r="J1178" s="14" t="n">
        <v>0</v>
      </c>
      <c r="K1178" s="14" t="n">
        <v>0</v>
      </c>
      <c r="L1178" s="14" t="n">
        <v>1.76</v>
      </c>
      <c r="M1178" s="14" t="n">
        <v>1.76</v>
      </c>
      <c r="N1178" s="14" t="n">
        <v>1.41</v>
      </c>
      <c r="O1178" s="14" t="n">
        <v>0</v>
      </c>
      <c r="P1178" s="14" t="n">
        <v>0</v>
      </c>
      <c r="Q1178" s="14" t="n">
        <v>0</v>
      </c>
      <c r="R1178" s="14" t="n">
        <v>0</v>
      </c>
      <c r="S1178" s="14" t="n">
        <v>0.7</v>
      </c>
      <c r="T1178" s="14" t="n">
        <v>0.7</v>
      </c>
      <c r="U1178" s="14" t="n">
        <v>1.41</v>
      </c>
      <c r="V1178" s="14" t="n">
        <v>8.449999999999999</v>
      </c>
      <c r="W1178" s="14" t="n">
        <v>2.11</v>
      </c>
      <c r="X1178" s="14" t="n">
        <v>0</v>
      </c>
      <c r="Y1178" s="14" t="n">
        <v>1.06</v>
      </c>
      <c r="Z1178" s="14" t="n">
        <v>0</v>
      </c>
      <c r="AA1178" s="14" t="n">
        <v>0</v>
      </c>
    </row>
    <row r="1179">
      <c r="A1179" t="inlineStr">
        <is>
          <t>050109</t>
        </is>
      </c>
      <c r="B1179" t="inlineStr">
        <is>
          <t>AYACUCHO</t>
        </is>
      </c>
      <c r="C1179" t="inlineStr">
        <is>
          <t>HUAMANGA</t>
        </is>
      </c>
      <c r="D1179" t="inlineStr">
        <is>
          <t>SAN JOSE DE TICLLAS</t>
        </is>
      </c>
      <c r="E1179" t="n">
        <v>299</v>
      </c>
      <c r="F1179" s="14" t="n">
        <v>0</v>
      </c>
      <c r="G1179" s="14" t="n">
        <v>75.25</v>
      </c>
      <c r="H1179" s="14" t="n">
        <v>0</v>
      </c>
      <c r="I1179" s="14" t="n">
        <v>2.34</v>
      </c>
      <c r="J1179" s="14" t="n">
        <v>0.33</v>
      </c>
      <c r="K1179" s="14" t="n">
        <v>0</v>
      </c>
      <c r="L1179" s="14" t="n">
        <v>3.01</v>
      </c>
      <c r="M1179" s="14" t="n">
        <v>12.04</v>
      </c>
      <c r="N1179" s="14" t="n">
        <v>1</v>
      </c>
      <c r="O1179" s="14" t="n">
        <v>0.33</v>
      </c>
      <c r="P1179" s="14" t="n">
        <v>0</v>
      </c>
      <c r="Q1179" s="14" t="n">
        <v>0</v>
      </c>
      <c r="R1179" s="14" t="n">
        <v>0</v>
      </c>
      <c r="S1179" s="14" t="n">
        <v>0.33</v>
      </c>
      <c r="T1179" s="14" t="n">
        <v>0.33</v>
      </c>
      <c r="U1179" s="14" t="n">
        <v>1.34</v>
      </c>
      <c r="V1179" s="14" t="n">
        <v>2.01</v>
      </c>
      <c r="W1179" s="14" t="n">
        <v>0.67</v>
      </c>
      <c r="X1179" s="14" t="n">
        <v>0</v>
      </c>
      <c r="Y1179" s="14" t="n">
        <v>1</v>
      </c>
      <c r="Z1179" s="14" t="n">
        <v>0</v>
      </c>
      <c r="AA1179" s="14" t="n">
        <v>0</v>
      </c>
    </row>
    <row r="1180">
      <c r="A1180" t="inlineStr">
        <is>
          <t>021901</t>
        </is>
      </c>
      <c r="B1180" t="inlineStr">
        <is>
          <t>ANCASH</t>
        </is>
      </c>
      <c r="C1180" t="inlineStr">
        <is>
          <t>SIHUAS</t>
        </is>
      </c>
      <c r="D1180" t="inlineStr">
        <is>
          <t>SIHUAS</t>
        </is>
      </c>
      <c r="E1180" t="n">
        <v>1787</v>
      </c>
      <c r="F1180" s="14" t="n">
        <v>0</v>
      </c>
      <c r="G1180" s="14" t="n">
        <v>21.15</v>
      </c>
      <c r="H1180" s="14" t="n">
        <v>0.17</v>
      </c>
      <c r="I1180" s="14" t="n">
        <v>2.97</v>
      </c>
      <c r="J1180" s="14" t="n">
        <v>0.45</v>
      </c>
      <c r="K1180" s="14" t="n">
        <v>0.06</v>
      </c>
      <c r="L1180" s="14" t="n">
        <v>5.93</v>
      </c>
      <c r="M1180" s="14" t="n">
        <v>14.61</v>
      </c>
      <c r="N1180" s="14" t="n">
        <v>4.14</v>
      </c>
      <c r="O1180" s="14" t="n">
        <v>5.15</v>
      </c>
      <c r="P1180" s="14" t="n">
        <v>0.17</v>
      </c>
      <c r="Q1180" s="14" t="n">
        <v>0.5</v>
      </c>
      <c r="R1180" s="14" t="n">
        <v>0</v>
      </c>
      <c r="S1180" s="14" t="n">
        <v>3.19</v>
      </c>
      <c r="T1180" s="14" t="n">
        <v>1.12</v>
      </c>
      <c r="U1180" s="14" t="n">
        <v>7.39</v>
      </c>
      <c r="V1180" s="14" t="n">
        <v>25.74</v>
      </c>
      <c r="W1180" s="14" t="n">
        <v>5.54</v>
      </c>
      <c r="X1180" s="14" t="n">
        <v>0.11</v>
      </c>
      <c r="Y1180" s="14" t="n">
        <v>0.95</v>
      </c>
      <c r="Z1180" s="14" t="n">
        <v>0.67</v>
      </c>
      <c r="AA1180" s="14" t="n">
        <v>0</v>
      </c>
    </row>
    <row r="1181">
      <c r="A1181" t="inlineStr">
        <is>
          <t>050205</t>
        </is>
      </c>
      <c r="B1181" t="inlineStr">
        <is>
          <t>AYACUCHO</t>
        </is>
      </c>
      <c r="C1181" t="inlineStr">
        <is>
          <t>CANGALLO</t>
        </is>
      </c>
      <c r="D1181" t="inlineStr">
        <is>
          <t>PARAS</t>
        </is>
      </c>
      <c r="E1181" t="n">
        <v>1135</v>
      </c>
      <c r="F1181" s="14" t="n">
        <v>0</v>
      </c>
      <c r="G1181" s="14" t="n">
        <v>67.40000000000001</v>
      </c>
      <c r="H1181" s="14" t="n">
        <v>1.06</v>
      </c>
      <c r="I1181" s="14" t="n">
        <v>1.76</v>
      </c>
      <c r="J1181" s="14" t="n">
        <v>0.09</v>
      </c>
      <c r="K1181" s="14" t="n">
        <v>0.18</v>
      </c>
      <c r="L1181" s="14" t="n">
        <v>12.33</v>
      </c>
      <c r="M1181" s="14" t="n">
        <v>7.93</v>
      </c>
      <c r="N1181" s="14" t="n">
        <v>1.06</v>
      </c>
      <c r="O1181" s="14" t="n">
        <v>1.15</v>
      </c>
      <c r="P1181" s="14" t="n">
        <v>0</v>
      </c>
      <c r="Q1181" s="14" t="n">
        <v>0</v>
      </c>
      <c r="R1181" s="14" t="n">
        <v>0</v>
      </c>
      <c r="S1181" s="14" t="n">
        <v>0.26</v>
      </c>
      <c r="T1181" s="14" t="n">
        <v>0.09</v>
      </c>
      <c r="U1181" s="14" t="n">
        <v>3.26</v>
      </c>
      <c r="V1181" s="14" t="n">
        <v>1.94</v>
      </c>
      <c r="W1181" s="14" t="n">
        <v>0.79</v>
      </c>
      <c r="X1181" s="14" t="n">
        <v>0</v>
      </c>
      <c r="Y1181" s="14" t="n">
        <v>0.7</v>
      </c>
      <c r="Z1181" s="14" t="n">
        <v>0</v>
      </c>
      <c r="AA1181" s="14" t="n">
        <v>0</v>
      </c>
    </row>
    <row r="1182">
      <c r="A1182" t="inlineStr">
        <is>
          <t>021601</t>
        </is>
      </c>
      <c r="B1182" t="inlineStr">
        <is>
          <t>ANCASH</t>
        </is>
      </c>
      <c r="C1182" t="inlineStr">
        <is>
          <t>POMABAMBA</t>
        </is>
      </c>
      <c r="D1182" t="inlineStr">
        <is>
          <t>POMABAMBA</t>
        </is>
      </c>
      <c r="E1182" t="n">
        <v>3347</v>
      </c>
      <c r="F1182" s="14" t="n">
        <v>0</v>
      </c>
      <c r="G1182" s="14" t="n">
        <v>35.4</v>
      </c>
      <c r="H1182" s="14" t="n">
        <v>0.15</v>
      </c>
      <c r="I1182" s="14" t="n">
        <v>2.96</v>
      </c>
      <c r="J1182" s="14" t="n">
        <v>0.03</v>
      </c>
      <c r="K1182" s="14" t="n">
        <v>0.06</v>
      </c>
      <c r="L1182" s="14" t="n">
        <v>3.82</v>
      </c>
      <c r="M1182" s="14" t="n">
        <v>9.619999999999999</v>
      </c>
      <c r="N1182" s="14" t="n">
        <v>2.69</v>
      </c>
      <c r="O1182" s="14" t="n">
        <v>3.26</v>
      </c>
      <c r="P1182" s="14" t="n">
        <v>0.21</v>
      </c>
      <c r="Q1182" s="14" t="n">
        <v>0.45</v>
      </c>
      <c r="R1182" s="14" t="n">
        <v>0</v>
      </c>
      <c r="S1182" s="14" t="n">
        <v>1.7</v>
      </c>
      <c r="T1182" s="14" t="n">
        <v>0.93</v>
      </c>
      <c r="U1182" s="14" t="n">
        <v>6.1</v>
      </c>
      <c r="V1182" s="14" t="n">
        <v>25.01</v>
      </c>
      <c r="W1182" s="14" t="n">
        <v>4.27</v>
      </c>
      <c r="X1182" s="14" t="n">
        <v>0.24</v>
      </c>
      <c r="Y1182" s="14" t="n">
        <v>1.79</v>
      </c>
      <c r="Z1182" s="14" t="n">
        <v>1.31</v>
      </c>
      <c r="AA1182" s="14" t="n">
        <v>0</v>
      </c>
    </row>
    <row r="1183">
      <c r="A1183" t="inlineStr">
        <is>
          <t>090403</t>
        </is>
      </c>
      <c r="B1183" t="inlineStr">
        <is>
          <t>HUANCAVELICA</t>
        </is>
      </c>
      <c r="C1183" t="inlineStr">
        <is>
          <t>CASTROVIRREYNA</t>
        </is>
      </c>
      <c r="D1183" t="inlineStr">
        <is>
          <t>AURAHUA</t>
        </is>
      </c>
      <c r="E1183" t="n">
        <v>374</v>
      </c>
      <c r="F1183" s="14" t="n">
        <v>0</v>
      </c>
      <c r="G1183" s="14" t="n">
        <v>72.98999999999999</v>
      </c>
      <c r="H1183" s="14" t="n">
        <v>0</v>
      </c>
      <c r="I1183" s="14" t="n">
        <v>0.53</v>
      </c>
      <c r="J1183" s="14" t="n">
        <v>0</v>
      </c>
      <c r="K1183" s="14" t="n">
        <v>0</v>
      </c>
      <c r="L1183" s="14" t="n">
        <v>2.41</v>
      </c>
      <c r="M1183" s="14" t="n">
        <v>4.81</v>
      </c>
      <c r="N1183" s="14" t="n">
        <v>0.27</v>
      </c>
      <c r="O1183" s="14" t="n">
        <v>1.07</v>
      </c>
      <c r="P1183" s="14" t="n">
        <v>0</v>
      </c>
      <c r="Q1183" s="14" t="n">
        <v>0</v>
      </c>
      <c r="R1183" s="14" t="n">
        <v>0</v>
      </c>
      <c r="S1183" s="14" t="n">
        <v>0.53</v>
      </c>
      <c r="T1183" s="14" t="n">
        <v>0</v>
      </c>
      <c r="U1183" s="14" t="n">
        <v>5.35</v>
      </c>
      <c r="V1183" s="14" t="n">
        <v>8.289999999999999</v>
      </c>
      <c r="W1183" s="14" t="n">
        <v>3.48</v>
      </c>
      <c r="X1183" s="14" t="n">
        <v>0</v>
      </c>
      <c r="Y1183" s="14" t="n">
        <v>0.27</v>
      </c>
      <c r="Z1183" s="14" t="n">
        <v>0</v>
      </c>
      <c r="AA1183" s="14" t="n">
        <v>0</v>
      </c>
    </row>
    <row r="1184">
      <c r="A1184" t="inlineStr">
        <is>
          <t>061001</t>
        </is>
      </c>
      <c r="B1184" t="inlineStr">
        <is>
          <t>CAJAMARCA</t>
        </is>
      </c>
      <c r="C1184" t="inlineStr">
        <is>
          <t>SAN MARCOS</t>
        </is>
      </c>
      <c r="D1184" t="inlineStr">
        <is>
          <t>PEDRO GALVEZ</t>
        </is>
      </c>
      <c r="E1184" t="n">
        <v>7068</v>
      </c>
      <c r="F1184" s="14" t="n">
        <v>0</v>
      </c>
      <c r="G1184" s="14" t="n">
        <v>46.07</v>
      </c>
      <c r="H1184" s="14" t="n">
        <v>0.31</v>
      </c>
      <c r="I1184" s="14" t="n">
        <v>3.3</v>
      </c>
      <c r="J1184" s="14" t="n">
        <v>0.11</v>
      </c>
      <c r="K1184" s="14" t="n">
        <v>0.1</v>
      </c>
      <c r="L1184" s="14" t="n">
        <v>4.8</v>
      </c>
      <c r="M1184" s="14" t="n">
        <v>14.87</v>
      </c>
      <c r="N1184" s="14" t="n">
        <v>3.99</v>
      </c>
      <c r="O1184" s="14" t="n">
        <v>3.59</v>
      </c>
      <c r="P1184" s="14" t="n">
        <v>0.2</v>
      </c>
      <c r="Q1184" s="14" t="n">
        <v>1</v>
      </c>
      <c r="R1184" s="14" t="n">
        <v>0.01</v>
      </c>
      <c r="S1184" s="14" t="n">
        <v>2.52</v>
      </c>
      <c r="T1184" s="14" t="n">
        <v>1.26</v>
      </c>
      <c r="U1184" s="14" t="n">
        <v>3.27</v>
      </c>
      <c r="V1184" s="14" t="n">
        <v>9.630000000000001</v>
      </c>
      <c r="W1184" s="14" t="n">
        <v>1.6</v>
      </c>
      <c r="X1184" s="14" t="n">
        <v>0.42</v>
      </c>
      <c r="Y1184" s="14" t="n">
        <v>1.29</v>
      </c>
      <c r="Z1184" s="14" t="n">
        <v>1.64</v>
      </c>
      <c r="AA1184" s="14" t="n">
        <v>0.01</v>
      </c>
    </row>
    <row r="1185">
      <c r="A1185" t="inlineStr">
        <is>
          <t>060112</t>
        </is>
      </c>
      <c r="B1185" t="inlineStr">
        <is>
          <t>CAJAMARCA</t>
        </is>
      </c>
      <c r="C1185" t="inlineStr">
        <is>
          <t>CAJAMARCA</t>
        </is>
      </c>
      <c r="D1185" t="inlineStr">
        <is>
          <t>SAN JUAN</t>
        </is>
      </c>
      <c r="E1185" t="n">
        <v>1164</v>
      </c>
      <c r="F1185" s="14" t="n">
        <v>0</v>
      </c>
      <c r="G1185" s="14" t="n">
        <v>67.78</v>
      </c>
      <c r="H1185" s="14" t="n">
        <v>0</v>
      </c>
      <c r="I1185" s="14" t="n">
        <v>2.66</v>
      </c>
      <c r="J1185" s="14" t="n">
        <v>0</v>
      </c>
      <c r="K1185" s="14" t="n">
        <v>0.43</v>
      </c>
      <c r="L1185" s="14" t="n">
        <v>7.65</v>
      </c>
      <c r="M1185" s="14" t="n">
        <v>5.15</v>
      </c>
      <c r="N1185" s="14" t="n">
        <v>3.61</v>
      </c>
      <c r="O1185" s="14" t="n">
        <v>1.72</v>
      </c>
      <c r="P1185" s="14" t="n">
        <v>0.09</v>
      </c>
      <c r="Q1185" s="14" t="n">
        <v>0.26</v>
      </c>
      <c r="R1185" s="14" t="n">
        <v>0</v>
      </c>
      <c r="S1185" s="14" t="n">
        <v>1.2</v>
      </c>
      <c r="T1185" s="14" t="n">
        <v>1.12</v>
      </c>
      <c r="U1185" s="14" t="n">
        <v>3.01</v>
      </c>
      <c r="V1185" s="14" t="n">
        <v>3.18</v>
      </c>
      <c r="W1185" s="14" t="n">
        <v>1.46</v>
      </c>
      <c r="X1185" s="14" t="n">
        <v>0</v>
      </c>
      <c r="Y1185" s="14" t="n">
        <v>0.34</v>
      </c>
      <c r="Z1185" s="14" t="n">
        <v>0.34</v>
      </c>
      <c r="AA1185" s="14" t="n">
        <v>0</v>
      </c>
    </row>
    <row r="1186">
      <c r="A1186" t="inlineStr">
        <is>
          <t>090109</t>
        </is>
      </c>
      <c r="B1186" t="inlineStr">
        <is>
          <t>HUANCAVELICA</t>
        </is>
      </c>
      <c r="C1186" t="inlineStr">
        <is>
          <t>HUANCAVELICA</t>
        </is>
      </c>
      <c r="D1186" t="inlineStr">
        <is>
          <t>LARIA</t>
        </is>
      </c>
      <c r="E1186" t="n">
        <v>183</v>
      </c>
      <c r="F1186" s="14" t="n">
        <v>0</v>
      </c>
      <c r="G1186" s="14" t="n">
        <v>79.23</v>
      </c>
      <c r="H1186" s="14" t="n">
        <v>0</v>
      </c>
      <c r="I1186" s="14" t="n">
        <v>0</v>
      </c>
      <c r="J1186" s="14" t="n">
        <v>0</v>
      </c>
      <c r="K1186" s="14" t="n">
        <v>0</v>
      </c>
      <c r="L1186" s="14" t="n">
        <v>1.09</v>
      </c>
      <c r="M1186" s="14" t="n">
        <v>8.199999999999999</v>
      </c>
      <c r="N1186" s="14" t="n">
        <v>0.55</v>
      </c>
      <c r="O1186" s="14" t="n">
        <v>0.55</v>
      </c>
      <c r="P1186" s="14" t="n">
        <v>0</v>
      </c>
      <c r="Q1186" s="14" t="n">
        <v>0</v>
      </c>
      <c r="R1186" s="14" t="n">
        <v>0</v>
      </c>
      <c r="S1186" s="14" t="n">
        <v>2.73</v>
      </c>
      <c r="T1186" s="14" t="n">
        <v>0.55</v>
      </c>
      <c r="U1186" s="14" t="n">
        <v>3.83</v>
      </c>
      <c r="V1186" s="14" t="n">
        <v>2.73</v>
      </c>
      <c r="W1186" s="14" t="n">
        <v>0.55</v>
      </c>
      <c r="X1186" s="14" t="n">
        <v>0</v>
      </c>
      <c r="Y1186" s="14" t="n">
        <v>0</v>
      </c>
      <c r="Z1186" s="14" t="n">
        <v>0</v>
      </c>
      <c r="AA1186" s="14" t="n">
        <v>0</v>
      </c>
    </row>
    <row r="1187">
      <c r="A1187" t="inlineStr">
        <is>
          <t>080505</t>
        </is>
      </c>
      <c r="B1187" t="inlineStr">
        <is>
          <t>CUSCO</t>
        </is>
      </c>
      <c r="C1187" t="inlineStr">
        <is>
          <t>CANAS</t>
        </is>
      </c>
      <c r="D1187" t="inlineStr">
        <is>
          <t>LAYO</t>
        </is>
      </c>
      <c r="E1187" t="n">
        <v>1103</v>
      </c>
      <c r="F1187" s="14" t="n">
        <v>0</v>
      </c>
      <c r="G1187" s="14" t="n">
        <v>78.15000000000001</v>
      </c>
      <c r="H1187" s="14" t="n">
        <v>0.18</v>
      </c>
      <c r="I1187" s="14" t="n">
        <v>1.09</v>
      </c>
      <c r="J1187" s="14" t="n">
        <v>0</v>
      </c>
      <c r="K1187" s="14" t="n">
        <v>0</v>
      </c>
      <c r="L1187" s="14" t="n">
        <v>4.9</v>
      </c>
      <c r="M1187" s="14" t="n">
        <v>5.26</v>
      </c>
      <c r="N1187" s="14" t="n">
        <v>2.36</v>
      </c>
      <c r="O1187" s="14" t="n">
        <v>1</v>
      </c>
      <c r="P1187" s="14" t="n">
        <v>0.09</v>
      </c>
      <c r="Q1187" s="14" t="n">
        <v>0.09</v>
      </c>
      <c r="R1187" s="14" t="n">
        <v>0</v>
      </c>
      <c r="S1187" s="14" t="n">
        <v>0.54</v>
      </c>
      <c r="T1187" s="14" t="n">
        <v>0.45</v>
      </c>
      <c r="U1187" s="14" t="n">
        <v>2.45</v>
      </c>
      <c r="V1187" s="14" t="n">
        <v>2.18</v>
      </c>
      <c r="W1187" s="14" t="n">
        <v>0.73</v>
      </c>
      <c r="X1187" s="14" t="n">
        <v>0</v>
      </c>
      <c r="Y1187" s="14" t="n">
        <v>0.36</v>
      </c>
      <c r="Z1187" s="14" t="n">
        <v>0.18</v>
      </c>
      <c r="AA1187" s="14" t="n">
        <v>0</v>
      </c>
    </row>
    <row r="1188">
      <c r="A1188" t="inlineStr">
        <is>
          <t>030218</t>
        </is>
      </c>
      <c r="B1188" t="inlineStr">
        <is>
          <t>APURIMAC</t>
        </is>
      </c>
      <c r="C1188" t="inlineStr">
        <is>
          <t>ANDAHUAYLAS</t>
        </is>
      </c>
      <c r="D1188" t="inlineStr">
        <is>
          <t>TURPO</t>
        </is>
      </c>
      <c r="E1188" t="n">
        <v>1079</v>
      </c>
      <c r="F1188" s="14" t="n">
        <v>0</v>
      </c>
      <c r="G1188" s="14" t="n">
        <v>90.64</v>
      </c>
      <c r="H1188" s="14" t="n">
        <v>0.09</v>
      </c>
      <c r="I1188" s="14" t="n">
        <v>0.37</v>
      </c>
      <c r="J1188" s="14" t="n">
        <v>0</v>
      </c>
      <c r="K1188" s="14" t="n">
        <v>0</v>
      </c>
      <c r="L1188" s="14" t="n">
        <v>1.48</v>
      </c>
      <c r="M1188" s="14" t="n">
        <v>2.59</v>
      </c>
      <c r="N1188" s="14" t="n">
        <v>0.37</v>
      </c>
      <c r="O1188" s="14" t="n">
        <v>1.02</v>
      </c>
      <c r="P1188" s="14" t="n">
        <v>0</v>
      </c>
      <c r="Q1188" s="14" t="n">
        <v>0</v>
      </c>
      <c r="R1188" s="14" t="n">
        <v>0</v>
      </c>
      <c r="S1188" s="14" t="n">
        <v>0.28</v>
      </c>
      <c r="T1188" s="14" t="n">
        <v>0.09</v>
      </c>
      <c r="U1188" s="14" t="n">
        <v>1.02</v>
      </c>
      <c r="V1188" s="14" t="n">
        <v>0.37</v>
      </c>
      <c r="W1188" s="14" t="n">
        <v>0.93</v>
      </c>
      <c r="X1188" s="14" t="n">
        <v>0</v>
      </c>
      <c r="Y1188" s="14" t="n">
        <v>0.46</v>
      </c>
      <c r="Z1188" s="14" t="n">
        <v>0.28</v>
      </c>
      <c r="AA1188" s="14" t="n">
        <v>0</v>
      </c>
    </row>
    <row r="1189">
      <c r="A1189" t="inlineStr">
        <is>
          <t>090705</t>
        </is>
      </c>
      <c r="B1189" t="inlineStr">
        <is>
          <t>HUANCAVELICA</t>
        </is>
      </c>
      <c r="C1189" t="inlineStr">
        <is>
          <t>TAYACAJA</t>
        </is>
      </c>
      <c r="D1189" t="inlineStr">
        <is>
          <t>COLCABAMBA</t>
        </is>
      </c>
      <c r="E1189" t="n">
        <v>3946</v>
      </c>
      <c r="F1189" s="14" t="n">
        <v>0</v>
      </c>
      <c r="G1189" s="14" t="n">
        <v>71.90000000000001</v>
      </c>
      <c r="H1189" s="14" t="n">
        <v>0.1</v>
      </c>
      <c r="I1189" s="14" t="n">
        <v>1.44</v>
      </c>
      <c r="J1189" s="14" t="n">
        <v>1.55</v>
      </c>
      <c r="K1189" s="14" t="n">
        <v>0.05</v>
      </c>
      <c r="L1189" s="14" t="n">
        <v>2.84</v>
      </c>
      <c r="M1189" s="14" t="n">
        <v>7.32</v>
      </c>
      <c r="N1189" s="14" t="n">
        <v>1.72</v>
      </c>
      <c r="O1189" s="14" t="n">
        <v>2.18</v>
      </c>
      <c r="P1189" s="14" t="n">
        <v>0.2</v>
      </c>
      <c r="Q1189" s="14" t="n">
        <v>0</v>
      </c>
      <c r="R1189" s="14" t="n">
        <v>0</v>
      </c>
      <c r="S1189" s="14" t="n">
        <v>0.84</v>
      </c>
      <c r="T1189" s="14" t="n">
        <v>1.39</v>
      </c>
      <c r="U1189" s="14" t="n">
        <v>3.75</v>
      </c>
      <c r="V1189" s="14" t="n">
        <v>2.41</v>
      </c>
      <c r="W1189" s="14" t="n">
        <v>1.34</v>
      </c>
      <c r="X1189" s="14" t="n">
        <v>0.08</v>
      </c>
      <c r="Y1189" s="14" t="n">
        <v>0.63</v>
      </c>
      <c r="Z1189" s="14" t="n">
        <v>0.25</v>
      </c>
      <c r="AA1189" s="14" t="n">
        <v>0</v>
      </c>
    </row>
    <row r="1190">
      <c r="A1190" t="inlineStr">
        <is>
          <t>060304</t>
        </is>
      </c>
      <c r="B1190" t="inlineStr">
        <is>
          <t>CAJAMARCA</t>
        </is>
      </c>
      <c r="C1190" t="inlineStr">
        <is>
          <t>CELENDIN</t>
        </is>
      </c>
      <c r="D1190" t="inlineStr">
        <is>
          <t>HUASMIN</t>
        </is>
      </c>
      <c r="E1190" t="n">
        <v>3028</v>
      </c>
      <c r="F1190" s="14" t="n">
        <v>0</v>
      </c>
      <c r="G1190" s="14" t="n">
        <v>82.40000000000001</v>
      </c>
      <c r="H1190" s="14" t="n">
        <v>0.03</v>
      </c>
      <c r="I1190" s="14" t="n">
        <v>8.220000000000001</v>
      </c>
      <c r="J1190" s="14" t="n">
        <v>0</v>
      </c>
      <c r="K1190" s="14" t="n">
        <v>0.03</v>
      </c>
      <c r="L1190" s="14" t="n">
        <v>1.19</v>
      </c>
      <c r="M1190" s="14" t="n">
        <v>3.4</v>
      </c>
      <c r="N1190" s="14" t="n">
        <v>0.43</v>
      </c>
      <c r="O1190" s="14" t="n">
        <v>0.5</v>
      </c>
      <c r="P1190" s="14" t="n">
        <v>0</v>
      </c>
      <c r="Q1190" s="14" t="n">
        <v>0</v>
      </c>
      <c r="R1190" s="14" t="n">
        <v>0</v>
      </c>
      <c r="S1190" s="14" t="n">
        <v>0.63</v>
      </c>
      <c r="T1190" s="14" t="n">
        <v>0.17</v>
      </c>
      <c r="U1190" s="14" t="n">
        <v>0.63</v>
      </c>
      <c r="V1190" s="14" t="n">
        <v>0.92</v>
      </c>
      <c r="W1190" s="14" t="n">
        <v>0.46</v>
      </c>
      <c r="X1190" s="14" t="n">
        <v>0</v>
      </c>
      <c r="Y1190" s="14" t="n">
        <v>0.4</v>
      </c>
      <c r="Z1190" s="14" t="n">
        <v>0.59</v>
      </c>
      <c r="AA1190" s="14" t="n">
        <v>0</v>
      </c>
    </row>
    <row r="1191">
      <c r="A1191" t="inlineStr">
        <is>
          <t>010609</t>
        </is>
      </c>
      <c r="B1191" t="inlineStr">
        <is>
          <t>AMAZONAS</t>
        </is>
      </c>
      <c r="C1191" t="inlineStr">
        <is>
          <t>RODRIGUEZ DE MENDOZA</t>
        </is>
      </c>
      <c r="D1191" t="inlineStr">
        <is>
          <t>OMIA</t>
        </is>
      </c>
      <c r="E1191" t="n">
        <v>3184</v>
      </c>
      <c r="F1191" s="14" t="n">
        <v>0</v>
      </c>
      <c r="G1191" s="14" t="n">
        <v>89.59999999999999</v>
      </c>
      <c r="H1191" s="14" t="n">
        <v>0</v>
      </c>
      <c r="I1191" s="14" t="n">
        <v>0.47</v>
      </c>
      <c r="J1191" s="14" t="n">
        <v>0.06</v>
      </c>
      <c r="K1191" s="14" t="n">
        <v>0</v>
      </c>
      <c r="L1191" s="14" t="n">
        <v>0.22</v>
      </c>
      <c r="M1191" s="14" t="n">
        <v>1.92</v>
      </c>
      <c r="N1191" s="14" t="n">
        <v>0.66</v>
      </c>
      <c r="O1191" s="14" t="n">
        <v>0.47</v>
      </c>
      <c r="P1191" s="14" t="n">
        <v>0</v>
      </c>
      <c r="Q1191" s="14" t="n">
        <v>0.06</v>
      </c>
      <c r="R1191" s="14" t="n">
        <v>0</v>
      </c>
      <c r="S1191" s="14" t="n">
        <v>0.09</v>
      </c>
      <c r="T1191" s="14" t="n">
        <v>0.16</v>
      </c>
      <c r="U1191" s="14" t="n">
        <v>0.57</v>
      </c>
      <c r="V1191" s="14" t="n">
        <v>4.46</v>
      </c>
      <c r="W1191" s="14" t="n">
        <v>0.82</v>
      </c>
      <c r="X1191" s="14" t="n">
        <v>0.03</v>
      </c>
      <c r="Y1191" s="14" t="n">
        <v>0.16</v>
      </c>
      <c r="Z1191" s="14" t="n">
        <v>0.25</v>
      </c>
      <c r="AA1191" s="14" t="n">
        <v>0</v>
      </c>
    </row>
    <row r="1192">
      <c r="A1192" t="inlineStr">
        <is>
          <t>050807</t>
        </is>
      </c>
      <c r="B1192" t="inlineStr">
        <is>
          <t>AYACUCHO</t>
        </is>
      </c>
      <c r="C1192" t="inlineStr">
        <is>
          <t>PAUCAR DEL SARA SARA</t>
        </is>
      </c>
      <c r="D1192" t="inlineStr">
        <is>
          <t>PARARCA</t>
        </is>
      </c>
      <c r="E1192" t="n">
        <v>130</v>
      </c>
      <c r="F1192" s="14" t="n">
        <v>0</v>
      </c>
      <c r="G1192" s="14" t="n">
        <v>66.92</v>
      </c>
      <c r="H1192" s="14" t="n">
        <v>0</v>
      </c>
      <c r="I1192" s="14" t="n">
        <v>0</v>
      </c>
      <c r="J1192" s="14" t="n">
        <v>0</v>
      </c>
      <c r="K1192" s="14" t="n">
        <v>0</v>
      </c>
      <c r="L1192" s="14" t="n">
        <v>3.08</v>
      </c>
      <c r="M1192" s="14" t="n">
        <v>6.15</v>
      </c>
      <c r="N1192" s="14" t="n">
        <v>1.54</v>
      </c>
      <c r="O1192" s="14" t="n">
        <v>1.54</v>
      </c>
      <c r="P1192" s="14" t="n">
        <v>0.77</v>
      </c>
      <c r="Q1192" s="14" t="n">
        <v>0</v>
      </c>
      <c r="R1192" s="14" t="n">
        <v>0</v>
      </c>
      <c r="S1192" s="14" t="n">
        <v>3.85</v>
      </c>
      <c r="T1192" s="14" t="n">
        <v>2.31</v>
      </c>
      <c r="U1192" s="14" t="n">
        <v>3.85</v>
      </c>
      <c r="V1192" s="14" t="n">
        <v>7.69</v>
      </c>
      <c r="W1192" s="14" t="n">
        <v>0.77</v>
      </c>
      <c r="X1192" s="14" t="n">
        <v>0.77</v>
      </c>
      <c r="Y1192" s="14" t="n">
        <v>0</v>
      </c>
      <c r="Z1192" s="14" t="n">
        <v>0.77</v>
      </c>
      <c r="AA1192" s="14" t="n">
        <v>0</v>
      </c>
    </row>
    <row r="1193">
      <c r="A1193" t="inlineStr">
        <is>
          <t>090707</t>
        </is>
      </c>
      <c r="B1193" t="inlineStr">
        <is>
          <t>HUANCAVELICA</t>
        </is>
      </c>
      <c r="C1193" t="inlineStr">
        <is>
          <t>TAYACAJA</t>
        </is>
      </c>
      <c r="D1193" t="inlineStr">
        <is>
          <t>HUACHOCOLPA</t>
        </is>
      </c>
      <c r="E1193" t="n">
        <v>784</v>
      </c>
      <c r="F1193" s="14" t="n">
        <v>0</v>
      </c>
      <c r="G1193" s="14" t="n">
        <v>71.81</v>
      </c>
      <c r="H1193" s="14" t="n">
        <v>0</v>
      </c>
      <c r="I1193" s="14" t="n">
        <v>0.77</v>
      </c>
      <c r="J1193" s="14" t="n">
        <v>0</v>
      </c>
      <c r="K1193" s="14" t="n">
        <v>0</v>
      </c>
      <c r="L1193" s="14" t="n">
        <v>1.4</v>
      </c>
      <c r="M1193" s="14" t="n">
        <v>4.59</v>
      </c>
      <c r="N1193" s="14" t="n">
        <v>0.89</v>
      </c>
      <c r="O1193" s="14" t="n">
        <v>1.15</v>
      </c>
      <c r="P1193" s="14" t="n">
        <v>0.13</v>
      </c>
      <c r="Q1193" s="14" t="n">
        <v>0</v>
      </c>
      <c r="R1193" s="14" t="n">
        <v>0</v>
      </c>
      <c r="S1193" s="14" t="n">
        <v>0.38</v>
      </c>
      <c r="T1193" s="14" t="n">
        <v>0.13</v>
      </c>
      <c r="U1193" s="14" t="n">
        <v>10.59</v>
      </c>
      <c r="V1193" s="14" t="n">
        <v>4.59</v>
      </c>
      <c r="W1193" s="14" t="n">
        <v>2.04</v>
      </c>
      <c r="X1193" s="14" t="n">
        <v>0</v>
      </c>
      <c r="Y1193" s="14" t="n">
        <v>0.77</v>
      </c>
      <c r="Z1193" s="14" t="n">
        <v>0.77</v>
      </c>
      <c r="AA1193" s="14" t="n">
        <v>0</v>
      </c>
    </row>
    <row r="1194">
      <c r="A1194" t="inlineStr">
        <is>
          <t>050506</t>
        </is>
      </c>
      <c r="B1194" t="inlineStr">
        <is>
          <t>AYACUCHO</t>
        </is>
      </c>
      <c r="C1194" t="inlineStr">
        <is>
          <t>LA MAR</t>
        </is>
      </c>
      <c r="D1194" t="inlineStr">
        <is>
          <t>LUIS CARRANZA</t>
        </is>
      </c>
      <c r="E1194" t="n">
        <v>230</v>
      </c>
      <c r="F1194" s="14" t="n">
        <v>0</v>
      </c>
      <c r="G1194" s="14" t="n">
        <v>85.65000000000001</v>
      </c>
      <c r="H1194" s="14" t="n">
        <v>0</v>
      </c>
      <c r="I1194" s="14" t="n">
        <v>0.87</v>
      </c>
      <c r="J1194" s="14" t="n">
        <v>0</v>
      </c>
      <c r="K1194" s="14" t="n">
        <v>0</v>
      </c>
      <c r="L1194" s="14" t="n">
        <v>0</v>
      </c>
      <c r="M1194" s="14" t="n">
        <v>1.3</v>
      </c>
      <c r="N1194" s="14" t="n">
        <v>0.43</v>
      </c>
      <c r="O1194" s="14" t="n">
        <v>0.43</v>
      </c>
      <c r="P1194" s="14" t="n">
        <v>0</v>
      </c>
      <c r="Q1194" s="14" t="n">
        <v>0</v>
      </c>
      <c r="R1194" s="14" t="n">
        <v>0</v>
      </c>
      <c r="S1194" s="14" t="n">
        <v>0.43</v>
      </c>
      <c r="T1194" s="14" t="n">
        <v>0</v>
      </c>
      <c r="U1194" s="14" t="n">
        <v>2.17</v>
      </c>
      <c r="V1194" s="14" t="n">
        <v>3.91</v>
      </c>
      <c r="W1194" s="14" t="n">
        <v>0.87</v>
      </c>
      <c r="X1194" s="14" t="n">
        <v>0</v>
      </c>
      <c r="Y1194" s="14" t="n">
        <v>3.91</v>
      </c>
      <c r="Z1194" s="14" t="n">
        <v>0</v>
      </c>
      <c r="AA1194" s="14" t="n">
        <v>0</v>
      </c>
    </row>
    <row r="1195">
      <c r="A1195" t="inlineStr">
        <is>
          <t>030108</t>
        </is>
      </c>
      <c r="B1195" t="inlineStr">
        <is>
          <t>APURIMAC</t>
        </is>
      </c>
      <c r="C1195" t="inlineStr">
        <is>
          <t>ABANCAY</t>
        </is>
      </c>
      <c r="D1195" t="inlineStr">
        <is>
          <t>SAN PEDRO DE CACHORA</t>
        </is>
      </c>
      <c r="E1195" t="n">
        <v>694</v>
      </c>
      <c r="F1195" s="14" t="n">
        <v>0</v>
      </c>
      <c r="G1195" s="14" t="n">
        <v>64.41</v>
      </c>
      <c r="H1195" s="14" t="n">
        <v>0.14</v>
      </c>
      <c r="I1195" s="14" t="n">
        <v>2.02</v>
      </c>
      <c r="J1195" s="14" t="n">
        <v>0</v>
      </c>
      <c r="K1195" s="14" t="n">
        <v>0</v>
      </c>
      <c r="L1195" s="14" t="n">
        <v>3.89</v>
      </c>
      <c r="M1195" s="14" t="n">
        <v>8.07</v>
      </c>
      <c r="N1195" s="14" t="n">
        <v>2.74</v>
      </c>
      <c r="O1195" s="14" t="n">
        <v>4.9</v>
      </c>
      <c r="P1195" s="14" t="n">
        <v>0.14</v>
      </c>
      <c r="Q1195" s="14" t="n">
        <v>0.14</v>
      </c>
      <c r="R1195" s="14" t="n">
        <v>0</v>
      </c>
      <c r="S1195" s="14" t="n">
        <v>0.72</v>
      </c>
      <c r="T1195" s="14" t="n">
        <v>0.43</v>
      </c>
      <c r="U1195" s="14" t="n">
        <v>4.61</v>
      </c>
      <c r="V1195" s="14" t="n">
        <v>3.89</v>
      </c>
      <c r="W1195" s="14" t="n">
        <v>3.17</v>
      </c>
      <c r="X1195" s="14" t="n">
        <v>0</v>
      </c>
      <c r="Y1195" s="14" t="n">
        <v>0.43</v>
      </c>
      <c r="Z1195" s="14" t="n">
        <v>0.29</v>
      </c>
      <c r="AA1195" s="14" t="n">
        <v>0</v>
      </c>
    </row>
    <row r="1196">
      <c r="A1196" t="inlineStr">
        <is>
          <t>060902</t>
        </is>
      </c>
      <c r="B1196" t="inlineStr">
        <is>
          <t>CAJAMARCA</t>
        </is>
      </c>
      <c r="C1196" t="inlineStr">
        <is>
          <t>SAN IGNACIO</t>
        </is>
      </c>
      <c r="D1196" t="inlineStr">
        <is>
          <t>CHIRINOS</t>
        </is>
      </c>
      <c r="E1196" t="n">
        <v>5792</v>
      </c>
      <c r="F1196" s="14" t="n">
        <v>0</v>
      </c>
      <c r="G1196" s="14" t="n">
        <v>84.59999999999999</v>
      </c>
      <c r="H1196" s="14" t="n">
        <v>0.02</v>
      </c>
      <c r="I1196" s="14" t="n">
        <v>0.64</v>
      </c>
      <c r="J1196" s="14" t="n">
        <v>0.02</v>
      </c>
      <c r="K1196" s="14" t="n">
        <v>0</v>
      </c>
      <c r="L1196" s="14" t="n">
        <v>0.88</v>
      </c>
      <c r="M1196" s="14" t="n">
        <v>4.33</v>
      </c>
      <c r="N1196" s="14" t="n">
        <v>1.23</v>
      </c>
      <c r="O1196" s="14" t="n">
        <v>1.78</v>
      </c>
      <c r="P1196" s="14" t="n">
        <v>0.05</v>
      </c>
      <c r="Q1196" s="14" t="n">
        <v>0.07000000000000001</v>
      </c>
      <c r="R1196" s="14" t="n">
        <v>0</v>
      </c>
      <c r="S1196" s="14" t="n">
        <v>0.36</v>
      </c>
      <c r="T1196" s="14" t="n">
        <v>0.17</v>
      </c>
      <c r="U1196" s="14" t="n">
        <v>1.19</v>
      </c>
      <c r="V1196" s="14" t="n">
        <v>3.11</v>
      </c>
      <c r="W1196" s="14" t="n">
        <v>0.73</v>
      </c>
      <c r="X1196" s="14" t="n">
        <v>0.09</v>
      </c>
      <c r="Y1196" s="14" t="n">
        <v>0.4</v>
      </c>
      <c r="Z1196" s="14" t="n">
        <v>0.35</v>
      </c>
      <c r="AA1196" s="14" t="n">
        <v>0</v>
      </c>
    </row>
    <row r="1197">
      <c r="A1197" t="inlineStr">
        <is>
          <t>021603</t>
        </is>
      </c>
      <c r="B1197" t="inlineStr">
        <is>
          <t>ANCASH</t>
        </is>
      </c>
      <c r="C1197" t="inlineStr">
        <is>
          <t>POMABAMBA</t>
        </is>
      </c>
      <c r="D1197" t="inlineStr">
        <is>
          <t>PAROBAMBA</t>
        </is>
      </c>
      <c r="E1197" t="n">
        <v>376</v>
      </c>
      <c r="F1197" s="14" t="n">
        <v>0</v>
      </c>
      <c r="G1197" s="14" t="n">
        <v>46.28</v>
      </c>
      <c r="H1197" s="14" t="n">
        <v>0.27</v>
      </c>
      <c r="I1197" s="14" t="n">
        <v>3.19</v>
      </c>
      <c r="J1197" s="14" t="n">
        <v>0</v>
      </c>
      <c r="K1197" s="14" t="n">
        <v>0</v>
      </c>
      <c r="L1197" s="14" t="n">
        <v>3.72</v>
      </c>
      <c r="M1197" s="14" t="n">
        <v>10.64</v>
      </c>
      <c r="N1197" s="14" t="n">
        <v>2.39</v>
      </c>
      <c r="O1197" s="14" t="n">
        <v>2.39</v>
      </c>
      <c r="P1197" s="14" t="n">
        <v>0.27</v>
      </c>
      <c r="Q1197" s="14" t="n">
        <v>0</v>
      </c>
      <c r="R1197" s="14" t="n">
        <v>0</v>
      </c>
      <c r="S1197" s="14" t="n">
        <v>2.66</v>
      </c>
      <c r="T1197" s="14" t="n">
        <v>0.27</v>
      </c>
      <c r="U1197" s="14" t="n">
        <v>6.65</v>
      </c>
      <c r="V1197" s="14" t="n">
        <v>13.56</v>
      </c>
      <c r="W1197" s="14" t="n">
        <v>5.32</v>
      </c>
      <c r="X1197" s="14" t="n">
        <v>0</v>
      </c>
      <c r="Y1197" s="14" t="n">
        <v>2.13</v>
      </c>
      <c r="Z1197" s="14" t="n">
        <v>0.27</v>
      </c>
      <c r="AA1197" s="14" t="n">
        <v>0</v>
      </c>
    </row>
    <row r="1198">
      <c r="A1198" t="inlineStr">
        <is>
          <t>010109</t>
        </is>
      </c>
      <c r="B1198" t="inlineStr">
        <is>
          <t>AMAZONAS</t>
        </is>
      </c>
      <c r="C1198" t="inlineStr">
        <is>
          <t>CHACHAPOYAS</t>
        </is>
      </c>
      <c r="D1198" t="inlineStr">
        <is>
          <t>LA JALCA</t>
        </is>
      </c>
      <c r="E1198" t="n">
        <v>1707</v>
      </c>
      <c r="F1198" s="14" t="n">
        <v>0</v>
      </c>
      <c r="G1198" s="14" t="n">
        <v>81.66</v>
      </c>
      <c r="H1198" s="14" t="n">
        <v>0.06</v>
      </c>
      <c r="I1198" s="14" t="n">
        <v>1.41</v>
      </c>
      <c r="J1198" s="14" t="n">
        <v>0</v>
      </c>
      <c r="K1198" s="14" t="n">
        <v>0</v>
      </c>
      <c r="L1198" s="14" t="n">
        <v>3.4</v>
      </c>
      <c r="M1198" s="14" t="n">
        <v>5.8</v>
      </c>
      <c r="N1198" s="14" t="n">
        <v>0.59</v>
      </c>
      <c r="O1198" s="14" t="n">
        <v>0.53</v>
      </c>
      <c r="P1198" s="14" t="n">
        <v>0.06</v>
      </c>
      <c r="Q1198" s="14" t="n">
        <v>0</v>
      </c>
      <c r="R1198" s="14" t="n">
        <v>0</v>
      </c>
      <c r="S1198" s="14" t="n">
        <v>0.29</v>
      </c>
      <c r="T1198" s="14" t="n">
        <v>0.47</v>
      </c>
      <c r="U1198" s="14" t="n">
        <v>1.58</v>
      </c>
      <c r="V1198" s="14" t="n">
        <v>2.87</v>
      </c>
      <c r="W1198" s="14" t="n">
        <v>0.41</v>
      </c>
      <c r="X1198" s="14" t="n">
        <v>0</v>
      </c>
      <c r="Y1198" s="14" t="n">
        <v>0.35</v>
      </c>
      <c r="Z1198" s="14" t="n">
        <v>0.53</v>
      </c>
      <c r="AA1198" s="14" t="n">
        <v>0</v>
      </c>
    </row>
    <row r="1199">
      <c r="A1199" t="inlineStr">
        <is>
          <t>010503</t>
        </is>
      </c>
      <c r="B1199" t="inlineStr">
        <is>
          <t>AMAZONAS</t>
        </is>
      </c>
      <c r="C1199" t="inlineStr">
        <is>
          <t>LUYA</t>
        </is>
      </c>
      <c r="D1199" t="inlineStr">
        <is>
          <t>COCABAMBA</t>
        </is>
      </c>
      <c r="E1199" t="n">
        <v>542</v>
      </c>
      <c r="F1199" s="14" t="n">
        <v>0</v>
      </c>
      <c r="G1199" s="14" t="n">
        <v>77.68000000000001</v>
      </c>
      <c r="H1199" s="14" t="n">
        <v>0</v>
      </c>
      <c r="I1199" s="14" t="n">
        <v>1.11</v>
      </c>
      <c r="J1199" s="14" t="n">
        <v>0</v>
      </c>
      <c r="K1199" s="14" t="n">
        <v>0</v>
      </c>
      <c r="L1199" s="14" t="n">
        <v>4.8</v>
      </c>
      <c r="M1199" s="14" t="n">
        <v>3.87</v>
      </c>
      <c r="N1199" s="14" t="n">
        <v>1.29</v>
      </c>
      <c r="O1199" s="14" t="n">
        <v>1.29</v>
      </c>
      <c r="P1199" s="14" t="n">
        <v>0</v>
      </c>
      <c r="Q1199" s="14" t="n">
        <v>0</v>
      </c>
      <c r="R1199" s="14" t="n">
        <v>0</v>
      </c>
      <c r="S1199" s="14" t="n">
        <v>0.37</v>
      </c>
      <c r="T1199" s="14" t="n">
        <v>0</v>
      </c>
      <c r="U1199" s="14" t="n">
        <v>1.29</v>
      </c>
      <c r="V1199" s="14" t="n">
        <v>5.17</v>
      </c>
      <c r="W1199" s="14" t="n">
        <v>2.58</v>
      </c>
      <c r="X1199" s="14" t="n">
        <v>0</v>
      </c>
      <c r="Y1199" s="14" t="n">
        <v>0.37</v>
      </c>
      <c r="Z1199" s="14" t="n">
        <v>0.18</v>
      </c>
      <c r="AA1199" s="14" t="n">
        <v>0</v>
      </c>
    </row>
    <row r="1200">
      <c r="A1200" t="inlineStr">
        <is>
          <t>060411</t>
        </is>
      </c>
      <c r="B1200" t="inlineStr">
        <is>
          <t>CAJAMARCA</t>
        </is>
      </c>
      <c r="C1200" t="inlineStr">
        <is>
          <t>CHOTA</t>
        </is>
      </c>
      <c r="D1200" t="inlineStr">
        <is>
          <t>LLAMA</t>
        </is>
      </c>
      <c r="E1200" t="n">
        <v>1688</v>
      </c>
      <c r="F1200" s="14" t="n">
        <v>0</v>
      </c>
      <c r="G1200" s="14" t="n">
        <v>66.94</v>
      </c>
      <c r="H1200" s="14" t="n">
        <v>0.18</v>
      </c>
      <c r="I1200" s="14" t="n">
        <v>1.84</v>
      </c>
      <c r="J1200" s="14" t="n">
        <v>0.06</v>
      </c>
      <c r="K1200" s="14" t="n">
        <v>0.47</v>
      </c>
      <c r="L1200" s="14" t="n">
        <v>6.64</v>
      </c>
      <c r="M1200" s="14" t="n">
        <v>4.15</v>
      </c>
      <c r="N1200" s="14" t="n">
        <v>3.79</v>
      </c>
      <c r="O1200" s="14" t="n">
        <v>2.31</v>
      </c>
      <c r="P1200" s="14" t="n">
        <v>0.12</v>
      </c>
      <c r="Q1200" s="14" t="n">
        <v>0.06</v>
      </c>
      <c r="R1200" s="14" t="n">
        <v>0</v>
      </c>
      <c r="S1200" s="14" t="n">
        <v>1.13</v>
      </c>
      <c r="T1200" s="14" t="n">
        <v>1.72</v>
      </c>
      <c r="U1200" s="14" t="n">
        <v>2.07</v>
      </c>
      <c r="V1200" s="14" t="n">
        <v>4.32</v>
      </c>
      <c r="W1200" s="14" t="n">
        <v>1.78</v>
      </c>
      <c r="X1200" s="14" t="n">
        <v>0.12</v>
      </c>
      <c r="Y1200" s="14" t="n">
        <v>1.36</v>
      </c>
      <c r="Z1200" s="14" t="n">
        <v>0.95</v>
      </c>
      <c r="AA1200" s="14" t="n">
        <v>0</v>
      </c>
    </row>
    <row r="1201">
      <c r="A1201" t="inlineStr">
        <is>
          <t>050106</t>
        </is>
      </c>
      <c r="B1201" t="inlineStr">
        <is>
          <t>AYACUCHO</t>
        </is>
      </c>
      <c r="C1201" t="inlineStr">
        <is>
          <t>HUAMANGA</t>
        </is>
      </c>
      <c r="D1201" t="inlineStr">
        <is>
          <t>OCROS</t>
        </is>
      </c>
      <c r="E1201" t="n">
        <v>1534</v>
      </c>
      <c r="F1201" s="14" t="n">
        <v>0</v>
      </c>
      <c r="G1201" s="14" t="n">
        <v>81.75</v>
      </c>
      <c r="H1201" s="14" t="n">
        <v>0.07000000000000001</v>
      </c>
      <c r="I1201" s="14" t="n">
        <v>1.5</v>
      </c>
      <c r="J1201" s="14" t="n">
        <v>0</v>
      </c>
      <c r="K1201" s="14" t="n">
        <v>0.07000000000000001</v>
      </c>
      <c r="L1201" s="14" t="n">
        <v>1.89</v>
      </c>
      <c r="M1201" s="14" t="n">
        <v>5.35</v>
      </c>
      <c r="N1201" s="14" t="n">
        <v>0.85</v>
      </c>
      <c r="O1201" s="14" t="n">
        <v>2.41</v>
      </c>
      <c r="P1201" s="14" t="n">
        <v>0</v>
      </c>
      <c r="Q1201" s="14" t="n">
        <v>0.07000000000000001</v>
      </c>
      <c r="R1201" s="14" t="n">
        <v>0</v>
      </c>
      <c r="S1201" s="14" t="n">
        <v>0.59</v>
      </c>
      <c r="T1201" s="14" t="n">
        <v>0.13</v>
      </c>
      <c r="U1201" s="14" t="n">
        <v>1.04</v>
      </c>
      <c r="V1201" s="14" t="n">
        <v>1.83</v>
      </c>
      <c r="W1201" s="14" t="n">
        <v>0.98</v>
      </c>
      <c r="X1201" s="14" t="n">
        <v>0.07000000000000001</v>
      </c>
      <c r="Y1201" s="14" t="n">
        <v>0.91</v>
      </c>
      <c r="Z1201" s="14" t="n">
        <v>0.52</v>
      </c>
      <c r="AA1201" s="14" t="n">
        <v>0</v>
      </c>
    </row>
    <row r="1202">
      <c r="A1202" t="inlineStr">
        <is>
          <t>090116</t>
        </is>
      </c>
      <c r="B1202" t="inlineStr">
        <is>
          <t>HUANCAVELICA</t>
        </is>
      </c>
      <c r="C1202" t="inlineStr">
        <is>
          <t>HUANCAVELICA</t>
        </is>
      </c>
      <c r="D1202" t="inlineStr">
        <is>
          <t>VILCA</t>
        </is>
      </c>
      <c r="E1202" t="n">
        <v>871</v>
      </c>
      <c r="F1202" s="14" t="n">
        <v>0</v>
      </c>
      <c r="G1202" s="14" t="n">
        <v>91.84999999999999</v>
      </c>
      <c r="H1202" s="14" t="n">
        <v>0.11</v>
      </c>
      <c r="I1202" s="14" t="n">
        <v>0.46</v>
      </c>
      <c r="J1202" s="14" t="n">
        <v>0</v>
      </c>
      <c r="K1202" s="14" t="n">
        <v>0</v>
      </c>
      <c r="L1202" s="14" t="n">
        <v>1.38</v>
      </c>
      <c r="M1202" s="14" t="n">
        <v>1.03</v>
      </c>
      <c r="N1202" s="14" t="n">
        <v>0.57</v>
      </c>
      <c r="O1202" s="14" t="n">
        <v>0.46</v>
      </c>
      <c r="P1202" s="14" t="n">
        <v>0</v>
      </c>
      <c r="Q1202" s="14" t="n">
        <v>0</v>
      </c>
      <c r="R1202" s="14" t="n">
        <v>0</v>
      </c>
      <c r="S1202" s="14" t="n">
        <v>0.6899999999999999</v>
      </c>
      <c r="T1202" s="14" t="n">
        <v>0.11</v>
      </c>
      <c r="U1202" s="14" t="n">
        <v>0.6899999999999999</v>
      </c>
      <c r="V1202" s="14" t="n">
        <v>2.07</v>
      </c>
      <c r="W1202" s="14" t="n">
        <v>0.34</v>
      </c>
      <c r="X1202" s="14" t="n">
        <v>0.23</v>
      </c>
      <c r="Y1202" s="14" t="n">
        <v>0</v>
      </c>
      <c r="Z1202" s="14" t="n">
        <v>0</v>
      </c>
      <c r="AA1202" s="14" t="n">
        <v>0</v>
      </c>
    </row>
    <row r="1203">
      <c r="A1203" t="inlineStr">
        <is>
          <t>060103</t>
        </is>
      </c>
      <c r="B1203" t="inlineStr">
        <is>
          <t>CAJAMARCA</t>
        </is>
      </c>
      <c r="C1203" t="inlineStr">
        <is>
          <t>CAJAMARCA</t>
        </is>
      </c>
      <c r="D1203" t="inlineStr">
        <is>
          <t>CHETILLA</t>
        </is>
      </c>
      <c r="E1203" t="n">
        <v>694</v>
      </c>
      <c r="F1203" s="14" t="n">
        <v>0</v>
      </c>
      <c r="G1203" s="14" t="n">
        <v>83.29000000000001</v>
      </c>
      <c r="H1203" s="14" t="n">
        <v>0</v>
      </c>
      <c r="I1203" s="14" t="n">
        <v>1.73</v>
      </c>
      <c r="J1203" s="14" t="n">
        <v>0</v>
      </c>
      <c r="K1203" s="14" t="n">
        <v>0</v>
      </c>
      <c r="L1203" s="14" t="n">
        <v>3.6</v>
      </c>
      <c r="M1203" s="14" t="n">
        <v>2.45</v>
      </c>
      <c r="N1203" s="14" t="n">
        <v>1.44</v>
      </c>
      <c r="O1203" s="14" t="n">
        <v>2.31</v>
      </c>
      <c r="P1203" s="14" t="n">
        <v>0</v>
      </c>
      <c r="Q1203" s="14" t="n">
        <v>0</v>
      </c>
      <c r="R1203" s="14" t="n">
        <v>0</v>
      </c>
      <c r="S1203" s="14" t="n">
        <v>0.43</v>
      </c>
      <c r="T1203" s="14" t="n">
        <v>0.14</v>
      </c>
      <c r="U1203" s="14" t="n">
        <v>2.16</v>
      </c>
      <c r="V1203" s="14" t="n">
        <v>1.73</v>
      </c>
      <c r="W1203" s="14" t="n">
        <v>0.29</v>
      </c>
      <c r="X1203" s="14" t="n">
        <v>0</v>
      </c>
      <c r="Y1203" s="14" t="n">
        <v>0.43</v>
      </c>
      <c r="Z1203" s="14" t="n">
        <v>0</v>
      </c>
      <c r="AA1203" s="14" t="n">
        <v>0</v>
      </c>
    </row>
    <row r="1204">
      <c r="A1204" t="inlineStr">
        <is>
          <t>050302</t>
        </is>
      </c>
      <c r="B1204" t="inlineStr">
        <is>
          <t>AYACUCHO</t>
        </is>
      </c>
      <c r="C1204" t="inlineStr">
        <is>
          <t>HUANCA SANCOS</t>
        </is>
      </c>
      <c r="D1204" t="inlineStr">
        <is>
          <t>CARAPO</t>
        </is>
      </c>
      <c r="E1204" t="n">
        <v>565</v>
      </c>
      <c r="F1204" s="14" t="n">
        <v>0</v>
      </c>
      <c r="G1204" s="14" t="n">
        <v>70.27</v>
      </c>
      <c r="H1204" s="14" t="n">
        <v>0.35</v>
      </c>
      <c r="I1204" s="14" t="n">
        <v>0.88</v>
      </c>
      <c r="J1204" s="14" t="n">
        <v>0</v>
      </c>
      <c r="K1204" s="14" t="n">
        <v>0</v>
      </c>
      <c r="L1204" s="14" t="n">
        <v>1.95</v>
      </c>
      <c r="M1204" s="14" t="n">
        <v>6.73</v>
      </c>
      <c r="N1204" s="14" t="n">
        <v>0.71</v>
      </c>
      <c r="O1204" s="14" t="n">
        <v>0.71</v>
      </c>
      <c r="P1204" s="14" t="n">
        <v>0</v>
      </c>
      <c r="Q1204" s="14" t="n">
        <v>0</v>
      </c>
      <c r="R1204" s="14" t="n">
        <v>0</v>
      </c>
      <c r="S1204" s="14" t="n">
        <v>2.48</v>
      </c>
      <c r="T1204" s="14" t="n">
        <v>0.53</v>
      </c>
      <c r="U1204" s="14" t="n">
        <v>1.06</v>
      </c>
      <c r="V1204" s="14" t="n">
        <v>7.43</v>
      </c>
      <c r="W1204" s="14" t="n">
        <v>2.12</v>
      </c>
      <c r="X1204" s="14" t="n">
        <v>0</v>
      </c>
      <c r="Y1204" s="14" t="n">
        <v>4.25</v>
      </c>
      <c r="Z1204" s="14" t="n">
        <v>0.53</v>
      </c>
      <c r="AA1204" s="14" t="n">
        <v>0</v>
      </c>
    </row>
    <row r="1205">
      <c r="A1205" t="inlineStr">
        <is>
          <t>010201</t>
        </is>
      </c>
      <c r="B1205" t="inlineStr">
        <is>
          <t>AMAZONAS</t>
        </is>
      </c>
      <c r="C1205" t="inlineStr">
        <is>
          <t>BAGUA</t>
        </is>
      </c>
      <c r="D1205" t="inlineStr">
        <is>
          <t>BAGUA</t>
        </is>
      </c>
      <c r="E1205" t="n">
        <v>11205</v>
      </c>
      <c r="F1205" s="14" t="n">
        <v>0</v>
      </c>
      <c r="G1205" s="14" t="n">
        <v>18.09</v>
      </c>
      <c r="H1205" s="14" t="n">
        <v>0.1</v>
      </c>
      <c r="I1205" s="14" t="n">
        <v>3.46</v>
      </c>
      <c r="J1205" s="14" t="n">
        <v>0.1</v>
      </c>
      <c r="K1205" s="14" t="n">
        <v>0.33</v>
      </c>
      <c r="L1205" s="14" t="n">
        <v>9.970000000000001</v>
      </c>
      <c r="M1205" s="14" t="n">
        <v>18.19</v>
      </c>
      <c r="N1205" s="14" t="n">
        <v>9.359999999999999</v>
      </c>
      <c r="O1205" s="14" t="n">
        <v>5.93</v>
      </c>
      <c r="P1205" s="14" t="n">
        <v>0.43</v>
      </c>
      <c r="Q1205" s="14" t="n">
        <v>0.43</v>
      </c>
      <c r="R1205" s="14" t="n">
        <v>0.02</v>
      </c>
      <c r="S1205" s="14" t="n">
        <v>6.43</v>
      </c>
      <c r="T1205" s="14" t="n">
        <v>2.03</v>
      </c>
      <c r="U1205" s="14" t="n">
        <v>4.85</v>
      </c>
      <c r="V1205" s="14" t="n">
        <v>11.66</v>
      </c>
      <c r="W1205" s="14" t="n">
        <v>3.6</v>
      </c>
      <c r="X1205" s="14" t="n">
        <v>0.47</v>
      </c>
      <c r="Y1205" s="14" t="n">
        <v>2.22</v>
      </c>
      <c r="Z1205" s="14" t="n">
        <v>2.33</v>
      </c>
      <c r="AA1205" s="14" t="n">
        <v>0</v>
      </c>
    </row>
    <row r="1206">
      <c r="A1206" t="inlineStr">
        <is>
          <t>090613</t>
        </is>
      </c>
      <c r="B1206" t="inlineStr">
        <is>
          <t>HUANCAVELICA</t>
        </is>
      </c>
      <c r="C1206" t="inlineStr">
        <is>
          <t>HUAYTARA</t>
        </is>
      </c>
      <c r="D1206" t="inlineStr">
        <is>
          <t>SANTIAGO DE CHOCORVOS</t>
        </is>
      </c>
      <c r="E1206" t="n">
        <v>593</v>
      </c>
      <c r="F1206" s="14" t="n">
        <v>0</v>
      </c>
      <c r="G1206" s="14" t="n">
        <v>80.27</v>
      </c>
      <c r="H1206" s="14" t="n">
        <v>0</v>
      </c>
      <c r="I1206" s="14" t="n">
        <v>0.51</v>
      </c>
      <c r="J1206" s="14" t="n">
        <v>0</v>
      </c>
      <c r="K1206" s="14" t="n">
        <v>0</v>
      </c>
      <c r="L1206" s="14" t="n">
        <v>3.88</v>
      </c>
      <c r="M1206" s="14" t="n">
        <v>3.71</v>
      </c>
      <c r="N1206" s="14" t="n">
        <v>0.84</v>
      </c>
      <c r="O1206" s="14" t="n">
        <v>1.52</v>
      </c>
      <c r="P1206" s="14" t="n">
        <v>0</v>
      </c>
      <c r="Q1206" s="14" t="n">
        <v>0</v>
      </c>
      <c r="R1206" s="14" t="n">
        <v>0</v>
      </c>
      <c r="S1206" s="14" t="n">
        <v>0.84</v>
      </c>
      <c r="T1206" s="14" t="n">
        <v>0.34</v>
      </c>
      <c r="U1206" s="14" t="n">
        <v>2.36</v>
      </c>
      <c r="V1206" s="14" t="n">
        <v>2.02</v>
      </c>
      <c r="W1206" s="14" t="n">
        <v>2.87</v>
      </c>
      <c r="X1206" s="14" t="n">
        <v>0</v>
      </c>
      <c r="Y1206" s="14" t="n">
        <v>0.51</v>
      </c>
      <c r="Z1206" s="14" t="n">
        <v>0.34</v>
      </c>
      <c r="AA1206" s="14" t="n">
        <v>0</v>
      </c>
    </row>
    <row r="1207">
      <c r="A1207" t="inlineStr">
        <is>
          <t>050203</t>
        </is>
      </c>
      <c r="B1207" t="inlineStr">
        <is>
          <t>AYACUCHO</t>
        </is>
      </c>
      <c r="C1207" t="inlineStr">
        <is>
          <t>CANGALLO</t>
        </is>
      </c>
      <c r="D1207" t="inlineStr">
        <is>
          <t>LOS MOROCHUCOS</t>
        </is>
      </c>
      <c r="E1207" t="n">
        <v>2358</v>
      </c>
      <c r="F1207" s="14" t="n">
        <v>0</v>
      </c>
      <c r="G1207" s="14" t="n">
        <v>76.08</v>
      </c>
      <c r="H1207" s="14" t="n">
        <v>0</v>
      </c>
      <c r="I1207" s="14" t="n">
        <v>0.85</v>
      </c>
      <c r="J1207" s="14" t="n">
        <v>0</v>
      </c>
      <c r="K1207" s="14" t="n">
        <v>0</v>
      </c>
      <c r="L1207" s="14" t="n">
        <v>3.48</v>
      </c>
      <c r="M1207" s="14" t="n">
        <v>6.7</v>
      </c>
      <c r="N1207" s="14" t="n">
        <v>1.48</v>
      </c>
      <c r="O1207" s="14" t="n">
        <v>2.12</v>
      </c>
      <c r="P1207" s="14" t="n">
        <v>0.17</v>
      </c>
      <c r="Q1207" s="14" t="n">
        <v>0.34</v>
      </c>
      <c r="R1207" s="14" t="n">
        <v>0</v>
      </c>
      <c r="S1207" s="14" t="n">
        <v>1.06</v>
      </c>
      <c r="T1207" s="14" t="n">
        <v>0.42</v>
      </c>
      <c r="U1207" s="14" t="n">
        <v>1.65</v>
      </c>
      <c r="V1207" s="14" t="n">
        <v>3.05</v>
      </c>
      <c r="W1207" s="14" t="n">
        <v>1.4</v>
      </c>
      <c r="X1207" s="14" t="n">
        <v>0.13</v>
      </c>
      <c r="Y1207" s="14" t="n">
        <v>0.76</v>
      </c>
      <c r="Z1207" s="14" t="n">
        <v>0.3</v>
      </c>
      <c r="AA1207" s="14" t="n">
        <v>0</v>
      </c>
    </row>
    <row r="1208">
      <c r="A1208" t="inlineStr">
        <is>
          <t>080401</t>
        </is>
      </c>
      <c r="B1208" t="inlineStr">
        <is>
          <t>CUSCO</t>
        </is>
      </c>
      <c r="C1208" t="inlineStr">
        <is>
          <t>CALCA</t>
        </is>
      </c>
      <c r="D1208" t="inlineStr">
        <is>
          <t>CALCA</t>
        </is>
      </c>
      <c r="E1208" t="n">
        <v>8182</v>
      </c>
      <c r="F1208" s="14" t="n">
        <v>0</v>
      </c>
      <c r="G1208" s="14" t="n">
        <v>28.97</v>
      </c>
      <c r="H1208" s="14" t="n">
        <v>0.26</v>
      </c>
      <c r="I1208" s="14" t="n">
        <v>4.71</v>
      </c>
      <c r="J1208" s="14" t="n">
        <v>0.05</v>
      </c>
      <c r="K1208" s="14" t="n">
        <v>0.05</v>
      </c>
      <c r="L1208" s="14" t="n">
        <v>7.42</v>
      </c>
      <c r="M1208" s="14" t="n">
        <v>17.61</v>
      </c>
      <c r="N1208" s="14" t="n">
        <v>7.71</v>
      </c>
      <c r="O1208" s="14" t="n">
        <v>7.24</v>
      </c>
      <c r="P1208" s="14" t="n">
        <v>0.42</v>
      </c>
      <c r="Q1208" s="14" t="n">
        <v>0.62</v>
      </c>
      <c r="R1208" s="14" t="n">
        <v>0.01</v>
      </c>
      <c r="S1208" s="14" t="n">
        <v>3.14</v>
      </c>
      <c r="T1208" s="14" t="n">
        <v>3.01</v>
      </c>
      <c r="U1208" s="14" t="n">
        <v>4.91</v>
      </c>
      <c r="V1208" s="14" t="n">
        <v>8.57</v>
      </c>
      <c r="W1208" s="14" t="n">
        <v>1.88</v>
      </c>
      <c r="X1208" s="14" t="n">
        <v>0.62</v>
      </c>
      <c r="Y1208" s="14" t="n">
        <v>2.29</v>
      </c>
      <c r="Z1208" s="14" t="n">
        <v>0.53</v>
      </c>
      <c r="AA1208" s="14" t="n">
        <v>0</v>
      </c>
    </row>
    <row r="1209">
      <c r="A1209" t="inlineStr">
        <is>
          <t>060601</t>
        </is>
      </c>
      <c r="B1209" t="inlineStr">
        <is>
          <t>CAJAMARCA</t>
        </is>
      </c>
      <c r="C1209" t="inlineStr">
        <is>
          <t>CUTERVO</t>
        </is>
      </c>
      <c r="D1209" t="inlineStr">
        <is>
          <t>CUTERVO</t>
        </is>
      </c>
      <c r="E1209" t="n">
        <v>17673</v>
      </c>
      <c r="F1209" s="14" t="n">
        <v>0</v>
      </c>
      <c r="G1209" s="14" t="n">
        <v>56.37</v>
      </c>
      <c r="H1209" s="14" t="n">
        <v>0.05</v>
      </c>
      <c r="I1209" s="14" t="n">
        <v>2.04</v>
      </c>
      <c r="J1209" s="14" t="n">
        <v>0.03</v>
      </c>
      <c r="K1209" s="14" t="n">
        <v>0.05</v>
      </c>
      <c r="L1209" s="14" t="n">
        <v>4.36</v>
      </c>
      <c r="M1209" s="14" t="n">
        <v>8.199999999999999</v>
      </c>
      <c r="N1209" s="14" t="n">
        <v>4.15</v>
      </c>
      <c r="O1209" s="14" t="n">
        <v>2.65</v>
      </c>
      <c r="P1209" s="14" t="n">
        <v>0.32</v>
      </c>
      <c r="Q1209" s="14" t="n">
        <v>0.49</v>
      </c>
      <c r="R1209" s="14" t="n">
        <v>0.04</v>
      </c>
      <c r="S1209" s="14" t="n">
        <v>1.26</v>
      </c>
      <c r="T1209" s="14" t="n">
        <v>0.58</v>
      </c>
      <c r="U1209" s="14" t="n">
        <v>3.04</v>
      </c>
      <c r="V1209" s="14" t="n">
        <v>10.75</v>
      </c>
      <c r="W1209" s="14" t="n">
        <v>2.3</v>
      </c>
      <c r="X1209" s="14" t="n">
        <v>0.42</v>
      </c>
      <c r="Y1209" s="14" t="n">
        <v>1.28</v>
      </c>
      <c r="Z1209" s="14" t="n">
        <v>1.62</v>
      </c>
      <c r="AA1209" s="14" t="n">
        <v>0</v>
      </c>
    </row>
    <row r="1210">
      <c r="A1210" t="inlineStr">
        <is>
          <t>060809</t>
        </is>
      </c>
      <c r="B1210" t="inlineStr">
        <is>
          <t>CAJAMARCA</t>
        </is>
      </c>
      <c r="C1210" t="inlineStr">
        <is>
          <t>JAEN</t>
        </is>
      </c>
      <c r="D1210" t="inlineStr">
        <is>
          <t>SALLIQUE</t>
        </is>
      </c>
      <c r="E1210" t="n">
        <v>1889</v>
      </c>
      <c r="F1210" s="14" t="n">
        <v>0</v>
      </c>
      <c r="G1210" s="14" t="n">
        <v>87.29000000000001</v>
      </c>
      <c r="H1210" s="14" t="n">
        <v>0.21</v>
      </c>
      <c r="I1210" s="14" t="n">
        <v>0.48</v>
      </c>
      <c r="J1210" s="14" t="n">
        <v>0</v>
      </c>
      <c r="K1210" s="14" t="n">
        <v>0</v>
      </c>
      <c r="L1210" s="14" t="n">
        <v>0.79</v>
      </c>
      <c r="M1210" s="14" t="n">
        <v>3.12</v>
      </c>
      <c r="N1210" s="14" t="n">
        <v>1.38</v>
      </c>
      <c r="O1210" s="14" t="n">
        <v>0.6899999999999999</v>
      </c>
      <c r="P1210" s="14" t="n">
        <v>0.21</v>
      </c>
      <c r="Q1210" s="14" t="n">
        <v>0</v>
      </c>
      <c r="R1210" s="14" t="n">
        <v>0</v>
      </c>
      <c r="S1210" s="14" t="n">
        <v>0.26</v>
      </c>
      <c r="T1210" s="14" t="n">
        <v>0.48</v>
      </c>
      <c r="U1210" s="14" t="n">
        <v>1.06</v>
      </c>
      <c r="V1210" s="14" t="n">
        <v>3.12</v>
      </c>
      <c r="W1210" s="14" t="n">
        <v>0.79</v>
      </c>
      <c r="X1210" s="14" t="n">
        <v>0</v>
      </c>
      <c r="Y1210" s="14" t="n">
        <v>0</v>
      </c>
      <c r="Z1210" s="14" t="n">
        <v>0.11</v>
      </c>
      <c r="AA1210" s="14" t="n">
        <v>0</v>
      </c>
    </row>
    <row r="1211">
      <c r="A1211" t="inlineStr">
        <is>
          <t>010312</t>
        </is>
      </c>
      <c r="B1211" t="inlineStr">
        <is>
          <t>AMAZONAS</t>
        </is>
      </c>
      <c r="C1211" t="inlineStr">
        <is>
          <t>BONGARA</t>
        </is>
      </c>
      <c r="D1211" t="inlineStr">
        <is>
          <t>YAMBRASBAMBA</t>
        </is>
      </c>
      <c r="E1211" t="n">
        <v>1906</v>
      </c>
      <c r="F1211" s="14" t="n">
        <v>0</v>
      </c>
      <c r="G1211" s="14" t="n">
        <v>79.84999999999999</v>
      </c>
      <c r="H1211" s="14" t="n">
        <v>0.16</v>
      </c>
      <c r="I1211" s="14" t="n">
        <v>1.31</v>
      </c>
      <c r="J1211" s="14" t="n">
        <v>0</v>
      </c>
      <c r="K1211" s="14" t="n">
        <v>0.05</v>
      </c>
      <c r="L1211" s="14" t="n">
        <v>2.2</v>
      </c>
      <c r="M1211" s="14" t="n">
        <v>4.41</v>
      </c>
      <c r="N1211" s="14" t="n">
        <v>1.99</v>
      </c>
      <c r="O1211" s="14" t="n">
        <v>1.68</v>
      </c>
      <c r="P1211" s="14" t="n">
        <v>0.1</v>
      </c>
      <c r="Q1211" s="14" t="n">
        <v>0</v>
      </c>
      <c r="R1211" s="14" t="n">
        <v>0</v>
      </c>
      <c r="S1211" s="14" t="n">
        <v>0.21</v>
      </c>
      <c r="T1211" s="14" t="n">
        <v>0.26</v>
      </c>
      <c r="U1211" s="14" t="n">
        <v>1.68</v>
      </c>
      <c r="V1211" s="14" t="n">
        <v>3.93</v>
      </c>
      <c r="W1211" s="14" t="n">
        <v>0.79</v>
      </c>
      <c r="X1211" s="14" t="n">
        <v>0.47</v>
      </c>
      <c r="Y1211" s="14" t="n">
        <v>0.37</v>
      </c>
      <c r="Z1211" s="14" t="n">
        <v>0.52</v>
      </c>
      <c r="AA1211" s="14" t="n">
        <v>0</v>
      </c>
    </row>
    <row r="1212">
      <c r="A1212" t="inlineStr">
        <is>
          <t>090609</t>
        </is>
      </c>
      <c r="B1212" t="inlineStr">
        <is>
          <t>HUANCAVELICA</t>
        </is>
      </c>
      <c r="C1212" t="inlineStr">
        <is>
          <t>HUAYTARA</t>
        </is>
      </c>
      <c r="D1212" t="inlineStr">
        <is>
          <t>QUITO-ARMA</t>
        </is>
      </c>
      <c r="E1212" t="n">
        <v>317</v>
      </c>
      <c r="F1212" s="14" t="n">
        <v>0</v>
      </c>
      <c r="G1212" s="14" t="n">
        <v>78.55</v>
      </c>
      <c r="H1212" s="14" t="n">
        <v>0</v>
      </c>
      <c r="I1212" s="14" t="n">
        <v>0</v>
      </c>
      <c r="J1212" s="14" t="n">
        <v>0</v>
      </c>
      <c r="K1212" s="14" t="n">
        <v>0</v>
      </c>
      <c r="L1212" s="14" t="n">
        <v>7.26</v>
      </c>
      <c r="M1212" s="14" t="n">
        <v>3.15</v>
      </c>
      <c r="N1212" s="14" t="n">
        <v>0.63</v>
      </c>
      <c r="O1212" s="14" t="n">
        <v>0.63</v>
      </c>
      <c r="P1212" s="14" t="n">
        <v>0</v>
      </c>
      <c r="Q1212" s="14" t="n">
        <v>0</v>
      </c>
      <c r="R1212" s="14" t="n">
        <v>0</v>
      </c>
      <c r="S1212" s="14" t="n">
        <v>1.26</v>
      </c>
      <c r="T1212" s="14" t="n">
        <v>0.32</v>
      </c>
      <c r="U1212" s="14" t="n">
        <v>3.47</v>
      </c>
      <c r="V1212" s="14" t="n">
        <v>3.47</v>
      </c>
      <c r="W1212" s="14" t="n">
        <v>1.26</v>
      </c>
      <c r="X1212" s="14" t="n">
        <v>0</v>
      </c>
      <c r="Y1212" s="14" t="n">
        <v>0</v>
      </c>
      <c r="Z1212" s="14" t="n">
        <v>0</v>
      </c>
      <c r="AA1212" s="14" t="n">
        <v>0</v>
      </c>
    </row>
    <row r="1213">
      <c r="A1213" t="inlineStr">
        <is>
          <t>080905</t>
        </is>
      </c>
      <c r="B1213" t="inlineStr">
        <is>
          <t>CUSCO</t>
        </is>
      </c>
      <c r="C1213" t="inlineStr">
        <is>
          <t>LA CONVENCION</t>
        </is>
      </c>
      <c r="D1213" t="inlineStr">
        <is>
          <t>OCOBAMBA</t>
        </is>
      </c>
      <c r="E1213" t="n">
        <v>1810</v>
      </c>
      <c r="F1213" s="14" t="n">
        <v>0</v>
      </c>
      <c r="G1213" s="14" t="n">
        <v>82.15000000000001</v>
      </c>
      <c r="H1213" s="14" t="n">
        <v>0.28</v>
      </c>
      <c r="I1213" s="14" t="n">
        <v>0.66</v>
      </c>
      <c r="J1213" s="14" t="n">
        <v>0</v>
      </c>
      <c r="K1213" s="14" t="n">
        <v>0.06</v>
      </c>
      <c r="L1213" s="14" t="n">
        <v>2.32</v>
      </c>
      <c r="M1213" s="14" t="n">
        <v>3.81</v>
      </c>
      <c r="N1213" s="14" t="n">
        <v>0.5</v>
      </c>
      <c r="O1213" s="14" t="n">
        <v>1.16</v>
      </c>
      <c r="P1213" s="14" t="n">
        <v>0.11</v>
      </c>
      <c r="Q1213" s="14" t="n">
        <v>0</v>
      </c>
      <c r="R1213" s="14" t="n">
        <v>0</v>
      </c>
      <c r="S1213" s="14" t="n">
        <v>2.93</v>
      </c>
      <c r="T1213" s="14" t="n">
        <v>0.33</v>
      </c>
      <c r="U1213" s="14" t="n">
        <v>1.88</v>
      </c>
      <c r="V1213" s="14" t="n">
        <v>2.82</v>
      </c>
      <c r="W1213" s="14" t="n">
        <v>0.66</v>
      </c>
      <c r="X1213" s="14" t="n">
        <v>0</v>
      </c>
      <c r="Y1213" s="14" t="n">
        <v>0.28</v>
      </c>
      <c r="Z1213" s="14" t="n">
        <v>0.06</v>
      </c>
      <c r="AA1213" s="14" t="n">
        <v>0</v>
      </c>
    </row>
    <row r="1214">
      <c r="A1214" t="inlineStr">
        <is>
          <t>060310</t>
        </is>
      </c>
      <c r="B1214" t="inlineStr">
        <is>
          <t>CAJAMARCA</t>
        </is>
      </c>
      <c r="C1214" t="inlineStr">
        <is>
          <t>CELENDIN</t>
        </is>
      </c>
      <c r="D1214" t="inlineStr">
        <is>
          <t>SUCRE</t>
        </is>
      </c>
      <c r="E1214" t="n">
        <v>1750</v>
      </c>
      <c r="F1214" s="14" t="n">
        <v>0</v>
      </c>
      <c r="G1214" s="14" t="n">
        <v>63.43</v>
      </c>
      <c r="H1214" s="14" t="n">
        <v>0.17</v>
      </c>
      <c r="I1214" s="14" t="n">
        <v>12.34</v>
      </c>
      <c r="J1214" s="14" t="n">
        <v>0</v>
      </c>
      <c r="K1214" s="14" t="n">
        <v>0.23</v>
      </c>
      <c r="L1214" s="14" t="n">
        <v>4</v>
      </c>
      <c r="M1214" s="14" t="n">
        <v>4.8</v>
      </c>
      <c r="N1214" s="14" t="n">
        <v>2.97</v>
      </c>
      <c r="O1214" s="14" t="n">
        <v>0.8</v>
      </c>
      <c r="P1214" s="14" t="n">
        <v>0.06</v>
      </c>
      <c r="Q1214" s="14" t="n">
        <v>0.06</v>
      </c>
      <c r="R1214" s="14" t="n">
        <v>0</v>
      </c>
      <c r="S1214" s="14" t="n">
        <v>1.2</v>
      </c>
      <c r="T1214" s="14" t="n">
        <v>0.63</v>
      </c>
      <c r="U1214" s="14" t="n">
        <v>2.74</v>
      </c>
      <c r="V1214" s="14" t="n">
        <v>4.17</v>
      </c>
      <c r="W1214" s="14" t="n">
        <v>0.51</v>
      </c>
      <c r="X1214" s="14" t="n">
        <v>0</v>
      </c>
      <c r="Y1214" s="14" t="n">
        <v>0.6899999999999999</v>
      </c>
      <c r="Z1214" s="14" t="n">
        <v>1.2</v>
      </c>
      <c r="AA1214" s="14" t="n">
        <v>0</v>
      </c>
    </row>
    <row r="1215">
      <c r="A1215" t="inlineStr">
        <is>
          <t>030415</t>
        </is>
      </c>
      <c r="B1215" t="inlineStr">
        <is>
          <t>APURIMAC</t>
        </is>
      </c>
      <c r="C1215" t="inlineStr">
        <is>
          <t>AYMARAES</t>
        </is>
      </c>
      <c r="D1215" t="inlineStr">
        <is>
          <t>TINTAY</t>
        </is>
      </c>
      <c r="E1215" t="n">
        <v>1294</v>
      </c>
      <c r="F1215" s="14" t="n">
        <v>0</v>
      </c>
      <c r="G1215" s="14" t="n">
        <v>77.2</v>
      </c>
      <c r="H1215" s="14" t="n">
        <v>0.23</v>
      </c>
      <c r="I1215" s="14" t="n">
        <v>1.7</v>
      </c>
      <c r="J1215" s="14" t="n">
        <v>0.08</v>
      </c>
      <c r="K1215" s="14" t="n">
        <v>0</v>
      </c>
      <c r="L1215" s="14" t="n">
        <v>3.4</v>
      </c>
      <c r="M1215" s="14" t="n">
        <v>5.8</v>
      </c>
      <c r="N1215" s="14" t="n">
        <v>1.7</v>
      </c>
      <c r="O1215" s="14" t="n">
        <v>2.4</v>
      </c>
      <c r="P1215" s="14" t="n">
        <v>0</v>
      </c>
      <c r="Q1215" s="14" t="n">
        <v>0.23</v>
      </c>
      <c r="R1215" s="14" t="n">
        <v>0</v>
      </c>
      <c r="S1215" s="14" t="n">
        <v>0</v>
      </c>
      <c r="T1215" s="14" t="n">
        <v>0</v>
      </c>
      <c r="U1215" s="14" t="n">
        <v>3.32</v>
      </c>
      <c r="V1215" s="14" t="n">
        <v>2.7</v>
      </c>
      <c r="W1215" s="14" t="n">
        <v>0.85</v>
      </c>
      <c r="X1215" s="14" t="n">
        <v>0</v>
      </c>
      <c r="Y1215" s="14" t="n">
        <v>0.15</v>
      </c>
      <c r="Z1215" s="14" t="n">
        <v>0.23</v>
      </c>
      <c r="AA1215" s="14" t="n">
        <v>0</v>
      </c>
    </row>
    <row r="1216">
      <c r="A1216" t="inlineStr">
        <is>
          <t>030607</t>
        </is>
      </c>
      <c r="B1216" t="inlineStr">
        <is>
          <t>APURIMAC</t>
        </is>
      </c>
      <c r="C1216" t="inlineStr">
        <is>
          <t>CHINCHEROS</t>
        </is>
      </c>
      <c r="D1216" t="inlineStr">
        <is>
          <t>URANMARCA</t>
        </is>
      </c>
      <c r="E1216" t="n">
        <v>626</v>
      </c>
      <c r="F1216" s="14" t="n">
        <v>0</v>
      </c>
      <c r="G1216" s="14" t="n">
        <v>77.8</v>
      </c>
      <c r="H1216" s="14" t="n">
        <v>0</v>
      </c>
      <c r="I1216" s="14" t="n">
        <v>1.12</v>
      </c>
      <c r="J1216" s="14" t="n">
        <v>0</v>
      </c>
      <c r="K1216" s="14" t="n">
        <v>0</v>
      </c>
      <c r="L1216" s="14" t="n">
        <v>5.11</v>
      </c>
      <c r="M1216" s="14" t="n">
        <v>3.19</v>
      </c>
      <c r="N1216" s="14" t="n">
        <v>0.64</v>
      </c>
      <c r="O1216" s="14" t="n">
        <v>1.28</v>
      </c>
      <c r="P1216" s="14" t="n">
        <v>0</v>
      </c>
      <c r="Q1216" s="14" t="n">
        <v>0.32</v>
      </c>
      <c r="R1216" s="14" t="n">
        <v>0</v>
      </c>
      <c r="S1216" s="14" t="n">
        <v>1.12</v>
      </c>
      <c r="T1216" s="14" t="n">
        <v>0.16</v>
      </c>
      <c r="U1216" s="14" t="n">
        <v>3.67</v>
      </c>
      <c r="V1216" s="14" t="n">
        <v>3.35</v>
      </c>
      <c r="W1216" s="14" t="n">
        <v>1.28</v>
      </c>
      <c r="X1216" s="14" t="n">
        <v>0</v>
      </c>
      <c r="Y1216" s="14" t="n">
        <v>0.96</v>
      </c>
      <c r="Z1216" s="14" t="n">
        <v>0</v>
      </c>
      <c r="AA1216" s="14" t="n">
        <v>0</v>
      </c>
    </row>
    <row r="1217">
      <c r="A1217" t="inlineStr">
        <is>
          <t>040811</t>
        </is>
      </c>
      <c r="B1217" t="inlineStr">
        <is>
          <t>AREQUIPA</t>
        </is>
      </c>
      <c r="C1217" t="inlineStr">
        <is>
          <t>LA UNION</t>
        </is>
      </c>
      <c r="D1217" t="inlineStr">
        <is>
          <t>TORO</t>
        </is>
      </c>
      <c r="E1217" t="n">
        <v>308</v>
      </c>
      <c r="F1217" s="14" t="n">
        <v>0</v>
      </c>
      <c r="G1217" s="14" t="n">
        <v>85.70999999999999</v>
      </c>
      <c r="H1217" s="14" t="n">
        <v>0</v>
      </c>
      <c r="I1217" s="14" t="n">
        <v>0</v>
      </c>
      <c r="J1217" s="14" t="n">
        <v>0</v>
      </c>
      <c r="K1217" s="14" t="n">
        <v>0</v>
      </c>
      <c r="L1217" s="14" t="n">
        <v>0.97</v>
      </c>
      <c r="M1217" s="14" t="n">
        <v>3.57</v>
      </c>
      <c r="N1217" s="14" t="n">
        <v>0.32</v>
      </c>
      <c r="O1217" s="14" t="n">
        <v>0.32</v>
      </c>
      <c r="P1217" s="14" t="n">
        <v>0.32</v>
      </c>
      <c r="Q1217" s="14" t="n">
        <v>0.32</v>
      </c>
      <c r="R1217" s="14" t="n">
        <v>0</v>
      </c>
      <c r="S1217" s="14" t="n">
        <v>0</v>
      </c>
      <c r="T1217" s="14" t="n">
        <v>0</v>
      </c>
      <c r="U1217" s="14" t="n">
        <v>3.57</v>
      </c>
      <c r="V1217" s="14" t="n">
        <v>3.25</v>
      </c>
      <c r="W1217" s="14" t="n">
        <v>1.62</v>
      </c>
      <c r="X1217" s="14" t="n">
        <v>0</v>
      </c>
      <c r="Y1217" s="14" t="n">
        <v>0</v>
      </c>
      <c r="Z1217" s="14" t="n">
        <v>0</v>
      </c>
      <c r="AA1217" s="14" t="n">
        <v>0</v>
      </c>
    </row>
    <row r="1218">
      <c r="A1218" t="inlineStr">
        <is>
          <t>022003</t>
        </is>
      </c>
      <c r="B1218" t="inlineStr">
        <is>
          <t>ANCASH</t>
        </is>
      </c>
      <c r="C1218" t="inlineStr">
        <is>
          <t>YUNGAY</t>
        </is>
      </c>
      <c r="D1218" t="inlineStr">
        <is>
          <t>MANCOS</t>
        </is>
      </c>
      <c r="E1218" t="n">
        <v>2161</v>
      </c>
      <c r="F1218" s="14" t="n">
        <v>0</v>
      </c>
      <c r="G1218" s="14" t="n">
        <v>58.35</v>
      </c>
      <c r="H1218" s="14" t="n">
        <v>2.5</v>
      </c>
      <c r="I1218" s="14" t="n">
        <v>2.82</v>
      </c>
      <c r="J1218" s="14" t="n">
        <v>0.05</v>
      </c>
      <c r="K1218" s="14" t="n">
        <v>0.09</v>
      </c>
      <c r="L1218" s="14" t="n">
        <v>2.59</v>
      </c>
      <c r="M1218" s="14" t="n">
        <v>7.17</v>
      </c>
      <c r="N1218" s="14" t="n">
        <v>4.16</v>
      </c>
      <c r="O1218" s="14" t="n">
        <v>3.15</v>
      </c>
      <c r="P1218" s="14" t="n">
        <v>0.05</v>
      </c>
      <c r="Q1218" s="14" t="n">
        <v>0.09</v>
      </c>
      <c r="R1218" s="14" t="n">
        <v>0.05</v>
      </c>
      <c r="S1218" s="14" t="n">
        <v>2.22</v>
      </c>
      <c r="T1218" s="14" t="n">
        <v>1.02</v>
      </c>
      <c r="U1218" s="14" t="n">
        <v>2.87</v>
      </c>
      <c r="V1218" s="14" t="n">
        <v>9.02</v>
      </c>
      <c r="W1218" s="14" t="n">
        <v>2.22</v>
      </c>
      <c r="X1218" s="14" t="n">
        <v>0.14</v>
      </c>
      <c r="Y1218" s="14" t="n">
        <v>0.6</v>
      </c>
      <c r="Z1218" s="14" t="n">
        <v>0.83</v>
      </c>
      <c r="AA1218" s="14" t="n">
        <v>0</v>
      </c>
    </row>
    <row r="1219">
      <c r="A1219" t="inlineStr">
        <is>
          <t>030602</t>
        </is>
      </c>
      <c r="B1219" t="inlineStr">
        <is>
          <t>APURIMAC</t>
        </is>
      </c>
      <c r="C1219" t="inlineStr">
        <is>
          <t>CHINCHEROS</t>
        </is>
      </c>
      <c r="D1219" t="inlineStr">
        <is>
          <t>ANCO-HUALLO</t>
        </is>
      </c>
      <c r="E1219" t="n">
        <v>3349</v>
      </c>
      <c r="F1219" s="14" t="n">
        <v>0</v>
      </c>
      <c r="G1219" s="14" t="n">
        <v>42.67</v>
      </c>
      <c r="H1219" s="14" t="n">
        <v>0.15</v>
      </c>
      <c r="I1219" s="14" t="n">
        <v>2.63</v>
      </c>
      <c r="J1219" s="14" t="n">
        <v>0.06</v>
      </c>
      <c r="K1219" s="14" t="n">
        <v>0</v>
      </c>
      <c r="L1219" s="14" t="n">
        <v>5.08</v>
      </c>
      <c r="M1219" s="14" t="n">
        <v>16.39</v>
      </c>
      <c r="N1219" s="14" t="n">
        <v>5.08</v>
      </c>
      <c r="O1219" s="14" t="n">
        <v>5.08</v>
      </c>
      <c r="P1219" s="14" t="n">
        <v>0.27</v>
      </c>
      <c r="Q1219" s="14" t="n">
        <v>0.8100000000000001</v>
      </c>
      <c r="R1219" s="14" t="n">
        <v>0</v>
      </c>
      <c r="S1219" s="14" t="n">
        <v>1.73</v>
      </c>
      <c r="T1219" s="14" t="n">
        <v>0.87</v>
      </c>
      <c r="U1219" s="14" t="n">
        <v>2.78</v>
      </c>
      <c r="V1219" s="14" t="n">
        <v>11.85</v>
      </c>
      <c r="W1219" s="14" t="n">
        <v>2.57</v>
      </c>
      <c r="X1219" s="14" t="n">
        <v>0.15</v>
      </c>
      <c r="Y1219" s="14" t="n">
        <v>1.16</v>
      </c>
      <c r="Z1219" s="14" t="n">
        <v>0.6899999999999999</v>
      </c>
      <c r="AA1219" s="14" t="n">
        <v>0</v>
      </c>
    </row>
    <row r="1220">
      <c r="A1220" t="inlineStr">
        <is>
          <t>060611</t>
        </is>
      </c>
      <c r="B1220" t="inlineStr">
        <is>
          <t>CAJAMARCA</t>
        </is>
      </c>
      <c r="C1220" t="inlineStr">
        <is>
          <t>CUTERVO</t>
        </is>
      </c>
      <c r="D1220" t="inlineStr">
        <is>
          <t>SANTA CRUZ</t>
        </is>
      </c>
      <c r="E1220" t="n">
        <v>871</v>
      </c>
      <c r="F1220" s="14" t="n">
        <v>0</v>
      </c>
      <c r="G1220" s="14" t="n">
        <v>86.45</v>
      </c>
      <c r="H1220" s="14" t="n">
        <v>0</v>
      </c>
      <c r="I1220" s="14" t="n">
        <v>0.23</v>
      </c>
      <c r="J1220" s="14" t="n">
        <v>0</v>
      </c>
      <c r="K1220" s="14" t="n">
        <v>0</v>
      </c>
      <c r="L1220" s="14" t="n">
        <v>0.92</v>
      </c>
      <c r="M1220" s="14" t="n">
        <v>1.72</v>
      </c>
      <c r="N1220" s="14" t="n">
        <v>0.8</v>
      </c>
      <c r="O1220" s="14" t="n">
        <v>1.49</v>
      </c>
      <c r="P1220" s="14" t="n">
        <v>0</v>
      </c>
      <c r="Q1220" s="14" t="n">
        <v>0</v>
      </c>
      <c r="R1220" s="14" t="n">
        <v>0</v>
      </c>
      <c r="S1220" s="14" t="n">
        <v>0.34</v>
      </c>
      <c r="T1220" s="14" t="n">
        <v>0.11</v>
      </c>
      <c r="U1220" s="14" t="n">
        <v>1.84</v>
      </c>
      <c r="V1220" s="14" t="n">
        <v>3.79</v>
      </c>
      <c r="W1220" s="14" t="n">
        <v>1.95</v>
      </c>
      <c r="X1220" s="14" t="n">
        <v>0.11</v>
      </c>
      <c r="Y1220" s="14" t="n">
        <v>0.11</v>
      </c>
      <c r="Z1220" s="14" t="n">
        <v>0.11</v>
      </c>
      <c r="AA1220" s="14" t="n">
        <v>0</v>
      </c>
    </row>
    <row r="1221">
      <c r="A1221" t="inlineStr">
        <is>
          <t>050606</t>
        </is>
      </c>
      <c r="B1221" t="inlineStr">
        <is>
          <t>AYACUCHO</t>
        </is>
      </c>
      <c r="C1221" t="inlineStr">
        <is>
          <t>LUCANAS</t>
        </is>
      </c>
      <c r="D1221" t="inlineStr">
        <is>
          <t>CHIPAO</t>
        </is>
      </c>
      <c r="E1221" t="n">
        <v>988</v>
      </c>
      <c r="F1221" s="14" t="n">
        <v>0</v>
      </c>
      <c r="G1221" s="14" t="n">
        <v>70.34</v>
      </c>
      <c r="H1221" s="14" t="n">
        <v>0.4</v>
      </c>
      <c r="I1221" s="14" t="n">
        <v>1.62</v>
      </c>
      <c r="J1221" s="14" t="n">
        <v>0</v>
      </c>
      <c r="K1221" s="14" t="n">
        <v>0</v>
      </c>
      <c r="L1221" s="14" t="n">
        <v>2.53</v>
      </c>
      <c r="M1221" s="14" t="n">
        <v>6.68</v>
      </c>
      <c r="N1221" s="14" t="n">
        <v>1.42</v>
      </c>
      <c r="O1221" s="14" t="n">
        <v>1.11</v>
      </c>
      <c r="P1221" s="14" t="n">
        <v>0.2</v>
      </c>
      <c r="Q1221" s="14" t="n">
        <v>0</v>
      </c>
      <c r="R1221" s="14" t="n">
        <v>0.1</v>
      </c>
      <c r="S1221" s="14" t="n">
        <v>1.42</v>
      </c>
      <c r="T1221" s="14" t="n">
        <v>0</v>
      </c>
      <c r="U1221" s="14" t="n">
        <v>4.45</v>
      </c>
      <c r="V1221" s="14" t="n">
        <v>6.88</v>
      </c>
      <c r="W1221" s="14" t="n">
        <v>1.62</v>
      </c>
      <c r="X1221" s="14" t="n">
        <v>0.1</v>
      </c>
      <c r="Y1221" s="14" t="n">
        <v>0.51</v>
      </c>
      <c r="Z1221" s="14" t="n">
        <v>0.61</v>
      </c>
      <c r="AA1221" s="14" t="n">
        <v>0</v>
      </c>
    </row>
    <row r="1222">
      <c r="A1222" t="inlineStr">
        <is>
          <t>081103</t>
        </is>
      </c>
      <c r="B1222" t="inlineStr">
        <is>
          <t>CUSCO</t>
        </is>
      </c>
      <c r="C1222" t="inlineStr">
        <is>
          <t>PAUCARTAMBO</t>
        </is>
      </c>
      <c r="D1222" t="inlineStr">
        <is>
          <t>CHALLABAMBA</t>
        </is>
      </c>
      <c r="E1222" t="n">
        <v>2609</v>
      </c>
      <c r="F1222" s="14" t="n">
        <v>0</v>
      </c>
      <c r="G1222" s="14" t="n">
        <v>81.03</v>
      </c>
      <c r="H1222" s="14" t="n">
        <v>0.08</v>
      </c>
      <c r="I1222" s="14" t="n">
        <v>5.17</v>
      </c>
      <c r="J1222" s="14" t="n">
        <v>0</v>
      </c>
      <c r="K1222" s="14" t="n">
        <v>0</v>
      </c>
      <c r="L1222" s="14" t="n">
        <v>1.84</v>
      </c>
      <c r="M1222" s="14" t="n">
        <v>3.83</v>
      </c>
      <c r="N1222" s="14" t="n">
        <v>0.92</v>
      </c>
      <c r="O1222" s="14" t="n">
        <v>1.38</v>
      </c>
      <c r="P1222" s="14" t="n">
        <v>0</v>
      </c>
      <c r="Q1222" s="14" t="n">
        <v>0.04</v>
      </c>
      <c r="R1222" s="14" t="n">
        <v>0</v>
      </c>
      <c r="S1222" s="14" t="n">
        <v>0.42</v>
      </c>
      <c r="T1222" s="14" t="n">
        <v>0.27</v>
      </c>
      <c r="U1222" s="14" t="n">
        <v>0.8</v>
      </c>
      <c r="V1222" s="14" t="n">
        <v>2.87</v>
      </c>
      <c r="W1222" s="14" t="n">
        <v>0.61</v>
      </c>
      <c r="X1222" s="14" t="n">
        <v>0.08</v>
      </c>
      <c r="Y1222" s="14" t="n">
        <v>0.5</v>
      </c>
      <c r="Z1222" s="14" t="n">
        <v>0.15</v>
      </c>
      <c r="AA1222" s="14" t="n">
        <v>0</v>
      </c>
    </row>
    <row r="1223">
      <c r="A1223" t="inlineStr">
        <is>
          <t>090703</t>
        </is>
      </c>
      <c r="B1223" t="inlineStr">
        <is>
          <t>HUANCAVELICA</t>
        </is>
      </c>
      <c r="C1223" t="inlineStr">
        <is>
          <t>TAYACAJA</t>
        </is>
      </c>
      <c r="D1223" t="inlineStr">
        <is>
          <t>ACRAQUIA</t>
        </is>
      </c>
      <c r="E1223" t="n">
        <v>1270</v>
      </c>
      <c r="F1223" s="14" t="n">
        <v>0</v>
      </c>
      <c r="G1223" s="14" t="n">
        <v>79.84</v>
      </c>
      <c r="H1223" s="14" t="n">
        <v>0</v>
      </c>
      <c r="I1223" s="14" t="n">
        <v>0.87</v>
      </c>
      <c r="J1223" s="14" t="n">
        <v>0.16</v>
      </c>
      <c r="K1223" s="14" t="n">
        <v>0</v>
      </c>
      <c r="L1223" s="14" t="n">
        <v>1.81</v>
      </c>
      <c r="M1223" s="14" t="n">
        <v>3.54</v>
      </c>
      <c r="N1223" s="14" t="n">
        <v>2.52</v>
      </c>
      <c r="O1223" s="14" t="n">
        <v>1.81</v>
      </c>
      <c r="P1223" s="14" t="n">
        <v>0.16</v>
      </c>
      <c r="Q1223" s="14" t="n">
        <v>0</v>
      </c>
      <c r="R1223" s="14" t="n">
        <v>0</v>
      </c>
      <c r="S1223" s="14" t="n">
        <v>0.39</v>
      </c>
      <c r="T1223" s="14" t="n">
        <v>0.24</v>
      </c>
      <c r="U1223" s="14" t="n">
        <v>2.36</v>
      </c>
      <c r="V1223" s="14" t="n">
        <v>3.54</v>
      </c>
      <c r="W1223" s="14" t="n">
        <v>1.89</v>
      </c>
      <c r="X1223" s="14" t="n">
        <v>0.24</v>
      </c>
      <c r="Y1223" s="14" t="n">
        <v>0.24</v>
      </c>
      <c r="Z1223" s="14" t="n">
        <v>0.39</v>
      </c>
      <c r="AA1223" s="14" t="n">
        <v>0</v>
      </c>
    </row>
    <row r="1224">
      <c r="A1224" t="inlineStr">
        <is>
          <t>090702</t>
        </is>
      </c>
      <c r="B1224" t="inlineStr">
        <is>
          <t>HUANCAVELICA</t>
        </is>
      </c>
      <c r="C1224" t="inlineStr">
        <is>
          <t>TAYACAJA</t>
        </is>
      </c>
      <c r="D1224" t="inlineStr">
        <is>
          <t>ACOSTAMBO</t>
        </is>
      </c>
      <c r="E1224" t="n">
        <v>1154</v>
      </c>
      <c r="F1224" s="14" t="n">
        <v>0</v>
      </c>
      <c r="G1224" s="14" t="n">
        <v>83.36</v>
      </c>
      <c r="H1224" s="14" t="n">
        <v>0</v>
      </c>
      <c r="I1224" s="14" t="n">
        <v>1.04</v>
      </c>
      <c r="J1224" s="14" t="n">
        <v>0</v>
      </c>
      <c r="K1224" s="14" t="n">
        <v>0</v>
      </c>
      <c r="L1224" s="14" t="n">
        <v>1.99</v>
      </c>
      <c r="M1224" s="14" t="n">
        <v>4.42</v>
      </c>
      <c r="N1224" s="14" t="n">
        <v>0.95</v>
      </c>
      <c r="O1224" s="14" t="n">
        <v>1.73</v>
      </c>
      <c r="P1224" s="14" t="n">
        <v>0.52</v>
      </c>
      <c r="Q1224" s="14" t="n">
        <v>0</v>
      </c>
      <c r="R1224" s="14" t="n">
        <v>0</v>
      </c>
      <c r="S1224" s="14" t="n">
        <v>0.35</v>
      </c>
      <c r="T1224" s="14" t="n">
        <v>0.17</v>
      </c>
      <c r="U1224" s="14" t="n">
        <v>3.9</v>
      </c>
      <c r="V1224" s="14" t="n">
        <v>0.61</v>
      </c>
      <c r="W1224" s="14" t="n">
        <v>0.52</v>
      </c>
      <c r="X1224" s="14" t="n">
        <v>0</v>
      </c>
      <c r="Y1224" s="14" t="n">
        <v>0.17</v>
      </c>
      <c r="Z1224" s="14" t="n">
        <v>0.09</v>
      </c>
      <c r="AA1224" s="14" t="n">
        <v>0.17</v>
      </c>
    </row>
    <row r="1225">
      <c r="A1225" t="inlineStr">
        <is>
          <t>060106</t>
        </is>
      </c>
      <c r="B1225" t="inlineStr">
        <is>
          <t>CAJAMARCA</t>
        </is>
      </c>
      <c r="C1225" t="inlineStr">
        <is>
          <t>CAJAMARCA</t>
        </is>
      </c>
      <c r="D1225" t="inlineStr">
        <is>
          <t>JESUS</t>
        </is>
      </c>
      <c r="E1225" t="n">
        <v>4341</v>
      </c>
      <c r="F1225" s="14" t="n">
        <v>0</v>
      </c>
      <c r="G1225" s="14" t="n">
        <v>66.14</v>
      </c>
      <c r="H1225" s="14" t="n">
        <v>0.23</v>
      </c>
      <c r="I1225" s="14" t="n">
        <v>3.18</v>
      </c>
      <c r="J1225" s="14" t="n">
        <v>0.02</v>
      </c>
      <c r="K1225" s="14" t="n">
        <v>0</v>
      </c>
      <c r="L1225" s="14" t="n">
        <v>5.85</v>
      </c>
      <c r="M1225" s="14" t="n">
        <v>7.42</v>
      </c>
      <c r="N1225" s="14" t="n">
        <v>4.72</v>
      </c>
      <c r="O1225" s="14" t="n">
        <v>2.63</v>
      </c>
      <c r="P1225" s="14" t="n">
        <v>0.21</v>
      </c>
      <c r="Q1225" s="14" t="n">
        <v>0.07000000000000001</v>
      </c>
      <c r="R1225" s="14" t="n">
        <v>0</v>
      </c>
      <c r="S1225" s="14" t="n">
        <v>1.22</v>
      </c>
      <c r="T1225" s="14" t="n">
        <v>1.15</v>
      </c>
      <c r="U1225" s="14" t="n">
        <v>1.31</v>
      </c>
      <c r="V1225" s="14" t="n">
        <v>2.56</v>
      </c>
      <c r="W1225" s="14" t="n">
        <v>0.78</v>
      </c>
      <c r="X1225" s="14" t="n">
        <v>0.14</v>
      </c>
      <c r="Y1225" s="14" t="n">
        <v>0.78</v>
      </c>
      <c r="Z1225" s="14" t="n">
        <v>1.59</v>
      </c>
      <c r="AA1225" s="14" t="n">
        <v>0</v>
      </c>
    </row>
    <row r="1226">
      <c r="A1226" t="inlineStr">
        <is>
          <t>050805</t>
        </is>
      </c>
      <c r="B1226" t="inlineStr">
        <is>
          <t>AYACUCHO</t>
        </is>
      </c>
      <c r="C1226" t="inlineStr">
        <is>
          <t>PAUCAR DEL SARA SARA</t>
        </is>
      </c>
      <c r="D1226" t="inlineStr">
        <is>
          <t>MARCABAMBA</t>
        </is>
      </c>
      <c r="E1226" t="n">
        <v>252</v>
      </c>
      <c r="F1226" s="14" t="n">
        <v>0</v>
      </c>
      <c r="G1226" s="14" t="n">
        <v>45.63</v>
      </c>
      <c r="H1226" s="14" t="n">
        <v>2.38</v>
      </c>
      <c r="I1226" s="14" t="n">
        <v>2.78</v>
      </c>
      <c r="J1226" s="14" t="n">
        <v>0</v>
      </c>
      <c r="K1226" s="14" t="n">
        <v>0</v>
      </c>
      <c r="L1226" s="14" t="n">
        <v>6.35</v>
      </c>
      <c r="M1226" s="14" t="n">
        <v>10.32</v>
      </c>
      <c r="N1226" s="14" t="n">
        <v>5.16</v>
      </c>
      <c r="O1226" s="14" t="n">
        <v>3.17</v>
      </c>
      <c r="P1226" s="14" t="n">
        <v>2.38</v>
      </c>
      <c r="Q1226" s="14" t="n">
        <v>0</v>
      </c>
      <c r="R1226" s="14" t="n">
        <v>0</v>
      </c>
      <c r="S1226" s="14" t="n">
        <v>2.78</v>
      </c>
      <c r="T1226" s="14" t="n">
        <v>0.4</v>
      </c>
      <c r="U1226" s="14" t="n">
        <v>7.14</v>
      </c>
      <c r="V1226" s="14" t="n">
        <v>8.73</v>
      </c>
      <c r="W1226" s="14" t="n">
        <v>1.59</v>
      </c>
      <c r="X1226" s="14" t="n">
        <v>0</v>
      </c>
      <c r="Y1226" s="14" t="n">
        <v>1.19</v>
      </c>
      <c r="Z1226" s="14" t="n">
        <v>0</v>
      </c>
      <c r="AA1226" s="14" t="n">
        <v>0</v>
      </c>
    </row>
    <row r="1227">
      <c r="A1227" t="inlineStr">
        <is>
          <t>021011</t>
        </is>
      </c>
      <c r="B1227" t="inlineStr">
        <is>
          <t>ANCASH</t>
        </is>
      </c>
      <c r="C1227" t="inlineStr">
        <is>
          <t>HUARI</t>
        </is>
      </c>
      <c r="D1227" t="inlineStr">
        <is>
          <t>PONTO</t>
        </is>
      </c>
      <c r="E1227" t="n">
        <v>566</v>
      </c>
      <c r="F1227" s="14" t="n">
        <v>0</v>
      </c>
      <c r="G1227" s="14" t="n">
        <v>62.19</v>
      </c>
      <c r="H1227" s="14" t="n">
        <v>0.18</v>
      </c>
      <c r="I1227" s="14" t="n">
        <v>1.41</v>
      </c>
      <c r="J1227" s="14" t="n">
        <v>0</v>
      </c>
      <c r="K1227" s="14" t="n">
        <v>0</v>
      </c>
      <c r="L1227" s="14" t="n">
        <v>6.54</v>
      </c>
      <c r="M1227" s="14" t="n">
        <v>4.06</v>
      </c>
      <c r="N1227" s="14" t="n">
        <v>3</v>
      </c>
      <c r="O1227" s="14" t="n">
        <v>1.24</v>
      </c>
      <c r="P1227" s="14" t="n">
        <v>0.18</v>
      </c>
      <c r="Q1227" s="14" t="n">
        <v>0.18</v>
      </c>
      <c r="R1227" s="14" t="n">
        <v>0</v>
      </c>
      <c r="S1227" s="14" t="n">
        <v>0.71</v>
      </c>
      <c r="T1227" s="14" t="n">
        <v>0.35</v>
      </c>
      <c r="U1227" s="14" t="n">
        <v>2.83</v>
      </c>
      <c r="V1227" s="14" t="n">
        <v>9.890000000000001</v>
      </c>
      <c r="W1227" s="14" t="n">
        <v>1.41</v>
      </c>
      <c r="X1227" s="14" t="n">
        <v>0.35</v>
      </c>
      <c r="Y1227" s="14" t="n">
        <v>4.42</v>
      </c>
      <c r="Z1227" s="14" t="n">
        <v>1.06</v>
      </c>
      <c r="AA1227" s="14" t="n">
        <v>0</v>
      </c>
    </row>
    <row r="1228">
      <c r="A1228" t="inlineStr">
        <is>
          <t>050405</t>
        </is>
      </c>
      <c r="B1228" t="inlineStr">
        <is>
          <t>AYACUCHO</t>
        </is>
      </c>
      <c r="C1228" t="inlineStr">
        <is>
          <t>HUANTA</t>
        </is>
      </c>
      <c r="D1228" t="inlineStr">
        <is>
          <t>LURICOCHA</t>
        </is>
      </c>
      <c r="E1228" t="n">
        <v>1536</v>
      </c>
      <c r="F1228" s="14" t="n">
        <v>0</v>
      </c>
      <c r="G1228" s="14" t="n">
        <v>65.95</v>
      </c>
      <c r="H1228" s="14" t="n">
        <v>0</v>
      </c>
      <c r="I1228" s="14" t="n">
        <v>3.06</v>
      </c>
      <c r="J1228" s="14" t="n">
        <v>0</v>
      </c>
      <c r="K1228" s="14" t="n">
        <v>0.07000000000000001</v>
      </c>
      <c r="L1228" s="14" t="n">
        <v>5.79</v>
      </c>
      <c r="M1228" s="14" t="n">
        <v>7.36</v>
      </c>
      <c r="N1228" s="14" t="n">
        <v>4.88</v>
      </c>
      <c r="O1228" s="14" t="n">
        <v>2.21</v>
      </c>
      <c r="P1228" s="14" t="n">
        <v>0.2</v>
      </c>
      <c r="Q1228" s="14" t="n">
        <v>0.13</v>
      </c>
      <c r="R1228" s="14" t="n">
        <v>0.13</v>
      </c>
      <c r="S1228" s="14" t="n">
        <v>0.91</v>
      </c>
      <c r="T1228" s="14" t="n">
        <v>0.78</v>
      </c>
      <c r="U1228" s="14" t="n">
        <v>1.56</v>
      </c>
      <c r="V1228" s="14" t="n">
        <v>2.99</v>
      </c>
      <c r="W1228" s="14" t="n">
        <v>1.17</v>
      </c>
      <c r="X1228" s="14" t="n">
        <v>0.26</v>
      </c>
      <c r="Y1228" s="14" t="n">
        <v>1.89</v>
      </c>
      <c r="Z1228" s="14" t="n">
        <v>0.65</v>
      </c>
      <c r="AA1228" s="14" t="n">
        <v>0</v>
      </c>
    </row>
    <row r="1229">
      <c r="A1229" t="inlineStr">
        <is>
          <t>060312</t>
        </is>
      </c>
      <c r="B1229" t="inlineStr">
        <is>
          <t>CAJAMARCA</t>
        </is>
      </c>
      <c r="C1229" t="inlineStr">
        <is>
          <t>CELENDIN</t>
        </is>
      </c>
      <c r="D1229" t="inlineStr">
        <is>
          <t>LA LIBERTAD DE PALLAN</t>
        </is>
      </c>
      <c r="E1229" t="n">
        <v>1644</v>
      </c>
      <c r="F1229" s="14" t="n">
        <v>0</v>
      </c>
      <c r="G1229" s="14" t="n">
        <v>86.62</v>
      </c>
      <c r="H1229" s="14" t="n">
        <v>0.06</v>
      </c>
      <c r="I1229" s="14" t="n">
        <v>2.07</v>
      </c>
      <c r="J1229" s="14" t="n">
        <v>0</v>
      </c>
      <c r="K1229" s="14" t="n">
        <v>0</v>
      </c>
      <c r="L1229" s="14" t="n">
        <v>0.49</v>
      </c>
      <c r="M1229" s="14" t="n">
        <v>1.95</v>
      </c>
      <c r="N1229" s="14" t="n">
        <v>0.67</v>
      </c>
      <c r="O1229" s="14" t="n">
        <v>0.73</v>
      </c>
      <c r="P1229" s="14" t="n">
        <v>0</v>
      </c>
      <c r="Q1229" s="14" t="n">
        <v>0</v>
      </c>
      <c r="R1229" s="14" t="n">
        <v>0</v>
      </c>
      <c r="S1229" s="14" t="n">
        <v>0.85</v>
      </c>
      <c r="T1229" s="14" t="n">
        <v>0.43</v>
      </c>
      <c r="U1229" s="14" t="n">
        <v>1.09</v>
      </c>
      <c r="V1229" s="14" t="n">
        <v>2.31</v>
      </c>
      <c r="W1229" s="14" t="n">
        <v>0.79</v>
      </c>
      <c r="X1229" s="14" t="n">
        <v>0</v>
      </c>
      <c r="Y1229" s="14" t="n">
        <v>0.55</v>
      </c>
      <c r="Z1229" s="14" t="n">
        <v>1.4</v>
      </c>
      <c r="AA1229" s="14" t="n">
        <v>0</v>
      </c>
    </row>
    <row r="1230">
      <c r="A1230" t="inlineStr">
        <is>
          <t>020111</t>
        </is>
      </c>
      <c r="B1230" t="inlineStr">
        <is>
          <t>ANCASH</t>
        </is>
      </c>
      <c r="C1230" t="inlineStr">
        <is>
          <t>HUARAZ</t>
        </is>
      </c>
      <c r="D1230" t="inlineStr">
        <is>
          <t>PIRA</t>
        </is>
      </c>
      <c r="E1230" t="n">
        <v>1138</v>
      </c>
      <c r="F1230" s="14" t="n">
        <v>0</v>
      </c>
      <c r="G1230" s="14" t="n">
        <v>75.83</v>
      </c>
      <c r="H1230" s="14" t="n">
        <v>4.57</v>
      </c>
      <c r="I1230" s="14" t="n">
        <v>2.02</v>
      </c>
      <c r="J1230" s="14" t="n">
        <v>0.09</v>
      </c>
      <c r="K1230" s="14" t="n">
        <v>0</v>
      </c>
      <c r="L1230" s="14" t="n">
        <v>2.72</v>
      </c>
      <c r="M1230" s="14" t="n">
        <v>3.51</v>
      </c>
      <c r="N1230" s="14" t="n">
        <v>1.93</v>
      </c>
      <c r="O1230" s="14" t="n">
        <v>0.97</v>
      </c>
      <c r="P1230" s="14" t="n">
        <v>0.35</v>
      </c>
      <c r="Q1230" s="14" t="n">
        <v>0</v>
      </c>
      <c r="R1230" s="14" t="n">
        <v>0</v>
      </c>
      <c r="S1230" s="14" t="n">
        <v>0.97</v>
      </c>
      <c r="T1230" s="14" t="n">
        <v>1.41</v>
      </c>
      <c r="U1230" s="14" t="n">
        <v>2.46</v>
      </c>
      <c r="V1230" s="14" t="n">
        <v>0.53</v>
      </c>
      <c r="W1230" s="14" t="n">
        <v>1.32</v>
      </c>
      <c r="X1230" s="14" t="n">
        <v>0.09</v>
      </c>
      <c r="Y1230" s="14" t="n">
        <v>1.23</v>
      </c>
      <c r="Z1230" s="14" t="n">
        <v>0</v>
      </c>
      <c r="AA1230" s="14" t="n">
        <v>0</v>
      </c>
    </row>
    <row r="1231">
      <c r="A1231" t="inlineStr">
        <is>
          <t>090305</t>
        </is>
      </c>
      <c r="B1231" t="inlineStr">
        <is>
          <t>HUANCAVELICA</t>
        </is>
      </c>
      <c r="C1231" t="inlineStr">
        <is>
          <t>ANGARAES</t>
        </is>
      </c>
      <c r="D1231" t="inlineStr">
        <is>
          <t>CHINCHO</t>
        </is>
      </c>
      <c r="E1231" t="n">
        <v>379</v>
      </c>
      <c r="F1231" s="14" t="n">
        <v>0</v>
      </c>
      <c r="G1231" s="14" t="n">
        <v>84.43000000000001</v>
      </c>
      <c r="H1231" s="14" t="n">
        <v>0</v>
      </c>
      <c r="I1231" s="14" t="n">
        <v>1.58</v>
      </c>
      <c r="J1231" s="14" t="n">
        <v>0</v>
      </c>
      <c r="K1231" s="14" t="n">
        <v>0</v>
      </c>
      <c r="L1231" s="14" t="n">
        <v>4.49</v>
      </c>
      <c r="M1231" s="14" t="n">
        <v>2.9</v>
      </c>
      <c r="N1231" s="14" t="n">
        <v>2.37</v>
      </c>
      <c r="O1231" s="14" t="n">
        <v>0.53</v>
      </c>
      <c r="P1231" s="14" t="n">
        <v>0</v>
      </c>
      <c r="Q1231" s="14" t="n">
        <v>0</v>
      </c>
      <c r="R1231" s="14" t="n">
        <v>0</v>
      </c>
      <c r="S1231" s="14" t="n">
        <v>0.26</v>
      </c>
      <c r="T1231" s="14" t="n">
        <v>0.26</v>
      </c>
      <c r="U1231" s="14" t="n">
        <v>0.79</v>
      </c>
      <c r="V1231" s="14" t="n">
        <v>1.32</v>
      </c>
      <c r="W1231" s="14" t="n">
        <v>0.53</v>
      </c>
      <c r="X1231" s="14" t="n">
        <v>0</v>
      </c>
      <c r="Y1231" s="14" t="n">
        <v>0.26</v>
      </c>
      <c r="Z1231" s="14" t="n">
        <v>0.26</v>
      </c>
      <c r="AA1231" s="14" t="n">
        <v>0</v>
      </c>
    </row>
    <row r="1232">
      <c r="A1232" t="inlineStr">
        <is>
          <t>050601</t>
        </is>
      </c>
      <c r="B1232" t="inlineStr">
        <is>
          <t>AYACUCHO</t>
        </is>
      </c>
      <c r="C1232" t="inlineStr">
        <is>
          <t>LUCANAS</t>
        </is>
      </c>
      <c r="D1232" t="inlineStr">
        <is>
          <t>PUQUIO</t>
        </is>
      </c>
      <c r="E1232" t="n">
        <v>5620</v>
      </c>
      <c r="F1232" s="14" t="n">
        <v>0</v>
      </c>
      <c r="G1232" s="14" t="n">
        <v>21.14</v>
      </c>
      <c r="H1232" s="14" t="n">
        <v>4.11</v>
      </c>
      <c r="I1232" s="14" t="n">
        <v>3.4</v>
      </c>
      <c r="J1232" s="14" t="n">
        <v>0.05</v>
      </c>
      <c r="K1232" s="14" t="n">
        <v>0.07000000000000001</v>
      </c>
      <c r="L1232" s="14" t="n">
        <v>8.51</v>
      </c>
      <c r="M1232" s="14" t="n">
        <v>16.28</v>
      </c>
      <c r="N1232" s="14" t="n">
        <v>6.65</v>
      </c>
      <c r="O1232" s="14" t="n">
        <v>5.78</v>
      </c>
      <c r="P1232" s="14" t="n">
        <v>0.53</v>
      </c>
      <c r="Q1232" s="14" t="n">
        <v>0.53</v>
      </c>
      <c r="R1232" s="14" t="n">
        <v>0.02</v>
      </c>
      <c r="S1232" s="14" t="n">
        <v>1.89</v>
      </c>
      <c r="T1232" s="14" t="n">
        <v>1.53</v>
      </c>
      <c r="U1232" s="14" t="n">
        <v>5.57</v>
      </c>
      <c r="V1232" s="14" t="n">
        <v>16.51</v>
      </c>
      <c r="W1232" s="14" t="n">
        <v>3.77</v>
      </c>
      <c r="X1232" s="14" t="n">
        <v>0.44</v>
      </c>
      <c r="Y1232" s="14" t="n">
        <v>1.99</v>
      </c>
      <c r="Z1232" s="14" t="n">
        <v>1.21</v>
      </c>
      <c r="AA1232" s="14" t="n">
        <v>0</v>
      </c>
    </row>
    <row r="1233">
      <c r="A1233" t="inlineStr">
        <is>
          <t>050605</t>
        </is>
      </c>
      <c r="B1233" t="inlineStr">
        <is>
          <t>AYACUCHO</t>
        </is>
      </c>
      <c r="C1233" t="inlineStr">
        <is>
          <t>LUCANAS</t>
        </is>
      </c>
      <c r="D1233" t="inlineStr">
        <is>
          <t>CHAVIÑA</t>
        </is>
      </c>
      <c r="E1233" t="n">
        <v>737</v>
      </c>
      <c r="F1233" s="14" t="n">
        <v>0</v>
      </c>
      <c r="G1233" s="14" t="n">
        <v>31.75</v>
      </c>
      <c r="H1233" s="14" t="n">
        <v>24.97</v>
      </c>
      <c r="I1233" s="14" t="n">
        <v>1.9</v>
      </c>
      <c r="J1233" s="14" t="n">
        <v>0.14</v>
      </c>
      <c r="K1233" s="14" t="n">
        <v>0.8100000000000001</v>
      </c>
      <c r="L1233" s="14" t="n">
        <v>4.21</v>
      </c>
      <c r="M1233" s="14" t="n">
        <v>10.58</v>
      </c>
      <c r="N1233" s="14" t="n">
        <v>1.22</v>
      </c>
      <c r="O1233" s="14" t="n">
        <v>2.44</v>
      </c>
      <c r="P1233" s="14" t="n">
        <v>0.14</v>
      </c>
      <c r="Q1233" s="14" t="n">
        <v>0</v>
      </c>
      <c r="R1233" s="14" t="n">
        <v>0</v>
      </c>
      <c r="S1233" s="14" t="n">
        <v>3.39</v>
      </c>
      <c r="T1233" s="14" t="n">
        <v>6.38</v>
      </c>
      <c r="U1233" s="14" t="n">
        <v>1.76</v>
      </c>
      <c r="V1233" s="14" t="n">
        <v>5.29</v>
      </c>
      <c r="W1233" s="14" t="n">
        <v>0.8100000000000001</v>
      </c>
      <c r="X1233" s="14" t="n">
        <v>0.27</v>
      </c>
      <c r="Y1233" s="14" t="n">
        <v>3.93</v>
      </c>
      <c r="Z1233" s="14" t="n">
        <v>0</v>
      </c>
      <c r="AA1233" s="14" t="n">
        <v>0</v>
      </c>
    </row>
    <row r="1234">
      <c r="A1234" t="inlineStr">
        <is>
          <t>030212</t>
        </is>
      </c>
      <c r="B1234" t="inlineStr">
        <is>
          <t>APURIMAC</t>
        </is>
      </c>
      <c r="C1234" t="inlineStr">
        <is>
          <t>ANDAHUAYLAS</t>
        </is>
      </c>
      <c r="D1234" t="inlineStr">
        <is>
          <t>SAN ANTONIO DE CACHI</t>
        </is>
      </c>
      <c r="E1234" t="n">
        <v>736</v>
      </c>
      <c r="F1234" s="14" t="n">
        <v>0</v>
      </c>
      <c r="G1234" s="14" t="n">
        <v>83.56</v>
      </c>
      <c r="H1234" s="14" t="n">
        <v>0</v>
      </c>
      <c r="I1234" s="14" t="n">
        <v>1.09</v>
      </c>
      <c r="J1234" s="14" t="n">
        <v>0</v>
      </c>
      <c r="K1234" s="14" t="n">
        <v>0</v>
      </c>
      <c r="L1234" s="14" t="n">
        <v>0.68</v>
      </c>
      <c r="M1234" s="14" t="n">
        <v>3.8</v>
      </c>
      <c r="N1234" s="14" t="n">
        <v>1.9</v>
      </c>
      <c r="O1234" s="14" t="n">
        <v>0.95</v>
      </c>
      <c r="P1234" s="14" t="n">
        <v>0</v>
      </c>
      <c r="Q1234" s="14" t="n">
        <v>0.14</v>
      </c>
      <c r="R1234" s="14" t="n">
        <v>0</v>
      </c>
      <c r="S1234" s="14" t="n">
        <v>0.27</v>
      </c>
      <c r="T1234" s="14" t="n">
        <v>0</v>
      </c>
      <c r="U1234" s="14" t="n">
        <v>3.94</v>
      </c>
      <c r="V1234" s="14" t="n">
        <v>1.77</v>
      </c>
      <c r="W1234" s="14" t="n">
        <v>1.49</v>
      </c>
      <c r="X1234" s="14" t="n">
        <v>0</v>
      </c>
      <c r="Y1234" s="14" t="n">
        <v>0.27</v>
      </c>
      <c r="Z1234" s="14" t="n">
        <v>0.14</v>
      </c>
      <c r="AA1234" s="14" t="n">
        <v>0</v>
      </c>
    </row>
    <row r="1235">
      <c r="A1235" t="inlineStr">
        <is>
          <t>090504</t>
        </is>
      </c>
      <c r="B1235" t="inlineStr">
        <is>
          <t>HUANCAVELICA</t>
        </is>
      </c>
      <c r="C1235" t="inlineStr">
        <is>
          <t>CHURCAMPA</t>
        </is>
      </c>
      <c r="D1235" t="inlineStr">
        <is>
          <t>EL CARMEN</t>
        </is>
      </c>
      <c r="E1235" t="n">
        <v>680</v>
      </c>
      <c r="F1235" s="14" t="n">
        <v>0</v>
      </c>
      <c r="G1235" s="14" t="n">
        <v>86.62</v>
      </c>
      <c r="H1235" s="14" t="n">
        <v>0</v>
      </c>
      <c r="I1235" s="14" t="n">
        <v>0.15</v>
      </c>
      <c r="J1235" s="14" t="n">
        <v>0</v>
      </c>
      <c r="K1235" s="14" t="n">
        <v>0</v>
      </c>
      <c r="L1235" s="14" t="n">
        <v>0.88</v>
      </c>
      <c r="M1235" s="14" t="n">
        <v>2.21</v>
      </c>
      <c r="N1235" s="14" t="n">
        <v>0</v>
      </c>
      <c r="O1235" s="14" t="n">
        <v>0.88</v>
      </c>
      <c r="P1235" s="14" t="n">
        <v>0</v>
      </c>
      <c r="Q1235" s="14" t="n">
        <v>0</v>
      </c>
      <c r="R1235" s="14" t="n">
        <v>0</v>
      </c>
      <c r="S1235" s="14" t="n">
        <v>0.29</v>
      </c>
      <c r="T1235" s="14" t="n">
        <v>0</v>
      </c>
      <c r="U1235" s="14" t="n">
        <v>1.18</v>
      </c>
      <c r="V1235" s="14" t="n">
        <v>6.32</v>
      </c>
      <c r="W1235" s="14" t="n">
        <v>1.47</v>
      </c>
      <c r="X1235" s="14" t="n">
        <v>0</v>
      </c>
      <c r="Y1235" s="14" t="n">
        <v>0</v>
      </c>
      <c r="Z1235" s="14" t="n">
        <v>0</v>
      </c>
      <c r="AA1235" s="14" t="n">
        <v>0</v>
      </c>
    </row>
    <row r="1236">
      <c r="A1236" t="inlineStr">
        <is>
          <t>020702</t>
        </is>
      </c>
      <c r="B1236" t="inlineStr">
        <is>
          <t>ANCASH</t>
        </is>
      </c>
      <c r="C1236" t="inlineStr">
        <is>
          <t>CARLOS FERMIN FITZCARRALD</t>
        </is>
      </c>
      <c r="D1236" t="inlineStr">
        <is>
          <t>SAN NICOLAS</t>
        </is>
      </c>
      <c r="E1236" t="n">
        <v>527</v>
      </c>
      <c r="F1236" s="14" t="n">
        <v>0</v>
      </c>
      <c r="G1236" s="14" t="n">
        <v>68.31</v>
      </c>
      <c r="H1236" s="14" t="n">
        <v>0</v>
      </c>
      <c r="I1236" s="14" t="n">
        <v>0.38</v>
      </c>
      <c r="J1236" s="14" t="n">
        <v>0</v>
      </c>
      <c r="K1236" s="14" t="n">
        <v>0</v>
      </c>
      <c r="L1236" s="14" t="n">
        <v>1.9</v>
      </c>
      <c r="M1236" s="14" t="n">
        <v>3.42</v>
      </c>
      <c r="N1236" s="14" t="n">
        <v>0</v>
      </c>
      <c r="O1236" s="14" t="n">
        <v>0.38</v>
      </c>
      <c r="P1236" s="14" t="n">
        <v>0</v>
      </c>
      <c r="Q1236" s="14" t="n">
        <v>0</v>
      </c>
      <c r="R1236" s="14" t="n">
        <v>0</v>
      </c>
      <c r="S1236" s="14" t="n">
        <v>1.71</v>
      </c>
      <c r="T1236" s="14" t="n">
        <v>0</v>
      </c>
      <c r="U1236" s="14" t="n">
        <v>5.12</v>
      </c>
      <c r="V1236" s="14" t="n">
        <v>16.89</v>
      </c>
      <c r="W1236" s="14" t="n">
        <v>1.71</v>
      </c>
      <c r="X1236" s="14" t="n">
        <v>0</v>
      </c>
      <c r="Y1236" s="14" t="n">
        <v>0.19</v>
      </c>
      <c r="Z1236" s="14" t="n">
        <v>0</v>
      </c>
      <c r="AA1236" s="14" t="n">
        <v>0</v>
      </c>
    </row>
    <row r="1237">
      <c r="A1237" t="inlineStr">
        <is>
          <t>010402</t>
        </is>
      </c>
      <c r="B1237" t="inlineStr">
        <is>
          <t>AMAZONAS</t>
        </is>
      </c>
      <c r="C1237" t="inlineStr">
        <is>
          <t>CONDORCANQUI</t>
        </is>
      </c>
      <c r="D1237" t="inlineStr">
        <is>
          <t>EL CENEPA</t>
        </is>
      </c>
      <c r="E1237" t="n">
        <v>1535</v>
      </c>
      <c r="F1237" s="14" t="n">
        <v>0</v>
      </c>
      <c r="G1237" s="14" t="n">
        <v>57.26</v>
      </c>
      <c r="H1237" s="14" t="n">
        <v>0.07000000000000001</v>
      </c>
      <c r="I1237" s="14" t="n">
        <v>3.26</v>
      </c>
      <c r="J1237" s="14" t="n">
        <v>0</v>
      </c>
      <c r="K1237" s="14" t="n">
        <v>0</v>
      </c>
      <c r="L1237" s="14" t="n">
        <v>2.15</v>
      </c>
      <c r="M1237" s="14" t="n">
        <v>11.21</v>
      </c>
      <c r="N1237" s="14" t="n">
        <v>0.98</v>
      </c>
      <c r="O1237" s="14" t="n">
        <v>0.52</v>
      </c>
      <c r="P1237" s="14" t="n">
        <v>0.07000000000000001</v>
      </c>
      <c r="Q1237" s="14" t="n">
        <v>0</v>
      </c>
      <c r="R1237" s="14" t="n">
        <v>0</v>
      </c>
      <c r="S1237" s="14" t="n">
        <v>2.08</v>
      </c>
      <c r="T1237" s="14" t="n">
        <v>0.2</v>
      </c>
      <c r="U1237" s="14" t="n">
        <v>6.19</v>
      </c>
      <c r="V1237" s="14" t="n">
        <v>10.36</v>
      </c>
      <c r="W1237" s="14" t="n">
        <v>1.43</v>
      </c>
      <c r="X1237" s="14" t="n">
        <v>0</v>
      </c>
      <c r="Y1237" s="14" t="n">
        <v>0.59</v>
      </c>
      <c r="Z1237" s="14" t="n">
        <v>3.65</v>
      </c>
      <c r="AA1237" s="14" t="n">
        <v>0</v>
      </c>
    </row>
    <row r="1238">
      <c r="A1238" t="inlineStr">
        <is>
          <t>090402</t>
        </is>
      </c>
      <c r="B1238" t="inlineStr">
        <is>
          <t>HUANCAVELICA</t>
        </is>
      </c>
      <c r="C1238" t="inlineStr">
        <is>
          <t>CASTROVIRREYNA</t>
        </is>
      </c>
      <c r="D1238" t="inlineStr">
        <is>
          <t>ARMA</t>
        </is>
      </c>
      <c r="E1238" t="n">
        <v>483</v>
      </c>
      <c r="F1238" s="14" t="n">
        <v>0</v>
      </c>
      <c r="G1238" s="14" t="n">
        <v>66.25</v>
      </c>
      <c r="H1238" s="14" t="n">
        <v>2.07</v>
      </c>
      <c r="I1238" s="14" t="n">
        <v>1.66</v>
      </c>
      <c r="J1238" s="14" t="n">
        <v>0</v>
      </c>
      <c r="K1238" s="14" t="n">
        <v>0</v>
      </c>
      <c r="L1238" s="14" t="n">
        <v>7.45</v>
      </c>
      <c r="M1238" s="14" t="n">
        <v>5.8</v>
      </c>
      <c r="N1238" s="14" t="n">
        <v>1.86</v>
      </c>
      <c r="O1238" s="14" t="n">
        <v>1.24</v>
      </c>
      <c r="P1238" s="14" t="n">
        <v>0.21</v>
      </c>
      <c r="Q1238" s="14" t="n">
        <v>0</v>
      </c>
      <c r="R1238" s="14" t="n">
        <v>0</v>
      </c>
      <c r="S1238" s="14" t="n">
        <v>1.66</v>
      </c>
      <c r="T1238" s="14" t="n">
        <v>0.21</v>
      </c>
      <c r="U1238" s="14" t="n">
        <v>4.76</v>
      </c>
      <c r="V1238" s="14" t="n">
        <v>3.93</v>
      </c>
      <c r="W1238" s="14" t="n">
        <v>2.07</v>
      </c>
      <c r="X1238" s="14" t="n">
        <v>0</v>
      </c>
      <c r="Y1238" s="14" t="n">
        <v>0.83</v>
      </c>
      <c r="Z1238" s="14" t="n">
        <v>0</v>
      </c>
      <c r="AA1238" s="14" t="n">
        <v>0</v>
      </c>
    </row>
    <row r="1239">
      <c r="A1239" t="inlineStr">
        <is>
          <t>060502</t>
        </is>
      </c>
      <c r="B1239" t="inlineStr">
        <is>
          <t>CAJAMARCA</t>
        </is>
      </c>
      <c r="C1239" t="inlineStr">
        <is>
          <t>CONTUMAZA</t>
        </is>
      </c>
      <c r="D1239" t="inlineStr">
        <is>
          <t>CHILETE</t>
        </is>
      </c>
      <c r="E1239" t="n">
        <v>983</v>
      </c>
      <c r="F1239" s="14" t="n">
        <v>0</v>
      </c>
      <c r="G1239" s="14" t="n">
        <v>22.38</v>
      </c>
      <c r="H1239" s="14" t="n">
        <v>0.1</v>
      </c>
      <c r="I1239" s="14" t="n">
        <v>3.26</v>
      </c>
      <c r="J1239" s="14" t="n">
        <v>0.31</v>
      </c>
      <c r="K1239" s="14" t="n">
        <v>0.2</v>
      </c>
      <c r="L1239" s="14" t="n">
        <v>7.93</v>
      </c>
      <c r="M1239" s="14" t="n">
        <v>18.92</v>
      </c>
      <c r="N1239" s="14" t="n">
        <v>8.65</v>
      </c>
      <c r="O1239" s="14" t="n">
        <v>6.82</v>
      </c>
      <c r="P1239" s="14" t="n">
        <v>0.2</v>
      </c>
      <c r="Q1239" s="14" t="n">
        <v>0.51</v>
      </c>
      <c r="R1239" s="14" t="n">
        <v>0</v>
      </c>
      <c r="S1239" s="14" t="n">
        <v>5.39</v>
      </c>
      <c r="T1239" s="14" t="n">
        <v>1.63</v>
      </c>
      <c r="U1239" s="14" t="n">
        <v>6.31</v>
      </c>
      <c r="V1239" s="14" t="n">
        <v>8.24</v>
      </c>
      <c r="W1239" s="14" t="n">
        <v>4.37</v>
      </c>
      <c r="X1239" s="14" t="n">
        <v>0</v>
      </c>
      <c r="Y1239" s="14" t="n">
        <v>3.26</v>
      </c>
      <c r="Z1239" s="14" t="n">
        <v>1.53</v>
      </c>
      <c r="AA1239" s="14" t="n">
        <v>0</v>
      </c>
    </row>
    <row r="1240">
      <c r="A1240" t="inlineStr">
        <is>
          <t>050609</t>
        </is>
      </c>
      <c r="B1240" t="inlineStr">
        <is>
          <t>AYACUCHO</t>
        </is>
      </c>
      <c r="C1240" t="inlineStr">
        <is>
          <t>LUCANAS</t>
        </is>
      </c>
      <c r="D1240" t="inlineStr">
        <is>
          <t>LEONCIO PRADO</t>
        </is>
      </c>
      <c r="E1240" t="n">
        <v>449</v>
      </c>
      <c r="F1240" s="14" t="n">
        <v>0</v>
      </c>
      <c r="G1240" s="14" t="n">
        <v>72.83</v>
      </c>
      <c r="H1240" s="14" t="n">
        <v>0.89</v>
      </c>
      <c r="I1240" s="14" t="n">
        <v>0.89</v>
      </c>
      <c r="J1240" s="14" t="n">
        <v>0</v>
      </c>
      <c r="K1240" s="14" t="n">
        <v>0</v>
      </c>
      <c r="L1240" s="14" t="n">
        <v>0.67</v>
      </c>
      <c r="M1240" s="14" t="n">
        <v>10.24</v>
      </c>
      <c r="N1240" s="14" t="n">
        <v>1.56</v>
      </c>
      <c r="O1240" s="14" t="n">
        <v>3.34</v>
      </c>
      <c r="P1240" s="14" t="n">
        <v>0</v>
      </c>
      <c r="Q1240" s="14" t="n">
        <v>0</v>
      </c>
      <c r="R1240" s="14" t="n">
        <v>0</v>
      </c>
      <c r="S1240" s="14" t="n">
        <v>0.45</v>
      </c>
      <c r="T1240" s="14" t="n">
        <v>0.89</v>
      </c>
      <c r="U1240" s="14" t="n">
        <v>2.45</v>
      </c>
      <c r="V1240" s="14" t="n">
        <v>2.67</v>
      </c>
      <c r="W1240" s="14" t="n">
        <v>2</v>
      </c>
      <c r="X1240" s="14" t="n">
        <v>0</v>
      </c>
      <c r="Y1240" s="14" t="n">
        <v>0.67</v>
      </c>
      <c r="Z1240" s="14" t="n">
        <v>0.45</v>
      </c>
      <c r="AA1240" s="14" t="n">
        <v>0</v>
      </c>
    </row>
    <row r="1241">
      <c r="A1241" t="inlineStr">
        <is>
          <t>050603</t>
        </is>
      </c>
      <c r="B1241" t="inlineStr">
        <is>
          <t>AYACUCHO</t>
        </is>
      </c>
      <c r="C1241" t="inlineStr">
        <is>
          <t>LUCANAS</t>
        </is>
      </c>
      <c r="D1241" t="inlineStr">
        <is>
          <t>CABANA</t>
        </is>
      </c>
      <c r="E1241" t="n">
        <v>1117</v>
      </c>
      <c r="F1241" s="14" t="n">
        <v>0</v>
      </c>
      <c r="G1241" s="14" t="n">
        <v>42.44</v>
      </c>
      <c r="H1241" s="14" t="n">
        <v>0.09</v>
      </c>
      <c r="I1241" s="14" t="n">
        <v>5.1</v>
      </c>
      <c r="J1241" s="14" t="n">
        <v>0</v>
      </c>
      <c r="K1241" s="14" t="n">
        <v>0.09</v>
      </c>
      <c r="L1241" s="14" t="n">
        <v>2.15</v>
      </c>
      <c r="M1241" s="14" t="n">
        <v>20.5</v>
      </c>
      <c r="N1241" s="14" t="n">
        <v>4.92</v>
      </c>
      <c r="O1241" s="14" t="n">
        <v>4.66</v>
      </c>
      <c r="P1241" s="14" t="n">
        <v>0.09</v>
      </c>
      <c r="Q1241" s="14" t="n">
        <v>0.54</v>
      </c>
      <c r="R1241" s="14" t="n">
        <v>0.09</v>
      </c>
      <c r="S1241" s="14" t="n">
        <v>2.24</v>
      </c>
      <c r="T1241" s="14" t="n">
        <v>0.63</v>
      </c>
      <c r="U1241" s="14" t="n">
        <v>4.03</v>
      </c>
      <c r="V1241" s="14" t="n">
        <v>8.68</v>
      </c>
      <c r="W1241" s="14" t="n">
        <v>1.79</v>
      </c>
      <c r="X1241" s="14" t="n">
        <v>0.27</v>
      </c>
      <c r="Y1241" s="14" t="n">
        <v>1.43</v>
      </c>
      <c r="Z1241" s="14" t="n">
        <v>0.27</v>
      </c>
      <c r="AA1241" s="14" t="n">
        <v>0</v>
      </c>
    </row>
    <row r="1242">
      <c r="A1242" t="inlineStr">
        <is>
          <t>081105</t>
        </is>
      </c>
      <c r="B1242" t="inlineStr">
        <is>
          <t>CUSCO</t>
        </is>
      </c>
      <c r="C1242" t="inlineStr">
        <is>
          <t>PAUCARTAMBO</t>
        </is>
      </c>
      <c r="D1242" t="inlineStr">
        <is>
          <t>HUANCARANI</t>
        </is>
      </c>
      <c r="E1242" t="n">
        <v>1969</v>
      </c>
      <c r="F1242" s="14" t="n">
        <v>0</v>
      </c>
      <c r="G1242" s="14" t="n">
        <v>66.28</v>
      </c>
      <c r="H1242" s="14" t="n">
        <v>0</v>
      </c>
      <c r="I1242" s="14" t="n">
        <v>3.71</v>
      </c>
      <c r="J1242" s="14" t="n">
        <v>0</v>
      </c>
      <c r="K1242" s="14" t="n">
        <v>0</v>
      </c>
      <c r="L1242" s="14" t="n">
        <v>8.630000000000001</v>
      </c>
      <c r="M1242" s="14" t="n">
        <v>8.68</v>
      </c>
      <c r="N1242" s="14" t="n">
        <v>4.11</v>
      </c>
      <c r="O1242" s="14" t="n">
        <v>2.49</v>
      </c>
      <c r="P1242" s="14" t="n">
        <v>0.1</v>
      </c>
      <c r="Q1242" s="14" t="n">
        <v>0</v>
      </c>
      <c r="R1242" s="14" t="n">
        <v>0</v>
      </c>
      <c r="S1242" s="14" t="n">
        <v>0.66</v>
      </c>
      <c r="T1242" s="14" t="n">
        <v>0.5600000000000001</v>
      </c>
      <c r="U1242" s="14" t="n">
        <v>1.27</v>
      </c>
      <c r="V1242" s="14" t="n">
        <v>1.17</v>
      </c>
      <c r="W1242" s="14" t="n">
        <v>0.91</v>
      </c>
      <c r="X1242" s="14" t="n">
        <v>0</v>
      </c>
      <c r="Y1242" s="14" t="n">
        <v>0.96</v>
      </c>
      <c r="Z1242" s="14" t="n">
        <v>0.46</v>
      </c>
      <c r="AA1242" s="14" t="n">
        <v>0</v>
      </c>
    </row>
    <row r="1243">
      <c r="A1243" t="inlineStr">
        <is>
          <t>090725</t>
        </is>
      </c>
      <c r="B1243" t="inlineStr">
        <is>
          <t>HUANCAVELICA</t>
        </is>
      </c>
      <c r="C1243" t="inlineStr">
        <is>
          <t>TAYACAJA</t>
        </is>
      </c>
      <c r="D1243" t="inlineStr">
        <is>
          <t>COCHABAMBA</t>
        </is>
      </c>
      <c r="E1243" t="n">
        <v>0</v>
      </c>
      <c r="F1243" s="14" t="n">
        <v>0</v>
      </c>
      <c r="G1243" s="14" t="n">
        <v>82.63</v>
      </c>
      <c r="H1243" s="14" t="n">
        <v>0</v>
      </c>
      <c r="I1243" s="14" t="n">
        <v>0.95</v>
      </c>
      <c r="J1243" s="14" t="n">
        <v>0</v>
      </c>
      <c r="K1243" s="14" t="n">
        <v>0</v>
      </c>
      <c r="L1243" s="14" t="n">
        <v>2.06</v>
      </c>
      <c r="M1243" s="14" t="n">
        <v>4.57</v>
      </c>
      <c r="N1243" s="14" t="n">
        <v>1.38</v>
      </c>
      <c r="O1243" s="14" t="n">
        <v>1.77</v>
      </c>
      <c r="P1243" s="14" t="n">
        <v>0</v>
      </c>
      <c r="Q1243" s="14" t="n">
        <v>0</v>
      </c>
      <c r="R1243" s="14" t="n">
        <v>0</v>
      </c>
      <c r="S1243" s="14" t="n">
        <v>0.44</v>
      </c>
      <c r="T1243" s="14" t="n">
        <v>0.3</v>
      </c>
      <c r="U1243" s="14" t="n">
        <v>2.45</v>
      </c>
      <c r="V1243" s="14" t="n">
        <v>1.8</v>
      </c>
      <c r="W1243" s="14" t="n">
        <v>1.08</v>
      </c>
      <c r="X1243" s="14" t="n">
        <v>0</v>
      </c>
      <c r="Y1243" s="14" t="n">
        <v>0.36</v>
      </c>
      <c r="Z1243" s="14" t="n">
        <v>0.21</v>
      </c>
      <c r="AA1243" s="14" t="n">
        <v>0</v>
      </c>
    </row>
    <row r="1244">
      <c r="A1244" t="inlineStr">
        <is>
          <t>021602</t>
        </is>
      </c>
      <c r="B1244" t="inlineStr">
        <is>
          <t>ANCASH</t>
        </is>
      </c>
      <c r="C1244" t="inlineStr">
        <is>
          <t>POMABAMBA</t>
        </is>
      </c>
      <c r="D1244" t="inlineStr">
        <is>
          <t>HUAYLLAN</t>
        </is>
      </c>
      <c r="E1244" t="n">
        <v>451</v>
      </c>
      <c r="F1244" s="14" t="n">
        <v>0</v>
      </c>
      <c r="G1244" s="14" t="n">
        <v>59.65</v>
      </c>
      <c r="H1244" s="14" t="n">
        <v>0</v>
      </c>
      <c r="I1244" s="14" t="n">
        <v>2.44</v>
      </c>
      <c r="J1244" s="14" t="n">
        <v>0</v>
      </c>
      <c r="K1244" s="14" t="n">
        <v>0</v>
      </c>
      <c r="L1244" s="14" t="n">
        <v>3.99</v>
      </c>
      <c r="M1244" s="14" t="n">
        <v>2.88</v>
      </c>
      <c r="N1244" s="14" t="n">
        <v>1.77</v>
      </c>
      <c r="O1244" s="14" t="n">
        <v>1.11</v>
      </c>
      <c r="P1244" s="14" t="n">
        <v>0</v>
      </c>
      <c r="Q1244" s="14" t="n">
        <v>0</v>
      </c>
      <c r="R1244" s="14" t="n">
        <v>0</v>
      </c>
      <c r="S1244" s="14" t="n">
        <v>1.11</v>
      </c>
      <c r="T1244" s="14" t="n">
        <v>0</v>
      </c>
      <c r="U1244" s="14" t="n">
        <v>3.77</v>
      </c>
      <c r="V1244" s="14" t="n">
        <v>18.18</v>
      </c>
      <c r="W1244" s="14" t="n">
        <v>3.99</v>
      </c>
      <c r="X1244" s="14" t="n">
        <v>0</v>
      </c>
      <c r="Y1244" s="14" t="n">
        <v>0.89</v>
      </c>
      <c r="Z1244" s="14" t="n">
        <v>0.22</v>
      </c>
      <c r="AA1244" s="14" t="n">
        <v>0</v>
      </c>
    </row>
    <row r="1245">
      <c r="A1245" t="inlineStr">
        <is>
          <t>060504</t>
        </is>
      </c>
      <c r="B1245" t="inlineStr">
        <is>
          <t>CAJAMARCA</t>
        </is>
      </c>
      <c r="C1245" t="inlineStr">
        <is>
          <t>CONTUMAZA</t>
        </is>
      </c>
      <c r="D1245" t="inlineStr">
        <is>
          <t>GUZMANGO</t>
        </is>
      </c>
      <c r="E1245" t="n">
        <v>703</v>
      </c>
      <c r="F1245" s="14" t="n">
        <v>0</v>
      </c>
      <c r="G1245" s="14" t="n">
        <v>86.34</v>
      </c>
      <c r="H1245" s="14" t="n">
        <v>0</v>
      </c>
      <c r="I1245" s="14" t="n">
        <v>1.14</v>
      </c>
      <c r="J1245" s="14" t="n">
        <v>0</v>
      </c>
      <c r="K1245" s="14" t="n">
        <v>0.14</v>
      </c>
      <c r="L1245" s="14" t="n">
        <v>2.99</v>
      </c>
      <c r="M1245" s="14" t="n">
        <v>1</v>
      </c>
      <c r="N1245" s="14" t="n">
        <v>0.57</v>
      </c>
      <c r="O1245" s="14" t="n">
        <v>1.28</v>
      </c>
      <c r="P1245" s="14" t="n">
        <v>0</v>
      </c>
      <c r="Q1245" s="14" t="n">
        <v>0</v>
      </c>
      <c r="R1245" s="14" t="n">
        <v>0</v>
      </c>
      <c r="S1245" s="14" t="n">
        <v>0.57</v>
      </c>
      <c r="T1245" s="14" t="n">
        <v>0.14</v>
      </c>
      <c r="U1245" s="14" t="n">
        <v>1.71</v>
      </c>
      <c r="V1245" s="14" t="n">
        <v>2.56</v>
      </c>
      <c r="W1245" s="14" t="n">
        <v>0.28</v>
      </c>
      <c r="X1245" s="14" t="n">
        <v>0</v>
      </c>
      <c r="Y1245" s="14" t="n">
        <v>0.43</v>
      </c>
      <c r="Z1245" s="14" t="n">
        <v>0.71</v>
      </c>
      <c r="AA1245" s="14" t="n">
        <v>0.14</v>
      </c>
    </row>
    <row r="1246">
      <c r="A1246" t="inlineStr">
        <is>
          <t>050619</t>
        </is>
      </c>
      <c r="B1246" t="inlineStr">
        <is>
          <t>AYACUCHO</t>
        </is>
      </c>
      <c r="C1246" t="inlineStr">
        <is>
          <t>LUCANAS</t>
        </is>
      </c>
      <c r="D1246" t="inlineStr">
        <is>
          <t>SANCOS</t>
        </is>
      </c>
      <c r="E1246" t="n">
        <v>2170</v>
      </c>
      <c r="F1246" s="14" t="n">
        <v>0</v>
      </c>
      <c r="G1246" s="14" t="n">
        <v>26.91</v>
      </c>
      <c r="H1246" s="14" t="n">
        <v>37.19</v>
      </c>
      <c r="I1246" s="14" t="n">
        <v>1.66</v>
      </c>
      <c r="J1246" s="14" t="n">
        <v>0</v>
      </c>
      <c r="K1246" s="14" t="n">
        <v>0.18</v>
      </c>
      <c r="L1246" s="14" t="n">
        <v>2.44</v>
      </c>
      <c r="M1246" s="14" t="n">
        <v>17.79</v>
      </c>
      <c r="N1246" s="14" t="n">
        <v>1.52</v>
      </c>
      <c r="O1246" s="14" t="n">
        <v>3.82</v>
      </c>
      <c r="P1246" s="14" t="n">
        <v>0.23</v>
      </c>
      <c r="Q1246" s="14" t="n">
        <v>0.05</v>
      </c>
      <c r="R1246" s="14" t="n">
        <v>0</v>
      </c>
      <c r="S1246" s="14" t="n">
        <v>1.29</v>
      </c>
      <c r="T1246" s="14" t="n">
        <v>1.71</v>
      </c>
      <c r="U1246" s="14" t="n">
        <v>1.01</v>
      </c>
      <c r="V1246" s="14" t="n">
        <v>2.76</v>
      </c>
      <c r="W1246" s="14" t="n">
        <v>0.23</v>
      </c>
      <c r="X1246" s="14" t="n">
        <v>0.05</v>
      </c>
      <c r="Y1246" s="14" t="n">
        <v>0.6</v>
      </c>
      <c r="Z1246" s="14" t="n">
        <v>0.55</v>
      </c>
      <c r="AA1246" s="14" t="n">
        <v>0</v>
      </c>
    </row>
    <row r="1247">
      <c r="A1247" t="inlineStr">
        <is>
          <t>030608</t>
        </is>
      </c>
      <c r="B1247" t="inlineStr">
        <is>
          <t>APURIMAC</t>
        </is>
      </c>
      <c r="C1247" t="inlineStr">
        <is>
          <t>CHINCHEROS</t>
        </is>
      </c>
      <c r="D1247" t="inlineStr">
        <is>
          <t>RANRACANCHA</t>
        </is>
      </c>
      <c r="E1247" t="n">
        <v>1155</v>
      </c>
      <c r="F1247" s="14" t="n">
        <v>0</v>
      </c>
      <c r="G1247" s="14" t="n">
        <v>79.73999999999999</v>
      </c>
      <c r="H1247" s="14" t="n">
        <v>0</v>
      </c>
      <c r="I1247" s="14" t="n">
        <v>1.21</v>
      </c>
      <c r="J1247" s="14" t="n">
        <v>0</v>
      </c>
      <c r="K1247" s="14" t="n">
        <v>0</v>
      </c>
      <c r="L1247" s="14" t="n">
        <v>3.98</v>
      </c>
      <c r="M1247" s="14" t="n">
        <v>3.2</v>
      </c>
      <c r="N1247" s="14" t="n">
        <v>1.47</v>
      </c>
      <c r="O1247" s="14" t="n">
        <v>1.04</v>
      </c>
      <c r="P1247" s="14" t="n">
        <v>0.17</v>
      </c>
      <c r="Q1247" s="14" t="n">
        <v>0</v>
      </c>
      <c r="R1247" s="14" t="n">
        <v>0</v>
      </c>
      <c r="S1247" s="14" t="n">
        <v>0.61</v>
      </c>
      <c r="T1247" s="14" t="n">
        <v>0.35</v>
      </c>
      <c r="U1247" s="14" t="n">
        <v>4.76</v>
      </c>
      <c r="V1247" s="14" t="n">
        <v>1.99</v>
      </c>
      <c r="W1247" s="14" t="n">
        <v>0.61</v>
      </c>
      <c r="X1247" s="14" t="n">
        <v>0</v>
      </c>
      <c r="Y1247" s="14" t="n">
        <v>0.43</v>
      </c>
      <c r="Z1247" s="14" t="n">
        <v>0.43</v>
      </c>
      <c r="AA1247" s="14" t="n">
        <v>0</v>
      </c>
    </row>
    <row r="1248">
      <c r="A1248" t="inlineStr">
        <is>
          <t>030409</t>
        </is>
      </c>
      <c r="B1248" t="inlineStr">
        <is>
          <t>APURIMAC</t>
        </is>
      </c>
      <c r="C1248" t="inlineStr">
        <is>
          <t>AYMARAES</t>
        </is>
      </c>
      <c r="D1248" t="inlineStr">
        <is>
          <t>LUCRE</t>
        </is>
      </c>
      <c r="E1248" t="n">
        <v>774</v>
      </c>
      <c r="F1248" s="14" t="n">
        <v>0</v>
      </c>
      <c r="G1248" s="14" t="n">
        <v>85.53</v>
      </c>
      <c r="H1248" s="14" t="n">
        <v>1.16</v>
      </c>
      <c r="I1248" s="14" t="n">
        <v>0.26</v>
      </c>
      <c r="J1248" s="14" t="n">
        <v>0</v>
      </c>
      <c r="K1248" s="14" t="n">
        <v>0</v>
      </c>
      <c r="L1248" s="14" t="n">
        <v>2.58</v>
      </c>
      <c r="M1248" s="14" t="n">
        <v>4.26</v>
      </c>
      <c r="N1248" s="14" t="n">
        <v>1.68</v>
      </c>
      <c r="O1248" s="14" t="n">
        <v>0.52</v>
      </c>
      <c r="P1248" s="14" t="n">
        <v>0</v>
      </c>
      <c r="Q1248" s="14" t="n">
        <v>0.13</v>
      </c>
      <c r="R1248" s="14" t="n">
        <v>0</v>
      </c>
      <c r="S1248" s="14" t="n">
        <v>0.13</v>
      </c>
      <c r="T1248" s="14" t="n">
        <v>0.13</v>
      </c>
      <c r="U1248" s="14" t="n">
        <v>2.07</v>
      </c>
      <c r="V1248" s="14" t="n">
        <v>0.65</v>
      </c>
      <c r="W1248" s="14" t="n">
        <v>0.9</v>
      </c>
      <c r="X1248" s="14" t="n">
        <v>0</v>
      </c>
      <c r="Y1248" s="14" t="n">
        <v>0</v>
      </c>
      <c r="Z1248" s="14" t="n">
        <v>0</v>
      </c>
      <c r="AA1248" s="14" t="n">
        <v>0</v>
      </c>
    </row>
    <row r="1249">
      <c r="A1249" t="inlineStr">
        <is>
          <t>030401</t>
        </is>
      </c>
      <c r="B1249" t="inlineStr">
        <is>
          <t>APURIMAC</t>
        </is>
      </c>
      <c r="C1249" t="inlineStr">
        <is>
          <t>AYMARAES</t>
        </is>
      </c>
      <c r="D1249" t="inlineStr">
        <is>
          <t>CHALHUANCA</t>
        </is>
      </c>
      <c r="E1249" t="n">
        <v>2148</v>
      </c>
      <c r="F1249" s="14" t="n">
        <v>0</v>
      </c>
      <c r="G1249" s="14" t="n">
        <v>23.09</v>
      </c>
      <c r="H1249" s="14" t="n">
        <v>5.4</v>
      </c>
      <c r="I1249" s="14" t="n">
        <v>2.14</v>
      </c>
      <c r="J1249" s="14" t="n">
        <v>0.14</v>
      </c>
      <c r="K1249" s="14" t="n">
        <v>0.05</v>
      </c>
      <c r="L1249" s="14" t="n">
        <v>8.890000000000001</v>
      </c>
      <c r="M1249" s="14" t="n">
        <v>15.27</v>
      </c>
      <c r="N1249" s="14" t="n">
        <v>6.8</v>
      </c>
      <c r="O1249" s="14" t="n">
        <v>8.470000000000001</v>
      </c>
      <c r="P1249" s="14" t="n">
        <v>0.51</v>
      </c>
      <c r="Q1249" s="14" t="n">
        <v>0.93</v>
      </c>
      <c r="R1249" s="14" t="n">
        <v>0</v>
      </c>
      <c r="S1249" s="14" t="n">
        <v>2.56</v>
      </c>
      <c r="T1249" s="14" t="n">
        <v>1.63</v>
      </c>
      <c r="U1249" s="14" t="n">
        <v>5.77</v>
      </c>
      <c r="V1249" s="14" t="n">
        <v>11.69</v>
      </c>
      <c r="W1249" s="14" t="n">
        <v>3.17</v>
      </c>
      <c r="X1249" s="14" t="n">
        <v>0.37</v>
      </c>
      <c r="Y1249" s="14" t="n">
        <v>1.68</v>
      </c>
      <c r="Z1249" s="14" t="n">
        <v>1.44</v>
      </c>
      <c r="AA1249" s="14" t="n">
        <v>0</v>
      </c>
    </row>
    <row r="1250">
      <c r="A1250" t="inlineStr">
        <is>
          <t>040608</t>
        </is>
      </c>
      <c r="B1250" t="inlineStr">
        <is>
          <t>AREQUIPA</t>
        </is>
      </c>
      <c r="C1250" t="inlineStr">
        <is>
          <t>CONDESUYOS</t>
        </is>
      </c>
      <c r="D1250" t="inlineStr">
        <is>
          <t>YANAQUIHUA</t>
        </is>
      </c>
      <c r="E1250" t="n">
        <v>1955</v>
      </c>
      <c r="F1250" s="14" t="n">
        <v>0</v>
      </c>
      <c r="G1250" s="14" t="n">
        <v>24.76</v>
      </c>
      <c r="H1250" s="14" t="n">
        <v>49</v>
      </c>
      <c r="I1250" s="14" t="n">
        <v>1.74</v>
      </c>
      <c r="J1250" s="14" t="n">
        <v>0</v>
      </c>
      <c r="K1250" s="14" t="n">
        <v>0</v>
      </c>
      <c r="L1250" s="14" t="n">
        <v>4.86</v>
      </c>
      <c r="M1250" s="14" t="n">
        <v>6.55</v>
      </c>
      <c r="N1250" s="14" t="n">
        <v>1.74</v>
      </c>
      <c r="O1250" s="14" t="n">
        <v>3.27</v>
      </c>
      <c r="P1250" s="14" t="n">
        <v>0.15</v>
      </c>
      <c r="Q1250" s="14" t="n">
        <v>0.05</v>
      </c>
      <c r="R1250" s="14" t="n">
        <v>0</v>
      </c>
      <c r="S1250" s="14" t="n">
        <v>0.92</v>
      </c>
      <c r="T1250" s="14" t="n">
        <v>0.97</v>
      </c>
      <c r="U1250" s="14" t="n">
        <v>2.1</v>
      </c>
      <c r="V1250" s="14" t="n">
        <v>1.69</v>
      </c>
      <c r="W1250" s="14" t="n">
        <v>0.72</v>
      </c>
      <c r="X1250" s="14" t="n">
        <v>0</v>
      </c>
      <c r="Y1250" s="14" t="n">
        <v>1.48</v>
      </c>
      <c r="Z1250" s="14" t="n">
        <v>0</v>
      </c>
      <c r="AA1250" s="14" t="n">
        <v>0</v>
      </c>
    </row>
    <row r="1251">
      <c r="A1251" t="inlineStr">
        <is>
          <t>090310</t>
        </is>
      </c>
      <c r="B1251" t="inlineStr">
        <is>
          <t>HUANCAVELICA</t>
        </is>
      </c>
      <c r="C1251" t="inlineStr">
        <is>
          <t>ANGARAES</t>
        </is>
      </c>
      <c r="D1251" t="inlineStr">
        <is>
          <t>SAN ANTONIO DE ANTAPARCO</t>
        </is>
      </c>
      <c r="E1251" t="n">
        <v>738</v>
      </c>
      <c r="F1251" s="14" t="n">
        <v>0</v>
      </c>
      <c r="G1251" s="14" t="n">
        <v>78.59</v>
      </c>
      <c r="H1251" s="14" t="n">
        <v>0</v>
      </c>
      <c r="I1251" s="14" t="n">
        <v>0.54</v>
      </c>
      <c r="J1251" s="14" t="n">
        <v>0.14</v>
      </c>
      <c r="K1251" s="14" t="n">
        <v>0.14</v>
      </c>
      <c r="L1251" s="14" t="n">
        <v>3.52</v>
      </c>
      <c r="M1251" s="14" t="n">
        <v>6.23</v>
      </c>
      <c r="N1251" s="14" t="n">
        <v>1.36</v>
      </c>
      <c r="O1251" s="14" t="n">
        <v>0.41</v>
      </c>
      <c r="P1251" s="14" t="n">
        <v>0</v>
      </c>
      <c r="Q1251" s="14" t="n">
        <v>0</v>
      </c>
      <c r="R1251" s="14" t="n">
        <v>0</v>
      </c>
      <c r="S1251" s="14" t="n">
        <v>0.27</v>
      </c>
      <c r="T1251" s="14" t="n">
        <v>0</v>
      </c>
      <c r="U1251" s="14" t="n">
        <v>3.12</v>
      </c>
      <c r="V1251" s="14" t="n">
        <v>3.79</v>
      </c>
      <c r="W1251" s="14" t="n">
        <v>0.8100000000000001</v>
      </c>
      <c r="X1251" s="14" t="n">
        <v>0</v>
      </c>
      <c r="Y1251" s="14" t="n">
        <v>0.8100000000000001</v>
      </c>
      <c r="Z1251" s="14" t="n">
        <v>0.27</v>
      </c>
      <c r="AA1251" s="14" t="n">
        <v>0</v>
      </c>
    </row>
    <row r="1252">
      <c r="A1252" t="inlineStr">
        <is>
          <t>090404</t>
        </is>
      </c>
      <c r="B1252" t="inlineStr">
        <is>
          <t>HUANCAVELICA</t>
        </is>
      </c>
      <c r="C1252" t="inlineStr">
        <is>
          <t>CASTROVIRREYNA</t>
        </is>
      </c>
      <c r="D1252" t="inlineStr">
        <is>
          <t>CAPILLAS</t>
        </is>
      </c>
      <c r="E1252" t="n">
        <v>334</v>
      </c>
      <c r="F1252" s="14" t="n">
        <v>0</v>
      </c>
      <c r="G1252" s="14" t="n">
        <v>67.06999999999999</v>
      </c>
      <c r="H1252" s="14" t="n">
        <v>0.6</v>
      </c>
      <c r="I1252" s="14" t="n">
        <v>0.3</v>
      </c>
      <c r="J1252" s="14" t="n">
        <v>0</v>
      </c>
      <c r="K1252" s="14" t="n">
        <v>0</v>
      </c>
      <c r="L1252" s="14" t="n">
        <v>12.87</v>
      </c>
      <c r="M1252" s="14" t="n">
        <v>2.99</v>
      </c>
      <c r="N1252" s="14" t="n">
        <v>1.8</v>
      </c>
      <c r="O1252" s="14" t="n">
        <v>0.9</v>
      </c>
      <c r="P1252" s="14" t="n">
        <v>0</v>
      </c>
      <c r="Q1252" s="14" t="n">
        <v>0</v>
      </c>
      <c r="R1252" s="14" t="n">
        <v>0</v>
      </c>
      <c r="S1252" s="14" t="n">
        <v>1.5</v>
      </c>
      <c r="T1252" s="14" t="n">
        <v>0.9</v>
      </c>
      <c r="U1252" s="14" t="n">
        <v>2.1</v>
      </c>
      <c r="V1252" s="14" t="n">
        <v>6.59</v>
      </c>
      <c r="W1252" s="14" t="n">
        <v>0.9</v>
      </c>
      <c r="X1252" s="14" t="n">
        <v>0</v>
      </c>
      <c r="Y1252" s="14" t="n">
        <v>0.9</v>
      </c>
      <c r="Z1252" s="14" t="n">
        <v>0.6</v>
      </c>
      <c r="AA1252" s="14" t="n">
        <v>0</v>
      </c>
    </row>
    <row r="1253">
      <c r="A1253" t="inlineStr">
        <is>
          <t>090615</t>
        </is>
      </c>
      <c r="B1253" t="inlineStr">
        <is>
          <t>HUANCAVELICA</t>
        </is>
      </c>
      <c r="C1253" t="inlineStr">
        <is>
          <t>HUAYTARA</t>
        </is>
      </c>
      <c r="D1253" t="inlineStr">
        <is>
          <t>SANTO DOMINGO DE CAPILLAS</t>
        </is>
      </c>
      <c r="E1253" t="n">
        <v>306</v>
      </c>
      <c r="F1253" s="14" t="n">
        <v>0</v>
      </c>
      <c r="G1253" s="14" t="n">
        <v>74.51000000000001</v>
      </c>
      <c r="H1253" s="14" t="n">
        <v>0</v>
      </c>
      <c r="I1253" s="14" t="n">
        <v>0.65</v>
      </c>
      <c r="J1253" s="14" t="n">
        <v>0</v>
      </c>
      <c r="K1253" s="14" t="n">
        <v>0</v>
      </c>
      <c r="L1253" s="14" t="n">
        <v>6.21</v>
      </c>
      <c r="M1253" s="14" t="n">
        <v>5.88</v>
      </c>
      <c r="N1253" s="14" t="n">
        <v>2.61</v>
      </c>
      <c r="O1253" s="14" t="n">
        <v>1.31</v>
      </c>
      <c r="P1253" s="14" t="n">
        <v>0</v>
      </c>
      <c r="Q1253" s="14" t="n">
        <v>0</v>
      </c>
      <c r="R1253" s="14" t="n">
        <v>0</v>
      </c>
      <c r="S1253" s="14" t="n">
        <v>0.98</v>
      </c>
      <c r="T1253" s="14" t="n">
        <v>0.65</v>
      </c>
      <c r="U1253" s="14" t="n">
        <v>1.63</v>
      </c>
      <c r="V1253" s="14" t="n">
        <v>4.25</v>
      </c>
      <c r="W1253" s="14" t="n">
        <v>1.31</v>
      </c>
      <c r="X1253" s="14" t="n">
        <v>0</v>
      </c>
      <c r="Y1253" s="14" t="n">
        <v>0</v>
      </c>
      <c r="Z1253" s="14" t="n">
        <v>0</v>
      </c>
      <c r="AA1253" s="14" t="n">
        <v>0</v>
      </c>
    </row>
    <row r="1254">
      <c r="A1254" t="inlineStr">
        <is>
          <t>030307</t>
        </is>
      </c>
      <c r="B1254" t="inlineStr">
        <is>
          <t>APURIMAC</t>
        </is>
      </c>
      <c r="C1254" t="inlineStr">
        <is>
          <t>ANTABAMBA</t>
        </is>
      </c>
      <c r="D1254" t="inlineStr">
        <is>
          <t>SABAINO</t>
        </is>
      </c>
      <c r="E1254" t="n">
        <v>385</v>
      </c>
      <c r="F1254" s="14" t="n">
        <v>0</v>
      </c>
      <c r="G1254" s="14" t="n">
        <v>80</v>
      </c>
      <c r="H1254" s="14" t="n">
        <v>0.26</v>
      </c>
      <c r="I1254" s="14" t="n">
        <v>0</v>
      </c>
      <c r="J1254" s="14" t="n">
        <v>0</v>
      </c>
      <c r="K1254" s="14" t="n">
        <v>0.26</v>
      </c>
      <c r="L1254" s="14" t="n">
        <v>3.64</v>
      </c>
      <c r="M1254" s="14" t="n">
        <v>3.9</v>
      </c>
      <c r="N1254" s="14" t="n">
        <v>0.26</v>
      </c>
      <c r="O1254" s="14" t="n">
        <v>1.04</v>
      </c>
      <c r="P1254" s="14" t="n">
        <v>0</v>
      </c>
      <c r="Q1254" s="14" t="n">
        <v>0</v>
      </c>
      <c r="R1254" s="14" t="n">
        <v>0</v>
      </c>
      <c r="S1254" s="14" t="n">
        <v>0.78</v>
      </c>
      <c r="T1254" s="14" t="n">
        <v>0.26</v>
      </c>
      <c r="U1254" s="14" t="n">
        <v>3.12</v>
      </c>
      <c r="V1254" s="14" t="n">
        <v>4.68</v>
      </c>
      <c r="W1254" s="14" t="n">
        <v>1.56</v>
      </c>
      <c r="X1254" s="14" t="n">
        <v>0</v>
      </c>
      <c r="Y1254" s="14" t="n">
        <v>0.26</v>
      </c>
      <c r="Z1254" s="14" t="n">
        <v>0</v>
      </c>
      <c r="AA1254" s="14" t="n">
        <v>0</v>
      </c>
    </row>
    <row r="1255">
      <c r="A1255" t="inlineStr">
        <is>
          <t>081005</t>
        </is>
      </c>
      <c r="B1255" t="inlineStr">
        <is>
          <t>CUSCO</t>
        </is>
      </c>
      <c r="C1255" t="inlineStr">
        <is>
          <t>PARURO</t>
        </is>
      </c>
      <c r="D1255" t="inlineStr">
        <is>
          <t>HUANOQUITE</t>
        </is>
      </c>
      <c r="E1255" t="n">
        <v>1798</v>
      </c>
      <c r="F1255" s="14" t="n">
        <v>0</v>
      </c>
      <c r="G1255" s="14" t="n">
        <v>83.76000000000001</v>
      </c>
      <c r="H1255" s="14" t="n">
        <v>0.11</v>
      </c>
      <c r="I1255" s="14" t="n">
        <v>1.56</v>
      </c>
      <c r="J1255" s="14" t="n">
        <v>0</v>
      </c>
      <c r="K1255" s="14" t="n">
        <v>0</v>
      </c>
      <c r="L1255" s="14" t="n">
        <v>2.56</v>
      </c>
      <c r="M1255" s="14" t="n">
        <v>3.89</v>
      </c>
      <c r="N1255" s="14" t="n">
        <v>2.5</v>
      </c>
      <c r="O1255" s="14" t="n">
        <v>0.44</v>
      </c>
      <c r="P1255" s="14" t="n">
        <v>0.11</v>
      </c>
      <c r="Q1255" s="14" t="n">
        <v>0</v>
      </c>
      <c r="R1255" s="14" t="n">
        <v>0</v>
      </c>
      <c r="S1255" s="14" t="n">
        <v>0.39</v>
      </c>
      <c r="T1255" s="14" t="n">
        <v>0.17</v>
      </c>
      <c r="U1255" s="14" t="n">
        <v>1.33</v>
      </c>
      <c r="V1255" s="14" t="n">
        <v>0.72</v>
      </c>
      <c r="W1255" s="14" t="n">
        <v>0.17</v>
      </c>
      <c r="X1255" s="14" t="n">
        <v>0</v>
      </c>
      <c r="Y1255" s="14" t="n">
        <v>0.5</v>
      </c>
      <c r="Z1255" s="14" t="n">
        <v>1.78</v>
      </c>
      <c r="AA1255" s="14" t="n">
        <v>0</v>
      </c>
    </row>
    <row r="1256">
      <c r="A1256" t="inlineStr">
        <is>
          <t>080917</t>
        </is>
      </c>
      <c r="B1256" t="inlineStr">
        <is>
          <t>CUSCO</t>
        </is>
      </c>
      <c r="C1256" t="inlineStr">
        <is>
          <t>LA CONVENCION</t>
        </is>
      </c>
      <c r="D1256" t="inlineStr">
        <is>
          <t>MANITEA</t>
        </is>
      </c>
      <c r="E1256" t="n">
        <v>0</v>
      </c>
      <c r="F1256" s="14" t="n">
        <v>0</v>
      </c>
      <c r="G1256" s="14" t="n">
        <v>67.31999999999999</v>
      </c>
      <c r="H1256" s="14" t="n">
        <v>0.13</v>
      </c>
      <c r="I1256" s="14" t="n">
        <v>1.63</v>
      </c>
      <c r="J1256" s="14" t="n">
        <v>0.07000000000000001</v>
      </c>
      <c r="K1256" s="14" t="n">
        <v>0.05</v>
      </c>
      <c r="L1256" s="14" t="n">
        <v>3.69</v>
      </c>
      <c r="M1256" s="14" t="n">
        <v>7.52</v>
      </c>
      <c r="N1256" s="14" t="n">
        <v>3.16</v>
      </c>
      <c r="O1256" s="14" t="n">
        <v>2.75</v>
      </c>
      <c r="P1256" s="14" t="n">
        <v>0.19</v>
      </c>
      <c r="Q1256" s="14" t="n">
        <v>0.13</v>
      </c>
      <c r="R1256" s="14" t="n">
        <v>0</v>
      </c>
      <c r="S1256" s="14" t="n">
        <v>1.87</v>
      </c>
      <c r="T1256" s="14" t="n">
        <v>0.76</v>
      </c>
      <c r="U1256" s="14" t="n">
        <v>5.16</v>
      </c>
      <c r="V1256" s="14" t="n">
        <v>3.17</v>
      </c>
      <c r="W1256" s="14" t="n">
        <v>1.02</v>
      </c>
      <c r="X1256" s="14" t="n">
        <v>0.06</v>
      </c>
      <c r="Y1256" s="14" t="n">
        <v>0.98</v>
      </c>
      <c r="Z1256" s="14" t="n">
        <v>0.37</v>
      </c>
      <c r="AA1256" s="14" t="n">
        <v>0</v>
      </c>
    </row>
    <row r="1257">
      <c r="A1257" t="inlineStr">
        <is>
          <t>060403</t>
        </is>
      </c>
      <c r="B1257" t="inlineStr">
        <is>
          <t>CAJAMARCA</t>
        </is>
      </c>
      <c r="C1257" t="inlineStr">
        <is>
          <t>CHOTA</t>
        </is>
      </c>
      <c r="D1257" t="inlineStr">
        <is>
          <t>CHADIN</t>
        </is>
      </c>
      <c r="E1257" t="n">
        <v>1137</v>
      </c>
      <c r="F1257" s="14" t="n">
        <v>0</v>
      </c>
      <c r="G1257" s="14" t="n">
        <v>83.55</v>
      </c>
      <c r="H1257" s="14" t="n">
        <v>0</v>
      </c>
      <c r="I1257" s="14" t="n">
        <v>2.2</v>
      </c>
      <c r="J1257" s="14" t="n">
        <v>0</v>
      </c>
      <c r="K1257" s="14" t="n">
        <v>0</v>
      </c>
      <c r="L1257" s="14" t="n">
        <v>0.53</v>
      </c>
      <c r="M1257" s="14" t="n">
        <v>7.65</v>
      </c>
      <c r="N1257" s="14" t="n">
        <v>0.62</v>
      </c>
      <c r="O1257" s="14" t="n">
        <v>0.26</v>
      </c>
      <c r="P1257" s="14" t="n">
        <v>0</v>
      </c>
      <c r="Q1257" s="14" t="n">
        <v>0.09</v>
      </c>
      <c r="R1257" s="14" t="n">
        <v>0</v>
      </c>
      <c r="S1257" s="14" t="n">
        <v>0.18</v>
      </c>
      <c r="T1257" s="14" t="n">
        <v>0</v>
      </c>
      <c r="U1257" s="14" t="n">
        <v>1.06</v>
      </c>
      <c r="V1257" s="14" t="n">
        <v>3.08</v>
      </c>
      <c r="W1257" s="14" t="n">
        <v>0.53</v>
      </c>
      <c r="X1257" s="14" t="n">
        <v>0</v>
      </c>
      <c r="Y1257" s="14" t="n">
        <v>0.26</v>
      </c>
      <c r="Z1257" s="14" t="n">
        <v>0</v>
      </c>
      <c r="AA1257" s="14" t="n">
        <v>0</v>
      </c>
    </row>
    <row r="1258">
      <c r="A1258" t="inlineStr">
        <is>
          <t>021207</t>
        </is>
      </c>
      <c r="B1258" t="inlineStr">
        <is>
          <t>ANCASH</t>
        </is>
      </c>
      <c r="C1258" t="inlineStr">
        <is>
          <t>HUAYLAS</t>
        </is>
      </c>
      <c r="D1258" t="inlineStr">
        <is>
          <t>PUEBLO LIBRE</t>
        </is>
      </c>
      <c r="E1258" t="n">
        <v>1283</v>
      </c>
      <c r="F1258" s="14" t="n">
        <v>0</v>
      </c>
      <c r="G1258" s="14" t="n">
        <v>74.90000000000001</v>
      </c>
      <c r="H1258" s="14" t="n">
        <v>3.43</v>
      </c>
      <c r="I1258" s="14" t="n">
        <v>2.03</v>
      </c>
      <c r="J1258" s="14" t="n">
        <v>0</v>
      </c>
      <c r="K1258" s="14" t="n">
        <v>0</v>
      </c>
      <c r="L1258" s="14" t="n">
        <v>3.59</v>
      </c>
      <c r="M1258" s="14" t="n">
        <v>2.42</v>
      </c>
      <c r="N1258" s="14" t="n">
        <v>3.66</v>
      </c>
      <c r="O1258" s="14" t="n">
        <v>1.64</v>
      </c>
      <c r="P1258" s="14" t="n">
        <v>0.08</v>
      </c>
      <c r="Q1258" s="14" t="n">
        <v>0.47</v>
      </c>
      <c r="R1258" s="14" t="n">
        <v>0</v>
      </c>
      <c r="S1258" s="14" t="n">
        <v>0.47</v>
      </c>
      <c r="T1258" s="14" t="n">
        <v>0.39</v>
      </c>
      <c r="U1258" s="14" t="n">
        <v>2.26</v>
      </c>
      <c r="V1258" s="14" t="n">
        <v>2.03</v>
      </c>
      <c r="W1258" s="14" t="n">
        <v>1.64</v>
      </c>
      <c r="X1258" s="14" t="n">
        <v>0</v>
      </c>
      <c r="Y1258" s="14" t="n">
        <v>0.62</v>
      </c>
      <c r="Z1258" s="14" t="n">
        <v>0.39</v>
      </c>
      <c r="AA1258" s="14" t="n">
        <v>0</v>
      </c>
    </row>
    <row r="1259">
      <c r="A1259" t="inlineStr">
        <is>
          <t>090203</t>
        </is>
      </c>
      <c r="B1259" t="inlineStr">
        <is>
          <t>HUANCAVELICA</t>
        </is>
      </c>
      <c r="C1259" t="inlineStr">
        <is>
          <t>ACOBAMBA</t>
        </is>
      </c>
      <c r="D1259" t="inlineStr">
        <is>
          <t>ANTA</t>
        </is>
      </c>
      <c r="E1259" t="n">
        <v>1408</v>
      </c>
      <c r="F1259" s="14" t="n">
        <v>0</v>
      </c>
      <c r="G1259" s="14" t="n">
        <v>92.97</v>
      </c>
      <c r="H1259" s="14" t="n">
        <v>0</v>
      </c>
      <c r="I1259" s="14" t="n">
        <v>0.21</v>
      </c>
      <c r="J1259" s="14" t="n">
        <v>0</v>
      </c>
      <c r="K1259" s="14" t="n">
        <v>0</v>
      </c>
      <c r="L1259" s="14" t="n">
        <v>0.57</v>
      </c>
      <c r="M1259" s="14" t="n">
        <v>2.2</v>
      </c>
      <c r="N1259" s="14" t="n">
        <v>0.36</v>
      </c>
      <c r="O1259" s="14" t="n">
        <v>0.21</v>
      </c>
      <c r="P1259" s="14" t="n">
        <v>0</v>
      </c>
      <c r="Q1259" s="14" t="n">
        <v>0</v>
      </c>
      <c r="R1259" s="14" t="n">
        <v>0</v>
      </c>
      <c r="S1259" s="14" t="n">
        <v>0.07000000000000001</v>
      </c>
      <c r="T1259" s="14" t="n">
        <v>0</v>
      </c>
      <c r="U1259" s="14" t="n">
        <v>1.07</v>
      </c>
      <c r="V1259" s="14" t="n">
        <v>1.35</v>
      </c>
      <c r="W1259" s="14" t="n">
        <v>0.92</v>
      </c>
      <c r="X1259" s="14" t="n">
        <v>0</v>
      </c>
      <c r="Y1259" s="14" t="n">
        <v>0.07000000000000001</v>
      </c>
      <c r="Z1259" s="14" t="n">
        <v>0</v>
      </c>
      <c r="AA1259" s="14" t="n">
        <v>0</v>
      </c>
    </row>
    <row r="1260">
      <c r="A1260" t="inlineStr">
        <is>
          <t>050810</t>
        </is>
      </c>
      <c r="B1260" t="inlineStr">
        <is>
          <t>AYACUCHO</t>
        </is>
      </c>
      <c r="C1260" t="inlineStr">
        <is>
          <t>PAUCAR DEL SARA SARA</t>
        </is>
      </c>
      <c r="D1260" t="inlineStr">
        <is>
          <t>SARA SARA</t>
        </is>
      </c>
      <c r="E1260" t="n">
        <v>170</v>
      </c>
      <c r="F1260" s="14" t="n">
        <v>0</v>
      </c>
      <c r="G1260" s="14" t="n">
        <v>57.65</v>
      </c>
      <c r="H1260" s="14" t="n">
        <v>0.59</v>
      </c>
      <c r="I1260" s="14" t="n">
        <v>0.59</v>
      </c>
      <c r="J1260" s="14" t="n">
        <v>0</v>
      </c>
      <c r="K1260" s="14" t="n">
        <v>0</v>
      </c>
      <c r="L1260" s="14" t="n">
        <v>4.71</v>
      </c>
      <c r="M1260" s="14" t="n">
        <v>7.65</v>
      </c>
      <c r="N1260" s="14" t="n">
        <v>0</v>
      </c>
      <c r="O1260" s="14" t="n">
        <v>3.53</v>
      </c>
      <c r="P1260" s="14" t="n">
        <v>0</v>
      </c>
      <c r="Q1260" s="14" t="n">
        <v>0</v>
      </c>
      <c r="R1260" s="14" t="n">
        <v>0</v>
      </c>
      <c r="S1260" s="14" t="n">
        <v>2.35</v>
      </c>
      <c r="T1260" s="14" t="n">
        <v>0</v>
      </c>
      <c r="U1260" s="14" t="n">
        <v>3.53</v>
      </c>
      <c r="V1260" s="14" t="n">
        <v>14.71</v>
      </c>
      <c r="W1260" s="14" t="n">
        <v>1.18</v>
      </c>
      <c r="X1260" s="14" t="n">
        <v>0</v>
      </c>
      <c r="Y1260" s="14" t="n">
        <v>2.94</v>
      </c>
      <c r="Z1260" s="14" t="n">
        <v>0.59</v>
      </c>
      <c r="AA1260" s="14" t="n">
        <v>0</v>
      </c>
    </row>
    <row r="1261">
      <c r="A1261" t="inlineStr">
        <is>
          <t>061202</t>
        </is>
      </c>
      <c r="B1261" t="inlineStr">
        <is>
          <t>CAJAMARCA</t>
        </is>
      </c>
      <c r="C1261" t="inlineStr">
        <is>
          <t>SAN PABLO</t>
        </is>
      </c>
      <c r="D1261" t="inlineStr">
        <is>
          <t>SAN BERNARDINO</t>
        </is>
      </c>
      <c r="E1261" t="n">
        <v>1280</v>
      </c>
      <c r="F1261" s="14" t="n">
        <v>0</v>
      </c>
      <c r="G1261" s="14" t="n">
        <v>82.42</v>
      </c>
      <c r="H1261" s="14" t="n">
        <v>0.08</v>
      </c>
      <c r="I1261" s="14" t="n">
        <v>1.09</v>
      </c>
      <c r="J1261" s="14" t="n">
        <v>0</v>
      </c>
      <c r="K1261" s="14" t="n">
        <v>0</v>
      </c>
      <c r="L1261" s="14" t="n">
        <v>2.58</v>
      </c>
      <c r="M1261" s="14" t="n">
        <v>3.28</v>
      </c>
      <c r="N1261" s="14" t="n">
        <v>2.11</v>
      </c>
      <c r="O1261" s="14" t="n">
        <v>0.39</v>
      </c>
      <c r="P1261" s="14" t="n">
        <v>0.08</v>
      </c>
      <c r="Q1261" s="14" t="n">
        <v>0.08</v>
      </c>
      <c r="R1261" s="14" t="n">
        <v>0</v>
      </c>
      <c r="S1261" s="14" t="n">
        <v>0</v>
      </c>
      <c r="T1261" s="14" t="n">
        <v>0.39</v>
      </c>
      <c r="U1261" s="14" t="n">
        <v>2.19</v>
      </c>
      <c r="V1261" s="14" t="n">
        <v>3.13</v>
      </c>
      <c r="W1261" s="14" t="n">
        <v>1.09</v>
      </c>
      <c r="X1261" s="14" t="n">
        <v>0.16</v>
      </c>
      <c r="Y1261" s="14" t="n">
        <v>0.86</v>
      </c>
      <c r="Z1261" s="14" t="n">
        <v>0.08</v>
      </c>
      <c r="AA1261" s="14" t="n">
        <v>0</v>
      </c>
    </row>
    <row r="1262">
      <c r="A1262" t="inlineStr">
        <is>
          <t>080503</t>
        </is>
      </c>
      <c r="B1262" t="inlineStr">
        <is>
          <t>CUSCO</t>
        </is>
      </c>
      <c r="C1262" t="inlineStr">
        <is>
          <t>CANAS</t>
        </is>
      </c>
      <c r="D1262" t="inlineStr">
        <is>
          <t>KUNTURKANKI</t>
        </is>
      </c>
      <c r="E1262" t="n">
        <v>1165</v>
      </c>
      <c r="F1262" s="14" t="n">
        <v>0</v>
      </c>
      <c r="G1262" s="14" t="n">
        <v>61.55</v>
      </c>
      <c r="H1262" s="14" t="n">
        <v>0.43</v>
      </c>
      <c r="I1262" s="14" t="n">
        <v>2.4</v>
      </c>
      <c r="J1262" s="14" t="n">
        <v>0</v>
      </c>
      <c r="K1262" s="14" t="n">
        <v>0</v>
      </c>
      <c r="L1262" s="14" t="n">
        <v>6.78</v>
      </c>
      <c r="M1262" s="14" t="n">
        <v>9.789999999999999</v>
      </c>
      <c r="N1262" s="14" t="n">
        <v>2.83</v>
      </c>
      <c r="O1262" s="14" t="n">
        <v>3.43</v>
      </c>
      <c r="P1262" s="14" t="n">
        <v>0</v>
      </c>
      <c r="Q1262" s="14" t="n">
        <v>0.09</v>
      </c>
      <c r="R1262" s="14" t="n">
        <v>0</v>
      </c>
      <c r="S1262" s="14" t="n">
        <v>2.15</v>
      </c>
      <c r="T1262" s="14" t="n">
        <v>1.03</v>
      </c>
      <c r="U1262" s="14" t="n">
        <v>2.06</v>
      </c>
      <c r="V1262" s="14" t="n">
        <v>3.52</v>
      </c>
      <c r="W1262" s="14" t="n">
        <v>1.29</v>
      </c>
      <c r="X1262" s="14" t="n">
        <v>0.09</v>
      </c>
      <c r="Y1262" s="14" t="n">
        <v>2.4</v>
      </c>
      <c r="Z1262" s="14" t="n">
        <v>0.17</v>
      </c>
      <c r="AA1262" s="14" t="n">
        <v>0</v>
      </c>
    </row>
    <row r="1263">
      <c r="A1263" t="inlineStr">
        <is>
          <t>050412</t>
        </is>
      </c>
      <c r="B1263" t="inlineStr">
        <is>
          <t>AYACUCHO</t>
        </is>
      </c>
      <c r="C1263" t="inlineStr">
        <is>
          <t>HUANTA</t>
        </is>
      </c>
      <c r="D1263" t="inlineStr">
        <is>
          <t>CHACA</t>
        </is>
      </c>
      <c r="E1263" t="n">
        <v>301</v>
      </c>
      <c r="F1263" s="14" t="n">
        <v>0</v>
      </c>
      <c r="G1263" s="14" t="n">
        <v>89.37</v>
      </c>
      <c r="H1263" s="14" t="n">
        <v>0</v>
      </c>
      <c r="I1263" s="14" t="n">
        <v>0.66</v>
      </c>
      <c r="J1263" s="14" t="n">
        <v>0</v>
      </c>
      <c r="K1263" s="14" t="n">
        <v>0</v>
      </c>
      <c r="L1263" s="14" t="n">
        <v>1.33</v>
      </c>
      <c r="M1263" s="14" t="n">
        <v>1.99</v>
      </c>
      <c r="N1263" s="14" t="n">
        <v>0.33</v>
      </c>
      <c r="O1263" s="14" t="n">
        <v>1.33</v>
      </c>
      <c r="P1263" s="14" t="n">
        <v>0</v>
      </c>
      <c r="Q1263" s="14" t="n">
        <v>0</v>
      </c>
      <c r="R1263" s="14" t="n">
        <v>0</v>
      </c>
      <c r="S1263" s="14" t="n">
        <v>1</v>
      </c>
      <c r="T1263" s="14" t="n">
        <v>0.66</v>
      </c>
      <c r="U1263" s="14" t="n">
        <v>1.33</v>
      </c>
      <c r="V1263" s="14" t="n">
        <v>0.66</v>
      </c>
      <c r="W1263" s="14" t="n">
        <v>0.66</v>
      </c>
      <c r="X1263" s="14" t="n">
        <v>0</v>
      </c>
      <c r="Y1263" s="14" t="n">
        <v>0.33</v>
      </c>
      <c r="Z1263" s="14" t="n">
        <v>0.33</v>
      </c>
      <c r="AA1263" s="14" t="n">
        <v>0</v>
      </c>
    </row>
    <row r="1264">
      <c r="A1264" t="inlineStr">
        <is>
          <t>061201</t>
        </is>
      </c>
      <c r="B1264" t="inlineStr">
        <is>
          <t>CAJAMARCA</t>
        </is>
      </c>
      <c r="C1264" t="inlineStr">
        <is>
          <t>SAN PABLO</t>
        </is>
      </c>
      <c r="D1264" t="inlineStr">
        <is>
          <t>SAN PABLO</t>
        </is>
      </c>
      <c r="E1264" t="n">
        <v>3885</v>
      </c>
      <c r="F1264" s="14" t="n">
        <v>0</v>
      </c>
      <c r="G1264" s="14" t="n">
        <v>62.88</v>
      </c>
      <c r="H1264" s="14" t="n">
        <v>0.18</v>
      </c>
      <c r="I1264" s="14" t="n">
        <v>4.07</v>
      </c>
      <c r="J1264" s="14" t="n">
        <v>0</v>
      </c>
      <c r="K1264" s="14" t="n">
        <v>0.15</v>
      </c>
      <c r="L1264" s="14" t="n">
        <v>2.24</v>
      </c>
      <c r="M1264" s="14" t="n">
        <v>6.54</v>
      </c>
      <c r="N1264" s="14" t="n">
        <v>3.06</v>
      </c>
      <c r="O1264" s="14" t="n">
        <v>1.83</v>
      </c>
      <c r="P1264" s="14" t="n">
        <v>0.08</v>
      </c>
      <c r="Q1264" s="14" t="n">
        <v>0.08</v>
      </c>
      <c r="R1264" s="14" t="n">
        <v>0</v>
      </c>
      <c r="S1264" s="14" t="n">
        <v>0.9</v>
      </c>
      <c r="T1264" s="14" t="n">
        <v>0.6899999999999999</v>
      </c>
      <c r="U1264" s="14" t="n">
        <v>2.88</v>
      </c>
      <c r="V1264" s="14" t="n">
        <v>10.14</v>
      </c>
      <c r="W1264" s="14" t="n">
        <v>2.01</v>
      </c>
      <c r="X1264" s="14" t="n">
        <v>0.18</v>
      </c>
      <c r="Y1264" s="14" t="n">
        <v>0.9</v>
      </c>
      <c r="Z1264" s="14" t="n">
        <v>1.18</v>
      </c>
      <c r="AA1264" s="14" t="n">
        <v>0</v>
      </c>
    </row>
    <row r="1265">
      <c r="A1265" t="inlineStr">
        <is>
          <t>030215</t>
        </is>
      </c>
      <c r="B1265" t="inlineStr">
        <is>
          <t>APURIMAC</t>
        </is>
      </c>
      <c r="C1265" t="inlineStr">
        <is>
          <t>ANDAHUAYLAS</t>
        </is>
      </c>
      <c r="D1265" t="inlineStr">
        <is>
          <t>SANTA MARIA DE CHICMO</t>
        </is>
      </c>
      <c r="E1265" t="n">
        <v>2732</v>
      </c>
      <c r="F1265" s="14" t="n">
        <v>0</v>
      </c>
      <c r="G1265" s="14" t="n">
        <v>87.88</v>
      </c>
      <c r="H1265" s="14" t="n">
        <v>0.15</v>
      </c>
      <c r="I1265" s="14" t="n">
        <v>0.55</v>
      </c>
      <c r="J1265" s="14" t="n">
        <v>0</v>
      </c>
      <c r="K1265" s="14" t="n">
        <v>0</v>
      </c>
      <c r="L1265" s="14" t="n">
        <v>0.73</v>
      </c>
      <c r="M1265" s="14" t="n">
        <v>4.03</v>
      </c>
      <c r="N1265" s="14" t="n">
        <v>1.9</v>
      </c>
      <c r="O1265" s="14" t="n">
        <v>1.02</v>
      </c>
      <c r="P1265" s="14" t="n">
        <v>0</v>
      </c>
      <c r="Q1265" s="14" t="n">
        <v>0.11</v>
      </c>
      <c r="R1265" s="14" t="n">
        <v>0</v>
      </c>
      <c r="S1265" s="14" t="n">
        <v>0.33</v>
      </c>
      <c r="T1265" s="14" t="n">
        <v>0.4</v>
      </c>
      <c r="U1265" s="14" t="n">
        <v>0.77</v>
      </c>
      <c r="V1265" s="14" t="n">
        <v>1.02</v>
      </c>
      <c r="W1265" s="14" t="n">
        <v>0.55</v>
      </c>
      <c r="X1265" s="14" t="n">
        <v>0.04</v>
      </c>
      <c r="Y1265" s="14" t="n">
        <v>0.18</v>
      </c>
      <c r="Z1265" s="14" t="n">
        <v>0.33</v>
      </c>
      <c r="AA1265" s="14" t="n">
        <v>0</v>
      </c>
    </row>
    <row r="1266">
      <c r="A1266" t="inlineStr">
        <is>
          <t>081003</t>
        </is>
      </c>
      <c r="B1266" t="inlineStr">
        <is>
          <t>CUSCO</t>
        </is>
      </c>
      <c r="C1266" t="inlineStr">
        <is>
          <t>PARURO</t>
        </is>
      </c>
      <c r="D1266" t="inlineStr">
        <is>
          <t>CCAPI</t>
        </is>
      </c>
      <c r="E1266" t="n">
        <v>1045</v>
      </c>
      <c r="F1266" s="14" t="n">
        <v>0</v>
      </c>
      <c r="G1266" s="14" t="n">
        <v>82.68000000000001</v>
      </c>
      <c r="H1266" s="14" t="n">
        <v>0</v>
      </c>
      <c r="I1266" s="14" t="n">
        <v>0.67</v>
      </c>
      <c r="J1266" s="14" t="n">
        <v>0</v>
      </c>
      <c r="K1266" s="14" t="n">
        <v>0</v>
      </c>
      <c r="L1266" s="14" t="n">
        <v>4.59</v>
      </c>
      <c r="M1266" s="14" t="n">
        <v>3.16</v>
      </c>
      <c r="N1266" s="14" t="n">
        <v>0.48</v>
      </c>
      <c r="O1266" s="14" t="n">
        <v>2.78</v>
      </c>
      <c r="P1266" s="14" t="n">
        <v>0</v>
      </c>
      <c r="Q1266" s="14" t="n">
        <v>0</v>
      </c>
      <c r="R1266" s="14" t="n">
        <v>0</v>
      </c>
      <c r="S1266" s="14" t="n">
        <v>1.53</v>
      </c>
      <c r="T1266" s="14" t="n">
        <v>0.67</v>
      </c>
      <c r="U1266" s="14" t="n">
        <v>0.77</v>
      </c>
      <c r="V1266" s="14" t="n">
        <v>2.11</v>
      </c>
      <c r="W1266" s="14" t="n">
        <v>0.19</v>
      </c>
      <c r="X1266" s="14" t="n">
        <v>0</v>
      </c>
      <c r="Y1266" s="14" t="n">
        <v>0.19</v>
      </c>
      <c r="Z1266" s="14" t="n">
        <v>0.19</v>
      </c>
      <c r="AA1266" s="14" t="n">
        <v>0</v>
      </c>
    </row>
    <row r="1267">
      <c r="A1267" t="inlineStr">
        <is>
          <t>060603</t>
        </is>
      </c>
      <c r="B1267" t="inlineStr">
        <is>
          <t>CAJAMARCA</t>
        </is>
      </c>
      <c r="C1267" t="inlineStr">
        <is>
          <t>CUTERVO</t>
        </is>
      </c>
      <c r="D1267" t="inlineStr">
        <is>
          <t>CHOROS</t>
        </is>
      </c>
      <c r="E1267" t="n">
        <v>875</v>
      </c>
      <c r="F1267" s="14" t="n">
        <v>0</v>
      </c>
      <c r="G1267" s="14" t="n">
        <v>88</v>
      </c>
      <c r="H1267" s="14" t="n">
        <v>0</v>
      </c>
      <c r="I1267" s="14" t="n">
        <v>0.11</v>
      </c>
      <c r="J1267" s="14" t="n">
        <v>0</v>
      </c>
      <c r="K1267" s="14" t="n">
        <v>0</v>
      </c>
      <c r="L1267" s="14" t="n">
        <v>0.57</v>
      </c>
      <c r="M1267" s="14" t="n">
        <v>1.14</v>
      </c>
      <c r="N1267" s="14" t="n">
        <v>1.26</v>
      </c>
      <c r="O1267" s="14" t="n">
        <v>0.11</v>
      </c>
      <c r="P1267" s="14" t="n">
        <v>0</v>
      </c>
      <c r="Q1267" s="14" t="n">
        <v>0</v>
      </c>
      <c r="R1267" s="14" t="n">
        <v>0</v>
      </c>
      <c r="S1267" s="14" t="n">
        <v>0.23</v>
      </c>
      <c r="T1267" s="14" t="n">
        <v>0.11</v>
      </c>
      <c r="U1267" s="14" t="n">
        <v>1.71</v>
      </c>
      <c r="V1267" s="14" t="n">
        <v>4.57</v>
      </c>
      <c r="W1267" s="14" t="n">
        <v>1.83</v>
      </c>
      <c r="X1267" s="14" t="n">
        <v>0</v>
      </c>
      <c r="Y1267" s="14" t="n">
        <v>0.34</v>
      </c>
      <c r="Z1267" s="14" t="n">
        <v>0</v>
      </c>
      <c r="AA1267" s="14" t="n">
        <v>0</v>
      </c>
    </row>
    <row r="1268">
      <c r="A1268" t="inlineStr">
        <is>
          <t>060507</t>
        </is>
      </c>
      <c r="B1268" t="inlineStr">
        <is>
          <t>CAJAMARCA</t>
        </is>
      </c>
      <c r="C1268" t="inlineStr">
        <is>
          <t>CONTUMAZA</t>
        </is>
      </c>
      <c r="D1268" t="inlineStr">
        <is>
          <t>TANTARICA</t>
        </is>
      </c>
      <c r="E1268" t="n">
        <v>701</v>
      </c>
      <c r="F1268" s="14" t="n">
        <v>0</v>
      </c>
      <c r="G1268" s="14" t="n">
        <v>59.63</v>
      </c>
      <c r="H1268" s="14" t="n">
        <v>0.29</v>
      </c>
      <c r="I1268" s="14" t="n">
        <v>2.57</v>
      </c>
      <c r="J1268" s="14" t="n">
        <v>0.14</v>
      </c>
      <c r="K1268" s="14" t="n">
        <v>0</v>
      </c>
      <c r="L1268" s="14" t="n">
        <v>2.28</v>
      </c>
      <c r="M1268" s="14" t="n">
        <v>6.42</v>
      </c>
      <c r="N1268" s="14" t="n">
        <v>5.56</v>
      </c>
      <c r="O1268" s="14" t="n">
        <v>3</v>
      </c>
      <c r="P1268" s="14" t="n">
        <v>0</v>
      </c>
      <c r="Q1268" s="14" t="n">
        <v>0</v>
      </c>
      <c r="R1268" s="14" t="n">
        <v>0</v>
      </c>
      <c r="S1268" s="14" t="n">
        <v>1.71</v>
      </c>
      <c r="T1268" s="14" t="n">
        <v>1.14</v>
      </c>
      <c r="U1268" s="14" t="n">
        <v>3.14</v>
      </c>
      <c r="V1268" s="14" t="n">
        <v>7.42</v>
      </c>
      <c r="W1268" s="14" t="n">
        <v>2</v>
      </c>
      <c r="X1268" s="14" t="n">
        <v>0</v>
      </c>
      <c r="Y1268" s="14" t="n">
        <v>0.57</v>
      </c>
      <c r="Z1268" s="14" t="n">
        <v>4.14</v>
      </c>
      <c r="AA1268" s="14" t="n">
        <v>0</v>
      </c>
    </row>
    <row r="1269">
      <c r="A1269" t="inlineStr">
        <is>
          <t>060505</t>
        </is>
      </c>
      <c r="B1269" t="inlineStr">
        <is>
          <t>CAJAMARCA</t>
        </is>
      </c>
      <c r="C1269" t="inlineStr">
        <is>
          <t>CONTUMAZA</t>
        </is>
      </c>
      <c r="D1269" t="inlineStr">
        <is>
          <t>SAN BENITO</t>
        </is>
      </c>
      <c r="E1269" t="n">
        <v>1197</v>
      </c>
      <c r="F1269" s="14" t="n">
        <v>0</v>
      </c>
      <c r="G1269" s="14" t="n">
        <v>82.20999999999999</v>
      </c>
      <c r="H1269" s="14" t="n">
        <v>0.08</v>
      </c>
      <c r="I1269" s="14" t="n">
        <v>1.09</v>
      </c>
      <c r="J1269" s="14" t="n">
        <v>0</v>
      </c>
      <c r="K1269" s="14" t="n">
        <v>0.08</v>
      </c>
      <c r="L1269" s="14" t="n">
        <v>2.26</v>
      </c>
      <c r="M1269" s="14" t="n">
        <v>3.84</v>
      </c>
      <c r="N1269" s="14" t="n">
        <v>1.84</v>
      </c>
      <c r="O1269" s="14" t="n">
        <v>1.17</v>
      </c>
      <c r="P1269" s="14" t="n">
        <v>0</v>
      </c>
      <c r="Q1269" s="14" t="n">
        <v>0</v>
      </c>
      <c r="R1269" s="14" t="n">
        <v>0</v>
      </c>
      <c r="S1269" s="14" t="n">
        <v>0.33</v>
      </c>
      <c r="T1269" s="14" t="n">
        <v>0.25</v>
      </c>
      <c r="U1269" s="14" t="n">
        <v>1.34</v>
      </c>
      <c r="V1269" s="14" t="n">
        <v>3.09</v>
      </c>
      <c r="W1269" s="14" t="n">
        <v>1</v>
      </c>
      <c r="X1269" s="14" t="n">
        <v>0</v>
      </c>
      <c r="Y1269" s="14" t="n">
        <v>0.92</v>
      </c>
      <c r="Z1269" s="14" t="n">
        <v>0.5</v>
      </c>
      <c r="AA1269" s="14" t="n">
        <v>0</v>
      </c>
    </row>
    <row r="1270">
      <c r="A1270" t="inlineStr">
        <is>
          <t>081210</t>
        </is>
      </c>
      <c r="B1270" t="inlineStr">
        <is>
          <t>CUSCO</t>
        </is>
      </c>
      <c r="C1270" t="inlineStr">
        <is>
          <t>QUISPICANCHI</t>
        </is>
      </c>
      <c r="D1270" t="inlineStr">
        <is>
          <t>OCONGATE</t>
        </is>
      </c>
      <c r="E1270" t="n">
        <v>3526</v>
      </c>
      <c r="F1270" s="14" t="n">
        <v>0</v>
      </c>
      <c r="G1270" s="14" t="n">
        <v>64.75</v>
      </c>
      <c r="H1270" s="14" t="n">
        <v>1.25</v>
      </c>
      <c r="I1270" s="14" t="n">
        <v>5.05</v>
      </c>
      <c r="J1270" s="14" t="n">
        <v>0</v>
      </c>
      <c r="K1270" s="14" t="n">
        <v>0.06</v>
      </c>
      <c r="L1270" s="14" t="n">
        <v>5.08</v>
      </c>
      <c r="M1270" s="14" t="n">
        <v>10.07</v>
      </c>
      <c r="N1270" s="14" t="n">
        <v>3.01</v>
      </c>
      <c r="O1270" s="14" t="n">
        <v>3.2</v>
      </c>
      <c r="P1270" s="14" t="n">
        <v>0.26</v>
      </c>
      <c r="Q1270" s="14" t="n">
        <v>0.03</v>
      </c>
      <c r="R1270" s="14" t="n">
        <v>0</v>
      </c>
      <c r="S1270" s="14" t="n">
        <v>0.85</v>
      </c>
      <c r="T1270" s="14" t="n">
        <v>0.82</v>
      </c>
      <c r="U1270" s="14" t="n">
        <v>0.71</v>
      </c>
      <c r="V1270" s="14" t="n">
        <v>1.28</v>
      </c>
      <c r="W1270" s="14" t="n">
        <v>0.34</v>
      </c>
      <c r="X1270" s="14" t="n">
        <v>0.06</v>
      </c>
      <c r="Y1270" s="14" t="n">
        <v>2.47</v>
      </c>
      <c r="Z1270" s="14" t="n">
        <v>0.74</v>
      </c>
      <c r="AA1270" s="14" t="n">
        <v>0</v>
      </c>
    </row>
    <row r="1271">
      <c r="A1271" t="inlineStr">
        <is>
          <t>051010</t>
        </is>
      </c>
      <c r="B1271" t="inlineStr">
        <is>
          <t>AYACUCHO</t>
        </is>
      </c>
      <c r="C1271" t="inlineStr">
        <is>
          <t>VICTOR FAJARDO</t>
        </is>
      </c>
      <c r="D1271" t="inlineStr">
        <is>
          <t>HUAYA</t>
        </is>
      </c>
      <c r="E1271" t="n">
        <v>740</v>
      </c>
      <c r="F1271" s="14" t="n">
        <v>0</v>
      </c>
      <c r="G1271" s="14" t="n">
        <v>72.84</v>
      </c>
      <c r="H1271" s="14" t="n">
        <v>0.14</v>
      </c>
      <c r="I1271" s="14" t="n">
        <v>2.16</v>
      </c>
      <c r="J1271" s="14" t="n">
        <v>0</v>
      </c>
      <c r="K1271" s="14" t="n">
        <v>0</v>
      </c>
      <c r="L1271" s="14" t="n">
        <v>2.03</v>
      </c>
      <c r="M1271" s="14" t="n">
        <v>6.35</v>
      </c>
      <c r="N1271" s="14" t="n">
        <v>0.68</v>
      </c>
      <c r="O1271" s="14" t="n">
        <v>2.03</v>
      </c>
      <c r="P1271" s="14" t="n">
        <v>0</v>
      </c>
      <c r="Q1271" s="14" t="n">
        <v>0</v>
      </c>
      <c r="R1271" s="14" t="n">
        <v>0</v>
      </c>
      <c r="S1271" s="14" t="n">
        <v>1.49</v>
      </c>
      <c r="T1271" s="14" t="n">
        <v>0.54</v>
      </c>
      <c r="U1271" s="14" t="n">
        <v>2.3</v>
      </c>
      <c r="V1271" s="14" t="n">
        <v>6.08</v>
      </c>
      <c r="W1271" s="14" t="n">
        <v>0.95</v>
      </c>
      <c r="X1271" s="14" t="n">
        <v>0.27</v>
      </c>
      <c r="Y1271" s="14" t="n">
        <v>1.76</v>
      </c>
      <c r="Z1271" s="14" t="n">
        <v>0.41</v>
      </c>
      <c r="AA1271" s="14" t="n">
        <v>0</v>
      </c>
    </row>
    <row r="1272">
      <c r="A1272" t="inlineStr">
        <is>
          <t>051102</t>
        </is>
      </c>
      <c r="B1272" t="inlineStr">
        <is>
          <t>AYACUCHO</t>
        </is>
      </c>
      <c r="C1272" t="inlineStr">
        <is>
          <t>VILCAS HUAMAN</t>
        </is>
      </c>
      <c r="D1272" t="inlineStr">
        <is>
          <t>ACCOMARCA</t>
        </is>
      </c>
      <c r="E1272" t="n">
        <v>97</v>
      </c>
      <c r="F1272" s="14" t="n">
        <v>0</v>
      </c>
      <c r="G1272" s="14" t="n">
        <v>40.21</v>
      </c>
      <c r="H1272" s="14" t="n">
        <v>0</v>
      </c>
      <c r="I1272" s="14" t="n">
        <v>3.09</v>
      </c>
      <c r="J1272" s="14" t="n">
        <v>0</v>
      </c>
      <c r="K1272" s="14" t="n">
        <v>0</v>
      </c>
      <c r="L1272" s="14" t="n">
        <v>8.25</v>
      </c>
      <c r="M1272" s="14" t="n">
        <v>3.09</v>
      </c>
      <c r="N1272" s="14" t="n">
        <v>2.06</v>
      </c>
      <c r="O1272" s="14" t="n">
        <v>0</v>
      </c>
      <c r="P1272" s="14" t="n">
        <v>0</v>
      </c>
      <c r="Q1272" s="14" t="n">
        <v>0</v>
      </c>
      <c r="R1272" s="14" t="n">
        <v>0</v>
      </c>
      <c r="S1272" s="14" t="n">
        <v>1.03</v>
      </c>
      <c r="T1272" s="14" t="n">
        <v>0</v>
      </c>
      <c r="U1272" s="14" t="n">
        <v>2.06</v>
      </c>
      <c r="V1272" s="14" t="n">
        <v>24.74</v>
      </c>
      <c r="W1272" s="14" t="n">
        <v>4.12</v>
      </c>
      <c r="X1272" s="14" t="n">
        <v>0</v>
      </c>
      <c r="Y1272" s="14" t="n">
        <v>11.34</v>
      </c>
      <c r="Z1272" s="14" t="n">
        <v>0</v>
      </c>
      <c r="AA1272" s="14" t="n">
        <v>0</v>
      </c>
    </row>
    <row r="1273">
      <c r="A1273" t="inlineStr">
        <is>
          <t>020508</t>
        </is>
      </c>
      <c r="B1273" t="inlineStr">
        <is>
          <t>ANCASH</t>
        </is>
      </c>
      <c r="C1273" t="inlineStr">
        <is>
          <t>BOLOGNESI</t>
        </is>
      </c>
      <c r="D1273" t="inlineStr">
        <is>
          <t>HUALLANCA</t>
        </is>
      </c>
      <c r="E1273" t="n">
        <v>2242</v>
      </c>
      <c r="F1273" s="14" t="n">
        <v>0</v>
      </c>
      <c r="G1273" s="14" t="n">
        <v>24.04</v>
      </c>
      <c r="H1273" s="14" t="n">
        <v>19.13</v>
      </c>
      <c r="I1273" s="14" t="n">
        <v>4.33</v>
      </c>
      <c r="J1273" s="14" t="n">
        <v>0.36</v>
      </c>
      <c r="K1273" s="14" t="n">
        <v>0</v>
      </c>
      <c r="L1273" s="14" t="n">
        <v>10.44</v>
      </c>
      <c r="M1273" s="14" t="n">
        <v>12.44</v>
      </c>
      <c r="N1273" s="14" t="n">
        <v>4.24</v>
      </c>
      <c r="O1273" s="14" t="n">
        <v>3.88</v>
      </c>
      <c r="P1273" s="14" t="n">
        <v>0.09</v>
      </c>
      <c r="Q1273" s="14" t="n">
        <v>0.31</v>
      </c>
      <c r="R1273" s="14" t="n">
        <v>0</v>
      </c>
      <c r="S1273" s="14" t="n">
        <v>2.5</v>
      </c>
      <c r="T1273" s="14" t="n">
        <v>1.2</v>
      </c>
      <c r="U1273" s="14" t="n">
        <v>6.16</v>
      </c>
      <c r="V1273" s="14" t="n">
        <v>3.84</v>
      </c>
      <c r="W1273" s="14" t="n">
        <v>1.25</v>
      </c>
      <c r="X1273" s="14" t="n">
        <v>0.04</v>
      </c>
      <c r="Y1273" s="14" t="n">
        <v>5.22</v>
      </c>
      <c r="Z1273" s="14" t="n">
        <v>0.54</v>
      </c>
      <c r="AA1273" s="14" t="n">
        <v>0</v>
      </c>
    </row>
    <row r="1274">
      <c r="A1274" t="inlineStr">
        <is>
          <t>040206</t>
        </is>
      </c>
      <c r="B1274" t="inlineStr">
        <is>
          <t>AREQUIPA</t>
        </is>
      </c>
      <c r="C1274" t="inlineStr">
        <is>
          <t>CAMANA</t>
        </is>
      </c>
      <c r="D1274" t="inlineStr">
        <is>
          <t>OCOÑA</t>
        </is>
      </c>
      <c r="E1274" t="n">
        <v>1875</v>
      </c>
      <c r="F1274" s="14" t="n">
        <v>1.173</v>
      </c>
      <c r="G1274" s="14" t="n">
        <v>48.69</v>
      </c>
      <c r="H1274" s="14" t="n">
        <v>0.8</v>
      </c>
      <c r="I1274" s="14" t="n">
        <v>5.65</v>
      </c>
      <c r="J1274" s="14" t="n">
        <v>0</v>
      </c>
      <c r="K1274" s="14" t="n">
        <v>0.27</v>
      </c>
      <c r="L1274" s="14" t="n">
        <v>4.8</v>
      </c>
      <c r="M1274" s="14" t="n">
        <v>12.37</v>
      </c>
      <c r="N1274" s="14" t="n">
        <v>8.369999999999999</v>
      </c>
      <c r="O1274" s="14" t="n">
        <v>5.6</v>
      </c>
      <c r="P1274" s="14" t="n">
        <v>0.16</v>
      </c>
      <c r="Q1274" s="14" t="n">
        <v>0.05</v>
      </c>
      <c r="R1274" s="14" t="n">
        <v>0</v>
      </c>
      <c r="S1274" s="14" t="n">
        <v>0.8</v>
      </c>
      <c r="T1274" s="14" t="n">
        <v>3.31</v>
      </c>
      <c r="U1274" s="14" t="n">
        <v>3.36</v>
      </c>
      <c r="V1274" s="14" t="n">
        <v>2.35</v>
      </c>
      <c r="W1274" s="14" t="n">
        <v>1.6</v>
      </c>
      <c r="X1274" s="14" t="n">
        <v>0.11</v>
      </c>
      <c r="Y1274" s="14" t="n">
        <v>1.12</v>
      </c>
      <c r="Z1274" s="14" t="n">
        <v>0.59</v>
      </c>
      <c r="AA1274" s="14" t="n">
        <v>0</v>
      </c>
    </row>
    <row r="1275">
      <c r="A1275" t="inlineStr">
        <is>
          <t>050108</t>
        </is>
      </c>
      <c r="B1275" t="inlineStr">
        <is>
          <t>AYACUCHO</t>
        </is>
      </c>
      <c r="C1275" t="inlineStr">
        <is>
          <t>HUAMANGA</t>
        </is>
      </c>
      <c r="D1275" t="inlineStr">
        <is>
          <t>QUINUA</t>
        </is>
      </c>
      <c r="E1275" t="n">
        <v>1782</v>
      </c>
      <c r="F1275" s="14" t="n">
        <v>0</v>
      </c>
      <c r="G1275" s="14" t="n">
        <v>61.45</v>
      </c>
      <c r="H1275" s="14" t="n">
        <v>0</v>
      </c>
      <c r="I1275" s="14" t="n">
        <v>3.76</v>
      </c>
      <c r="J1275" s="14" t="n">
        <v>0</v>
      </c>
      <c r="K1275" s="14" t="n">
        <v>0</v>
      </c>
      <c r="L1275" s="14" t="n">
        <v>4.99</v>
      </c>
      <c r="M1275" s="14" t="n">
        <v>8.699999999999999</v>
      </c>
      <c r="N1275" s="14" t="n">
        <v>5.61</v>
      </c>
      <c r="O1275" s="14" t="n">
        <v>5.72</v>
      </c>
      <c r="P1275" s="14" t="n">
        <v>0</v>
      </c>
      <c r="Q1275" s="14" t="n">
        <v>0.06</v>
      </c>
      <c r="R1275" s="14" t="n">
        <v>0.06</v>
      </c>
      <c r="S1275" s="14" t="n">
        <v>1.52</v>
      </c>
      <c r="T1275" s="14" t="n">
        <v>1.01</v>
      </c>
      <c r="U1275" s="14" t="n">
        <v>2.64</v>
      </c>
      <c r="V1275" s="14" t="n">
        <v>1.63</v>
      </c>
      <c r="W1275" s="14" t="n">
        <v>1.01</v>
      </c>
      <c r="X1275" s="14" t="n">
        <v>0.28</v>
      </c>
      <c r="Y1275" s="14" t="n">
        <v>1.23</v>
      </c>
      <c r="Z1275" s="14" t="n">
        <v>0.34</v>
      </c>
      <c r="AA1275" s="14" t="n">
        <v>0</v>
      </c>
    </row>
    <row r="1276">
      <c r="A1276" t="inlineStr">
        <is>
          <t>010707</t>
        </is>
      </c>
      <c r="B1276" t="inlineStr">
        <is>
          <t>AMAZONAS</t>
        </is>
      </c>
      <c r="C1276" t="inlineStr">
        <is>
          <t>UTCUBAMBA</t>
        </is>
      </c>
      <c r="D1276" t="inlineStr">
        <is>
          <t>YAMON</t>
        </is>
      </c>
      <c r="E1276" t="n">
        <v>1024</v>
      </c>
      <c r="F1276" s="14" t="n">
        <v>0</v>
      </c>
      <c r="G1276" s="14" t="n">
        <v>86.91</v>
      </c>
      <c r="H1276" s="14" t="n">
        <v>0.1</v>
      </c>
      <c r="I1276" s="14" t="n">
        <v>0.1</v>
      </c>
      <c r="J1276" s="14" t="n">
        <v>0</v>
      </c>
      <c r="K1276" s="14" t="n">
        <v>0.1</v>
      </c>
      <c r="L1276" s="14" t="n">
        <v>1.46</v>
      </c>
      <c r="M1276" s="14" t="n">
        <v>2.05</v>
      </c>
      <c r="N1276" s="14" t="n">
        <v>0.78</v>
      </c>
      <c r="O1276" s="14" t="n">
        <v>0.88</v>
      </c>
      <c r="P1276" s="14" t="n">
        <v>0.2</v>
      </c>
      <c r="Q1276" s="14" t="n">
        <v>0.2</v>
      </c>
      <c r="R1276" s="14" t="n">
        <v>0</v>
      </c>
      <c r="S1276" s="14" t="n">
        <v>0</v>
      </c>
      <c r="T1276" s="14" t="n">
        <v>0</v>
      </c>
      <c r="U1276" s="14" t="n">
        <v>0.59</v>
      </c>
      <c r="V1276" s="14" t="n">
        <v>4.79</v>
      </c>
      <c r="W1276" s="14" t="n">
        <v>1.27</v>
      </c>
      <c r="X1276" s="14" t="n">
        <v>0</v>
      </c>
      <c r="Y1276" s="14" t="n">
        <v>0.29</v>
      </c>
      <c r="Z1276" s="14" t="n">
        <v>0.29</v>
      </c>
      <c r="AA1276" s="14" t="n">
        <v>0</v>
      </c>
    </row>
    <row r="1277">
      <c r="A1277" t="inlineStr">
        <is>
          <t>050608</t>
        </is>
      </c>
      <c r="B1277" t="inlineStr">
        <is>
          <t>AYACUCHO</t>
        </is>
      </c>
      <c r="C1277" t="inlineStr">
        <is>
          <t>LUCANAS</t>
        </is>
      </c>
      <c r="D1277" t="inlineStr">
        <is>
          <t>LARAMATE</t>
        </is>
      </c>
      <c r="E1277" t="n">
        <v>552</v>
      </c>
      <c r="F1277" s="14" t="n">
        <v>0</v>
      </c>
      <c r="G1277" s="14" t="n">
        <v>63.41</v>
      </c>
      <c r="H1277" s="14" t="n">
        <v>0.91</v>
      </c>
      <c r="I1277" s="14" t="n">
        <v>2.54</v>
      </c>
      <c r="J1277" s="14" t="n">
        <v>0.18</v>
      </c>
      <c r="K1277" s="14" t="n">
        <v>0</v>
      </c>
      <c r="L1277" s="14" t="n">
        <v>2.17</v>
      </c>
      <c r="M1277" s="14" t="n">
        <v>5.43</v>
      </c>
      <c r="N1277" s="14" t="n">
        <v>2.72</v>
      </c>
      <c r="O1277" s="14" t="n">
        <v>2.17</v>
      </c>
      <c r="P1277" s="14" t="n">
        <v>0</v>
      </c>
      <c r="Q1277" s="14" t="n">
        <v>0.54</v>
      </c>
      <c r="R1277" s="14" t="n">
        <v>0</v>
      </c>
      <c r="S1277" s="14" t="n">
        <v>1.27</v>
      </c>
      <c r="T1277" s="14" t="n">
        <v>0.91</v>
      </c>
      <c r="U1277" s="14" t="n">
        <v>2.36</v>
      </c>
      <c r="V1277" s="14" t="n">
        <v>9.960000000000001</v>
      </c>
      <c r="W1277" s="14" t="n">
        <v>3.26</v>
      </c>
      <c r="X1277" s="14" t="n">
        <v>0</v>
      </c>
      <c r="Y1277" s="14" t="n">
        <v>1.63</v>
      </c>
      <c r="Z1277" s="14" t="n">
        <v>0.54</v>
      </c>
      <c r="AA1277" s="14" t="n">
        <v>0</v>
      </c>
    </row>
    <row r="1278">
      <c r="A1278" t="inlineStr">
        <is>
          <t>050613</t>
        </is>
      </c>
      <c r="B1278" t="inlineStr">
        <is>
          <t>AYACUCHO</t>
        </is>
      </c>
      <c r="C1278" t="inlineStr">
        <is>
          <t>LUCANAS</t>
        </is>
      </c>
      <c r="D1278" t="inlineStr">
        <is>
          <t>OTOCA</t>
        </is>
      </c>
      <c r="E1278" t="n">
        <v>852</v>
      </c>
      <c r="F1278" s="14" t="n">
        <v>0</v>
      </c>
      <c r="G1278" s="14" t="n">
        <v>67.25</v>
      </c>
      <c r="H1278" s="14" t="n">
        <v>12.44</v>
      </c>
      <c r="I1278" s="14" t="n">
        <v>0.35</v>
      </c>
      <c r="J1278" s="14" t="n">
        <v>0</v>
      </c>
      <c r="K1278" s="14" t="n">
        <v>0</v>
      </c>
      <c r="L1278" s="14" t="n">
        <v>2.7</v>
      </c>
      <c r="M1278" s="14" t="n">
        <v>2.23</v>
      </c>
      <c r="N1278" s="14" t="n">
        <v>2.11</v>
      </c>
      <c r="O1278" s="14" t="n">
        <v>2.23</v>
      </c>
      <c r="P1278" s="14" t="n">
        <v>0</v>
      </c>
      <c r="Q1278" s="14" t="n">
        <v>0</v>
      </c>
      <c r="R1278" s="14" t="n">
        <v>0</v>
      </c>
      <c r="S1278" s="14" t="n">
        <v>1.17</v>
      </c>
      <c r="T1278" s="14" t="n">
        <v>0.35</v>
      </c>
      <c r="U1278" s="14" t="n">
        <v>2.23</v>
      </c>
      <c r="V1278" s="14" t="n">
        <v>3.17</v>
      </c>
      <c r="W1278" s="14" t="n">
        <v>0.59</v>
      </c>
      <c r="X1278" s="14" t="n">
        <v>0</v>
      </c>
      <c r="Y1278" s="14" t="n">
        <v>1.41</v>
      </c>
      <c r="Z1278" s="14" t="n">
        <v>1.76</v>
      </c>
      <c r="AA1278" s="14" t="n">
        <v>0</v>
      </c>
    </row>
    <row r="1279">
      <c r="A1279" t="inlineStr">
        <is>
          <t>090611</t>
        </is>
      </c>
      <c r="B1279" t="inlineStr">
        <is>
          <t>HUANCAVELICA</t>
        </is>
      </c>
      <c r="C1279" t="inlineStr">
        <is>
          <t>HUAYTARA</t>
        </is>
      </c>
      <c r="D1279" t="inlineStr">
        <is>
          <t>SAN FRANCISCO DE SANGAYAICO</t>
        </is>
      </c>
      <c r="E1279" t="n">
        <v>360</v>
      </c>
      <c r="F1279" s="14" t="n">
        <v>0</v>
      </c>
      <c r="G1279" s="14" t="n">
        <v>62.78</v>
      </c>
      <c r="H1279" s="14" t="n">
        <v>2.22</v>
      </c>
      <c r="I1279" s="14" t="n">
        <v>0.5600000000000001</v>
      </c>
      <c r="J1279" s="14" t="n">
        <v>0</v>
      </c>
      <c r="K1279" s="14" t="n">
        <v>0</v>
      </c>
      <c r="L1279" s="14" t="n">
        <v>9.17</v>
      </c>
      <c r="M1279" s="14" t="n">
        <v>11.11</v>
      </c>
      <c r="N1279" s="14" t="n">
        <v>1.39</v>
      </c>
      <c r="O1279" s="14" t="n">
        <v>1.39</v>
      </c>
      <c r="P1279" s="14" t="n">
        <v>0</v>
      </c>
      <c r="Q1279" s="14" t="n">
        <v>0</v>
      </c>
      <c r="R1279" s="14" t="n">
        <v>0</v>
      </c>
      <c r="S1279" s="14" t="n">
        <v>1.67</v>
      </c>
      <c r="T1279" s="14" t="n">
        <v>0.28</v>
      </c>
      <c r="U1279" s="14" t="n">
        <v>3.61</v>
      </c>
      <c r="V1279" s="14" t="n">
        <v>3.89</v>
      </c>
      <c r="W1279" s="14" t="n">
        <v>1.94</v>
      </c>
      <c r="X1279" s="14" t="n">
        <v>0</v>
      </c>
      <c r="Y1279" s="14" t="n">
        <v>0</v>
      </c>
      <c r="Z1279" s="14" t="n">
        <v>0</v>
      </c>
      <c r="AA1279" s="14" t="n">
        <v>0</v>
      </c>
    </row>
    <row r="1280">
      <c r="A1280" t="inlineStr">
        <is>
          <t>080705</t>
        </is>
      </c>
      <c r="B1280" t="inlineStr">
        <is>
          <t>CUSCO</t>
        </is>
      </c>
      <c r="C1280" t="inlineStr">
        <is>
          <t>CHUMBIVILCAS</t>
        </is>
      </c>
      <c r="D1280" t="inlineStr">
        <is>
          <t>LIVITACA</t>
        </is>
      </c>
      <c r="E1280" t="n">
        <v>1952</v>
      </c>
      <c r="F1280" s="14" t="n">
        <v>0</v>
      </c>
      <c r="G1280" s="14" t="n">
        <v>77.25</v>
      </c>
      <c r="H1280" s="14" t="n">
        <v>0.36</v>
      </c>
      <c r="I1280" s="14" t="n">
        <v>0.87</v>
      </c>
      <c r="J1280" s="14" t="n">
        <v>0.2</v>
      </c>
      <c r="K1280" s="14" t="n">
        <v>0</v>
      </c>
      <c r="L1280" s="14" t="n">
        <v>4.2</v>
      </c>
      <c r="M1280" s="14" t="n">
        <v>6.81</v>
      </c>
      <c r="N1280" s="14" t="n">
        <v>0.77</v>
      </c>
      <c r="O1280" s="14" t="n">
        <v>1.74</v>
      </c>
      <c r="P1280" s="14" t="n">
        <v>0.05</v>
      </c>
      <c r="Q1280" s="14" t="n">
        <v>0</v>
      </c>
      <c r="R1280" s="14" t="n">
        <v>0</v>
      </c>
      <c r="S1280" s="14" t="n">
        <v>0.92</v>
      </c>
      <c r="T1280" s="14" t="n">
        <v>0.26</v>
      </c>
      <c r="U1280" s="14" t="n">
        <v>1.38</v>
      </c>
      <c r="V1280" s="14" t="n">
        <v>3.07</v>
      </c>
      <c r="W1280" s="14" t="n">
        <v>0.72</v>
      </c>
      <c r="X1280" s="14" t="n">
        <v>0</v>
      </c>
      <c r="Y1280" s="14" t="n">
        <v>1.13</v>
      </c>
      <c r="Z1280" s="14" t="n">
        <v>0.26</v>
      </c>
      <c r="AA1280" s="14" t="n">
        <v>0</v>
      </c>
    </row>
    <row r="1281">
      <c r="A1281" t="inlineStr">
        <is>
          <t>090505</t>
        </is>
      </c>
      <c r="B1281" t="inlineStr">
        <is>
          <t>HUANCAVELICA</t>
        </is>
      </c>
      <c r="C1281" t="inlineStr">
        <is>
          <t>CHURCAMPA</t>
        </is>
      </c>
      <c r="D1281" t="inlineStr">
        <is>
          <t>LA MERCED</t>
        </is>
      </c>
      <c r="E1281" t="n">
        <v>423</v>
      </c>
      <c r="F1281" s="14" t="n">
        <v>0</v>
      </c>
      <c r="G1281" s="14" t="n">
        <v>50.83</v>
      </c>
      <c r="H1281" s="14" t="n">
        <v>0</v>
      </c>
      <c r="I1281" s="14" t="n">
        <v>16.55</v>
      </c>
      <c r="J1281" s="14" t="n">
        <v>0.24</v>
      </c>
      <c r="K1281" s="14" t="n">
        <v>0</v>
      </c>
      <c r="L1281" s="14" t="n">
        <v>4.96</v>
      </c>
      <c r="M1281" s="14" t="n">
        <v>8.039999999999999</v>
      </c>
      <c r="N1281" s="14" t="n">
        <v>4.49</v>
      </c>
      <c r="O1281" s="14" t="n">
        <v>2.6</v>
      </c>
      <c r="P1281" s="14" t="n">
        <v>0.24</v>
      </c>
      <c r="Q1281" s="14" t="n">
        <v>0</v>
      </c>
      <c r="R1281" s="14" t="n">
        <v>0</v>
      </c>
      <c r="S1281" s="14" t="n">
        <v>0.95</v>
      </c>
      <c r="T1281" s="14" t="n">
        <v>0.47</v>
      </c>
      <c r="U1281" s="14" t="n">
        <v>4.02</v>
      </c>
      <c r="V1281" s="14" t="n">
        <v>4.49</v>
      </c>
      <c r="W1281" s="14" t="n">
        <v>0.95</v>
      </c>
      <c r="X1281" s="14" t="n">
        <v>0</v>
      </c>
      <c r="Y1281" s="14" t="n">
        <v>0.47</v>
      </c>
      <c r="Z1281" s="14" t="n">
        <v>0.71</v>
      </c>
      <c r="AA1281" s="14" t="n">
        <v>0</v>
      </c>
    </row>
    <row r="1282">
      <c r="A1282" t="inlineStr">
        <is>
          <t>040402</t>
        </is>
      </c>
      <c r="B1282" t="inlineStr">
        <is>
          <t>AREQUIPA</t>
        </is>
      </c>
      <c r="C1282" t="inlineStr">
        <is>
          <t>CASTILLA</t>
        </is>
      </c>
      <c r="D1282" t="inlineStr">
        <is>
          <t>ANDAGUA</t>
        </is>
      </c>
      <c r="E1282" t="n">
        <v>576</v>
      </c>
      <c r="F1282" s="14" t="n">
        <v>0</v>
      </c>
      <c r="G1282" s="14" t="n">
        <v>48.61</v>
      </c>
      <c r="H1282" s="14" t="n">
        <v>1.74</v>
      </c>
      <c r="I1282" s="14" t="n">
        <v>4.69</v>
      </c>
      <c r="J1282" s="14" t="n">
        <v>0.17</v>
      </c>
      <c r="K1282" s="14" t="n">
        <v>0</v>
      </c>
      <c r="L1282" s="14" t="n">
        <v>17.53</v>
      </c>
      <c r="M1282" s="14" t="n">
        <v>6.6</v>
      </c>
      <c r="N1282" s="14" t="n">
        <v>4.51</v>
      </c>
      <c r="O1282" s="14" t="n">
        <v>4.17</v>
      </c>
      <c r="P1282" s="14" t="n">
        <v>0</v>
      </c>
      <c r="Q1282" s="14" t="n">
        <v>0</v>
      </c>
      <c r="R1282" s="14" t="n">
        <v>0.17</v>
      </c>
      <c r="S1282" s="14" t="n">
        <v>2.26</v>
      </c>
      <c r="T1282" s="14" t="n">
        <v>1.39</v>
      </c>
      <c r="U1282" s="14" t="n">
        <v>3.13</v>
      </c>
      <c r="V1282" s="14" t="n">
        <v>2.08</v>
      </c>
      <c r="W1282" s="14" t="n">
        <v>1.56</v>
      </c>
      <c r="X1282" s="14" t="n">
        <v>0.35</v>
      </c>
      <c r="Y1282" s="14" t="n">
        <v>1.04</v>
      </c>
      <c r="Z1282" s="14" t="n">
        <v>0</v>
      </c>
      <c r="AA1282" s="14" t="n">
        <v>0</v>
      </c>
    </row>
    <row r="1283">
      <c r="A1283" t="inlineStr">
        <is>
          <t>050112</t>
        </is>
      </c>
      <c r="B1283" t="inlineStr">
        <is>
          <t>AYACUCHO</t>
        </is>
      </c>
      <c r="C1283" t="inlineStr">
        <is>
          <t>HUAMANGA</t>
        </is>
      </c>
      <c r="D1283" t="inlineStr">
        <is>
          <t>SOCOS</t>
        </is>
      </c>
      <c r="E1283" t="n">
        <v>1791</v>
      </c>
      <c r="F1283" s="14" t="n">
        <v>0</v>
      </c>
      <c r="G1283" s="14" t="n">
        <v>79.17</v>
      </c>
      <c r="H1283" s="14" t="n">
        <v>1.12</v>
      </c>
      <c r="I1283" s="14" t="n">
        <v>2.68</v>
      </c>
      <c r="J1283" s="14" t="n">
        <v>0.06</v>
      </c>
      <c r="K1283" s="14" t="n">
        <v>0</v>
      </c>
      <c r="L1283" s="14" t="n">
        <v>5.47</v>
      </c>
      <c r="M1283" s="14" t="n">
        <v>3.13</v>
      </c>
      <c r="N1283" s="14" t="n">
        <v>2.51</v>
      </c>
      <c r="O1283" s="14" t="n">
        <v>1.17</v>
      </c>
      <c r="P1283" s="14" t="n">
        <v>0</v>
      </c>
      <c r="Q1283" s="14" t="n">
        <v>0</v>
      </c>
      <c r="R1283" s="14" t="n">
        <v>0</v>
      </c>
      <c r="S1283" s="14" t="n">
        <v>0.73</v>
      </c>
      <c r="T1283" s="14" t="n">
        <v>0.67</v>
      </c>
      <c r="U1283" s="14" t="n">
        <v>0.34</v>
      </c>
      <c r="V1283" s="14" t="n">
        <v>0.28</v>
      </c>
      <c r="W1283" s="14" t="n">
        <v>0.34</v>
      </c>
      <c r="X1283" s="14" t="n">
        <v>0.06</v>
      </c>
      <c r="Y1283" s="14" t="n">
        <v>2.01</v>
      </c>
      <c r="Z1283" s="14" t="n">
        <v>0.28</v>
      </c>
      <c r="AA1283" s="14" t="n">
        <v>0</v>
      </c>
    </row>
    <row r="1284">
      <c r="A1284" t="inlineStr">
        <is>
          <t>050707</t>
        </is>
      </c>
      <c r="B1284" t="inlineStr">
        <is>
          <t>AYACUCHO</t>
        </is>
      </c>
      <c r="C1284" t="inlineStr">
        <is>
          <t>PARINACOCHAS</t>
        </is>
      </c>
      <c r="D1284" t="inlineStr">
        <is>
          <t>SAN FRANCISCO DE RAVACAYCO</t>
        </is>
      </c>
      <c r="E1284" t="n">
        <v>198</v>
      </c>
      <c r="F1284" s="14" t="n">
        <v>0</v>
      </c>
      <c r="G1284" s="14" t="n">
        <v>48.48</v>
      </c>
      <c r="H1284" s="14" t="n">
        <v>3.54</v>
      </c>
      <c r="I1284" s="14" t="n">
        <v>6.06</v>
      </c>
      <c r="J1284" s="14" t="n">
        <v>0</v>
      </c>
      <c r="K1284" s="14" t="n">
        <v>0</v>
      </c>
      <c r="L1284" s="14" t="n">
        <v>14.14</v>
      </c>
      <c r="M1284" s="14" t="n">
        <v>5.56</v>
      </c>
      <c r="N1284" s="14" t="n">
        <v>2.53</v>
      </c>
      <c r="O1284" s="14" t="n">
        <v>1.01</v>
      </c>
      <c r="P1284" s="14" t="n">
        <v>0.51</v>
      </c>
      <c r="Q1284" s="14" t="n">
        <v>0</v>
      </c>
      <c r="R1284" s="14" t="n">
        <v>0</v>
      </c>
      <c r="S1284" s="14" t="n">
        <v>4.04</v>
      </c>
      <c r="T1284" s="14" t="n">
        <v>0.51</v>
      </c>
      <c r="U1284" s="14" t="n">
        <v>4.04</v>
      </c>
      <c r="V1284" s="14" t="n">
        <v>4.55</v>
      </c>
      <c r="W1284" s="14" t="n">
        <v>2.02</v>
      </c>
      <c r="X1284" s="14" t="n">
        <v>0</v>
      </c>
      <c r="Y1284" s="14" t="n">
        <v>2.53</v>
      </c>
      <c r="Z1284" s="14" t="n">
        <v>0.51</v>
      </c>
      <c r="AA1284" s="14" t="n">
        <v>0</v>
      </c>
    </row>
    <row r="1285">
      <c r="A1285" t="inlineStr">
        <is>
          <t>010505</t>
        </is>
      </c>
      <c r="B1285" t="inlineStr">
        <is>
          <t>AMAZONAS</t>
        </is>
      </c>
      <c r="C1285" t="inlineStr">
        <is>
          <t>LUYA</t>
        </is>
      </c>
      <c r="D1285" t="inlineStr">
        <is>
          <t>CONILA</t>
        </is>
      </c>
      <c r="E1285" t="n">
        <v>658</v>
      </c>
      <c r="F1285" s="14" t="n">
        <v>0</v>
      </c>
      <c r="G1285" s="14" t="n">
        <v>76.75</v>
      </c>
      <c r="H1285" s="14" t="n">
        <v>0</v>
      </c>
      <c r="I1285" s="14" t="n">
        <v>1.06</v>
      </c>
      <c r="J1285" s="14" t="n">
        <v>0</v>
      </c>
      <c r="K1285" s="14" t="n">
        <v>0</v>
      </c>
      <c r="L1285" s="14" t="n">
        <v>4.86</v>
      </c>
      <c r="M1285" s="14" t="n">
        <v>6.23</v>
      </c>
      <c r="N1285" s="14" t="n">
        <v>1.52</v>
      </c>
      <c r="O1285" s="14" t="n">
        <v>0.76</v>
      </c>
      <c r="P1285" s="14" t="n">
        <v>0</v>
      </c>
      <c r="Q1285" s="14" t="n">
        <v>0</v>
      </c>
      <c r="R1285" s="14" t="n">
        <v>0</v>
      </c>
      <c r="S1285" s="14" t="n">
        <v>0.46</v>
      </c>
      <c r="T1285" s="14" t="n">
        <v>0</v>
      </c>
      <c r="U1285" s="14" t="n">
        <v>3.5</v>
      </c>
      <c r="V1285" s="14" t="n">
        <v>3.5</v>
      </c>
      <c r="W1285" s="14" t="n">
        <v>0.61</v>
      </c>
      <c r="X1285" s="14" t="n">
        <v>0</v>
      </c>
      <c r="Y1285" s="14" t="n">
        <v>0.3</v>
      </c>
      <c r="Z1285" s="14" t="n">
        <v>0.46</v>
      </c>
      <c r="AA1285" s="14" t="n">
        <v>0</v>
      </c>
    </row>
    <row r="1286">
      <c r="A1286" t="inlineStr">
        <is>
          <t>030503</t>
        </is>
      </c>
      <c r="B1286" t="inlineStr">
        <is>
          <t>APURIMAC</t>
        </is>
      </c>
      <c r="C1286" t="inlineStr">
        <is>
          <t>COTABAMBAS</t>
        </is>
      </c>
      <c r="D1286" t="inlineStr">
        <is>
          <t>COYLLURQUI</t>
        </is>
      </c>
      <c r="E1286" t="n">
        <v>1227</v>
      </c>
      <c r="F1286" s="14" t="n">
        <v>0</v>
      </c>
      <c r="G1286" s="14" t="n">
        <v>49.39</v>
      </c>
      <c r="H1286" s="14" t="n">
        <v>5.79</v>
      </c>
      <c r="I1286" s="14" t="n">
        <v>1.63</v>
      </c>
      <c r="J1286" s="14" t="n">
        <v>0</v>
      </c>
      <c r="K1286" s="14" t="n">
        <v>0.08</v>
      </c>
      <c r="L1286" s="14" t="n">
        <v>9.369999999999999</v>
      </c>
      <c r="M1286" s="14" t="n">
        <v>9.779999999999999</v>
      </c>
      <c r="N1286" s="14" t="n">
        <v>2.69</v>
      </c>
      <c r="O1286" s="14" t="n">
        <v>2.36</v>
      </c>
      <c r="P1286" s="14" t="n">
        <v>0</v>
      </c>
      <c r="Q1286" s="14" t="n">
        <v>0</v>
      </c>
      <c r="R1286" s="14" t="n">
        <v>0</v>
      </c>
      <c r="S1286" s="14" t="n">
        <v>1.96</v>
      </c>
      <c r="T1286" s="14" t="n">
        <v>0.41</v>
      </c>
      <c r="U1286" s="14" t="n">
        <v>2.2</v>
      </c>
      <c r="V1286" s="14" t="n">
        <v>9.779999999999999</v>
      </c>
      <c r="W1286" s="14" t="n">
        <v>1.22</v>
      </c>
      <c r="X1286" s="14" t="n">
        <v>0.16</v>
      </c>
      <c r="Y1286" s="14" t="n">
        <v>2.36</v>
      </c>
      <c r="Z1286" s="14" t="n">
        <v>0.8100000000000001</v>
      </c>
      <c r="AA1286" s="14" t="n">
        <v>0</v>
      </c>
    </row>
    <row r="1287">
      <c r="A1287" t="inlineStr">
        <is>
          <t>021604</t>
        </is>
      </c>
      <c r="B1287" t="inlineStr">
        <is>
          <t>ANCASH</t>
        </is>
      </c>
      <c r="C1287" t="inlineStr">
        <is>
          <t>POMABAMBA</t>
        </is>
      </c>
      <c r="D1287" t="inlineStr">
        <is>
          <t>QUINUABAMBA</t>
        </is>
      </c>
      <c r="E1287" t="n">
        <v>347</v>
      </c>
      <c r="F1287" s="14" t="n">
        <v>0</v>
      </c>
      <c r="G1287" s="14" t="n">
        <v>68.01000000000001</v>
      </c>
      <c r="H1287" s="14" t="n">
        <v>0</v>
      </c>
      <c r="I1287" s="14" t="n">
        <v>2.02</v>
      </c>
      <c r="J1287" s="14" t="n">
        <v>0</v>
      </c>
      <c r="K1287" s="14" t="n">
        <v>0</v>
      </c>
      <c r="L1287" s="14" t="n">
        <v>8.359999999999999</v>
      </c>
      <c r="M1287" s="14" t="n">
        <v>2.88</v>
      </c>
      <c r="N1287" s="14" t="n">
        <v>0</v>
      </c>
      <c r="O1287" s="14" t="n">
        <v>0.86</v>
      </c>
      <c r="P1287" s="14" t="n">
        <v>0</v>
      </c>
      <c r="Q1287" s="14" t="n">
        <v>0</v>
      </c>
      <c r="R1287" s="14" t="n">
        <v>0</v>
      </c>
      <c r="S1287" s="14" t="n">
        <v>0.29</v>
      </c>
      <c r="T1287" s="14" t="n">
        <v>0</v>
      </c>
      <c r="U1287" s="14" t="n">
        <v>6.05</v>
      </c>
      <c r="V1287" s="14" t="n">
        <v>5.48</v>
      </c>
      <c r="W1287" s="14" t="n">
        <v>3.75</v>
      </c>
      <c r="X1287" s="14" t="n">
        <v>0</v>
      </c>
      <c r="Y1287" s="14" t="n">
        <v>1.44</v>
      </c>
      <c r="Z1287" s="14" t="n">
        <v>0.86</v>
      </c>
      <c r="AA1287" s="14" t="n">
        <v>0</v>
      </c>
    </row>
    <row r="1288">
      <c r="A1288" t="inlineStr">
        <is>
          <t>010203</t>
        </is>
      </c>
      <c r="B1288" t="inlineStr">
        <is>
          <t>AMAZONAS</t>
        </is>
      </c>
      <c r="C1288" t="inlineStr">
        <is>
          <t>BAGUA</t>
        </is>
      </c>
      <c r="D1288" t="inlineStr">
        <is>
          <t>COPALLIN</t>
        </is>
      </c>
      <c r="E1288" t="n">
        <v>1573</v>
      </c>
      <c r="F1288" s="14" t="n">
        <v>0</v>
      </c>
      <c r="G1288" s="14" t="n">
        <v>76.16</v>
      </c>
      <c r="H1288" s="14" t="n">
        <v>0</v>
      </c>
      <c r="I1288" s="14" t="n">
        <v>1.08</v>
      </c>
      <c r="J1288" s="14" t="n">
        <v>0</v>
      </c>
      <c r="K1288" s="14" t="n">
        <v>0.06</v>
      </c>
      <c r="L1288" s="14" t="n">
        <v>1.91</v>
      </c>
      <c r="M1288" s="14" t="n">
        <v>6.29</v>
      </c>
      <c r="N1288" s="14" t="n">
        <v>1.4</v>
      </c>
      <c r="O1288" s="14" t="n">
        <v>1.46</v>
      </c>
      <c r="P1288" s="14" t="n">
        <v>0.06</v>
      </c>
      <c r="Q1288" s="14" t="n">
        <v>0.25</v>
      </c>
      <c r="R1288" s="14" t="n">
        <v>0</v>
      </c>
      <c r="S1288" s="14" t="n">
        <v>1.02</v>
      </c>
      <c r="T1288" s="14" t="n">
        <v>0.38</v>
      </c>
      <c r="U1288" s="14" t="n">
        <v>3.37</v>
      </c>
      <c r="V1288" s="14" t="n">
        <v>3.62</v>
      </c>
      <c r="W1288" s="14" t="n">
        <v>1.65</v>
      </c>
      <c r="X1288" s="14" t="n">
        <v>0.19</v>
      </c>
      <c r="Y1288" s="14" t="n">
        <v>0.76</v>
      </c>
      <c r="Z1288" s="14" t="n">
        <v>0.32</v>
      </c>
      <c r="AA1288" s="14" t="n">
        <v>0</v>
      </c>
    </row>
    <row r="1289">
      <c r="A1289" t="inlineStr">
        <is>
          <t>060104</t>
        </is>
      </c>
      <c r="B1289" t="inlineStr">
        <is>
          <t>CAJAMARCA</t>
        </is>
      </c>
      <c r="C1289" t="inlineStr">
        <is>
          <t>CAJAMARCA</t>
        </is>
      </c>
      <c r="D1289" t="inlineStr">
        <is>
          <t>COSPAN</t>
        </is>
      </c>
      <c r="E1289" t="n">
        <v>1348</v>
      </c>
      <c r="F1289" s="14" t="n">
        <v>0</v>
      </c>
      <c r="G1289" s="14" t="n">
        <v>82.94</v>
      </c>
      <c r="H1289" s="14" t="n">
        <v>0.15</v>
      </c>
      <c r="I1289" s="14" t="n">
        <v>1.48</v>
      </c>
      <c r="J1289" s="14" t="n">
        <v>0</v>
      </c>
      <c r="K1289" s="14" t="n">
        <v>0</v>
      </c>
      <c r="L1289" s="14" t="n">
        <v>1.41</v>
      </c>
      <c r="M1289" s="14" t="n">
        <v>3.26</v>
      </c>
      <c r="N1289" s="14" t="n">
        <v>0.74</v>
      </c>
      <c r="O1289" s="14" t="n">
        <v>1.11</v>
      </c>
      <c r="P1289" s="14" t="n">
        <v>0</v>
      </c>
      <c r="Q1289" s="14" t="n">
        <v>0.07000000000000001</v>
      </c>
      <c r="R1289" s="14" t="n">
        <v>0</v>
      </c>
      <c r="S1289" s="14" t="n">
        <v>0.45</v>
      </c>
      <c r="T1289" s="14" t="n">
        <v>0.37</v>
      </c>
      <c r="U1289" s="14" t="n">
        <v>1.48</v>
      </c>
      <c r="V1289" s="14" t="n">
        <v>3.49</v>
      </c>
      <c r="W1289" s="14" t="n">
        <v>0.96</v>
      </c>
      <c r="X1289" s="14" t="n">
        <v>0</v>
      </c>
      <c r="Y1289" s="14" t="n">
        <v>1.11</v>
      </c>
      <c r="Z1289" s="14" t="n">
        <v>0.96</v>
      </c>
      <c r="AA1289" s="14" t="n">
        <v>0</v>
      </c>
    </row>
    <row r="1290">
      <c r="A1290" t="inlineStr">
        <is>
          <t>030304</t>
        </is>
      </c>
      <c r="B1290" t="inlineStr">
        <is>
          <t>APURIMAC</t>
        </is>
      </c>
      <c r="C1290" t="inlineStr">
        <is>
          <t>ANTABAMBA</t>
        </is>
      </c>
      <c r="D1290" t="inlineStr">
        <is>
          <t>JUAN ESPINOZA MEDRANO</t>
        </is>
      </c>
      <c r="E1290" t="n">
        <v>751</v>
      </c>
      <c r="F1290" s="14" t="n">
        <v>0</v>
      </c>
      <c r="G1290" s="14" t="n">
        <v>72.44</v>
      </c>
      <c r="H1290" s="14" t="n">
        <v>1.2</v>
      </c>
      <c r="I1290" s="14" t="n">
        <v>1.2</v>
      </c>
      <c r="J1290" s="14" t="n">
        <v>0</v>
      </c>
      <c r="K1290" s="14" t="n">
        <v>0.13</v>
      </c>
      <c r="L1290" s="14" t="n">
        <v>5.86</v>
      </c>
      <c r="M1290" s="14" t="n">
        <v>7.06</v>
      </c>
      <c r="N1290" s="14" t="n">
        <v>0.67</v>
      </c>
      <c r="O1290" s="14" t="n">
        <v>1.46</v>
      </c>
      <c r="P1290" s="14" t="n">
        <v>0</v>
      </c>
      <c r="Q1290" s="14" t="n">
        <v>0.13</v>
      </c>
      <c r="R1290" s="14" t="n">
        <v>0</v>
      </c>
      <c r="S1290" s="14" t="n">
        <v>0.4</v>
      </c>
      <c r="T1290" s="14" t="n">
        <v>0.53</v>
      </c>
      <c r="U1290" s="14" t="n">
        <v>2.66</v>
      </c>
      <c r="V1290" s="14" t="n">
        <v>4.13</v>
      </c>
      <c r="W1290" s="14" t="n">
        <v>1.46</v>
      </c>
      <c r="X1290" s="14" t="n">
        <v>0</v>
      </c>
      <c r="Y1290" s="14" t="n">
        <v>0.53</v>
      </c>
      <c r="Z1290" s="14" t="n">
        <v>0.13</v>
      </c>
      <c r="AA1290" s="14" t="n">
        <v>0</v>
      </c>
    </row>
    <row r="1291">
      <c r="A1291" t="inlineStr">
        <is>
          <t>040802</t>
        </is>
      </c>
      <c r="B1291" t="inlineStr">
        <is>
          <t>AREQUIPA</t>
        </is>
      </c>
      <c r="C1291" t="inlineStr">
        <is>
          <t>LA UNION</t>
        </is>
      </c>
      <c r="D1291" t="inlineStr">
        <is>
          <t>ALCA</t>
        </is>
      </c>
      <c r="E1291" t="n">
        <v>726</v>
      </c>
      <c r="F1291" s="14" t="n">
        <v>0</v>
      </c>
      <c r="G1291" s="14" t="n">
        <v>78.65000000000001</v>
      </c>
      <c r="H1291" s="14" t="n">
        <v>0.6899999999999999</v>
      </c>
      <c r="I1291" s="14" t="n">
        <v>0.41</v>
      </c>
      <c r="J1291" s="14" t="n">
        <v>0.14</v>
      </c>
      <c r="K1291" s="14" t="n">
        <v>0</v>
      </c>
      <c r="L1291" s="14" t="n">
        <v>1.65</v>
      </c>
      <c r="M1291" s="14" t="n">
        <v>3.31</v>
      </c>
      <c r="N1291" s="14" t="n">
        <v>1.24</v>
      </c>
      <c r="O1291" s="14" t="n">
        <v>1.79</v>
      </c>
      <c r="P1291" s="14" t="n">
        <v>0.14</v>
      </c>
      <c r="Q1291" s="14" t="n">
        <v>0</v>
      </c>
      <c r="R1291" s="14" t="n">
        <v>0</v>
      </c>
      <c r="S1291" s="14" t="n">
        <v>0.28</v>
      </c>
      <c r="T1291" s="14" t="n">
        <v>0.41</v>
      </c>
      <c r="U1291" s="14" t="n">
        <v>5.1</v>
      </c>
      <c r="V1291" s="14" t="n">
        <v>4.27</v>
      </c>
      <c r="W1291" s="14" t="n">
        <v>1.24</v>
      </c>
      <c r="X1291" s="14" t="n">
        <v>0</v>
      </c>
      <c r="Y1291" s="14" t="n">
        <v>0.28</v>
      </c>
      <c r="Z1291" s="14" t="n">
        <v>0.41</v>
      </c>
      <c r="AA1291" s="14" t="n">
        <v>0</v>
      </c>
    </row>
    <row r="1292">
      <c r="A1292" t="inlineStr">
        <is>
          <t>050617</t>
        </is>
      </c>
      <c r="B1292" t="inlineStr">
        <is>
          <t>AYACUCHO</t>
        </is>
      </c>
      <c r="C1292" t="inlineStr">
        <is>
          <t>LUCANAS</t>
        </is>
      </c>
      <c r="D1292" t="inlineStr">
        <is>
          <t>SAN PEDRO</t>
        </is>
      </c>
      <c r="E1292" t="n">
        <v>864</v>
      </c>
      <c r="F1292" s="14" t="n">
        <v>0</v>
      </c>
      <c r="G1292" s="14" t="n">
        <v>79.63</v>
      </c>
      <c r="H1292" s="14" t="n">
        <v>2.55</v>
      </c>
      <c r="I1292" s="14" t="n">
        <v>1.04</v>
      </c>
      <c r="J1292" s="14" t="n">
        <v>0</v>
      </c>
      <c r="K1292" s="14" t="n">
        <v>0</v>
      </c>
      <c r="L1292" s="14" t="n">
        <v>2.78</v>
      </c>
      <c r="M1292" s="14" t="n">
        <v>6.25</v>
      </c>
      <c r="N1292" s="14" t="n">
        <v>0.58</v>
      </c>
      <c r="O1292" s="14" t="n">
        <v>0.93</v>
      </c>
      <c r="P1292" s="14" t="n">
        <v>0</v>
      </c>
      <c r="Q1292" s="14" t="n">
        <v>0</v>
      </c>
      <c r="R1292" s="14" t="n">
        <v>0</v>
      </c>
      <c r="S1292" s="14" t="n">
        <v>0.12</v>
      </c>
      <c r="T1292" s="14" t="n">
        <v>0.12</v>
      </c>
      <c r="U1292" s="14" t="n">
        <v>1.39</v>
      </c>
      <c r="V1292" s="14" t="n">
        <v>2.89</v>
      </c>
      <c r="W1292" s="14" t="n">
        <v>0.93</v>
      </c>
      <c r="X1292" s="14" t="n">
        <v>0</v>
      </c>
      <c r="Y1292" s="14" t="n">
        <v>0.35</v>
      </c>
      <c r="Z1292" s="14" t="n">
        <v>0.46</v>
      </c>
      <c r="AA1292" s="14" t="n">
        <v>0</v>
      </c>
    </row>
    <row r="1293">
      <c r="A1293" t="inlineStr">
        <is>
          <t>080801</t>
        </is>
      </c>
      <c r="B1293" t="inlineStr">
        <is>
          <t>CUSCO</t>
        </is>
      </c>
      <c r="C1293" t="inlineStr">
        <is>
          <t>ESPINAR</t>
        </is>
      </c>
      <c r="D1293" t="inlineStr">
        <is>
          <t>ESPINAR</t>
        </is>
      </c>
      <c r="E1293" t="n">
        <v>14338</v>
      </c>
      <c r="F1293" s="14" t="n">
        <v>0</v>
      </c>
      <c r="G1293" s="14" t="n">
        <v>15.63</v>
      </c>
      <c r="H1293" s="14" t="n">
        <v>7.35</v>
      </c>
      <c r="I1293" s="14" t="n">
        <v>5.37</v>
      </c>
      <c r="J1293" s="14" t="n">
        <v>0.1</v>
      </c>
      <c r="K1293" s="14" t="n">
        <v>0.36</v>
      </c>
      <c r="L1293" s="14" t="n">
        <v>12.99</v>
      </c>
      <c r="M1293" s="14" t="n">
        <v>18.85</v>
      </c>
      <c r="N1293" s="14" t="n">
        <v>12.83</v>
      </c>
      <c r="O1293" s="14" t="n">
        <v>6.33</v>
      </c>
      <c r="P1293" s="14" t="n">
        <v>0.47</v>
      </c>
      <c r="Q1293" s="14" t="n">
        <v>0.5</v>
      </c>
      <c r="R1293" s="14" t="n">
        <v>0.03</v>
      </c>
      <c r="S1293" s="14" t="n">
        <v>3.41</v>
      </c>
      <c r="T1293" s="14" t="n">
        <v>2.25</v>
      </c>
      <c r="U1293" s="14" t="n">
        <v>3.38</v>
      </c>
      <c r="V1293" s="14" t="n">
        <v>6.08</v>
      </c>
      <c r="W1293" s="14" t="n">
        <v>0.98</v>
      </c>
      <c r="X1293" s="14" t="n">
        <v>0.4</v>
      </c>
      <c r="Y1293" s="14" t="n">
        <v>2.16</v>
      </c>
      <c r="Z1293" s="14" t="n">
        <v>0.52</v>
      </c>
      <c r="AA1293" s="14" t="n">
        <v>0</v>
      </c>
    </row>
    <row r="1294">
      <c r="A1294" t="inlineStr">
        <is>
          <t>010518</t>
        </is>
      </c>
      <c r="B1294" t="inlineStr">
        <is>
          <t>AMAZONAS</t>
        </is>
      </c>
      <c r="C1294" t="inlineStr">
        <is>
          <t>LUYA</t>
        </is>
      </c>
      <c r="D1294" t="inlineStr">
        <is>
          <t>SAN JERONIMO</t>
        </is>
      </c>
      <c r="E1294" t="n">
        <v>255</v>
      </c>
      <c r="F1294" s="14" t="n">
        <v>0</v>
      </c>
      <c r="G1294" s="14" t="n">
        <v>85.48999999999999</v>
      </c>
      <c r="H1294" s="14" t="n">
        <v>0.78</v>
      </c>
      <c r="I1294" s="14" t="n">
        <v>0.78</v>
      </c>
      <c r="J1294" s="14" t="n">
        <v>0</v>
      </c>
      <c r="K1294" s="14" t="n">
        <v>0</v>
      </c>
      <c r="L1294" s="14" t="n">
        <v>1.18</v>
      </c>
      <c r="M1294" s="14" t="n">
        <v>1.96</v>
      </c>
      <c r="N1294" s="14" t="n">
        <v>1.18</v>
      </c>
      <c r="O1294" s="14" t="n">
        <v>0</v>
      </c>
      <c r="P1294" s="14" t="n">
        <v>0</v>
      </c>
      <c r="Q1294" s="14" t="n">
        <v>0</v>
      </c>
      <c r="R1294" s="14" t="n">
        <v>0</v>
      </c>
      <c r="S1294" s="14" t="n">
        <v>0.78</v>
      </c>
      <c r="T1294" s="14" t="n">
        <v>0</v>
      </c>
      <c r="U1294" s="14" t="n">
        <v>5.1</v>
      </c>
      <c r="V1294" s="14" t="n">
        <v>1.96</v>
      </c>
      <c r="W1294" s="14" t="n">
        <v>0.78</v>
      </c>
      <c r="X1294" s="14" t="n">
        <v>0</v>
      </c>
      <c r="Y1294" s="14" t="n">
        <v>0</v>
      </c>
      <c r="Z1294" s="14" t="n">
        <v>0</v>
      </c>
      <c r="AA1294" s="14" t="n">
        <v>0</v>
      </c>
    </row>
    <row r="1295">
      <c r="A1295" t="inlineStr">
        <is>
          <t>020301</t>
        </is>
      </c>
      <c r="B1295" t="inlineStr">
        <is>
          <t>ANCASH</t>
        </is>
      </c>
      <c r="C1295" t="inlineStr">
        <is>
          <t>ANTONIO RAYMONDI</t>
        </is>
      </c>
      <c r="D1295" t="inlineStr">
        <is>
          <t>LLAMELLIN</t>
        </is>
      </c>
      <c r="E1295" t="n">
        <v>991</v>
      </c>
      <c r="F1295" s="14" t="n">
        <v>0</v>
      </c>
      <c r="G1295" s="14" t="n">
        <v>41.78</v>
      </c>
      <c r="H1295" s="14" t="n">
        <v>0.1</v>
      </c>
      <c r="I1295" s="14" t="n">
        <v>8.380000000000001</v>
      </c>
      <c r="J1295" s="14" t="n">
        <v>0</v>
      </c>
      <c r="K1295" s="14" t="n">
        <v>0</v>
      </c>
      <c r="L1295" s="14" t="n">
        <v>3.53</v>
      </c>
      <c r="M1295" s="14" t="n">
        <v>10.7</v>
      </c>
      <c r="N1295" s="14" t="n">
        <v>2.62</v>
      </c>
      <c r="O1295" s="14" t="n">
        <v>2.12</v>
      </c>
      <c r="P1295" s="14" t="n">
        <v>0.2</v>
      </c>
      <c r="Q1295" s="14" t="n">
        <v>0.5</v>
      </c>
      <c r="R1295" s="14" t="n">
        <v>0</v>
      </c>
      <c r="S1295" s="14" t="n">
        <v>2.22</v>
      </c>
      <c r="T1295" s="14" t="n">
        <v>0.71</v>
      </c>
      <c r="U1295" s="14" t="n">
        <v>7.87</v>
      </c>
      <c r="V1295" s="14" t="n">
        <v>14.03</v>
      </c>
      <c r="W1295" s="14" t="n">
        <v>2.62</v>
      </c>
      <c r="X1295" s="14" t="n">
        <v>0.4</v>
      </c>
      <c r="Y1295" s="14" t="n">
        <v>1.92</v>
      </c>
      <c r="Z1295" s="14" t="n">
        <v>0.3</v>
      </c>
      <c r="AA1295" s="14" t="n">
        <v>0</v>
      </c>
    </row>
    <row r="1296">
      <c r="A1296" t="inlineStr">
        <is>
          <t>090405</t>
        </is>
      </c>
      <c r="B1296" t="inlineStr">
        <is>
          <t>HUANCAVELICA</t>
        </is>
      </c>
      <c r="C1296" t="inlineStr">
        <is>
          <t>CASTROVIRREYNA</t>
        </is>
      </c>
      <c r="D1296" t="inlineStr">
        <is>
          <t>CHUPAMARCA</t>
        </is>
      </c>
      <c r="E1296" t="n">
        <v>374</v>
      </c>
      <c r="F1296" s="14" t="n">
        <v>0</v>
      </c>
      <c r="G1296" s="14" t="n">
        <v>78.61</v>
      </c>
      <c r="H1296" s="14" t="n">
        <v>0</v>
      </c>
      <c r="I1296" s="14" t="n">
        <v>0.27</v>
      </c>
      <c r="J1296" s="14" t="n">
        <v>0</v>
      </c>
      <c r="K1296" s="14" t="n">
        <v>0</v>
      </c>
      <c r="L1296" s="14" t="n">
        <v>1.34</v>
      </c>
      <c r="M1296" s="14" t="n">
        <v>2.14</v>
      </c>
      <c r="N1296" s="14" t="n">
        <v>1.6</v>
      </c>
      <c r="O1296" s="14" t="n">
        <v>1.87</v>
      </c>
      <c r="P1296" s="14" t="n">
        <v>0</v>
      </c>
      <c r="Q1296" s="14" t="n">
        <v>0</v>
      </c>
      <c r="R1296" s="14" t="n">
        <v>0</v>
      </c>
      <c r="S1296" s="14" t="n">
        <v>0.8</v>
      </c>
      <c r="T1296" s="14" t="n">
        <v>0</v>
      </c>
      <c r="U1296" s="14" t="n">
        <v>4.81</v>
      </c>
      <c r="V1296" s="14" t="n">
        <v>6.15</v>
      </c>
      <c r="W1296" s="14" t="n">
        <v>1.07</v>
      </c>
      <c r="X1296" s="14" t="n">
        <v>0</v>
      </c>
      <c r="Y1296" s="14" t="n">
        <v>0.27</v>
      </c>
      <c r="Z1296" s="14" t="n">
        <v>1.07</v>
      </c>
      <c r="AA1296" s="14" t="n">
        <v>0</v>
      </c>
    </row>
    <row r="1297">
      <c r="A1297" t="inlineStr">
        <is>
          <t>030207</t>
        </is>
      </c>
      <c r="B1297" t="inlineStr">
        <is>
          <t>APURIMAC</t>
        </is>
      </c>
      <c r="C1297" t="inlineStr">
        <is>
          <t>ANDAHUAYLAS</t>
        </is>
      </c>
      <c r="D1297" t="inlineStr">
        <is>
          <t>KISHUARA</t>
        </is>
      </c>
      <c r="E1297" t="n">
        <v>1793</v>
      </c>
      <c r="F1297" s="14" t="n">
        <v>0</v>
      </c>
      <c r="G1297" s="14" t="n">
        <v>89.95999999999999</v>
      </c>
      <c r="H1297" s="14" t="n">
        <v>0.06</v>
      </c>
      <c r="I1297" s="14" t="n">
        <v>0.61</v>
      </c>
      <c r="J1297" s="14" t="n">
        <v>0</v>
      </c>
      <c r="K1297" s="14" t="n">
        <v>0</v>
      </c>
      <c r="L1297" s="14" t="n">
        <v>1.17</v>
      </c>
      <c r="M1297" s="14" t="n">
        <v>2.34</v>
      </c>
      <c r="N1297" s="14" t="n">
        <v>0.78</v>
      </c>
      <c r="O1297" s="14" t="n">
        <v>0.5600000000000001</v>
      </c>
      <c r="P1297" s="14" t="n">
        <v>0.11</v>
      </c>
      <c r="Q1297" s="14" t="n">
        <v>0.06</v>
      </c>
      <c r="R1297" s="14" t="n">
        <v>0</v>
      </c>
      <c r="S1297" s="14" t="n">
        <v>0.11</v>
      </c>
      <c r="T1297" s="14" t="n">
        <v>0.06</v>
      </c>
      <c r="U1297" s="14" t="n">
        <v>1.95</v>
      </c>
      <c r="V1297" s="14" t="n">
        <v>0.61</v>
      </c>
      <c r="W1297" s="14" t="n">
        <v>1.06</v>
      </c>
      <c r="X1297" s="14" t="n">
        <v>0.11</v>
      </c>
      <c r="Y1297" s="14" t="n">
        <v>0.39</v>
      </c>
      <c r="Z1297" s="14" t="n">
        <v>0.06</v>
      </c>
      <c r="AA1297" s="14" t="n">
        <v>0</v>
      </c>
    </row>
    <row r="1298">
      <c r="A1298" t="inlineStr">
        <is>
          <t>080101</t>
        </is>
      </c>
      <c r="B1298" t="inlineStr">
        <is>
          <t>CUSCO</t>
        </is>
      </c>
      <c r="C1298" t="inlineStr">
        <is>
          <t>CUSCO</t>
        </is>
      </c>
      <c r="D1298" t="inlineStr">
        <is>
          <t>CUSCO</t>
        </is>
      </c>
      <c r="E1298" t="n">
        <v>54272</v>
      </c>
      <c r="F1298" s="14" t="n">
        <v>0</v>
      </c>
      <c r="G1298" s="14" t="n">
        <v>2.47</v>
      </c>
      <c r="H1298" s="14" t="n">
        <v>0.41</v>
      </c>
      <c r="I1298" s="14" t="n">
        <v>6.39</v>
      </c>
      <c r="J1298" s="14" t="n">
        <v>0.16</v>
      </c>
      <c r="K1298" s="14" t="n">
        <v>0.17</v>
      </c>
      <c r="L1298" s="14" t="n">
        <v>8.67</v>
      </c>
      <c r="M1298" s="14" t="n">
        <v>22.52</v>
      </c>
      <c r="N1298" s="14" t="n">
        <v>7.83</v>
      </c>
      <c r="O1298" s="14" t="n">
        <v>11.33</v>
      </c>
      <c r="P1298" s="14" t="n">
        <v>1.34</v>
      </c>
      <c r="Q1298" s="14" t="n">
        <v>1.52</v>
      </c>
      <c r="R1298" s="14" t="n">
        <v>0.21</v>
      </c>
      <c r="S1298" s="14" t="n">
        <v>7.78</v>
      </c>
      <c r="T1298" s="14" t="n">
        <v>6.53</v>
      </c>
      <c r="U1298" s="14" t="n">
        <v>5.31</v>
      </c>
      <c r="V1298" s="14" t="n">
        <v>7.88</v>
      </c>
      <c r="W1298" s="14" t="n">
        <v>3.68</v>
      </c>
      <c r="X1298" s="14" t="n">
        <v>1.73</v>
      </c>
      <c r="Y1298" s="14" t="n">
        <v>3.1</v>
      </c>
      <c r="Z1298" s="14" t="n">
        <v>0.97</v>
      </c>
      <c r="AA1298" s="14" t="n">
        <v>0</v>
      </c>
    </row>
    <row r="1299">
      <c r="A1299" t="inlineStr">
        <is>
          <t>090113</t>
        </is>
      </c>
      <c r="B1299" t="inlineStr">
        <is>
          <t>HUANCAVELICA</t>
        </is>
      </c>
      <c r="C1299" t="inlineStr">
        <is>
          <t>HUANCAVELICA</t>
        </is>
      </c>
      <c r="D1299" t="inlineStr">
        <is>
          <t>NUEVO OCCORO</t>
        </is>
      </c>
      <c r="E1299" t="n">
        <v>252</v>
      </c>
      <c r="F1299" s="14" t="n">
        <v>0</v>
      </c>
      <c r="G1299" s="14" t="n">
        <v>63.49</v>
      </c>
      <c r="H1299" s="14" t="n">
        <v>4.37</v>
      </c>
      <c r="I1299" s="14" t="n">
        <v>1.19</v>
      </c>
      <c r="J1299" s="14" t="n">
        <v>0</v>
      </c>
      <c r="K1299" s="14" t="n">
        <v>0</v>
      </c>
      <c r="L1299" s="14" t="n">
        <v>3.57</v>
      </c>
      <c r="M1299" s="14" t="n">
        <v>4.76</v>
      </c>
      <c r="N1299" s="14" t="n">
        <v>1.19</v>
      </c>
      <c r="O1299" s="14" t="n">
        <v>1.59</v>
      </c>
      <c r="P1299" s="14" t="n">
        <v>0</v>
      </c>
      <c r="Q1299" s="14" t="n">
        <v>0</v>
      </c>
      <c r="R1299" s="14" t="n">
        <v>0</v>
      </c>
      <c r="S1299" s="14" t="n">
        <v>3.57</v>
      </c>
      <c r="T1299" s="14" t="n">
        <v>0.4</v>
      </c>
      <c r="U1299" s="14" t="n">
        <v>9.92</v>
      </c>
      <c r="V1299" s="14" t="n">
        <v>3.97</v>
      </c>
      <c r="W1299" s="14" t="n">
        <v>0.79</v>
      </c>
      <c r="X1299" s="14" t="n">
        <v>0.4</v>
      </c>
      <c r="Y1299" s="14" t="n">
        <v>0.79</v>
      </c>
      <c r="Z1299" s="14" t="n">
        <v>0</v>
      </c>
      <c r="AA1299" s="14" t="n">
        <v>0</v>
      </c>
    </row>
    <row r="1300">
      <c r="A1300" t="inlineStr">
        <is>
          <t>030209</t>
        </is>
      </c>
      <c r="B1300" t="inlineStr">
        <is>
          <t>APURIMAC</t>
        </is>
      </c>
      <c r="C1300" t="inlineStr">
        <is>
          <t>ANDAHUAYLAS</t>
        </is>
      </c>
      <c r="D1300" t="inlineStr">
        <is>
          <t>PACUCHA</t>
        </is>
      </c>
      <c r="E1300" t="n">
        <v>1955</v>
      </c>
      <c r="F1300" s="14" t="n">
        <v>0</v>
      </c>
      <c r="G1300" s="14" t="n">
        <v>82.05</v>
      </c>
      <c r="H1300" s="14" t="n">
        <v>0.05</v>
      </c>
      <c r="I1300" s="14" t="n">
        <v>0.51</v>
      </c>
      <c r="J1300" s="14" t="n">
        <v>0</v>
      </c>
      <c r="K1300" s="14" t="n">
        <v>0.05</v>
      </c>
      <c r="L1300" s="14" t="n">
        <v>1.74</v>
      </c>
      <c r="M1300" s="14" t="n">
        <v>4.76</v>
      </c>
      <c r="N1300" s="14" t="n">
        <v>2.1</v>
      </c>
      <c r="O1300" s="14" t="n">
        <v>1.79</v>
      </c>
      <c r="P1300" s="14" t="n">
        <v>0.15</v>
      </c>
      <c r="Q1300" s="14" t="n">
        <v>0.15</v>
      </c>
      <c r="R1300" s="14" t="n">
        <v>0</v>
      </c>
      <c r="S1300" s="14" t="n">
        <v>0.82</v>
      </c>
      <c r="T1300" s="14" t="n">
        <v>0.05</v>
      </c>
      <c r="U1300" s="14" t="n">
        <v>1.79</v>
      </c>
      <c r="V1300" s="14" t="n">
        <v>2.3</v>
      </c>
      <c r="W1300" s="14" t="n">
        <v>1.38</v>
      </c>
      <c r="X1300" s="14" t="n">
        <v>0.05</v>
      </c>
      <c r="Y1300" s="14" t="n">
        <v>0.15</v>
      </c>
      <c r="Z1300" s="14" t="n">
        <v>0.1</v>
      </c>
      <c r="AA1300" s="14" t="n">
        <v>0</v>
      </c>
    </row>
    <row r="1301">
      <c r="A1301" t="inlineStr">
        <is>
          <t>040807</t>
        </is>
      </c>
      <c r="B1301" t="inlineStr">
        <is>
          <t>AREQUIPA</t>
        </is>
      </c>
      <c r="C1301" t="inlineStr">
        <is>
          <t>LA UNION</t>
        </is>
      </c>
      <c r="D1301" t="inlineStr">
        <is>
          <t>QUECHUALLA</t>
        </is>
      </c>
      <c r="E1301" t="n">
        <v>155</v>
      </c>
      <c r="F1301" s="14" t="n">
        <v>0</v>
      </c>
      <c r="G1301" s="14" t="n">
        <v>70.97</v>
      </c>
      <c r="H1301" s="14" t="n">
        <v>1.29</v>
      </c>
      <c r="I1301" s="14" t="n">
        <v>0</v>
      </c>
      <c r="J1301" s="14" t="n">
        <v>0</v>
      </c>
      <c r="K1301" s="14" t="n">
        <v>0</v>
      </c>
      <c r="L1301" s="14" t="n">
        <v>5.16</v>
      </c>
      <c r="M1301" s="14" t="n">
        <v>5.16</v>
      </c>
      <c r="N1301" s="14" t="n">
        <v>1.94</v>
      </c>
      <c r="O1301" s="14" t="n">
        <v>1.29</v>
      </c>
      <c r="P1301" s="14" t="n">
        <v>0</v>
      </c>
      <c r="Q1301" s="14" t="n">
        <v>0.65</v>
      </c>
      <c r="R1301" s="14" t="n">
        <v>0</v>
      </c>
      <c r="S1301" s="14" t="n">
        <v>0</v>
      </c>
      <c r="T1301" s="14" t="n">
        <v>0</v>
      </c>
      <c r="U1301" s="14" t="n">
        <v>7.1</v>
      </c>
      <c r="V1301" s="14" t="n">
        <v>3.87</v>
      </c>
      <c r="W1301" s="14" t="n">
        <v>1.29</v>
      </c>
      <c r="X1301" s="14" t="n">
        <v>0.65</v>
      </c>
      <c r="Y1301" s="14" t="n">
        <v>0.65</v>
      </c>
      <c r="Z1301" s="14" t="n">
        <v>0</v>
      </c>
      <c r="AA1301" s="14" t="n">
        <v>0</v>
      </c>
    </row>
    <row r="1302">
      <c r="A1302" t="inlineStr">
        <is>
          <t>010120</t>
        </is>
      </c>
      <c r="B1302" t="inlineStr">
        <is>
          <t>AMAZONAS</t>
        </is>
      </c>
      <c r="C1302" t="inlineStr">
        <is>
          <t>CHACHAPOYAS</t>
        </is>
      </c>
      <c r="D1302" t="inlineStr">
        <is>
          <t>SOLOCO</t>
        </is>
      </c>
      <c r="E1302" t="n">
        <v>502</v>
      </c>
      <c r="F1302" s="14" t="n">
        <v>0.199</v>
      </c>
      <c r="G1302" s="14" t="n">
        <v>85.26000000000001</v>
      </c>
      <c r="H1302" s="14" t="n">
        <v>0</v>
      </c>
      <c r="I1302" s="14" t="n">
        <v>0.8</v>
      </c>
      <c r="J1302" s="14" t="n">
        <v>0</v>
      </c>
      <c r="K1302" s="14" t="n">
        <v>0</v>
      </c>
      <c r="L1302" s="14" t="n">
        <v>3.78</v>
      </c>
      <c r="M1302" s="14" t="n">
        <v>2.59</v>
      </c>
      <c r="N1302" s="14" t="n">
        <v>1.39</v>
      </c>
      <c r="O1302" s="14" t="n">
        <v>1</v>
      </c>
      <c r="P1302" s="14" t="n">
        <v>0</v>
      </c>
      <c r="Q1302" s="14" t="n">
        <v>0.2</v>
      </c>
      <c r="R1302" s="14" t="n">
        <v>0</v>
      </c>
      <c r="S1302" s="14" t="n">
        <v>0.4</v>
      </c>
      <c r="T1302" s="14" t="n">
        <v>0</v>
      </c>
      <c r="U1302" s="14" t="n">
        <v>1.79</v>
      </c>
      <c r="V1302" s="14" t="n">
        <v>1.39</v>
      </c>
      <c r="W1302" s="14" t="n">
        <v>0.6</v>
      </c>
      <c r="X1302" s="14" t="n">
        <v>0.4</v>
      </c>
      <c r="Y1302" s="14" t="n">
        <v>0.4</v>
      </c>
      <c r="Z1302" s="14" t="n">
        <v>0</v>
      </c>
      <c r="AA1302" s="14" t="n">
        <v>0</v>
      </c>
    </row>
    <row r="1303">
      <c r="A1303" t="inlineStr">
        <is>
          <t>010520</t>
        </is>
      </c>
      <c r="B1303" t="inlineStr">
        <is>
          <t>AMAZONAS</t>
        </is>
      </c>
      <c r="C1303" t="inlineStr">
        <is>
          <t>LUYA</t>
        </is>
      </c>
      <c r="D1303" t="inlineStr">
        <is>
          <t>SANTA CATALINA</t>
        </is>
      </c>
      <c r="E1303" t="n">
        <v>561</v>
      </c>
      <c r="F1303" s="14" t="n">
        <v>0</v>
      </c>
      <c r="G1303" s="14" t="n">
        <v>90.2</v>
      </c>
      <c r="H1303" s="14" t="n">
        <v>0</v>
      </c>
      <c r="I1303" s="14" t="n">
        <v>0.36</v>
      </c>
      <c r="J1303" s="14" t="n">
        <v>0</v>
      </c>
      <c r="K1303" s="14" t="n">
        <v>0</v>
      </c>
      <c r="L1303" s="14" t="n">
        <v>0.71</v>
      </c>
      <c r="M1303" s="14" t="n">
        <v>1.25</v>
      </c>
      <c r="N1303" s="14" t="n">
        <v>2.32</v>
      </c>
      <c r="O1303" s="14" t="n">
        <v>0.53</v>
      </c>
      <c r="P1303" s="14" t="n">
        <v>0</v>
      </c>
      <c r="Q1303" s="14" t="n">
        <v>0.18</v>
      </c>
      <c r="R1303" s="14" t="n">
        <v>0</v>
      </c>
      <c r="S1303" s="14" t="n">
        <v>0.18</v>
      </c>
      <c r="T1303" s="14" t="n">
        <v>0</v>
      </c>
      <c r="U1303" s="14" t="n">
        <v>0.89</v>
      </c>
      <c r="V1303" s="14" t="n">
        <v>1.96</v>
      </c>
      <c r="W1303" s="14" t="n">
        <v>1.25</v>
      </c>
      <c r="X1303" s="14" t="n">
        <v>0</v>
      </c>
      <c r="Y1303" s="14" t="n">
        <v>0.18</v>
      </c>
      <c r="Z1303" s="14" t="n">
        <v>0</v>
      </c>
      <c r="AA1303" s="14" t="n">
        <v>0</v>
      </c>
    </row>
    <row r="1304">
      <c r="A1304" t="inlineStr">
        <is>
          <t>050111</t>
        </is>
      </c>
      <c r="B1304" t="inlineStr">
        <is>
          <t>AYACUCHO</t>
        </is>
      </c>
      <c r="C1304" t="inlineStr">
        <is>
          <t>HUAMANGA</t>
        </is>
      </c>
      <c r="D1304" t="inlineStr">
        <is>
          <t>SANTIAGO DE PISCHA</t>
        </is>
      </c>
      <c r="E1304" t="n">
        <v>502</v>
      </c>
      <c r="F1304" s="14" t="n">
        <v>0</v>
      </c>
      <c r="G1304" s="14" t="n">
        <v>62.15</v>
      </c>
      <c r="H1304" s="14" t="n">
        <v>0.2</v>
      </c>
      <c r="I1304" s="14" t="n">
        <v>2.39</v>
      </c>
      <c r="J1304" s="14" t="n">
        <v>0</v>
      </c>
      <c r="K1304" s="14" t="n">
        <v>0</v>
      </c>
      <c r="L1304" s="14" t="n">
        <v>7.77</v>
      </c>
      <c r="M1304" s="14" t="n">
        <v>11.16</v>
      </c>
      <c r="N1304" s="14" t="n">
        <v>2.99</v>
      </c>
      <c r="O1304" s="14" t="n">
        <v>2.99</v>
      </c>
      <c r="P1304" s="14" t="n">
        <v>0</v>
      </c>
      <c r="Q1304" s="14" t="n">
        <v>0.2</v>
      </c>
      <c r="R1304" s="14" t="n">
        <v>0</v>
      </c>
      <c r="S1304" s="14" t="n">
        <v>1.79</v>
      </c>
      <c r="T1304" s="14" t="n">
        <v>1</v>
      </c>
      <c r="U1304" s="14" t="n">
        <v>1.79</v>
      </c>
      <c r="V1304" s="14" t="n">
        <v>2.99</v>
      </c>
      <c r="W1304" s="14" t="n">
        <v>1.59</v>
      </c>
      <c r="X1304" s="14" t="n">
        <v>0</v>
      </c>
      <c r="Y1304" s="14" t="n">
        <v>0.8</v>
      </c>
      <c r="Z1304" s="14" t="n">
        <v>0.2</v>
      </c>
      <c r="AA1304" s="14" t="n">
        <v>0</v>
      </c>
    </row>
    <row r="1305">
      <c r="A1305" t="inlineStr">
        <is>
          <t>030704</t>
        </is>
      </c>
      <c r="B1305" t="inlineStr">
        <is>
          <t>APURIMAC</t>
        </is>
      </c>
      <c r="C1305" t="inlineStr">
        <is>
          <t>GRAU</t>
        </is>
      </c>
      <c r="D1305" t="inlineStr">
        <is>
          <t>HUAYLLATI</t>
        </is>
      </c>
      <c r="E1305" t="n">
        <v>127</v>
      </c>
      <c r="F1305" s="14" t="n">
        <v>0</v>
      </c>
      <c r="G1305" s="14" t="n">
        <v>40.94</v>
      </c>
      <c r="H1305" s="14" t="n">
        <v>3.94</v>
      </c>
      <c r="I1305" s="14" t="n">
        <v>0.79</v>
      </c>
      <c r="J1305" s="14" t="n">
        <v>0</v>
      </c>
      <c r="K1305" s="14" t="n">
        <v>0</v>
      </c>
      <c r="L1305" s="14" t="n">
        <v>17.32</v>
      </c>
      <c r="M1305" s="14" t="n">
        <v>1.57</v>
      </c>
      <c r="N1305" s="14" t="n">
        <v>2.36</v>
      </c>
      <c r="O1305" s="14" t="n">
        <v>1.57</v>
      </c>
      <c r="P1305" s="14" t="n">
        <v>0</v>
      </c>
      <c r="Q1305" s="14" t="n">
        <v>0</v>
      </c>
      <c r="R1305" s="14" t="n">
        <v>0</v>
      </c>
      <c r="S1305" s="14" t="n">
        <v>0.79</v>
      </c>
      <c r="T1305" s="14" t="n">
        <v>0</v>
      </c>
      <c r="U1305" s="14" t="n">
        <v>0.79</v>
      </c>
      <c r="V1305" s="14" t="n">
        <v>24.41</v>
      </c>
      <c r="W1305" s="14" t="n">
        <v>3.94</v>
      </c>
      <c r="X1305" s="14" t="n">
        <v>0.79</v>
      </c>
      <c r="Y1305" s="14" t="n">
        <v>0.79</v>
      </c>
      <c r="Z1305" s="14" t="n">
        <v>0</v>
      </c>
      <c r="AA1305" s="14" t="n">
        <v>0</v>
      </c>
    </row>
    <row r="1306">
      <c r="A1306" t="inlineStr">
        <is>
          <t>021302</t>
        </is>
      </c>
      <c r="B1306" t="inlineStr">
        <is>
          <t>ANCASH</t>
        </is>
      </c>
      <c r="C1306" t="inlineStr">
        <is>
          <t>MARISCAL LUZURIAGA</t>
        </is>
      </c>
      <c r="D1306" t="inlineStr">
        <is>
          <t>CASCA</t>
        </is>
      </c>
      <c r="E1306" t="n">
        <v>421</v>
      </c>
      <c r="F1306" s="14" t="n">
        <v>0</v>
      </c>
      <c r="G1306" s="14" t="n">
        <v>82.90000000000001</v>
      </c>
      <c r="H1306" s="14" t="n">
        <v>0</v>
      </c>
      <c r="I1306" s="14" t="n">
        <v>0.71</v>
      </c>
      <c r="J1306" s="14" t="n">
        <v>0</v>
      </c>
      <c r="K1306" s="14" t="n">
        <v>0</v>
      </c>
      <c r="L1306" s="14" t="n">
        <v>0.71</v>
      </c>
      <c r="M1306" s="14" t="n">
        <v>0</v>
      </c>
      <c r="N1306" s="14" t="n">
        <v>0</v>
      </c>
      <c r="O1306" s="14" t="n">
        <v>0.24</v>
      </c>
      <c r="P1306" s="14" t="n">
        <v>0</v>
      </c>
      <c r="Q1306" s="14" t="n">
        <v>0</v>
      </c>
      <c r="R1306" s="14" t="n">
        <v>0</v>
      </c>
      <c r="S1306" s="14" t="n">
        <v>0.95</v>
      </c>
      <c r="T1306" s="14" t="n">
        <v>0.48</v>
      </c>
      <c r="U1306" s="14" t="n">
        <v>0.95</v>
      </c>
      <c r="V1306" s="14" t="n">
        <v>11.16</v>
      </c>
      <c r="W1306" s="14" t="n">
        <v>0.95</v>
      </c>
      <c r="X1306" s="14" t="n">
        <v>0</v>
      </c>
      <c r="Y1306" s="14" t="n">
        <v>0.95</v>
      </c>
      <c r="Z1306" s="14" t="n">
        <v>0</v>
      </c>
      <c r="AA1306" s="14" t="n">
        <v>0</v>
      </c>
    </row>
    <row r="1307">
      <c r="A1307" t="inlineStr">
        <is>
          <t>010703</t>
        </is>
      </c>
      <c r="B1307" t="inlineStr">
        <is>
          <t>AMAZONAS</t>
        </is>
      </c>
      <c r="C1307" t="inlineStr">
        <is>
          <t>UTCUBAMBA</t>
        </is>
      </c>
      <c r="D1307" t="inlineStr">
        <is>
          <t>CUMBA</t>
        </is>
      </c>
      <c r="E1307" t="n">
        <v>2475</v>
      </c>
      <c r="F1307" s="14" t="n">
        <v>0</v>
      </c>
      <c r="G1307" s="14" t="n">
        <v>79.88</v>
      </c>
      <c r="H1307" s="14" t="n">
        <v>0.04</v>
      </c>
      <c r="I1307" s="14" t="n">
        <v>1.29</v>
      </c>
      <c r="J1307" s="14" t="n">
        <v>0</v>
      </c>
      <c r="K1307" s="14" t="n">
        <v>0</v>
      </c>
      <c r="L1307" s="14" t="n">
        <v>1.45</v>
      </c>
      <c r="M1307" s="14" t="n">
        <v>5.29</v>
      </c>
      <c r="N1307" s="14" t="n">
        <v>2.38</v>
      </c>
      <c r="O1307" s="14" t="n">
        <v>2.02</v>
      </c>
      <c r="P1307" s="14" t="n">
        <v>0.08</v>
      </c>
      <c r="Q1307" s="14" t="n">
        <v>0.24</v>
      </c>
      <c r="R1307" s="14" t="n">
        <v>0</v>
      </c>
      <c r="S1307" s="14" t="n">
        <v>0.28</v>
      </c>
      <c r="T1307" s="14" t="n">
        <v>0.2</v>
      </c>
      <c r="U1307" s="14" t="n">
        <v>1.94</v>
      </c>
      <c r="V1307" s="14" t="n">
        <v>3.35</v>
      </c>
      <c r="W1307" s="14" t="n">
        <v>0.77</v>
      </c>
      <c r="X1307" s="14" t="n">
        <v>0</v>
      </c>
      <c r="Y1307" s="14" t="n">
        <v>0.48</v>
      </c>
      <c r="Z1307" s="14" t="n">
        <v>0.28</v>
      </c>
      <c r="AA1307" s="14" t="n">
        <v>0</v>
      </c>
    </row>
    <row r="1308">
      <c r="A1308" t="inlineStr">
        <is>
          <t>050403</t>
        </is>
      </c>
      <c r="B1308" t="inlineStr">
        <is>
          <t>AYACUCHO</t>
        </is>
      </c>
      <c r="C1308" t="inlineStr">
        <is>
          <t>HUANTA</t>
        </is>
      </c>
      <c r="D1308" t="inlineStr">
        <is>
          <t>HUAMANGUILLA</t>
        </is>
      </c>
      <c r="E1308" t="n">
        <v>1233</v>
      </c>
      <c r="F1308" s="14" t="n">
        <v>0</v>
      </c>
      <c r="G1308" s="14" t="n">
        <v>73.06999999999999</v>
      </c>
      <c r="H1308" s="14" t="n">
        <v>0.08</v>
      </c>
      <c r="I1308" s="14" t="n">
        <v>1.95</v>
      </c>
      <c r="J1308" s="14" t="n">
        <v>0.08</v>
      </c>
      <c r="K1308" s="14" t="n">
        <v>0</v>
      </c>
      <c r="L1308" s="14" t="n">
        <v>3.33</v>
      </c>
      <c r="M1308" s="14" t="n">
        <v>6.33</v>
      </c>
      <c r="N1308" s="14" t="n">
        <v>3.97</v>
      </c>
      <c r="O1308" s="14" t="n">
        <v>1.54</v>
      </c>
      <c r="P1308" s="14" t="n">
        <v>0.08</v>
      </c>
      <c r="Q1308" s="14" t="n">
        <v>0.16</v>
      </c>
      <c r="R1308" s="14" t="n">
        <v>0</v>
      </c>
      <c r="S1308" s="14" t="n">
        <v>1.22</v>
      </c>
      <c r="T1308" s="14" t="n">
        <v>0.73</v>
      </c>
      <c r="U1308" s="14" t="n">
        <v>2.84</v>
      </c>
      <c r="V1308" s="14" t="n">
        <v>1.87</v>
      </c>
      <c r="W1308" s="14" t="n">
        <v>1.46</v>
      </c>
      <c r="X1308" s="14" t="n">
        <v>0.08</v>
      </c>
      <c r="Y1308" s="14" t="n">
        <v>0.57</v>
      </c>
      <c r="Z1308" s="14" t="n">
        <v>0.65</v>
      </c>
      <c r="AA1308" s="14" t="n">
        <v>0</v>
      </c>
    </row>
    <row r="1309">
      <c r="A1309" t="inlineStr">
        <is>
          <t>051107</t>
        </is>
      </c>
      <c r="B1309" t="inlineStr">
        <is>
          <t>AYACUCHO</t>
        </is>
      </c>
      <c r="C1309" t="inlineStr">
        <is>
          <t>VILCAS HUAMAN</t>
        </is>
      </c>
      <c r="D1309" t="inlineStr">
        <is>
          <t>SAURAMA</t>
        </is>
      </c>
      <c r="E1309" t="n">
        <v>150</v>
      </c>
      <c r="F1309" s="14" t="n">
        <v>0</v>
      </c>
      <c r="G1309" s="14" t="n">
        <v>76</v>
      </c>
      <c r="H1309" s="14" t="n">
        <v>0</v>
      </c>
      <c r="I1309" s="14" t="n">
        <v>1.33</v>
      </c>
      <c r="J1309" s="14" t="n">
        <v>0</v>
      </c>
      <c r="K1309" s="14" t="n">
        <v>0</v>
      </c>
      <c r="L1309" s="14" t="n">
        <v>0</v>
      </c>
      <c r="M1309" s="14" t="n">
        <v>1.33</v>
      </c>
      <c r="N1309" s="14" t="n">
        <v>0.67</v>
      </c>
      <c r="O1309" s="14" t="n">
        <v>1.33</v>
      </c>
      <c r="P1309" s="14" t="n">
        <v>0</v>
      </c>
      <c r="Q1309" s="14" t="n">
        <v>0</v>
      </c>
      <c r="R1309" s="14" t="n">
        <v>0</v>
      </c>
      <c r="S1309" s="14" t="n">
        <v>2.67</v>
      </c>
      <c r="T1309" s="14" t="n">
        <v>0</v>
      </c>
      <c r="U1309" s="14" t="n">
        <v>0</v>
      </c>
      <c r="V1309" s="14" t="n">
        <v>11.33</v>
      </c>
      <c r="W1309" s="14" t="n">
        <v>1.33</v>
      </c>
      <c r="X1309" s="14" t="n">
        <v>0</v>
      </c>
      <c r="Y1309" s="14" t="n">
        <v>3.33</v>
      </c>
      <c r="Z1309" s="14" t="n">
        <v>0.67</v>
      </c>
      <c r="AA1309" s="14" t="n">
        <v>0</v>
      </c>
    </row>
    <row r="1310">
      <c r="A1310" t="inlineStr">
        <is>
          <t>020504</t>
        </is>
      </c>
      <c r="B1310" t="inlineStr">
        <is>
          <t>ANCASH</t>
        </is>
      </c>
      <c r="C1310" t="inlineStr">
        <is>
          <t>BOLOGNESI</t>
        </is>
      </c>
      <c r="D1310" t="inlineStr">
        <is>
          <t>AQUIA</t>
        </is>
      </c>
      <c r="E1310" t="n">
        <v>700</v>
      </c>
      <c r="F1310" s="14" t="n">
        <v>0</v>
      </c>
      <c r="G1310" s="14" t="n">
        <v>42</v>
      </c>
      <c r="H1310" s="14" t="n">
        <v>17.14</v>
      </c>
      <c r="I1310" s="14" t="n">
        <v>2</v>
      </c>
      <c r="J1310" s="14" t="n">
        <v>0</v>
      </c>
      <c r="K1310" s="14" t="n">
        <v>0</v>
      </c>
      <c r="L1310" s="14" t="n">
        <v>12.29</v>
      </c>
      <c r="M1310" s="14" t="n">
        <v>8.140000000000001</v>
      </c>
      <c r="N1310" s="14" t="n">
        <v>3.14</v>
      </c>
      <c r="O1310" s="14" t="n">
        <v>3.29</v>
      </c>
      <c r="P1310" s="14" t="n">
        <v>0</v>
      </c>
      <c r="Q1310" s="14" t="n">
        <v>0</v>
      </c>
      <c r="R1310" s="14" t="n">
        <v>0</v>
      </c>
      <c r="S1310" s="14" t="n">
        <v>1</v>
      </c>
      <c r="T1310" s="14" t="n">
        <v>3.43</v>
      </c>
      <c r="U1310" s="14" t="n">
        <v>3.14</v>
      </c>
      <c r="V1310" s="14" t="n">
        <v>2.57</v>
      </c>
      <c r="W1310" s="14" t="n">
        <v>0.57</v>
      </c>
      <c r="X1310" s="14" t="n">
        <v>0</v>
      </c>
      <c r="Y1310" s="14" t="n">
        <v>1.29</v>
      </c>
      <c r="Z1310" s="14" t="n">
        <v>0</v>
      </c>
      <c r="AA1310" s="14" t="n">
        <v>0</v>
      </c>
    </row>
    <row r="1311">
      <c r="A1311" t="inlineStr">
        <is>
          <t>090410</t>
        </is>
      </c>
      <c r="B1311" t="inlineStr">
        <is>
          <t>HUANCAVELICA</t>
        </is>
      </c>
      <c r="C1311" t="inlineStr">
        <is>
          <t>CASTROVIRREYNA</t>
        </is>
      </c>
      <c r="D1311" t="inlineStr">
        <is>
          <t>SAN JUAN</t>
        </is>
      </c>
      <c r="E1311" t="n">
        <v>305</v>
      </c>
      <c r="F1311" s="14" t="n">
        <v>0</v>
      </c>
      <c r="G1311" s="14" t="n">
        <v>62.62</v>
      </c>
      <c r="H1311" s="14" t="n">
        <v>0</v>
      </c>
      <c r="I1311" s="14" t="n">
        <v>1.64</v>
      </c>
      <c r="J1311" s="14" t="n">
        <v>0</v>
      </c>
      <c r="K1311" s="14" t="n">
        <v>0.33</v>
      </c>
      <c r="L1311" s="14" t="n">
        <v>3.28</v>
      </c>
      <c r="M1311" s="14" t="n">
        <v>7.54</v>
      </c>
      <c r="N1311" s="14" t="n">
        <v>6.56</v>
      </c>
      <c r="O1311" s="14" t="n">
        <v>0.98</v>
      </c>
      <c r="P1311" s="14" t="n">
        <v>0</v>
      </c>
      <c r="Q1311" s="14" t="n">
        <v>0</v>
      </c>
      <c r="R1311" s="14" t="n">
        <v>0</v>
      </c>
      <c r="S1311" s="14" t="n">
        <v>0.66</v>
      </c>
      <c r="T1311" s="14" t="n">
        <v>0</v>
      </c>
      <c r="U1311" s="14" t="n">
        <v>3.28</v>
      </c>
      <c r="V1311" s="14" t="n">
        <v>7.21</v>
      </c>
      <c r="W1311" s="14" t="n">
        <v>2.3</v>
      </c>
      <c r="X1311" s="14" t="n">
        <v>2.62</v>
      </c>
      <c r="Y1311" s="14" t="n">
        <v>0.98</v>
      </c>
      <c r="Z1311" s="14" t="n">
        <v>0</v>
      </c>
      <c r="AA1311" s="14" t="n">
        <v>0</v>
      </c>
    </row>
    <row r="1312">
      <c r="A1312" t="inlineStr">
        <is>
          <t>080306</t>
        </is>
      </c>
      <c r="B1312" t="inlineStr">
        <is>
          <t>CUSCO</t>
        </is>
      </c>
      <c r="C1312" t="inlineStr">
        <is>
          <t>ANTA</t>
        </is>
      </c>
      <c r="D1312" t="inlineStr">
        <is>
          <t>LIMATAMBO</t>
        </is>
      </c>
      <c r="E1312" t="n">
        <v>2346</v>
      </c>
      <c r="F1312" s="14" t="n">
        <v>0</v>
      </c>
      <c r="G1312" s="14" t="n">
        <v>68.8</v>
      </c>
      <c r="H1312" s="14" t="n">
        <v>0.3</v>
      </c>
      <c r="I1312" s="14" t="n">
        <v>1.45</v>
      </c>
      <c r="J1312" s="14" t="n">
        <v>0.04</v>
      </c>
      <c r="K1312" s="14" t="n">
        <v>0</v>
      </c>
      <c r="L1312" s="14" t="n">
        <v>4.05</v>
      </c>
      <c r="M1312" s="14" t="n">
        <v>7.33</v>
      </c>
      <c r="N1312" s="14" t="n">
        <v>3.79</v>
      </c>
      <c r="O1312" s="14" t="n">
        <v>3.84</v>
      </c>
      <c r="P1312" s="14" t="n">
        <v>0.13</v>
      </c>
      <c r="Q1312" s="14" t="n">
        <v>0.34</v>
      </c>
      <c r="R1312" s="14" t="n">
        <v>0.04</v>
      </c>
      <c r="S1312" s="14" t="n">
        <v>1.11</v>
      </c>
      <c r="T1312" s="14" t="n">
        <v>0.72</v>
      </c>
      <c r="U1312" s="14" t="n">
        <v>3.67</v>
      </c>
      <c r="V1312" s="14" t="n">
        <v>1.49</v>
      </c>
      <c r="W1312" s="14" t="n">
        <v>1.15</v>
      </c>
      <c r="X1312" s="14" t="n">
        <v>0</v>
      </c>
      <c r="Y1312" s="14" t="n">
        <v>1.28</v>
      </c>
      <c r="Z1312" s="14" t="n">
        <v>0.47</v>
      </c>
      <c r="AA1312" s="14" t="n">
        <v>0</v>
      </c>
    </row>
    <row r="1313">
      <c r="A1313" t="inlineStr">
        <is>
          <t>050303</t>
        </is>
      </c>
      <c r="B1313" t="inlineStr">
        <is>
          <t>AYACUCHO</t>
        </is>
      </c>
      <c r="C1313" t="inlineStr">
        <is>
          <t>HUANCA SANCOS</t>
        </is>
      </c>
      <c r="D1313" t="inlineStr">
        <is>
          <t>SACSAMARCA</t>
        </is>
      </c>
      <c r="E1313" t="n">
        <v>416</v>
      </c>
      <c r="F1313" s="14" t="n">
        <v>0</v>
      </c>
      <c r="G1313" s="14" t="n">
        <v>64.90000000000001</v>
      </c>
      <c r="H1313" s="14" t="n">
        <v>0.48</v>
      </c>
      <c r="I1313" s="14" t="n">
        <v>2.88</v>
      </c>
      <c r="J1313" s="14" t="n">
        <v>0</v>
      </c>
      <c r="K1313" s="14" t="n">
        <v>0</v>
      </c>
      <c r="L1313" s="14" t="n">
        <v>5.29</v>
      </c>
      <c r="M1313" s="14" t="n">
        <v>7.21</v>
      </c>
      <c r="N1313" s="14" t="n">
        <v>1.92</v>
      </c>
      <c r="O1313" s="14" t="n">
        <v>0.96</v>
      </c>
      <c r="P1313" s="14" t="n">
        <v>0.48</v>
      </c>
      <c r="Q1313" s="14" t="n">
        <v>0.24</v>
      </c>
      <c r="R1313" s="14" t="n">
        <v>0</v>
      </c>
      <c r="S1313" s="14" t="n">
        <v>2.16</v>
      </c>
      <c r="T1313" s="14" t="n">
        <v>0</v>
      </c>
      <c r="U1313" s="14" t="n">
        <v>3.37</v>
      </c>
      <c r="V1313" s="14" t="n">
        <v>6.01</v>
      </c>
      <c r="W1313" s="14" t="n">
        <v>3.37</v>
      </c>
      <c r="X1313" s="14" t="n">
        <v>0.24</v>
      </c>
      <c r="Y1313" s="14" t="n">
        <v>0.48</v>
      </c>
      <c r="Z1313" s="14" t="n">
        <v>0</v>
      </c>
      <c r="AA1313" s="14" t="n">
        <v>0</v>
      </c>
    </row>
    <row r="1314">
      <c r="A1314" t="inlineStr">
        <is>
          <t>050618</t>
        </is>
      </c>
      <c r="B1314" t="inlineStr">
        <is>
          <t>AYACUCHO</t>
        </is>
      </c>
      <c r="C1314" t="inlineStr">
        <is>
          <t>LUCANAS</t>
        </is>
      </c>
      <c r="D1314" t="inlineStr">
        <is>
          <t>SAN PEDRO DE PALCO</t>
        </is>
      </c>
      <c r="E1314" t="n">
        <v>389</v>
      </c>
      <c r="F1314" s="14" t="n">
        <v>0</v>
      </c>
      <c r="G1314" s="14" t="n">
        <v>80.72</v>
      </c>
      <c r="H1314" s="14" t="n">
        <v>0.26</v>
      </c>
      <c r="I1314" s="14" t="n">
        <v>0.26</v>
      </c>
      <c r="J1314" s="14" t="n">
        <v>0</v>
      </c>
      <c r="K1314" s="14" t="n">
        <v>0</v>
      </c>
      <c r="L1314" s="14" t="n">
        <v>3.86</v>
      </c>
      <c r="M1314" s="14" t="n">
        <v>2.31</v>
      </c>
      <c r="N1314" s="14" t="n">
        <v>0.51</v>
      </c>
      <c r="O1314" s="14" t="n">
        <v>0.77</v>
      </c>
      <c r="P1314" s="14" t="n">
        <v>0</v>
      </c>
      <c r="Q1314" s="14" t="n">
        <v>0</v>
      </c>
      <c r="R1314" s="14" t="n">
        <v>0</v>
      </c>
      <c r="S1314" s="14" t="n">
        <v>0.77</v>
      </c>
      <c r="T1314" s="14" t="n">
        <v>0</v>
      </c>
      <c r="U1314" s="14" t="n">
        <v>3.6</v>
      </c>
      <c r="V1314" s="14" t="n">
        <v>5.14</v>
      </c>
      <c r="W1314" s="14" t="n">
        <v>0.26</v>
      </c>
      <c r="X1314" s="14" t="n">
        <v>0.26</v>
      </c>
      <c r="Y1314" s="14" t="n">
        <v>0.51</v>
      </c>
      <c r="Z1314" s="14" t="n">
        <v>0.77</v>
      </c>
      <c r="AA1314" s="14" t="n">
        <v>0</v>
      </c>
    </row>
    <row r="1315">
      <c r="A1315" t="inlineStr">
        <is>
          <t>060612</t>
        </is>
      </c>
      <c r="B1315" t="inlineStr">
        <is>
          <t>CAJAMARCA</t>
        </is>
      </c>
      <c r="C1315" t="inlineStr">
        <is>
          <t>CUTERVO</t>
        </is>
      </c>
      <c r="D1315" t="inlineStr">
        <is>
          <t>SANTO DOMINGO DE LA CAPILLA</t>
        </is>
      </c>
      <c r="E1315" t="n">
        <v>1556</v>
      </c>
      <c r="F1315" s="14" t="n">
        <v>0</v>
      </c>
      <c r="G1315" s="14" t="n">
        <v>84.58</v>
      </c>
      <c r="H1315" s="14" t="n">
        <v>0.19</v>
      </c>
      <c r="I1315" s="14" t="n">
        <v>1.16</v>
      </c>
      <c r="J1315" s="14" t="n">
        <v>0</v>
      </c>
      <c r="K1315" s="14" t="n">
        <v>0</v>
      </c>
      <c r="L1315" s="14" t="n">
        <v>1.93</v>
      </c>
      <c r="M1315" s="14" t="n">
        <v>1.8</v>
      </c>
      <c r="N1315" s="14" t="n">
        <v>1.03</v>
      </c>
      <c r="O1315" s="14" t="n">
        <v>0.96</v>
      </c>
      <c r="P1315" s="14" t="n">
        <v>0.13</v>
      </c>
      <c r="Q1315" s="14" t="n">
        <v>0</v>
      </c>
      <c r="R1315" s="14" t="n">
        <v>0.06</v>
      </c>
      <c r="S1315" s="14" t="n">
        <v>0.9</v>
      </c>
      <c r="T1315" s="14" t="n">
        <v>0.06</v>
      </c>
      <c r="U1315" s="14" t="n">
        <v>1.48</v>
      </c>
      <c r="V1315" s="14" t="n">
        <v>3.6</v>
      </c>
      <c r="W1315" s="14" t="n">
        <v>1.29</v>
      </c>
      <c r="X1315" s="14" t="n">
        <v>0</v>
      </c>
      <c r="Y1315" s="14" t="n">
        <v>0.39</v>
      </c>
      <c r="Z1315" s="14" t="n">
        <v>0.45</v>
      </c>
      <c r="AA1315" s="14" t="n">
        <v>0</v>
      </c>
    </row>
    <row r="1316">
      <c r="A1316" t="inlineStr">
        <is>
          <t>081006</t>
        </is>
      </c>
      <c r="B1316" t="inlineStr">
        <is>
          <t>CUSCO</t>
        </is>
      </c>
      <c r="C1316" t="inlineStr">
        <is>
          <t>PARURO</t>
        </is>
      </c>
      <c r="D1316" t="inlineStr">
        <is>
          <t>OMACHA</t>
        </is>
      </c>
      <c r="E1316" t="n">
        <v>1387</v>
      </c>
      <c r="F1316" s="14" t="n">
        <v>0</v>
      </c>
      <c r="G1316" s="14" t="n">
        <v>88.03</v>
      </c>
      <c r="H1316" s="14" t="n">
        <v>0.14</v>
      </c>
      <c r="I1316" s="14" t="n">
        <v>1.59</v>
      </c>
      <c r="J1316" s="14" t="n">
        <v>0</v>
      </c>
      <c r="K1316" s="14" t="n">
        <v>0</v>
      </c>
      <c r="L1316" s="14" t="n">
        <v>1.73</v>
      </c>
      <c r="M1316" s="14" t="n">
        <v>1.8</v>
      </c>
      <c r="N1316" s="14" t="n">
        <v>0.36</v>
      </c>
      <c r="O1316" s="14" t="n">
        <v>0.5</v>
      </c>
      <c r="P1316" s="14" t="n">
        <v>0</v>
      </c>
      <c r="Q1316" s="14" t="n">
        <v>0</v>
      </c>
      <c r="R1316" s="14" t="n">
        <v>0</v>
      </c>
      <c r="S1316" s="14" t="n">
        <v>0.22</v>
      </c>
      <c r="T1316" s="14" t="n">
        <v>0.07000000000000001</v>
      </c>
      <c r="U1316" s="14" t="n">
        <v>0.58</v>
      </c>
      <c r="V1316" s="14" t="n">
        <v>2.88</v>
      </c>
      <c r="W1316" s="14" t="n">
        <v>0.29</v>
      </c>
      <c r="X1316" s="14" t="n">
        <v>0</v>
      </c>
      <c r="Y1316" s="14" t="n">
        <v>0.43</v>
      </c>
      <c r="Z1316" s="14" t="n">
        <v>1.37</v>
      </c>
      <c r="AA1316" s="14" t="n">
        <v>0</v>
      </c>
    </row>
    <row r="1317">
      <c r="A1317" t="inlineStr">
        <is>
          <t>080912</t>
        </is>
      </c>
      <c r="B1317" t="inlineStr">
        <is>
          <t>CUSCO</t>
        </is>
      </c>
      <c r="C1317" t="inlineStr">
        <is>
          <t>LA CONVENCION</t>
        </is>
      </c>
      <c r="D1317" t="inlineStr">
        <is>
          <t>VILLA VIRGEN</t>
        </is>
      </c>
      <c r="E1317" t="n">
        <v>805</v>
      </c>
      <c r="F1317" s="14" t="n">
        <v>0</v>
      </c>
      <c r="G1317" s="14" t="n">
        <v>60.99</v>
      </c>
      <c r="H1317" s="14" t="n">
        <v>0.12</v>
      </c>
      <c r="I1317" s="14" t="n">
        <v>0.62</v>
      </c>
      <c r="J1317" s="14" t="n">
        <v>0.25</v>
      </c>
      <c r="K1317" s="14" t="n">
        <v>0</v>
      </c>
      <c r="L1317" s="14" t="n">
        <v>1.86</v>
      </c>
      <c r="M1317" s="14" t="n">
        <v>7.83</v>
      </c>
      <c r="N1317" s="14" t="n">
        <v>0.99</v>
      </c>
      <c r="O1317" s="14" t="n">
        <v>1.99</v>
      </c>
      <c r="P1317" s="14" t="n">
        <v>0</v>
      </c>
      <c r="Q1317" s="14" t="n">
        <v>0</v>
      </c>
      <c r="R1317" s="14" t="n">
        <v>0</v>
      </c>
      <c r="S1317" s="14" t="n">
        <v>0.87</v>
      </c>
      <c r="T1317" s="14" t="n">
        <v>0.12</v>
      </c>
      <c r="U1317" s="14" t="n">
        <v>16.52</v>
      </c>
      <c r="V1317" s="14" t="n">
        <v>5.47</v>
      </c>
      <c r="W1317" s="14" t="n">
        <v>0.99</v>
      </c>
      <c r="X1317" s="14" t="n">
        <v>0</v>
      </c>
      <c r="Y1317" s="14" t="n">
        <v>1.12</v>
      </c>
      <c r="Z1317" s="14" t="n">
        <v>0.25</v>
      </c>
      <c r="AA1317" s="14" t="n">
        <v>0</v>
      </c>
    </row>
    <row r="1318">
      <c r="A1318" t="inlineStr">
        <is>
          <t>030502</t>
        </is>
      </c>
      <c r="B1318" t="inlineStr">
        <is>
          <t>APURIMAC</t>
        </is>
      </c>
      <c r="C1318" t="inlineStr">
        <is>
          <t>COTABAMBAS</t>
        </is>
      </c>
      <c r="D1318" t="inlineStr">
        <is>
          <t>COTABAMBAS</t>
        </is>
      </c>
      <c r="E1318" t="n">
        <v>1022</v>
      </c>
      <c r="F1318" s="14" t="n">
        <v>0</v>
      </c>
      <c r="G1318" s="14" t="n">
        <v>47.65</v>
      </c>
      <c r="H1318" s="14" t="n">
        <v>2.84</v>
      </c>
      <c r="I1318" s="14" t="n">
        <v>1.76</v>
      </c>
      <c r="J1318" s="14" t="n">
        <v>0.1</v>
      </c>
      <c r="K1318" s="14" t="n">
        <v>0.59</v>
      </c>
      <c r="L1318" s="14" t="n">
        <v>9.59</v>
      </c>
      <c r="M1318" s="14" t="n">
        <v>7.34</v>
      </c>
      <c r="N1318" s="14" t="n">
        <v>4.99</v>
      </c>
      <c r="O1318" s="14" t="n">
        <v>5.09</v>
      </c>
      <c r="P1318" s="14" t="n">
        <v>0.2</v>
      </c>
      <c r="Q1318" s="14" t="n">
        <v>0.2</v>
      </c>
      <c r="R1318" s="14" t="n">
        <v>0</v>
      </c>
      <c r="S1318" s="14" t="n">
        <v>2.64</v>
      </c>
      <c r="T1318" s="14" t="n">
        <v>1.66</v>
      </c>
      <c r="U1318" s="14" t="n">
        <v>3.91</v>
      </c>
      <c r="V1318" s="14" t="n">
        <v>8.119999999999999</v>
      </c>
      <c r="W1318" s="14" t="n">
        <v>1.27</v>
      </c>
      <c r="X1318" s="14" t="n">
        <v>0</v>
      </c>
      <c r="Y1318" s="14" t="n">
        <v>1.86</v>
      </c>
      <c r="Z1318" s="14" t="n">
        <v>0.2</v>
      </c>
      <c r="AA1318" s="14" t="n">
        <v>0</v>
      </c>
    </row>
    <row r="1319">
      <c r="A1319" t="inlineStr">
        <is>
          <t>090603</t>
        </is>
      </c>
      <c r="B1319" t="inlineStr">
        <is>
          <t>HUANCAVELICA</t>
        </is>
      </c>
      <c r="C1319" t="inlineStr">
        <is>
          <t>HUAYTARA</t>
        </is>
      </c>
      <c r="D1319" t="inlineStr">
        <is>
          <t>CORDOVA</t>
        </is>
      </c>
      <c r="E1319" t="n">
        <v>406</v>
      </c>
      <c r="F1319" s="14" t="n">
        <v>0</v>
      </c>
      <c r="G1319" s="14" t="n">
        <v>55.91</v>
      </c>
      <c r="H1319" s="14" t="n">
        <v>20.44</v>
      </c>
      <c r="I1319" s="14" t="n">
        <v>0.49</v>
      </c>
      <c r="J1319" s="14" t="n">
        <v>0.25</v>
      </c>
      <c r="K1319" s="14" t="n">
        <v>0</v>
      </c>
      <c r="L1319" s="14" t="n">
        <v>3.45</v>
      </c>
      <c r="M1319" s="14" t="n">
        <v>5.17</v>
      </c>
      <c r="N1319" s="14" t="n">
        <v>1.97</v>
      </c>
      <c r="O1319" s="14" t="n">
        <v>4.19</v>
      </c>
      <c r="P1319" s="14" t="n">
        <v>0</v>
      </c>
      <c r="Q1319" s="14" t="n">
        <v>0</v>
      </c>
      <c r="R1319" s="14" t="n">
        <v>0</v>
      </c>
      <c r="S1319" s="14" t="n">
        <v>0</v>
      </c>
      <c r="T1319" s="14" t="n">
        <v>0.25</v>
      </c>
      <c r="U1319" s="14" t="n">
        <v>2.71</v>
      </c>
      <c r="V1319" s="14" t="n">
        <v>3.2</v>
      </c>
      <c r="W1319" s="14" t="n">
        <v>0.49</v>
      </c>
      <c r="X1319" s="14" t="n">
        <v>0</v>
      </c>
      <c r="Y1319" s="14" t="n">
        <v>1.23</v>
      </c>
      <c r="Z1319" s="14" t="n">
        <v>0.25</v>
      </c>
      <c r="AA1319" s="14" t="n">
        <v>0</v>
      </c>
    </row>
    <row r="1320">
      <c r="A1320" t="inlineStr">
        <is>
          <t>060405</t>
        </is>
      </c>
      <c r="B1320" t="inlineStr">
        <is>
          <t>CAJAMARCA</t>
        </is>
      </c>
      <c r="C1320" t="inlineStr">
        <is>
          <t>CHOTA</t>
        </is>
      </c>
      <c r="D1320" t="inlineStr">
        <is>
          <t>CHIMBAN</t>
        </is>
      </c>
      <c r="E1320" t="n">
        <v>664</v>
      </c>
      <c r="F1320" s="14" t="n">
        <v>0</v>
      </c>
      <c r="G1320" s="14" t="n">
        <v>81.02</v>
      </c>
      <c r="H1320" s="14" t="n">
        <v>0</v>
      </c>
      <c r="I1320" s="14" t="n">
        <v>1.36</v>
      </c>
      <c r="J1320" s="14" t="n">
        <v>0</v>
      </c>
      <c r="K1320" s="14" t="n">
        <v>0</v>
      </c>
      <c r="L1320" s="14" t="n">
        <v>0.75</v>
      </c>
      <c r="M1320" s="14" t="n">
        <v>2.26</v>
      </c>
      <c r="N1320" s="14" t="n">
        <v>0.45</v>
      </c>
      <c r="O1320" s="14" t="n">
        <v>0.15</v>
      </c>
      <c r="P1320" s="14" t="n">
        <v>0</v>
      </c>
      <c r="Q1320" s="14" t="n">
        <v>0</v>
      </c>
      <c r="R1320" s="14" t="n">
        <v>0</v>
      </c>
      <c r="S1320" s="14" t="n">
        <v>0.6</v>
      </c>
      <c r="T1320" s="14" t="n">
        <v>0.15</v>
      </c>
      <c r="U1320" s="14" t="n">
        <v>2.86</v>
      </c>
      <c r="V1320" s="14" t="n">
        <v>6.17</v>
      </c>
      <c r="W1320" s="14" t="n">
        <v>2.26</v>
      </c>
      <c r="X1320" s="14" t="n">
        <v>0</v>
      </c>
      <c r="Y1320" s="14" t="n">
        <v>0</v>
      </c>
      <c r="Z1320" s="14" t="n">
        <v>1.96</v>
      </c>
      <c r="AA1320" s="14" t="n">
        <v>0</v>
      </c>
    </row>
    <row r="1321">
      <c r="A1321" t="inlineStr">
        <is>
          <t>080904</t>
        </is>
      </c>
      <c r="B1321" t="inlineStr">
        <is>
          <t>CUSCO</t>
        </is>
      </c>
      <c r="C1321" t="inlineStr">
        <is>
          <t>LA CONVENCION</t>
        </is>
      </c>
      <c r="D1321" t="inlineStr">
        <is>
          <t>MARANURA</t>
        </is>
      </c>
      <c r="E1321" t="n">
        <v>1412</v>
      </c>
      <c r="F1321" s="14" t="n">
        <v>0</v>
      </c>
      <c r="G1321" s="14" t="n">
        <v>63.6</v>
      </c>
      <c r="H1321" s="14" t="n">
        <v>0</v>
      </c>
      <c r="I1321" s="14" t="n">
        <v>1.56</v>
      </c>
      <c r="J1321" s="14" t="n">
        <v>0.07000000000000001</v>
      </c>
      <c r="K1321" s="14" t="n">
        <v>0</v>
      </c>
      <c r="L1321" s="14" t="n">
        <v>3.61</v>
      </c>
      <c r="M1321" s="14" t="n">
        <v>7.37</v>
      </c>
      <c r="N1321" s="14" t="n">
        <v>3.97</v>
      </c>
      <c r="O1321" s="14" t="n">
        <v>3.19</v>
      </c>
      <c r="P1321" s="14" t="n">
        <v>0.35</v>
      </c>
      <c r="Q1321" s="14" t="n">
        <v>0.35</v>
      </c>
      <c r="R1321" s="14" t="n">
        <v>0</v>
      </c>
      <c r="S1321" s="14" t="n">
        <v>3.26</v>
      </c>
      <c r="T1321" s="14" t="n">
        <v>0.57</v>
      </c>
      <c r="U1321" s="14" t="n">
        <v>4.11</v>
      </c>
      <c r="V1321" s="14" t="n">
        <v>4.96</v>
      </c>
      <c r="W1321" s="14" t="n">
        <v>1.42</v>
      </c>
      <c r="X1321" s="14" t="n">
        <v>0</v>
      </c>
      <c r="Y1321" s="14" t="n">
        <v>1.13</v>
      </c>
      <c r="Z1321" s="14" t="n">
        <v>0.5</v>
      </c>
      <c r="AA1321" s="14" t="n">
        <v>0</v>
      </c>
    </row>
    <row r="1322">
      <c r="A1322" t="inlineStr">
        <is>
          <t>081204</t>
        </is>
      </c>
      <c r="B1322" t="inlineStr">
        <is>
          <t>CUSCO</t>
        </is>
      </c>
      <c r="C1322" t="inlineStr">
        <is>
          <t>QUISPICANCHI</t>
        </is>
      </c>
      <c r="D1322" t="inlineStr">
        <is>
          <t>CCARHUAYO</t>
        </is>
      </c>
      <c r="E1322" t="n">
        <v>785</v>
      </c>
      <c r="F1322" s="14" t="n">
        <v>0</v>
      </c>
      <c r="G1322" s="14" t="n">
        <v>72.87</v>
      </c>
      <c r="H1322" s="14" t="n">
        <v>5.86</v>
      </c>
      <c r="I1322" s="14" t="n">
        <v>1.27</v>
      </c>
      <c r="J1322" s="14" t="n">
        <v>0</v>
      </c>
      <c r="K1322" s="14" t="n">
        <v>0</v>
      </c>
      <c r="L1322" s="14" t="n">
        <v>1.27</v>
      </c>
      <c r="M1322" s="14" t="n">
        <v>11.85</v>
      </c>
      <c r="N1322" s="14" t="n">
        <v>1.4</v>
      </c>
      <c r="O1322" s="14" t="n">
        <v>1.66</v>
      </c>
      <c r="P1322" s="14" t="n">
        <v>0.25</v>
      </c>
      <c r="Q1322" s="14" t="n">
        <v>0</v>
      </c>
      <c r="R1322" s="14" t="n">
        <v>0</v>
      </c>
      <c r="S1322" s="14" t="n">
        <v>0.25</v>
      </c>
      <c r="T1322" s="14" t="n">
        <v>0.38</v>
      </c>
      <c r="U1322" s="14" t="n">
        <v>1.15</v>
      </c>
      <c r="V1322" s="14" t="n">
        <v>1.02</v>
      </c>
      <c r="W1322" s="14" t="n">
        <v>0.13</v>
      </c>
      <c r="X1322" s="14" t="n">
        <v>0</v>
      </c>
      <c r="Y1322" s="14" t="n">
        <v>0.64</v>
      </c>
      <c r="Z1322" s="14" t="n">
        <v>0</v>
      </c>
      <c r="AA1322" s="14" t="n">
        <v>0</v>
      </c>
    </row>
    <row r="1323">
      <c r="A1323" t="inlineStr">
        <is>
          <t>050906</t>
        </is>
      </c>
      <c r="B1323" t="inlineStr">
        <is>
          <t>AYACUCHO</t>
        </is>
      </c>
      <c r="C1323" t="inlineStr">
        <is>
          <t>SUCRE</t>
        </is>
      </c>
      <c r="D1323" t="inlineStr">
        <is>
          <t>MORCOLLA</t>
        </is>
      </c>
      <c r="E1323" t="n">
        <v>479</v>
      </c>
      <c r="F1323" s="14" t="n">
        <v>0</v>
      </c>
      <c r="G1323" s="14" t="n">
        <v>73.06999999999999</v>
      </c>
      <c r="H1323" s="14" t="n">
        <v>0</v>
      </c>
      <c r="I1323" s="14" t="n">
        <v>0.63</v>
      </c>
      <c r="J1323" s="14" t="n">
        <v>0</v>
      </c>
      <c r="K1323" s="14" t="n">
        <v>0</v>
      </c>
      <c r="L1323" s="14" t="n">
        <v>2.3</v>
      </c>
      <c r="M1323" s="14" t="n">
        <v>12.11</v>
      </c>
      <c r="N1323" s="14" t="n">
        <v>0.42</v>
      </c>
      <c r="O1323" s="14" t="n">
        <v>1.25</v>
      </c>
      <c r="P1323" s="14" t="n">
        <v>0</v>
      </c>
      <c r="Q1323" s="14" t="n">
        <v>0</v>
      </c>
      <c r="R1323" s="14" t="n">
        <v>0</v>
      </c>
      <c r="S1323" s="14" t="n">
        <v>1.04</v>
      </c>
      <c r="T1323" s="14" t="n">
        <v>0.42</v>
      </c>
      <c r="U1323" s="14" t="n">
        <v>2.09</v>
      </c>
      <c r="V1323" s="14" t="n">
        <v>5.01</v>
      </c>
      <c r="W1323" s="14" t="n">
        <v>0.84</v>
      </c>
      <c r="X1323" s="14" t="n">
        <v>0</v>
      </c>
      <c r="Y1323" s="14" t="n">
        <v>0.84</v>
      </c>
      <c r="Z1323" s="14" t="n">
        <v>0</v>
      </c>
      <c r="AA1323" s="14" t="n">
        <v>0</v>
      </c>
    </row>
    <row r="1324">
      <c r="A1324" t="inlineStr">
        <is>
          <t>080706</t>
        </is>
      </c>
      <c r="B1324" t="inlineStr">
        <is>
          <t>CUSCO</t>
        </is>
      </c>
      <c r="C1324" t="inlineStr">
        <is>
          <t>CHUMBIVILCAS</t>
        </is>
      </c>
      <c r="D1324" t="inlineStr">
        <is>
          <t>LLUSCO</t>
        </is>
      </c>
      <c r="E1324" t="n">
        <v>1260</v>
      </c>
      <c r="F1324" s="14" t="n">
        <v>0</v>
      </c>
      <c r="G1324" s="14" t="n">
        <v>79.13</v>
      </c>
      <c r="H1324" s="14" t="n">
        <v>0.32</v>
      </c>
      <c r="I1324" s="14" t="n">
        <v>0.4</v>
      </c>
      <c r="J1324" s="14" t="n">
        <v>0</v>
      </c>
      <c r="K1324" s="14" t="n">
        <v>0</v>
      </c>
      <c r="L1324" s="14" t="n">
        <v>4.92</v>
      </c>
      <c r="M1324" s="14" t="n">
        <v>5.87</v>
      </c>
      <c r="N1324" s="14" t="n">
        <v>0.95</v>
      </c>
      <c r="O1324" s="14" t="n">
        <v>0.71</v>
      </c>
      <c r="P1324" s="14" t="n">
        <v>0.16</v>
      </c>
      <c r="Q1324" s="14" t="n">
        <v>0.16</v>
      </c>
      <c r="R1324" s="14" t="n">
        <v>0</v>
      </c>
      <c r="S1324" s="14" t="n">
        <v>1.03</v>
      </c>
      <c r="T1324" s="14" t="n">
        <v>0.4</v>
      </c>
      <c r="U1324" s="14" t="n">
        <v>2.14</v>
      </c>
      <c r="V1324" s="14" t="n">
        <v>2.22</v>
      </c>
      <c r="W1324" s="14" t="n">
        <v>0.5600000000000001</v>
      </c>
      <c r="X1324" s="14" t="n">
        <v>0</v>
      </c>
      <c r="Y1324" s="14" t="n">
        <v>0.87</v>
      </c>
      <c r="Z1324" s="14" t="n">
        <v>0.16</v>
      </c>
      <c r="AA1324" s="14" t="n">
        <v>0</v>
      </c>
    </row>
    <row r="1325">
      <c r="A1325" t="inlineStr">
        <is>
          <t>080916</t>
        </is>
      </c>
      <c r="B1325" t="inlineStr">
        <is>
          <t>CUSCO</t>
        </is>
      </c>
      <c r="C1325" t="inlineStr">
        <is>
          <t>LA CONVENCION</t>
        </is>
      </c>
      <c r="D1325" t="inlineStr">
        <is>
          <t>CIELO PUNCO</t>
        </is>
      </c>
      <c r="E1325" t="n">
        <v>0</v>
      </c>
      <c r="F1325" s="14" t="n">
        <v>0</v>
      </c>
      <c r="G1325" s="14" t="n">
        <v>67.31999999999999</v>
      </c>
      <c r="H1325" s="14" t="n">
        <v>0.13</v>
      </c>
      <c r="I1325" s="14" t="n">
        <v>1.63</v>
      </c>
      <c r="J1325" s="14" t="n">
        <v>0.07000000000000001</v>
      </c>
      <c r="K1325" s="14" t="n">
        <v>0.05</v>
      </c>
      <c r="L1325" s="14" t="n">
        <v>3.69</v>
      </c>
      <c r="M1325" s="14" t="n">
        <v>7.52</v>
      </c>
      <c r="N1325" s="14" t="n">
        <v>3.16</v>
      </c>
      <c r="O1325" s="14" t="n">
        <v>2.75</v>
      </c>
      <c r="P1325" s="14" t="n">
        <v>0.19</v>
      </c>
      <c r="Q1325" s="14" t="n">
        <v>0.13</v>
      </c>
      <c r="R1325" s="14" t="n">
        <v>0</v>
      </c>
      <c r="S1325" s="14" t="n">
        <v>1.87</v>
      </c>
      <c r="T1325" s="14" t="n">
        <v>0.76</v>
      </c>
      <c r="U1325" s="14" t="n">
        <v>5.16</v>
      </c>
      <c r="V1325" s="14" t="n">
        <v>3.17</v>
      </c>
      <c r="W1325" s="14" t="n">
        <v>1.02</v>
      </c>
      <c r="X1325" s="14" t="n">
        <v>0.06</v>
      </c>
      <c r="Y1325" s="14" t="n">
        <v>0.98</v>
      </c>
      <c r="Z1325" s="14" t="n">
        <v>0.37</v>
      </c>
      <c r="AA1325" s="14" t="n">
        <v>0</v>
      </c>
    </row>
    <row r="1326">
      <c r="A1326" t="inlineStr">
        <is>
          <t>010204</t>
        </is>
      </c>
      <c r="B1326" t="inlineStr">
        <is>
          <t>AMAZONAS</t>
        </is>
      </c>
      <c r="C1326" t="inlineStr">
        <is>
          <t>BAGUA</t>
        </is>
      </c>
      <c r="D1326" t="inlineStr">
        <is>
          <t>EL PARCO</t>
        </is>
      </c>
      <c r="E1326" t="n">
        <v>347</v>
      </c>
      <c r="F1326" s="14" t="n">
        <v>0</v>
      </c>
      <c r="G1326" s="14" t="n">
        <v>67.44</v>
      </c>
      <c r="H1326" s="14" t="n">
        <v>0</v>
      </c>
      <c r="I1326" s="14" t="n">
        <v>1.44</v>
      </c>
      <c r="J1326" s="14" t="n">
        <v>0</v>
      </c>
      <c r="K1326" s="14" t="n">
        <v>0</v>
      </c>
      <c r="L1326" s="14" t="n">
        <v>0.86</v>
      </c>
      <c r="M1326" s="14" t="n">
        <v>6.92</v>
      </c>
      <c r="N1326" s="14" t="n">
        <v>6.63</v>
      </c>
      <c r="O1326" s="14" t="n">
        <v>1.44</v>
      </c>
      <c r="P1326" s="14" t="n">
        <v>0.29</v>
      </c>
      <c r="Q1326" s="14" t="n">
        <v>0</v>
      </c>
      <c r="R1326" s="14" t="n">
        <v>0</v>
      </c>
      <c r="S1326" s="14" t="n">
        <v>0.86</v>
      </c>
      <c r="T1326" s="14" t="n">
        <v>0.29</v>
      </c>
      <c r="U1326" s="14" t="n">
        <v>2.59</v>
      </c>
      <c r="V1326" s="14" t="n">
        <v>7.2</v>
      </c>
      <c r="W1326" s="14" t="n">
        <v>3.17</v>
      </c>
      <c r="X1326" s="14" t="n">
        <v>0</v>
      </c>
      <c r="Y1326" s="14" t="n">
        <v>0</v>
      </c>
      <c r="Z1326" s="14" t="n">
        <v>0.86</v>
      </c>
      <c r="AA1326" s="14" t="n">
        <v>0</v>
      </c>
    </row>
    <row r="1327">
      <c r="A1327" t="inlineStr">
        <is>
          <t>020201</t>
        </is>
      </c>
      <c r="B1327" t="inlineStr">
        <is>
          <t>ANCASH</t>
        </is>
      </c>
      <c r="C1327" t="inlineStr">
        <is>
          <t>AIJA</t>
        </is>
      </c>
      <c r="D1327" t="inlineStr">
        <is>
          <t>AIJA</t>
        </is>
      </c>
      <c r="E1327" t="n">
        <v>1085</v>
      </c>
      <c r="F1327" s="14" t="n">
        <v>0</v>
      </c>
      <c r="G1327" s="14" t="n">
        <v>30.32</v>
      </c>
      <c r="H1327" s="14" t="n">
        <v>16.22</v>
      </c>
      <c r="I1327" s="14" t="n">
        <v>5.99</v>
      </c>
      <c r="J1327" s="14" t="n">
        <v>0.18</v>
      </c>
      <c r="K1327" s="14" t="n">
        <v>1.29</v>
      </c>
      <c r="L1327" s="14" t="n">
        <v>6.36</v>
      </c>
      <c r="M1327" s="14" t="n">
        <v>6.91</v>
      </c>
      <c r="N1327" s="14" t="n">
        <v>3.59</v>
      </c>
      <c r="O1327" s="14" t="n">
        <v>3.13</v>
      </c>
      <c r="P1327" s="14" t="n">
        <v>0.46</v>
      </c>
      <c r="Q1327" s="14" t="n">
        <v>0.09</v>
      </c>
      <c r="R1327" s="14" t="n">
        <v>0</v>
      </c>
      <c r="S1327" s="14" t="n">
        <v>3.41</v>
      </c>
      <c r="T1327" s="14" t="n">
        <v>4.24</v>
      </c>
      <c r="U1327" s="14" t="n">
        <v>5.81</v>
      </c>
      <c r="V1327" s="14" t="n">
        <v>6.91</v>
      </c>
      <c r="W1327" s="14" t="n">
        <v>2.12</v>
      </c>
      <c r="X1327" s="14" t="n">
        <v>0.37</v>
      </c>
      <c r="Y1327" s="14" t="n">
        <v>2.03</v>
      </c>
      <c r="Z1327" s="14" t="n">
        <v>0.55</v>
      </c>
      <c r="AA1327" s="14" t="n">
        <v>0</v>
      </c>
    </row>
    <row r="1328">
      <c r="A1328" t="inlineStr">
        <is>
          <t>021202</t>
        </is>
      </c>
      <c r="B1328" t="inlineStr">
        <is>
          <t>ANCASH</t>
        </is>
      </c>
      <c r="C1328" t="inlineStr">
        <is>
          <t>HUAYLAS</t>
        </is>
      </c>
      <c r="D1328" t="inlineStr">
        <is>
          <t>HUALLANCA</t>
        </is>
      </c>
      <c r="E1328" t="n">
        <v>426</v>
      </c>
      <c r="F1328" s="14" t="n">
        <v>0</v>
      </c>
      <c r="G1328" s="14" t="n">
        <v>36.62</v>
      </c>
      <c r="H1328" s="14" t="n">
        <v>1.88</v>
      </c>
      <c r="I1328" s="14" t="n">
        <v>2.35</v>
      </c>
      <c r="J1328" s="14" t="n">
        <v>13.15</v>
      </c>
      <c r="K1328" s="14" t="n">
        <v>0</v>
      </c>
      <c r="L1328" s="14" t="n">
        <v>8.92</v>
      </c>
      <c r="M1328" s="14" t="n">
        <v>6.81</v>
      </c>
      <c r="N1328" s="14" t="n">
        <v>3.52</v>
      </c>
      <c r="O1328" s="14" t="n">
        <v>5.4</v>
      </c>
      <c r="P1328" s="14" t="n">
        <v>0</v>
      </c>
      <c r="Q1328" s="14" t="n">
        <v>0</v>
      </c>
      <c r="R1328" s="14" t="n">
        <v>0</v>
      </c>
      <c r="S1328" s="14" t="n">
        <v>3.29</v>
      </c>
      <c r="T1328" s="14" t="n">
        <v>7.28</v>
      </c>
      <c r="U1328" s="14" t="n">
        <v>5.63</v>
      </c>
      <c r="V1328" s="14" t="n">
        <v>2.11</v>
      </c>
      <c r="W1328" s="14" t="n">
        <v>1.41</v>
      </c>
      <c r="X1328" s="14" t="n">
        <v>0</v>
      </c>
      <c r="Y1328" s="14" t="n">
        <v>1.17</v>
      </c>
      <c r="Z1328" s="14" t="n">
        <v>0.47</v>
      </c>
      <c r="AA1328" s="14" t="n">
        <v>0</v>
      </c>
    </row>
    <row r="1329">
      <c r="A1329" t="inlineStr">
        <is>
          <t>060614</t>
        </is>
      </c>
      <c r="B1329" t="inlineStr">
        <is>
          <t>CAJAMARCA</t>
        </is>
      </c>
      <c r="C1329" t="inlineStr">
        <is>
          <t>CUTERVO</t>
        </is>
      </c>
      <c r="D1329" t="inlineStr">
        <is>
          <t>SOCOTA</t>
        </is>
      </c>
      <c r="E1329" t="n">
        <v>2795</v>
      </c>
      <c r="F1329" s="14" t="n">
        <v>0</v>
      </c>
      <c r="G1329" s="14" t="n">
        <v>62.75</v>
      </c>
      <c r="H1329" s="14" t="n">
        <v>0.29</v>
      </c>
      <c r="I1329" s="14" t="n">
        <v>1.79</v>
      </c>
      <c r="J1329" s="14" t="n">
        <v>0.07000000000000001</v>
      </c>
      <c r="K1329" s="14" t="n">
        <v>0</v>
      </c>
      <c r="L1329" s="14" t="n">
        <v>2.9</v>
      </c>
      <c r="M1329" s="14" t="n">
        <v>11.77</v>
      </c>
      <c r="N1329" s="14" t="n">
        <v>3.36</v>
      </c>
      <c r="O1329" s="14" t="n">
        <v>1.93</v>
      </c>
      <c r="P1329" s="14" t="n">
        <v>0.18</v>
      </c>
      <c r="Q1329" s="14" t="n">
        <v>0.14</v>
      </c>
      <c r="R1329" s="14" t="n">
        <v>0</v>
      </c>
      <c r="S1329" s="14" t="n">
        <v>1.57</v>
      </c>
      <c r="T1329" s="14" t="n">
        <v>0.36</v>
      </c>
      <c r="U1329" s="14" t="n">
        <v>3.08</v>
      </c>
      <c r="V1329" s="14" t="n">
        <v>5.47</v>
      </c>
      <c r="W1329" s="14" t="n">
        <v>2.36</v>
      </c>
      <c r="X1329" s="14" t="n">
        <v>0.04</v>
      </c>
      <c r="Y1329" s="14" t="n">
        <v>0.82</v>
      </c>
      <c r="Z1329" s="14" t="n">
        <v>1.11</v>
      </c>
      <c r="AA1329" s="14" t="n">
        <v>0</v>
      </c>
    </row>
    <row r="1330">
      <c r="A1330" t="inlineStr">
        <is>
          <t>010513</t>
        </is>
      </c>
      <c r="B1330" t="inlineStr">
        <is>
          <t>AMAZONAS</t>
        </is>
      </c>
      <c r="C1330" t="inlineStr">
        <is>
          <t>LUYA</t>
        </is>
      </c>
      <c r="D1330" t="inlineStr">
        <is>
          <t>OCUMAL</t>
        </is>
      </c>
      <c r="E1330" t="n">
        <v>1067</v>
      </c>
      <c r="F1330" s="14" t="n">
        <v>0</v>
      </c>
      <c r="G1330" s="14" t="n">
        <v>84.25</v>
      </c>
      <c r="H1330" s="14" t="n">
        <v>0</v>
      </c>
      <c r="I1330" s="14" t="n">
        <v>0.75</v>
      </c>
      <c r="J1330" s="14" t="n">
        <v>0</v>
      </c>
      <c r="K1330" s="14" t="n">
        <v>0</v>
      </c>
      <c r="L1330" s="14" t="n">
        <v>1.12</v>
      </c>
      <c r="M1330" s="14" t="n">
        <v>1.69</v>
      </c>
      <c r="N1330" s="14" t="n">
        <v>0.19</v>
      </c>
      <c r="O1330" s="14" t="n">
        <v>0.66</v>
      </c>
      <c r="P1330" s="14" t="n">
        <v>0</v>
      </c>
      <c r="Q1330" s="14" t="n">
        <v>0</v>
      </c>
      <c r="R1330" s="14" t="n">
        <v>0</v>
      </c>
      <c r="S1330" s="14" t="n">
        <v>0.47</v>
      </c>
      <c r="T1330" s="14" t="n">
        <v>0</v>
      </c>
      <c r="U1330" s="14" t="n">
        <v>2.06</v>
      </c>
      <c r="V1330" s="14" t="n">
        <v>5.62</v>
      </c>
      <c r="W1330" s="14" t="n">
        <v>1.22</v>
      </c>
      <c r="X1330" s="14" t="n">
        <v>0</v>
      </c>
      <c r="Y1330" s="14" t="n">
        <v>0.37</v>
      </c>
      <c r="Z1330" s="14" t="n">
        <v>1.59</v>
      </c>
      <c r="AA1330" s="14" t="n">
        <v>0</v>
      </c>
    </row>
    <row r="1331">
      <c r="A1331" t="inlineStr">
        <is>
          <t>061107</t>
        </is>
      </c>
      <c r="B1331" t="inlineStr">
        <is>
          <t>CAJAMARCA</t>
        </is>
      </c>
      <c r="C1331" t="inlineStr">
        <is>
          <t>SAN MIGUEL</t>
        </is>
      </c>
      <c r="D1331" t="inlineStr">
        <is>
          <t>LLAPA</t>
        </is>
      </c>
      <c r="E1331" t="n">
        <v>1449</v>
      </c>
      <c r="F1331" s="14" t="n">
        <v>0</v>
      </c>
      <c r="G1331" s="14" t="n">
        <v>71.5</v>
      </c>
      <c r="H1331" s="14" t="n">
        <v>0.41</v>
      </c>
      <c r="I1331" s="14" t="n">
        <v>5.18</v>
      </c>
      <c r="J1331" s="14" t="n">
        <v>0</v>
      </c>
      <c r="K1331" s="14" t="n">
        <v>0</v>
      </c>
      <c r="L1331" s="14" t="n">
        <v>2.76</v>
      </c>
      <c r="M1331" s="14" t="n">
        <v>3.86</v>
      </c>
      <c r="N1331" s="14" t="n">
        <v>1.93</v>
      </c>
      <c r="O1331" s="14" t="n">
        <v>1.24</v>
      </c>
      <c r="P1331" s="14" t="n">
        <v>0.07000000000000001</v>
      </c>
      <c r="Q1331" s="14" t="n">
        <v>0</v>
      </c>
      <c r="R1331" s="14" t="n">
        <v>0</v>
      </c>
      <c r="S1331" s="14" t="n">
        <v>1.45</v>
      </c>
      <c r="T1331" s="14" t="n">
        <v>1.04</v>
      </c>
      <c r="U1331" s="14" t="n">
        <v>1.59</v>
      </c>
      <c r="V1331" s="14" t="n">
        <v>5.8</v>
      </c>
      <c r="W1331" s="14" t="n">
        <v>1.52</v>
      </c>
      <c r="X1331" s="14" t="n">
        <v>0</v>
      </c>
      <c r="Y1331" s="14" t="n">
        <v>1.04</v>
      </c>
      <c r="Z1331" s="14" t="n">
        <v>0.62</v>
      </c>
      <c r="AA1331" s="14" t="n">
        <v>0</v>
      </c>
    </row>
    <row r="1332">
      <c r="A1332" t="inlineStr">
        <is>
          <t>050804</t>
        </is>
      </c>
      <c r="B1332" t="inlineStr">
        <is>
          <t>AYACUCHO</t>
        </is>
      </c>
      <c r="C1332" t="inlineStr">
        <is>
          <t>PAUCAR DEL SARA SARA</t>
        </is>
      </c>
      <c r="D1332" t="inlineStr">
        <is>
          <t>LAMPA</t>
        </is>
      </c>
      <c r="E1332" t="n">
        <v>784</v>
      </c>
      <c r="F1332" s="14" t="n">
        <v>0</v>
      </c>
      <c r="G1332" s="14" t="n">
        <v>66.95999999999999</v>
      </c>
      <c r="H1332" s="14" t="n">
        <v>0.77</v>
      </c>
      <c r="I1332" s="14" t="n">
        <v>2.68</v>
      </c>
      <c r="J1332" s="14" t="n">
        <v>0</v>
      </c>
      <c r="K1332" s="14" t="n">
        <v>0</v>
      </c>
      <c r="L1332" s="14" t="n">
        <v>4.34</v>
      </c>
      <c r="M1332" s="14" t="n">
        <v>5.36</v>
      </c>
      <c r="N1332" s="14" t="n">
        <v>0.89</v>
      </c>
      <c r="O1332" s="14" t="n">
        <v>1.28</v>
      </c>
      <c r="P1332" s="14" t="n">
        <v>0.13</v>
      </c>
      <c r="Q1332" s="14" t="n">
        <v>0.13</v>
      </c>
      <c r="R1332" s="14" t="n">
        <v>0</v>
      </c>
      <c r="S1332" s="14" t="n">
        <v>1.4</v>
      </c>
      <c r="T1332" s="14" t="n">
        <v>0</v>
      </c>
      <c r="U1332" s="14" t="n">
        <v>3.19</v>
      </c>
      <c r="V1332" s="14" t="n">
        <v>11.22</v>
      </c>
      <c r="W1332" s="14" t="n">
        <v>0.77</v>
      </c>
      <c r="X1332" s="14" t="n">
        <v>0.13</v>
      </c>
      <c r="Y1332" s="14" t="n">
        <v>0.51</v>
      </c>
      <c r="Z1332" s="14" t="n">
        <v>0.26</v>
      </c>
      <c r="AA1332" s="14" t="n">
        <v>0</v>
      </c>
    </row>
    <row r="1333">
      <c r="A1333" t="inlineStr">
        <is>
          <t>060108</t>
        </is>
      </c>
      <c r="B1333" t="inlineStr">
        <is>
          <t>CAJAMARCA</t>
        </is>
      </c>
      <c r="C1333" t="inlineStr">
        <is>
          <t>CAJAMARCA</t>
        </is>
      </c>
      <c r="D1333" t="inlineStr">
        <is>
          <t>LOS BAÑOS DEL INCA</t>
        </is>
      </c>
      <c r="E1333" t="n">
        <v>15597</v>
      </c>
      <c r="F1333" s="14" t="n">
        <v>0</v>
      </c>
      <c r="G1333" s="14" t="n">
        <v>23.04</v>
      </c>
      <c r="H1333" s="14" t="n">
        <v>1.24</v>
      </c>
      <c r="I1333" s="14" t="n">
        <v>8.460000000000001</v>
      </c>
      <c r="J1333" s="14" t="n">
        <v>0.06</v>
      </c>
      <c r="K1333" s="14" t="n">
        <v>0.24</v>
      </c>
      <c r="L1333" s="14" t="n">
        <v>12.86</v>
      </c>
      <c r="M1333" s="14" t="n">
        <v>13.37</v>
      </c>
      <c r="N1333" s="14" t="n">
        <v>10.35</v>
      </c>
      <c r="O1333" s="14" t="n">
        <v>5.24</v>
      </c>
      <c r="P1333" s="14" t="n">
        <v>0.5600000000000001</v>
      </c>
      <c r="Q1333" s="14" t="n">
        <v>0.49</v>
      </c>
      <c r="R1333" s="14" t="n">
        <v>0.1</v>
      </c>
      <c r="S1333" s="14" t="n">
        <v>4.28</v>
      </c>
      <c r="T1333" s="14" t="n">
        <v>4.27</v>
      </c>
      <c r="U1333" s="14" t="n">
        <v>3.33</v>
      </c>
      <c r="V1333" s="14" t="n">
        <v>3.97</v>
      </c>
      <c r="W1333" s="14" t="n">
        <v>1.85</v>
      </c>
      <c r="X1333" s="14" t="n">
        <v>0.49</v>
      </c>
      <c r="Y1333" s="14" t="n">
        <v>2.53</v>
      </c>
      <c r="Z1333" s="14" t="n">
        <v>3.26</v>
      </c>
      <c r="AA1333" s="14" t="n">
        <v>0.01</v>
      </c>
    </row>
    <row r="1334">
      <c r="A1334" t="inlineStr">
        <is>
          <t>060508</t>
        </is>
      </c>
      <c r="B1334" t="inlineStr">
        <is>
          <t>CAJAMARCA</t>
        </is>
      </c>
      <c r="C1334" t="inlineStr">
        <is>
          <t>CONTUMAZA</t>
        </is>
      </c>
      <c r="D1334" t="inlineStr">
        <is>
          <t>YONAN</t>
        </is>
      </c>
      <c r="E1334" t="n">
        <v>2059</v>
      </c>
      <c r="F1334" s="14" t="n">
        <v>0</v>
      </c>
      <c r="G1334" s="14" t="n">
        <v>37.98</v>
      </c>
      <c r="H1334" s="14" t="n">
        <v>1.12</v>
      </c>
      <c r="I1334" s="14" t="n">
        <v>3.45</v>
      </c>
      <c r="J1334" s="14" t="n">
        <v>0.1</v>
      </c>
      <c r="K1334" s="14" t="n">
        <v>0.15</v>
      </c>
      <c r="L1334" s="14" t="n">
        <v>6.02</v>
      </c>
      <c r="M1334" s="14" t="n">
        <v>12.58</v>
      </c>
      <c r="N1334" s="14" t="n">
        <v>6.41</v>
      </c>
      <c r="O1334" s="14" t="n">
        <v>4.95</v>
      </c>
      <c r="P1334" s="14" t="n">
        <v>0.24</v>
      </c>
      <c r="Q1334" s="14" t="n">
        <v>0.1</v>
      </c>
      <c r="R1334" s="14" t="n">
        <v>0</v>
      </c>
      <c r="S1334" s="14" t="n">
        <v>1.7</v>
      </c>
      <c r="T1334" s="14" t="n">
        <v>3.25</v>
      </c>
      <c r="U1334" s="14" t="n">
        <v>3.64</v>
      </c>
      <c r="V1334" s="14" t="n">
        <v>12.58</v>
      </c>
      <c r="W1334" s="14" t="n">
        <v>2.48</v>
      </c>
      <c r="X1334" s="14" t="n">
        <v>0.1</v>
      </c>
      <c r="Y1334" s="14" t="n">
        <v>0.68</v>
      </c>
      <c r="Z1334" s="14" t="n">
        <v>2.48</v>
      </c>
      <c r="AA1334" s="14" t="n">
        <v>0</v>
      </c>
    </row>
    <row r="1335">
      <c r="A1335" t="inlineStr">
        <is>
          <t>021503</t>
        </is>
      </c>
      <c r="B1335" t="inlineStr">
        <is>
          <t>ANCASH</t>
        </is>
      </c>
      <c r="C1335" t="inlineStr">
        <is>
          <t>PALLASCA</t>
        </is>
      </c>
      <c r="D1335" t="inlineStr">
        <is>
          <t>CONCHUCOS</t>
        </is>
      </c>
      <c r="E1335" t="n">
        <v>1808</v>
      </c>
      <c r="F1335" s="14" t="n">
        <v>0</v>
      </c>
      <c r="G1335" s="14" t="n">
        <v>67.59</v>
      </c>
      <c r="H1335" s="14" t="n">
        <v>0.5</v>
      </c>
      <c r="I1335" s="14" t="n">
        <v>1.49</v>
      </c>
      <c r="J1335" s="14" t="n">
        <v>0</v>
      </c>
      <c r="K1335" s="14" t="n">
        <v>0.06</v>
      </c>
      <c r="L1335" s="14" t="n">
        <v>2.99</v>
      </c>
      <c r="M1335" s="14" t="n">
        <v>6.75</v>
      </c>
      <c r="N1335" s="14" t="n">
        <v>1</v>
      </c>
      <c r="O1335" s="14" t="n">
        <v>2.27</v>
      </c>
      <c r="P1335" s="14" t="n">
        <v>0</v>
      </c>
      <c r="Q1335" s="14" t="n">
        <v>0</v>
      </c>
      <c r="R1335" s="14" t="n">
        <v>0</v>
      </c>
      <c r="S1335" s="14" t="n">
        <v>0.61</v>
      </c>
      <c r="T1335" s="14" t="n">
        <v>0.88</v>
      </c>
      <c r="U1335" s="14" t="n">
        <v>2.82</v>
      </c>
      <c r="V1335" s="14" t="n">
        <v>9.24</v>
      </c>
      <c r="W1335" s="14" t="n">
        <v>1.44</v>
      </c>
      <c r="X1335" s="14" t="n">
        <v>0.11</v>
      </c>
      <c r="Y1335" s="14" t="n">
        <v>1.27</v>
      </c>
      <c r="Z1335" s="14" t="n">
        <v>1</v>
      </c>
      <c r="AA1335" s="14" t="n">
        <v>0</v>
      </c>
    </row>
    <row r="1336">
      <c r="A1336" t="inlineStr">
        <is>
          <t>020515</t>
        </is>
      </c>
      <c r="B1336" t="inlineStr">
        <is>
          <t>ANCASH</t>
        </is>
      </c>
      <c r="C1336" t="inlineStr">
        <is>
          <t>BOLOGNESI</t>
        </is>
      </c>
      <c r="D1336" t="inlineStr">
        <is>
          <t>TICLLOS</t>
        </is>
      </c>
      <c r="E1336" t="n">
        <v>232</v>
      </c>
      <c r="F1336" s="14" t="n">
        <v>0</v>
      </c>
      <c r="G1336" s="14" t="n">
        <v>63.79</v>
      </c>
      <c r="H1336" s="14" t="n">
        <v>0</v>
      </c>
      <c r="I1336" s="14" t="n">
        <v>7.76</v>
      </c>
      <c r="J1336" s="14" t="n">
        <v>0</v>
      </c>
      <c r="K1336" s="14" t="n">
        <v>0</v>
      </c>
      <c r="L1336" s="14" t="n">
        <v>3.02</v>
      </c>
      <c r="M1336" s="14" t="n">
        <v>6.47</v>
      </c>
      <c r="N1336" s="14" t="n">
        <v>2.16</v>
      </c>
      <c r="O1336" s="14" t="n">
        <v>2.16</v>
      </c>
      <c r="P1336" s="14" t="n">
        <v>0</v>
      </c>
      <c r="Q1336" s="14" t="n">
        <v>0</v>
      </c>
      <c r="R1336" s="14" t="n">
        <v>0</v>
      </c>
      <c r="S1336" s="14" t="n">
        <v>1.29</v>
      </c>
      <c r="T1336" s="14" t="n">
        <v>0.43</v>
      </c>
      <c r="U1336" s="14" t="n">
        <v>6.9</v>
      </c>
      <c r="V1336" s="14" t="n">
        <v>3.45</v>
      </c>
      <c r="W1336" s="14" t="n">
        <v>1.72</v>
      </c>
      <c r="X1336" s="14" t="n">
        <v>0</v>
      </c>
      <c r="Y1336" s="14" t="n">
        <v>0.43</v>
      </c>
      <c r="Z1336" s="14" t="n">
        <v>0.43</v>
      </c>
      <c r="AA1336" s="14" t="n">
        <v>0</v>
      </c>
    </row>
    <row r="1337">
      <c r="A1337" t="inlineStr">
        <is>
          <t>050803</t>
        </is>
      </c>
      <c r="B1337" t="inlineStr">
        <is>
          <t>AYACUCHO</t>
        </is>
      </c>
      <c r="C1337" t="inlineStr">
        <is>
          <t>PAUCAR DEL SARA SARA</t>
        </is>
      </c>
      <c r="D1337" t="inlineStr">
        <is>
          <t>CORCULLA</t>
        </is>
      </c>
      <c r="E1337" t="n">
        <v>181</v>
      </c>
      <c r="F1337" s="14" t="n">
        <v>0</v>
      </c>
      <c r="G1337" s="14" t="n">
        <v>64.64</v>
      </c>
      <c r="H1337" s="14" t="n">
        <v>0.55</v>
      </c>
      <c r="I1337" s="14" t="n">
        <v>0.55</v>
      </c>
      <c r="J1337" s="14" t="n">
        <v>0</v>
      </c>
      <c r="K1337" s="14" t="n">
        <v>0</v>
      </c>
      <c r="L1337" s="14" t="n">
        <v>7.18</v>
      </c>
      <c r="M1337" s="14" t="n">
        <v>4.42</v>
      </c>
      <c r="N1337" s="14" t="n">
        <v>0.55</v>
      </c>
      <c r="O1337" s="14" t="n">
        <v>1.1</v>
      </c>
      <c r="P1337" s="14" t="n">
        <v>0</v>
      </c>
      <c r="Q1337" s="14" t="n">
        <v>0</v>
      </c>
      <c r="R1337" s="14" t="n">
        <v>0</v>
      </c>
      <c r="S1337" s="14" t="n">
        <v>1.66</v>
      </c>
      <c r="T1337" s="14" t="n">
        <v>0</v>
      </c>
      <c r="U1337" s="14" t="n">
        <v>6.63</v>
      </c>
      <c r="V1337" s="14" t="n">
        <v>11.05</v>
      </c>
      <c r="W1337" s="14" t="n">
        <v>1.66</v>
      </c>
      <c r="X1337" s="14" t="n">
        <v>0</v>
      </c>
      <c r="Y1337" s="14" t="n">
        <v>0</v>
      </c>
      <c r="Z1337" s="14" t="n">
        <v>0</v>
      </c>
      <c r="AA1337" s="14" t="n">
        <v>0</v>
      </c>
    </row>
    <row r="1338">
      <c r="A1338" t="inlineStr">
        <is>
          <t>030305</t>
        </is>
      </c>
      <c r="B1338" t="inlineStr">
        <is>
          <t>APURIMAC</t>
        </is>
      </c>
      <c r="C1338" t="inlineStr">
        <is>
          <t>ANTABAMBA</t>
        </is>
      </c>
      <c r="D1338" t="inlineStr">
        <is>
          <t>OROPESA</t>
        </is>
      </c>
      <c r="E1338" t="n">
        <v>654</v>
      </c>
      <c r="F1338" s="14" t="n">
        <v>0</v>
      </c>
      <c r="G1338" s="14" t="n">
        <v>65.29000000000001</v>
      </c>
      <c r="H1338" s="14" t="n">
        <v>1.07</v>
      </c>
      <c r="I1338" s="14" t="n">
        <v>1.22</v>
      </c>
      <c r="J1338" s="14" t="n">
        <v>0</v>
      </c>
      <c r="K1338" s="14" t="n">
        <v>0</v>
      </c>
      <c r="L1338" s="14" t="n">
        <v>8.56</v>
      </c>
      <c r="M1338" s="14" t="n">
        <v>8.1</v>
      </c>
      <c r="N1338" s="14" t="n">
        <v>0.92</v>
      </c>
      <c r="O1338" s="14" t="n">
        <v>2.14</v>
      </c>
      <c r="P1338" s="14" t="n">
        <v>0</v>
      </c>
      <c r="Q1338" s="14" t="n">
        <v>0.15</v>
      </c>
      <c r="R1338" s="14" t="n">
        <v>0</v>
      </c>
      <c r="S1338" s="14" t="n">
        <v>1.68</v>
      </c>
      <c r="T1338" s="14" t="n">
        <v>0.61</v>
      </c>
      <c r="U1338" s="14" t="n">
        <v>2.91</v>
      </c>
      <c r="V1338" s="14" t="n">
        <v>4.43</v>
      </c>
      <c r="W1338" s="14" t="n">
        <v>1.83</v>
      </c>
      <c r="X1338" s="14" t="n">
        <v>0</v>
      </c>
      <c r="Y1338" s="14" t="n">
        <v>0.92</v>
      </c>
      <c r="Z1338" s="14" t="n">
        <v>0.15</v>
      </c>
      <c r="AA1338" s="14" t="n">
        <v>0</v>
      </c>
    </row>
    <row r="1339">
      <c r="A1339" t="inlineStr">
        <is>
          <t>030609</t>
        </is>
      </c>
      <c r="B1339" t="inlineStr">
        <is>
          <t>APURIMAC</t>
        </is>
      </c>
      <c r="C1339" t="inlineStr">
        <is>
          <t>CHINCHEROS</t>
        </is>
      </c>
      <c r="D1339" t="inlineStr">
        <is>
          <t>ROCCHACC</t>
        </is>
      </c>
      <c r="E1339" t="n">
        <v>621</v>
      </c>
      <c r="F1339" s="14" t="n">
        <v>0</v>
      </c>
      <c r="G1339" s="14" t="n">
        <v>78.90000000000001</v>
      </c>
      <c r="H1339" s="14" t="n">
        <v>0</v>
      </c>
      <c r="I1339" s="14" t="n">
        <v>0.8100000000000001</v>
      </c>
      <c r="J1339" s="14" t="n">
        <v>0</v>
      </c>
      <c r="K1339" s="14" t="n">
        <v>0</v>
      </c>
      <c r="L1339" s="14" t="n">
        <v>2.9</v>
      </c>
      <c r="M1339" s="14" t="n">
        <v>2.58</v>
      </c>
      <c r="N1339" s="14" t="n">
        <v>1.45</v>
      </c>
      <c r="O1339" s="14" t="n">
        <v>1.61</v>
      </c>
      <c r="P1339" s="14" t="n">
        <v>0</v>
      </c>
      <c r="Q1339" s="14" t="n">
        <v>0</v>
      </c>
      <c r="R1339" s="14" t="n">
        <v>0</v>
      </c>
      <c r="S1339" s="14" t="n">
        <v>1.45</v>
      </c>
      <c r="T1339" s="14" t="n">
        <v>0.8100000000000001</v>
      </c>
      <c r="U1339" s="14" t="n">
        <v>0.8100000000000001</v>
      </c>
      <c r="V1339" s="14" t="n">
        <v>4.83</v>
      </c>
      <c r="W1339" s="14" t="n">
        <v>2.58</v>
      </c>
      <c r="X1339" s="14" t="n">
        <v>0</v>
      </c>
      <c r="Y1339" s="14" t="n">
        <v>1.13</v>
      </c>
      <c r="Z1339" s="14" t="n">
        <v>0.16</v>
      </c>
      <c r="AA1339" s="14" t="n">
        <v>0</v>
      </c>
    </row>
    <row r="1340">
      <c r="A1340" t="inlineStr">
        <is>
          <t>010110</t>
        </is>
      </c>
      <c r="B1340" t="inlineStr">
        <is>
          <t>AMAZONAS</t>
        </is>
      </c>
      <c r="C1340" t="inlineStr">
        <is>
          <t>CHACHAPOYAS</t>
        </is>
      </c>
      <c r="D1340" t="inlineStr">
        <is>
          <t>LEIMEBAMBA</t>
        </is>
      </c>
      <c r="E1340" t="n">
        <v>1330</v>
      </c>
      <c r="F1340" s="14" t="n">
        <v>0</v>
      </c>
      <c r="G1340" s="14" t="n">
        <v>50.45</v>
      </c>
      <c r="H1340" s="14" t="n">
        <v>0</v>
      </c>
      <c r="I1340" s="14" t="n">
        <v>3.23</v>
      </c>
      <c r="J1340" s="14" t="n">
        <v>0.15</v>
      </c>
      <c r="K1340" s="14" t="n">
        <v>0.08</v>
      </c>
      <c r="L1340" s="14" t="n">
        <v>7.44</v>
      </c>
      <c r="M1340" s="14" t="n">
        <v>10.53</v>
      </c>
      <c r="N1340" s="14" t="n">
        <v>3.31</v>
      </c>
      <c r="O1340" s="14" t="n">
        <v>4.14</v>
      </c>
      <c r="P1340" s="14" t="n">
        <v>0.23</v>
      </c>
      <c r="Q1340" s="14" t="n">
        <v>0.08</v>
      </c>
      <c r="R1340" s="14" t="n">
        <v>0.15</v>
      </c>
      <c r="S1340" s="14" t="n">
        <v>1.5</v>
      </c>
      <c r="T1340" s="14" t="n">
        <v>1.13</v>
      </c>
      <c r="U1340" s="14" t="n">
        <v>2.63</v>
      </c>
      <c r="V1340" s="14" t="n">
        <v>7.29</v>
      </c>
      <c r="W1340" s="14" t="n">
        <v>2.86</v>
      </c>
      <c r="X1340" s="14" t="n">
        <v>0.38</v>
      </c>
      <c r="Y1340" s="14" t="n">
        <v>1.5</v>
      </c>
      <c r="Z1340" s="14" t="n">
        <v>2.93</v>
      </c>
      <c r="AA1340" s="14" t="n">
        <v>0</v>
      </c>
    </row>
    <row r="1341">
      <c r="A1341" t="inlineStr">
        <is>
          <t>050704</t>
        </is>
      </c>
      <c r="B1341" t="inlineStr">
        <is>
          <t>AYACUCHO</t>
        </is>
      </c>
      <c r="C1341" t="inlineStr">
        <is>
          <t>PARINACOCHAS</t>
        </is>
      </c>
      <c r="D1341" t="inlineStr">
        <is>
          <t>PACAPAUSA</t>
        </is>
      </c>
      <c r="E1341" t="n">
        <v>246</v>
      </c>
      <c r="F1341" s="14" t="n">
        <v>0</v>
      </c>
      <c r="G1341" s="14" t="n">
        <v>74.8</v>
      </c>
      <c r="H1341" s="14" t="n">
        <v>0</v>
      </c>
      <c r="I1341" s="14" t="n">
        <v>2.44</v>
      </c>
      <c r="J1341" s="14" t="n">
        <v>0</v>
      </c>
      <c r="K1341" s="14" t="n">
        <v>0</v>
      </c>
      <c r="L1341" s="14" t="n">
        <v>3.25</v>
      </c>
      <c r="M1341" s="14" t="n">
        <v>2.44</v>
      </c>
      <c r="N1341" s="14" t="n">
        <v>0</v>
      </c>
      <c r="O1341" s="14" t="n">
        <v>1.22</v>
      </c>
      <c r="P1341" s="14" t="n">
        <v>0</v>
      </c>
      <c r="Q1341" s="14" t="n">
        <v>0</v>
      </c>
      <c r="R1341" s="14" t="n">
        <v>0</v>
      </c>
      <c r="S1341" s="14" t="n">
        <v>2.03</v>
      </c>
      <c r="T1341" s="14" t="n">
        <v>0</v>
      </c>
      <c r="U1341" s="14" t="n">
        <v>3.66</v>
      </c>
      <c r="V1341" s="14" t="n">
        <v>5.28</v>
      </c>
      <c r="W1341" s="14" t="n">
        <v>1.63</v>
      </c>
      <c r="X1341" s="14" t="n">
        <v>0.41</v>
      </c>
      <c r="Y1341" s="14" t="n">
        <v>0.8100000000000001</v>
      </c>
      <c r="Z1341" s="14" t="n">
        <v>2.03</v>
      </c>
      <c r="AA1341" s="14" t="n">
        <v>0</v>
      </c>
    </row>
    <row r="1342">
      <c r="A1342" t="inlineStr">
        <is>
          <t>060610</t>
        </is>
      </c>
      <c r="B1342" t="inlineStr">
        <is>
          <t>CAJAMARCA</t>
        </is>
      </c>
      <c r="C1342" t="inlineStr">
        <is>
          <t>CUTERVO</t>
        </is>
      </c>
      <c r="D1342" t="inlineStr">
        <is>
          <t>SAN LUIS DE LUCMA</t>
        </is>
      </c>
      <c r="E1342" t="n">
        <v>862</v>
      </c>
      <c r="F1342" s="14" t="n">
        <v>0</v>
      </c>
      <c r="G1342" s="14" t="n">
        <v>85.03</v>
      </c>
      <c r="H1342" s="14" t="n">
        <v>0</v>
      </c>
      <c r="I1342" s="14" t="n">
        <v>0.7</v>
      </c>
      <c r="J1342" s="14" t="n">
        <v>0</v>
      </c>
      <c r="K1342" s="14" t="n">
        <v>0</v>
      </c>
      <c r="L1342" s="14" t="n">
        <v>1.16</v>
      </c>
      <c r="M1342" s="14" t="n">
        <v>1.97</v>
      </c>
      <c r="N1342" s="14" t="n">
        <v>1.04</v>
      </c>
      <c r="O1342" s="14" t="n">
        <v>0.12</v>
      </c>
      <c r="P1342" s="14" t="n">
        <v>0</v>
      </c>
      <c r="Q1342" s="14" t="n">
        <v>0.12</v>
      </c>
      <c r="R1342" s="14" t="n">
        <v>0</v>
      </c>
      <c r="S1342" s="14" t="n">
        <v>0.46</v>
      </c>
      <c r="T1342" s="14" t="n">
        <v>0.12</v>
      </c>
      <c r="U1342" s="14" t="n">
        <v>2.32</v>
      </c>
      <c r="V1342" s="14" t="n">
        <v>4.52</v>
      </c>
      <c r="W1342" s="14" t="n">
        <v>2.09</v>
      </c>
      <c r="X1342" s="14" t="n">
        <v>0</v>
      </c>
      <c r="Y1342" s="14" t="n">
        <v>0.35</v>
      </c>
      <c r="Z1342" s="14" t="n">
        <v>0</v>
      </c>
      <c r="AA1342" s="14" t="n">
        <v>0</v>
      </c>
    </row>
    <row r="1343">
      <c r="A1343" t="inlineStr">
        <is>
          <t>010114</t>
        </is>
      </c>
      <c r="B1343" t="inlineStr">
        <is>
          <t>AMAZONAS</t>
        </is>
      </c>
      <c r="C1343" t="inlineStr">
        <is>
          <t>CHACHAPOYAS</t>
        </is>
      </c>
      <c r="D1343" t="inlineStr">
        <is>
          <t>MOLINOPAMPA</t>
        </is>
      </c>
      <c r="E1343" t="n">
        <v>876</v>
      </c>
      <c r="F1343" s="14" t="n">
        <v>0</v>
      </c>
      <c r="G1343" s="14" t="n">
        <v>73.29000000000001</v>
      </c>
      <c r="H1343" s="14" t="n">
        <v>0</v>
      </c>
      <c r="I1343" s="14" t="n">
        <v>1.48</v>
      </c>
      <c r="J1343" s="14" t="n">
        <v>0</v>
      </c>
      <c r="K1343" s="14" t="n">
        <v>0</v>
      </c>
      <c r="L1343" s="14" t="n">
        <v>4.22</v>
      </c>
      <c r="M1343" s="14" t="n">
        <v>4.57</v>
      </c>
      <c r="N1343" s="14" t="n">
        <v>2.4</v>
      </c>
      <c r="O1343" s="14" t="n">
        <v>1.71</v>
      </c>
      <c r="P1343" s="14" t="n">
        <v>0</v>
      </c>
      <c r="Q1343" s="14" t="n">
        <v>0</v>
      </c>
      <c r="R1343" s="14" t="n">
        <v>0</v>
      </c>
      <c r="S1343" s="14" t="n">
        <v>1.94</v>
      </c>
      <c r="T1343" s="14" t="n">
        <v>0.46</v>
      </c>
      <c r="U1343" s="14" t="n">
        <v>2.05</v>
      </c>
      <c r="V1343" s="14" t="n">
        <v>4.79</v>
      </c>
      <c r="W1343" s="14" t="n">
        <v>1.37</v>
      </c>
      <c r="X1343" s="14" t="n">
        <v>0</v>
      </c>
      <c r="Y1343" s="14" t="n">
        <v>0.46</v>
      </c>
      <c r="Z1343" s="14" t="n">
        <v>1.26</v>
      </c>
      <c r="AA1343" s="14" t="n">
        <v>0</v>
      </c>
    </row>
    <row r="1344">
      <c r="A1344" t="inlineStr">
        <is>
          <t>010508</t>
        </is>
      </c>
      <c r="B1344" t="inlineStr">
        <is>
          <t>AMAZONAS</t>
        </is>
      </c>
      <c r="C1344" t="inlineStr">
        <is>
          <t>LUYA</t>
        </is>
      </c>
      <c r="D1344" t="inlineStr">
        <is>
          <t>LONYA CHICO</t>
        </is>
      </c>
      <c r="E1344" t="n">
        <v>275</v>
      </c>
      <c r="F1344" s="14" t="n">
        <v>0</v>
      </c>
      <c r="G1344" s="14" t="n">
        <v>80.36</v>
      </c>
      <c r="H1344" s="14" t="n">
        <v>0</v>
      </c>
      <c r="I1344" s="14" t="n">
        <v>1.45</v>
      </c>
      <c r="J1344" s="14" t="n">
        <v>0</v>
      </c>
      <c r="K1344" s="14" t="n">
        <v>0</v>
      </c>
      <c r="L1344" s="14" t="n">
        <v>1.82</v>
      </c>
      <c r="M1344" s="14" t="n">
        <v>2.18</v>
      </c>
      <c r="N1344" s="14" t="n">
        <v>2.91</v>
      </c>
      <c r="O1344" s="14" t="n">
        <v>0</v>
      </c>
      <c r="P1344" s="14" t="n">
        <v>0</v>
      </c>
      <c r="Q1344" s="14" t="n">
        <v>0.36</v>
      </c>
      <c r="R1344" s="14" t="n">
        <v>0</v>
      </c>
      <c r="S1344" s="14" t="n">
        <v>0</v>
      </c>
      <c r="T1344" s="14" t="n">
        <v>0.36</v>
      </c>
      <c r="U1344" s="14" t="n">
        <v>2.18</v>
      </c>
      <c r="V1344" s="14" t="n">
        <v>4.73</v>
      </c>
      <c r="W1344" s="14" t="n">
        <v>0.73</v>
      </c>
      <c r="X1344" s="14" t="n">
        <v>0</v>
      </c>
      <c r="Y1344" s="14" t="n">
        <v>2.18</v>
      </c>
      <c r="Z1344" s="14" t="n">
        <v>0.73</v>
      </c>
      <c r="AA1344" s="14" t="n">
        <v>0</v>
      </c>
    </row>
    <row r="1345">
      <c r="A1345" t="inlineStr">
        <is>
          <t>060404</t>
        </is>
      </c>
      <c r="B1345" t="inlineStr">
        <is>
          <t>CAJAMARCA</t>
        </is>
      </c>
      <c r="C1345" t="inlineStr">
        <is>
          <t>CHOTA</t>
        </is>
      </c>
      <c r="D1345" t="inlineStr">
        <is>
          <t>CHIGUIRIP</t>
        </is>
      </c>
      <c r="E1345" t="n">
        <v>989</v>
      </c>
      <c r="F1345" s="14" t="n">
        <v>0</v>
      </c>
      <c r="G1345" s="14" t="n">
        <v>89.08</v>
      </c>
      <c r="H1345" s="14" t="n">
        <v>0.1</v>
      </c>
      <c r="I1345" s="14" t="n">
        <v>0.71</v>
      </c>
      <c r="J1345" s="14" t="n">
        <v>0.2</v>
      </c>
      <c r="K1345" s="14" t="n">
        <v>0</v>
      </c>
      <c r="L1345" s="14" t="n">
        <v>0.8100000000000001</v>
      </c>
      <c r="M1345" s="14" t="n">
        <v>2.02</v>
      </c>
      <c r="N1345" s="14" t="n">
        <v>0.71</v>
      </c>
      <c r="O1345" s="14" t="n">
        <v>0.51</v>
      </c>
      <c r="P1345" s="14" t="n">
        <v>0.1</v>
      </c>
      <c r="Q1345" s="14" t="n">
        <v>0</v>
      </c>
      <c r="R1345" s="14" t="n">
        <v>0</v>
      </c>
      <c r="S1345" s="14" t="n">
        <v>0</v>
      </c>
      <c r="T1345" s="14" t="n">
        <v>0</v>
      </c>
      <c r="U1345" s="14" t="n">
        <v>1.52</v>
      </c>
      <c r="V1345" s="14" t="n">
        <v>3.03</v>
      </c>
      <c r="W1345" s="14" t="n">
        <v>0.71</v>
      </c>
      <c r="X1345" s="14" t="n">
        <v>0</v>
      </c>
      <c r="Y1345" s="14" t="n">
        <v>0.4</v>
      </c>
      <c r="Z1345" s="14" t="n">
        <v>0.1</v>
      </c>
      <c r="AA1345" s="14" t="n">
        <v>0</v>
      </c>
    </row>
    <row r="1346">
      <c r="A1346" t="inlineStr">
        <is>
          <t>050301</t>
        </is>
      </c>
      <c r="B1346" t="inlineStr">
        <is>
          <t>AYACUCHO</t>
        </is>
      </c>
      <c r="C1346" t="inlineStr">
        <is>
          <t>HUANCA SANCOS</t>
        </is>
      </c>
      <c r="D1346" t="inlineStr">
        <is>
          <t>SANCOS</t>
        </is>
      </c>
      <c r="E1346" t="n">
        <v>1289</v>
      </c>
      <c r="F1346" s="14" t="n">
        <v>0</v>
      </c>
      <c r="G1346" s="14" t="n">
        <v>36</v>
      </c>
      <c r="H1346" s="14" t="n">
        <v>0.54</v>
      </c>
      <c r="I1346" s="14" t="n">
        <v>2.72</v>
      </c>
      <c r="J1346" s="14" t="n">
        <v>0.23</v>
      </c>
      <c r="K1346" s="14" t="n">
        <v>0</v>
      </c>
      <c r="L1346" s="14" t="n">
        <v>9.779999999999999</v>
      </c>
      <c r="M1346" s="14" t="n">
        <v>10.78</v>
      </c>
      <c r="N1346" s="14" t="n">
        <v>4.11</v>
      </c>
      <c r="O1346" s="14" t="n">
        <v>6.98</v>
      </c>
      <c r="P1346" s="14" t="n">
        <v>0.16</v>
      </c>
      <c r="Q1346" s="14" t="n">
        <v>0.47</v>
      </c>
      <c r="R1346" s="14" t="n">
        <v>0</v>
      </c>
      <c r="S1346" s="14" t="n">
        <v>3.26</v>
      </c>
      <c r="T1346" s="14" t="n">
        <v>1.09</v>
      </c>
      <c r="U1346" s="14" t="n">
        <v>7.21</v>
      </c>
      <c r="V1346" s="14" t="n">
        <v>10.01</v>
      </c>
      <c r="W1346" s="14" t="n">
        <v>3.8</v>
      </c>
      <c r="X1346" s="14" t="n">
        <v>0.16</v>
      </c>
      <c r="Y1346" s="14" t="n">
        <v>2.02</v>
      </c>
      <c r="Z1346" s="14" t="n">
        <v>0.7</v>
      </c>
      <c r="AA1346" s="14" t="n">
        <v>0</v>
      </c>
    </row>
    <row r="1347">
      <c r="A1347" t="inlineStr">
        <is>
          <t>050602</t>
        </is>
      </c>
      <c r="B1347" t="inlineStr">
        <is>
          <t>AYACUCHO</t>
        </is>
      </c>
      <c r="C1347" t="inlineStr">
        <is>
          <t>LUCANAS</t>
        </is>
      </c>
      <c r="D1347" t="inlineStr">
        <is>
          <t>AUCARA</t>
        </is>
      </c>
      <c r="E1347" t="n">
        <v>1231</v>
      </c>
      <c r="F1347" s="14" t="n">
        <v>0</v>
      </c>
      <c r="G1347" s="14" t="n">
        <v>65.06999999999999</v>
      </c>
      <c r="H1347" s="14" t="n">
        <v>0.16</v>
      </c>
      <c r="I1347" s="14" t="n">
        <v>1.46</v>
      </c>
      <c r="J1347" s="14" t="n">
        <v>0</v>
      </c>
      <c r="K1347" s="14" t="n">
        <v>0.08</v>
      </c>
      <c r="L1347" s="14" t="n">
        <v>6.42</v>
      </c>
      <c r="M1347" s="14" t="n">
        <v>9.83</v>
      </c>
      <c r="N1347" s="14" t="n">
        <v>2.11</v>
      </c>
      <c r="O1347" s="14" t="n">
        <v>2.27</v>
      </c>
      <c r="P1347" s="14" t="n">
        <v>0.08</v>
      </c>
      <c r="Q1347" s="14" t="n">
        <v>0.49</v>
      </c>
      <c r="R1347" s="14" t="n">
        <v>0</v>
      </c>
      <c r="S1347" s="14" t="n">
        <v>0.73</v>
      </c>
      <c r="T1347" s="14" t="n">
        <v>0.24</v>
      </c>
      <c r="U1347" s="14" t="n">
        <v>3.66</v>
      </c>
      <c r="V1347" s="14" t="n">
        <v>5.69</v>
      </c>
      <c r="W1347" s="14" t="n">
        <v>1.38</v>
      </c>
      <c r="X1347" s="14" t="n">
        <v>0</v>
      </c>
      <c r="Y1347" s="14" t="n">
        <v>0.24</v>
      </c>
      <c r="Z1347" s="14" t="n">
        <v>0.08</v>
      </c>
      <c r="AA1347" s="14" t="n">
        <v>0</v>
      </c>
    </row>
    <row r="1348">
      <c r="A1348" t="inlineStr">
        <is>
          <t>030714</t>
        </is>
      </c>
      <c r="B1348" t="inlineStr">
        <is>
          <t>APURIMAC</t>
        </is>
      </c>
      <c r="C1348" t="inlineStr">
        <is>
          <t>GRAU</t>
        </is>
      </c>
      <c r="D1348" t="inlineStr">
        <is>
          <t>CURASCO</t>
        </is>
      </c>
      <c r="E1348" t="n">
        <v>223</v>
      </c>
      <c r="F1348" s="14" t="n">
        <v>0</v>
      </c>
      <c r="G1348" s="14" t="n">
        <v>65.02</v>
      </c>
      <c r="H1348" s="14" t="n">
        <v>2.24</v>
      </c>
      <c r="I1348" s="14" t="n">
        <v>2.69</v>
      </c>
      <c r="J1348" s="14" t="n">
        <v>0.45</v>
      </c>
      <c r="K1348" s="14" t="n">
        <v>0</v>
      </c>
      <c r="L1348" s="14" t="n">
        <v>5.83</v>
      </c>
      <c r="M1348" s="14" t="n">
        <v>4.48</v>
      </c>
      <c r="N1348" s="14" t="n">
        <v>3.14</v>
      </c>
      <c r="O1348" s="14" t="n">
        <v>2.69</v>
      </c>
      <c r="P1348" s="14" t="n">
        <v>0</v>
      </c>
      <c r="Q1348" s="14" t="n">
        <v>0</v>
      </c>
      <c r="R1348" s="14" t="n">
        <v>0</v>
      </c>
      <c r="S1348" s="14" t="n">
        <v>0.45</v>
      </c>
      <c r="T1348" s="14" t="n">
        <v>0</v>
      </c>
      <c r="U1348" s="14" t="n">
        <v>5.83</v>
      </c>
      <c r="V1348" s="14" t="n">
        <v>4.93</v>
      </c>
      <c r="W1348" s="14" t="n">
        <v>1.35</v>
      </c>
      <c r="X1348" s="14" t="n">
        <v>0.9</v>
      </c>
      <c r="Y1348" s="14" t="n">
        <v>0</v>
      </c>
      <c r="Z1348" s="14" t="n">
        <v>0</v>
      </c>
      <c r="AA1348" s="14" t="n">
        <v>0</v>
      </c>
    </row>
    <row r="1349">
      <c r="A1349" t="inlineStr">
        <is>
          <t>061005</t>
        </is>
      </c>
      <c r="B1349" t="inlineStr">
        <is>
          <t>CAJAMARCA</t>
        </is>
      </c>
      <c r="C1349" t="inlineStr">
        <is>
          <t>SAN MARCOS</t>
        </is>
      </c>
      <c r="D1349" t="inlineStr">
        <is>
          <t>ICHOCAN</t>
        </is>
      </c>
      <c r="E1349" t="n">
        <v>595</v>
      </c>
      <c r="F1349" s="14" t="n">
        <v>0</v>
      </c>
      <c r="G1349" s="14" t="n">
        <v>54.12</v>
      </c>
      <c r="H1349" s="14" t="n">
        <v>0</v>
      </c>
      <c r="I1349" s="14" t="n">
        <v>2.35</v>
      </c>
      <c r="J1349" s="14" t="n">
        <v>0.17</v>
      </c>
      <c r="K1349" s="14" t="n">
        <v>0.5</v>
      </c>
      <c r="L1349" s="14" t="n">
        <v>4.71</v>
      </c>
      <c r="M1349" s="14" t="n">
        <v>8.57</v>
      </c>
      <c r="N1349" s="14" t="n">
        <v>3.36</v>
      </c>
      <c r="O1349" s="14" t="n">
        <v>1.51</v>
      </c>
      <c r="P1349" s="14" t="n">
        <v>0</v>
      </c>
      <c r="Q1349" s="14" t="n">
        <v>0.17</v>
      </c>
      <c r="R1349" s="14" t="n">
        <v>0</v>
      </c>
      <c r="S1349" s="14" t="n">
        <v>2.18</v>
      </c>
      <c r="T1349" s="14" t="n">
        <v>0.67</v>
      </c>
      <c r="U1349" s="14" t="n">
        <v>4.2</v>
      </c>
      <c r="V1349" s="14" t="n">
        <v>14.45</v>
      </c>
      <c r="W1349" s="14" t="n">
        <v>1.68</v>
      </c>
      <c r="X1349" s="14" t="n">
        <v>0</v>
      </c>
      <c r="Y1349" s="14" t="n">
        <v>0.34</v>
      </c>
      <c r="Z1349" s="14" t="n">
        <v>1.01</v>
      </c>
      <c r="AA1349" s="14" t="n">
        <v>0</v>
      </c>
    </row>
    <row r="1350">
      <c r="A1350" t="inlineStr">
        <is>
          <t>060109</t>
        </is>
      </c>
      <c r="B1350" t="inlineStr">
        <is>
          <t>CAJAMARCA</t>
        </is>
      </c>
      <c r="C1350" t="inlineStr">
        <is>
          <t>CAJAMARCA</t>
        </is>
      </c>
      <c r="D1350" t="inlineStr">
        <is>
          <t>MAGDALENA</t>
        </is>
      </c>
      <c r="E1350" t="n">
        <v>2631</v>
      </c>
      <c r="F1350" s="14" t="n">
        <v>0</v>
      </c>
      <c r="G1350" s="14" t="n">
        <v>67.54000000000001</v>
      </c>
      <c r="H1350" s="14" t="n">
        <v>0.08</v>
      </c>
      <c r="I1350" s="14" t="n">
        <v>2.55</v>
      </c>
      <c r="J1350" s="14" t="n">
        <v>0</v>
      </c>
      <c r="K1350" s="14" t="n">
        <v>0</v>
      </c>
      <c r="L1350" s="14" t="n">
        <v>4.33</v>
      </c>
      <c r="M1350" s="14" t="n">
        <v>8.779999999999999</v>
      </c>
      <c r="N1350" s="14" t="n">
        <v>4.48</v>
      </c>
      <c r="O1350" s="14" t="n">
        <v>3.34</v>
      </c>
      <c r="P1350" s="14" t="n">
        <v>0.11</v>
      </c>
      <c r="Q1350" s="14" t="n">
        <v>0.08</v>
      </c>
      <c r="R1350" s="14" t="n">
        <v>0</v>
      </c>
      <c r="S1350" s="14" t="n">
        <v>0.68</v>
      </c>
      <c r="T1350" s="14" t="n">
        <v>0.8</v>
      </c>
      <c r="U1350" s="14" t="n">
        <v>1.75</v>
      </c>
      <c r="V1350" s="14" t="n">
        <v>3.23</v>
      </c>
      <c r="W1350" s="14" t="n">
        <v>0.68</v>
      </c>
      <c r="X1350" s="14" t="n">
        <v>0.08</v>
      </c>
      <c r="Y1350" s="14" t="n">
        <v>0.99</v>
      </c>
      <c r="Z1350" s="14" t="n">
        <v>0.49</v>
      </c>
      <c r="AA1350" s="14" t="n">
        <v>0</v>
      </c>
    </row>
    <row r="1351">
      <c r="A1351" t="inlineStr">
        <is>
          <t>090724</t>
        </is>
      </c>
      <c r="B1351" t="inlineStr">
        <is>
          <t>HUANCAVELICA</t>
        </is>
      </c>
      <c r="C1351" t="inlineStr">
        <is>
          <t>TAYACAJA</t>
        </is>
      </c>
      <c r="D1351" t="inlineStr">
        <is>
          <t>LAMBRAS</t>
        </is>
      </c>
      <c r="E1351" t="n">
        <v>0</v>
      </c>
      <c r="F1351" s="14" t="n">
        <v>0</v>
      </c>
      <c r="G1351" s="14" t="n">
        <v>82.63</v>
      </c>
      <c r="H1351" s="14" t="n">
        <v>0</v>
      </c>
      <c r="I1351" s="14" t="n">
        <v>0.95</v>
      </c>
      <c r="J1351" s="14" t="n">
        <v>0</v>
      </c>
      <c r="K1351" s="14" t="n">
        <v>0</v>
      </c>
      <c r="L1351" s="14" t="n">
        <v>2.06</v>
      </c>
      <c r="M1351" s="14" t="n">
        <v>4.57</v>
      </c>
      <c r="N1351" s="14" t="n">
        <v>1.38</v>
      </c>
      <c r="O1351" s="14" t="n">
        <v>1.77</v>
      </c>
      <c r="P1351" s="14" t="n">
        <v>0</v>
      </c>
      <c r="Q1351" s="14" t="n">
        <v>0</v>
      </c>
      <c r="R1351" s="14" t="n">
        <v>0</v>
      </c>
      <c r="S1351" s="14" t="n">
        <v>0.44</v>
      </c>
      <c r="T1351" s="14" t="n">
        <v>0.3</v>
      </c>
      <c r="U1351" s="14" t="n">
        <v>2.45</v>
      </c>
      <c r="V1351" s="14" t="n">
        <v>1.8</v>
      </c>
      <c r="W1351" s="14" t="n">
        <v>1.08</v>
      </c>
      <c r="X1351" s="14" t="n">
        <v>0</v>
      </c>
      <c r="Y1351" s="14" t="n">
        <v>0.36</v>
      </c>
      <c r="Z1351" s="14" t="n">
        <v>0.21</v>
      </c>
      <c r="AA1351" s="14" t="n">
        <v>0</v>
      </c>
    </row>
    <row r="1352">
      <c r="A1352" t="inlineStr">
        <is>
          <t>061006</t>
        </is>
      </c>
      <c r="B1352" t="inlineStr">
        <is>
          <t>CAJAMARCA</t>
        </is>
      </c>
      <c r="C1352" t="inlineStr">
        <is>
          <t>SAN MARCOS</t>
        </is>
      </c>
      <c r="D1352" t="inlineStr">
        <is>
          <t>JOSE MANUEL QUIROZ</t>
        </is>
      </c>
      <c r="E1352" t="n">
        <v>632</v>
      </c>
      <c r="F1352" s="14" t="n">
        <v>0</v>
      </c>
      <c r="G1352" s="14" t="n">
        <v>85.44</v>
      </c>
      <c r="H1352" s="14" t="n">
        <v>0</v>
      </c>
      <c r="I1352" s="14" t="n">
        <v>2.06</v>
      </c>
      <c r="J1352" s="14" t="n">
        <v>0</v>
      </c>
      <c r="K1352" s="14" t="n">
        <v>0</v>
      </c>
      <c r="L1352" s="14" t="n">
        <v>2.06</v>
      </c>
      <c r="M1352" s="14" t="n">
        <v>1.74</v>
      </c>
      <c r="N1352" s="14" t="n">
        <v>0.32</v>
      </c>
      <c r="O1352" s="14" t="n">
        <v>0.63</v>
      </c>
      <c r="P1352" s="14" t="n">
        <v>0</v>
      </c>
      <c r="Q1352" s="14" t="n">
        <v>0</v>
      </c>
      <c r="R1352" s="14" t="n">
        <v>0</v>
      </c>
      <c r="S1352" s="14" t="n">
        <v>0.63</v>
      </c>
      <c r="T1352" s="14" t="n">
        <v>0.95</v>
      </c>
      <c r="U1352" s="14" t="n">
        <v>1.27</v>
      </c>
      <c r="V1352" s="14" t="n">
        <v>2.22</v>
      </c>
      <c r="W1352" s="14" t="n">
        <v>1.11</v>
      </c>
      <c r="X1352" s="14" t="n">
        <v>0</v>
      </c>
      <c r="Y1352" s="14" t="n">
        <v>0.63</v>
      </c>
      <c r="Z1352" s="14" t="n">
        <v>0.95</v>
      </c>
      <c r="AA1352" s="14" t="n">
        <v>0</v>
      </c>
    </row>
    <row r="1353">
      <c r="A1353" t="inlineStr">
        <is>
          <t>021009</t>
        </is>
      </c>
      <c r="B1353" t="inlineStr">
        <is>
          <t>ANCASH</t>
        </is>
      </c>
      <c r="C1353" t="inlineStr">
        <is>
          <t>HUARI</t>
        </is>
      </c>
      <c r="D1353" t="inlineStr">
        <is>
          <t>MASIN</t>
        </is>
      </c>
      <c r="E1353" t="n">
        <v>383</v>
      </c>
      <c r="F1353" s="14" t="n">
        <v>0</v>
      </c>
      <c r="G1353" s="14" t="n">
        <v>50.13</v>
      </c>
      <c r="H1353" s="14" t="n">
        <v>0</v>
      </c>
      <c r="I1353" s="14" t="n">
        <v>1.04</v>
      </c>
      <c r="J1353" s="14" t="n">
        <v>0</v>
      </c>
      <c r="K1353" s="14" t="n">
        <v>0</v>
      </c>
      <c r="L1353" s="14" t="n">
        <v>3.13</v>
      </c>
      <c r="M1353" s="14" t="n">
        <v>9.4</v>
      </c>
      <c r="N1353" s="14" t="n">
        <v>4.7</v>
      </c>
      <c r="O1353" s="14" t="n">
        <v>2.09</v>
      </c>
      <c r="P1353" s="14" t="n">
        <v>0</v>
      </c>
      <c r="Q1353" s="14" t="n">
        <v>0</v>
      </c>
      <c r="R1353" s="14" t="n">
        <v>0</v>
      </c>
      <c r="S1353" s="14" t="n">
        <v>3.39</v>
      </c>
      <c r="T1353" s="14" t="n">
        <v>2.09</v>
      </c>
      <c r="U1353" s="14" t="n">
        <v>7.05</v>
      </c>
      <c r="V1353" s="14" t="n">
        <v>10.97</v>
      </c>
      <c r="W1353" s="14" t="n">
        <v>2.87</v>
      </c>
      <c r="X1353" s="14" t="n">
        <v>0</v>
      </c>
      <c r="Y1353" s="14" t="n">
        <v>1.31</v>
      </c>
      <c r="Z1353" s="14" t="n">
        <v>1.83</v>
      </c>
      <c r="AA1353" s="14" t="n">
        <v>0</v>
      </c>
    </row>
    <row r="1354">
      <c r="A1354" t="inlineStr">
        <is>
          <t>021702</t>
        </is>
      </c>
      <c r="B1354" t="inlineStr">
        <is>
          <t>ANCASH</t>
        </is>
      </c>
      <c r="C1354" t="inlineStr">
        <is>
          <t>RECUAY</t>
        </is>
      </c>
      <c r="D1354" t="inlineStr">
        <is>
          <t>CATAC</t>
        </is>
      </c>
      <c r="E1354" t="n">
        <v>1119</v>
      </c>
      <c r="F1354" s="14" t="n">
        <v>0</v>
      </c>
      <c r="G1354" s="14" t="n">
        <v>25.65</v>
      </c>
      <c r="H1354" s="14" t="n">
        <v>2.23</v>
      </c>
      <c r="I1354" s="14" t="n">
        <v>3.31</v>
      </c>
      <c r="J1354" s="14" t="n">
        <v>0</v>
      </c>
      <c r="K1354" s="14" t="n">
        <v>0</v>
      </c>
      <c r="L1354" s="14" t="n">
        <v>8.85</v>
      </c>
      <c r="M1354" s="14" t="n">
        <v>15.64</v>
      </c>
      <c r="N1354" s="14" t="n">
        <v>12.33</v>
      </c>
      <c r="O1354" s="14" t="n">
        <v>5.9</v>
      </c>
      <c r="P1354" s="14" t="n">
        <v>0.36</v>
      </c>
      <c r="Q1354" s="14" t="n">
        <v>0.18</v>
      </c>
      <c r="R1354" s="14" t="n">
        <v>0</v>
      </c>
      <c r="S1354" s="14" t="n">
        <v>4.38</v>
      </c>
      <c r="T1354" s="14" t="n">
        <v>2.14</v>
      </c>
      <c r="U1354" s="14" t="n">
        <v>4.74</v>
      </c>
      <c r="V1354" s="14" t="n">
        <v>5.81</v>
      </c>
      <c r="W1354" s="14" t="n">
        <v>1.7</v>
      </c>
      <c r="X1354" s="14" t="n">
        <v>0.8</v>
      </c>
      <c r="Y1354" s="14" t="n">
        <v>3.75</v>
      </c>
      <c r="Z1354" s="14" t="n">
        <v>2.23</v>
      </c>
      <c r="AA1354" s="14" t="n">
        <v>0</v>
      </c>
    </row>
    <row r="1355">
      <c r="A1355" t="inlineStr">
        <is>
          <t>010507</t>
        </is>
      </c>
      <c r="B1355" t="inlineStr">
        <is>
          <t>AMAZONAS</t>
        </is>
      </c>
      <c r="C1355" t="inlineStr">
        <is>
          <t>LUYA</t>
        </is>
      </c>
      <c r="D1355" t="inlineStr">
        <is>
          <t>LONGUITA</t>
        </is>
      </c>
      <c r="E1355" t="n">
        <v>295</v>
      </c>
      <c r="F1355" s="14" t="n">
        <v>0</v>
      </c>
      <c r="G1355" s="14" t="n">
        <v>87.12</v>
      </c>
      <c r="H1355" s="14" t="n">
        <v>0</v>
      </c>
      <c r="I1355" s="14" t="n">
        <v>0.34</v>
      </c>
      <c r="J1355" s="14" t="n">
        <v>0</v>
      </c>
      <c r="K1355" s="14" t="n">
        <v>0</v>
      </c>
      <c r="L1355" s="14" t="n">
        <v>0.34</v>
      </c>
      <c r="M1355" s="14" t="n">
        <v>4.75</v>
      </c>
      <c r="N1355" s="14" t="n">
        <v>1.36</v>
      </c>
      <c r="O1355" s="14" t="n">
        <v>0.34</v>
      </c>
      <c r="P1355" s="14" t="n">
        <v>0</v>
      </c>
      <c r="Q1355" s="14" t="n">
        <v>0</v>
      </c>
      <c r="R1355" s="14" t="n">
        <v>0</v>
      </c>
      <c r="S1355" s="14" t="n">
        <v>0.68</v>
      </c>
      <c r="T1355" s="14" t="n">
        <v>0</v>
      </c>
      <c r="U1355" s="14" t="n">
        <v>3.05</v>
      </c>
      <c r="V1355" s="14" t="n">
        <v>1.02</v>
      </c>
      <c r="W1355" s="14" t="n">
        <v>0.34</v>
      </c>
      <c r="X1355" s="14" t="n">
        <v>0</v>
      </c>
      <c r="Y1355" s="14" t="n">
        <v>0.34</v>
      </c>
      <c r="Z1355" s="14" t="n">
        <v>0.34</v>
      </c>
      <c r="AA1355" s="14" t="n">
        <v>0</v>
      </c>
    </row>
    <row r="1356">
      <c r="A1356" t="inlineStr">
        <is>
          <t>021308</t>
        </is>
      </c>
      <c r="B1356" t="inlineStr">
        <is>
          <t>ANCASH</t>
        </is>
      </c>
      <c r="C1356" t="inlineStr">
        <is>
          <t>MARISCAL LUZURIAGA</t>
        </is>
      </c>
      <c r="D1356" t="inlineStr">
        <is>
          <t>MUSGA</t>
        </is>
      </c>
      <c r="E1356" t="n">
        <v>171</v>
      </c>
      <c r="F1356" s="14" t="n">
        <v>0</v>
      </c>
      <c r="G1356" s="14" t="n">
        <v>33.33</v>
      </c>
      <c r="H1356" s="14" t="n">
        <v>0</v>
      </c>
      <c r="I1356" s="14" t="n">
        <v>0.58</v>
      </c>
      <c r="J1356" s="14" t="n">
        <v>0</v>
      </c>
      <c r="K1356" s="14" t="n">
        <v>0</v>
      </c>
      <c r="L1356" s="14" t="n">
        <v>9.94</v>
      </c>
      <c r="M1356" s="14" t="n">
        <v>2.34</v>
      </c>
      <c r="N1356" s="14" t="n">
        <v>1.75</v>
      </c>
      <c r="O1356" s="14" t="n">
        <v>0.58</v>
      </c>
      <c r="P1356" s="14" t="n">
        <v>0.58</v>
      </c>
      <c r="Q1356" s="14" t="n">
        <v>0</v>
      </c>
      <c r="R1356" s="14" t="n">
        <v>0</v>
      </c>
      <c r="S1356" s="14" t="n">
        <v>0.58</v>
      </c>
      <c r="T1356" s="14" t="n">
        <v>0.58</v>
      </c>
      <c r="U1356" s="14" t="n">
        <v>8.19</v>
      </c>
      <c r="V1356" s="14" t="n">
        <v>34.5</v>
      </c>
      <c r="W1356" s="14" t="n">
        <v>5.26</v>
      </c>
      <c r="X1356" s="14" t="n">
        <v>0</v>
      </c>
      <c r="Y1356" s="14" t="n">
        <v>1.17</v>
      </c>
      <c r="Z1356" s="14" t="n">
        <v>0.58</v>
      </c>
      <c r="AA1356" s="14" t="n">
        <v>0</v>
      </c>
    </row>
    <row r="1357">
      <c r="A1357" t="inlineStr">
        <is>
          <t>010401</t>
        </is>
      </c>
      <c r="B1357" t="inlineStr">
        <is>
          <t>AMAZONAS</t>
        </is>
      </c>
      <c r="C1357" t="inlineStr">
        <is>
          <t>CONDORCANQUI</t>
        </is>
      </c>
      <c r="D1357" t="inlineStr">
        <is>
          <t>NIEVA</t>
        </is>
      </c>
      <c r="E1357" t="n">
        <v>4338</v>
      </c>
      <c r="F1357" s="14" t="n">
        <v>0</v>
      </c>
      <c r="G1357" s="14" t="n">
        <v>53.71</v>
      </c>
      <c r="H1357" s="14" t="n">
        <v>0</v>
      </c>
      <c r="I1357" s="14" t="n">
        <v>2.65</v>
      </c>
      <c r="J1357" s="14" t="n">
        <v>0.02</v>
      </c>
      <c r="K1357" s="14" t="n">
        <v>0.05</v>
      </c>
      <c r="L1357" s="14" t="n">
        <v>3.48</v>
      </c>
      <c r="M1357" s="14" t="n">
        <v>10.56</v>
      </c>
      <c r="N1357" s="14" t="n">
        <v>3.43</v>
      </c>
      <c r="O1357" s="14" t="n">
        <v>3.11</v>
      </c>
      <c r="P1357" s="14" t="n">
        <v>0.14</v>
      </c>
      <c r="Q1357" s="14" t="n">
        <v>0.16</v>
      </c>
      <c r="R1357" s="14" t="n">
        <v>0</v>
      </c>
      <c r="S1357" s="14" t="n">
        <v>2.24</v>
      </c>
      <c r="T1357" s="14" t="n">
        <v>0.88</v>
      </c>
      <c r="U1357" s="14" t="n">
        <v>5.33</v>
      </c>
      <c r="V1357" s="14" t="n">
        <v>9.800000000000001</v>
      </c>
      <c r="W1357" s="14" t="n">
        <v>2.47</v>
      </c>
      <c r="X1357" s="14" t="n">
        <v>0.21</v>
      </c>
      <c r="Y1357" s="14" t="n">
        <v>0.76</v>
      </c>
      <c r="Z1357" s="14" t="n">
        <v>1.01</v>
      </c>
      <c r="AA1357" s="14" t="n">
        <v>0</v>
      </c>
    </row>
    <row r="1358">
      <c r="A1358" t="inlineStr">
        <is>
          <t>050607</t>
        </is>
      </c>
      <c r="B1358" t="inlineStr">
        <is>
          <t>AYACUCHO</t>
        </is>
      </c>
      <c r="C1358" t="inlineStr">
        <is>
          <t>LUCANAS</t>
        </is>
      </c>
      <c r="D1358" t="inlineStr">
        <is>
          <t>HUAC-HUAS</t>
        </is>
      </c>
      <c r="E1358" t="n">
        <v>635</v>
      </c>
      <c r="F1358" s="14" t="n">
        <v>0</v>
      </c>
      <c r="G1358" s="14" t="n">
        <v>84.25</v>
      </c>
      <c r="H1358" s="14" t="n">
        <v>2.2</v>
      </c>
      <c r="I1358" s="14" t="n">
        <v>0</v>
      </c>
      <c r="J1358" s="14" t="n">
        <v>0</v>
      </c>
      <c r="K1358" s="14" t="n">
        <v>0</v>
      </c>
      <c r="L1358" s="14" t="n">
        <v>1.1</v>
      </c>
      <c r="M1358" s="14" t="n">
        <v>2.36</v>
      </c>
      <c r="N1358" s="14" t="n">
        <v>1.26</v>
      </c>
      <c r="O1358" s="14" t="n">
        <v>1.73</v>
      </c>
      <c r="P1358" s="14" t="n">
        <v>0</v>
      </c>
      <c r="Q1358" s="14" t="n">
        <v>0</v>
      </c>
      <c r="R1358" s="14" t="n">
        <v>0</v>
      </c>
      <c r="S1358" s="14" t="n">
        <v>0.63</v>
      </c>
      <c r="T1358" s="14" t="n">
        <v>0.16</v>
      </c>
      <c r="U1358" s="14" t="n">
        <v>1.26</v>
      </c>
      <c r="V1358" s="14" t="n">
        <v>3.62</v>
      </c>
      <c r="W1358" s="14" t="n">
        <v>0.63</v>
      </c>
      <c r="X1358" s="14" t="n">
        <v>0</v>
      </c>
      <c r="Y1358" s="14" t="n">
        <v>0.16</v>
      </c>
      <c r="Z1358" s="14" t="n">
        <v>0.63</v>
      </c>
      <c r="AA1358" s="14" t="n">
        <v>0</v>
      </c>
    </row>
    <row r="1359">
      <c r="A1359" t="inlineStr">
        <is>
          <t>021506</t>
        </is>
      </c>
      <c r="B1359" t="inlineStr">
        <is>
          <t>ANCASH</t>
        </is>
      </c>
      <c r="C1359" t="inlineStr">
        <is>
          <t>PALLASCA</t>
        </is>
      </c>
      <c r="D1359" t="inlineStr">
        <is>
          <t>LACABAMBA</t>
        </is>
      </c>
      <c r="E1359" t="n">
        <v>148</v>
      </c>
      <c r="F1359" s="14" t="n">
        <v>0</v>
      </c>
      <c r="G1359" s="14" t="n">
        <v>70.27</v>
      </c>
      <c r="H1359" s="14" t="n">
        <v>0</v>
      </c>
      <c r="I1359" s="14" t="n">
        <v>1.35</v>
      </c>
      <c r="J1359" s="14" t="n">
        <v>0</v>
      </c>
      <c r="K1359" s="14" t="n">
        <v>0</v>
      </c>
      <c r="L1359" s="14" t="n">
        <v>2.7</v>
      </c>
      <c r="M1359" s="14" t="n">
        <v>4.05</v>
      </c>
      <c r="N1359" s="14" t="n">
        <v>0.68</v>
      </c>
      <c r="O1359" s="14" t="n">
        <v>0</v>
      </c>
      <c r="P1359" s="14" t="n">
        <v>0</v>
      </c>
      <c r="Q1359" s="14" t="n">
        <v>0</v>
      </c>
      <c r="R1359" s="14" t="n">
        <v>0</v>
      </c>
      <c r="S1359" s="14" t="n">
        <v>0.68</v>
      </c>
      <c r="T1359" s="14" t="n">
        <v>1.35</v>
      </c>
      <c r="U1359" s="14" t="n">
        <v>5.41</v>
      </c>
      <c r="V1359" s="14" t="n">
        <v>11.49</v>
      </c>
      <c r="W1359" s="14" t="n">
        <v>1.35</v>
      </c>
      <c r="X1359" s="14" t="n">
        <v>0.68</v>
      </c>
      <c r="Y1359" s="14" t="n">
        <v>0</v>
      </c>
      <c r="Z1359" s="14" t="n">
        <v>0</v>
      </c>
      <c r="AA1359" s="14" t="n">
        <v>0</v>
      </c>
    </row>
    <row r="1360">
      <c r="A1360" t="inlineStr">
        <is>
          <t>050104</t>
        </is>
      </c>
      <c r="B1360" t="inlineStr">
        <is>
          <t>AYACUCHO</t>
        </is>
      </c>
      <c r="C1360" t="inlineStr">
        <is>
          <t>HUAMANGA</t>
        </is>
      </c>
      <c r="D1360" t="inlineStr">
        <is>
          <t>CARMEN ALTO</t>
        </is>
      </c>
      <c r="E1360" t="n">
        <v>11009</v>
      </c>
      <c r="F1360" s="14" t="n">
        <v>0</v>
      </c>
      <c r="G1360" s="14" t="n">
        <v>11.25</v>
      </c>
      <c r="H1360" s="14" t="n">
        <v>0.23</v>
      </c>
      <c r="I1360" s="14" t="n">
        <v>5.25</v>
      </c>
      <c r="J1360" s="14" t="n">
        <v>0.06</v>
      </c>
      <c r="K1360" s="14" t="n">
        <v>0.16</v>
      </c>
      <c r="L1360" s="14" t="n">
        <v>11.87</v>
      </c>
      <c r="M1360" s="14" t="n">
        <v>22.94</v>
      </c>
      <c r="N1360" s="14" t="n">
        <v>10.56</v>
      </c>
      <c r="O1360" s="14" t="n">
        <v>8.58</v>
      </c>
      <c r="P1360" s="14" t="n">
        <v>0.64</v>
      </c>
      <c r="Q1360" s="14" t="n">
        <v>0.6899999999999999</v>
      </c>
      <c r="R1360" s="14" t="n">
        <v>0.02</v>
      </c>
      <c r="S1360" s="14" t="n">
        <v>4.98</v>
      </c>
      <c r="T1360" s="14" t="n">
        <v>2.61</v>
      </c>
      <c r="U1360" s="14" t="n">
        <v>4.31</v>
      </c>
      <c r="V1360" s="14" t="n">
        <v>7.91</v>
      </c>
      <c r="W1360" s="14" t="n">
        <v>2.41</v>
      </c>
      <c r="X1360" s="14" t="n">
        <v>1.02</v>
      </c>
      <c r="Y1360" s="14" t="n">
        <v>3.5</v>
      </c>
      <c r="Z1360" s="14" t="n">
        <v>1</v>
      </c>
      <c r="AA1360" s="14" t="n">
        <v>0.01</v>
      </c>
    </row>
    <row r="1361">
      <c r="A1361" t="inlineStr">
        <is>
          <t>050808</t>
        </is>
      </c>
      <c r="B1361" t="inlineStr">
        <is>
          <t>AYACUCHO</t>
        </is>
      </c>
      <c r="C1361" t="inlineStr">
        <is>
          <t>PAUCAR DEL SARA SARA</t>
        </is>
      </c>
      <c r="D1361" t="inlineStr">
        <is>
          <t>SAN JAVIER DE ALPABAMBA</t>
        </is>
      </c>
      <c r="E1361" t="n">
        <v>133</v>
      </c>
      <c r="F1361" s="14" t="n">
        <v>0</v>
      </c>
      <c r="G1361" s="14" t="n">
        <v>68.42</v>
      </c>
      <c r="H1361" s="14" t="n">
        <v>3.76</v>
      </c>
      <c r="I1361" s="14" t="n">
        <v>1.5</v>
      </c>
      <c r="J1361" s="14" t="n">
        <v>0</v>
      </c>
      <c r="K1361" s="14" t="n">
        <v>0</v>
      </c>
      <c r="L1361" s="14" t="n">
        <v>3.76</v>
      </c>
      <c r="M1361" s="14" t="n">
        <v>3.76</v>
      </c>
      <c r="N1361" s="14" t="n">
        <v>0.75</v>
      </c>
      <c r="O1361" s="14" t="n">
        <v>2.26</v>
      </c>
      <c r="P1361" s="14" t="n">
        <v>0.75</v>
      </c>
      <c r="Q1361" s="14" t="n">
        <v>0</v>
      </c>
      <c r="R1361" s="14" t="n">
        <v>0</v>
      </c>
      <c r="S1361" s="14" t="n">
        <v>0</v>
      </c>
      <c r="T1361" s="14" t="n">
        <v>0.75</v>
      </c>
      <c r="U1361" s="14" t="n">
        <v>6.02</v>
      </c>
      <c r="V1361" s="14" t="n">
        <v>6.02</v>
      </c>
      <c r="W1361" s="14" t="n">
        <v>1.5</v>
      </c>
      <c r="X1361" s="14" t="n">
        <v>0</v>
      </c>
      <c r="Y1361" s="14" t="n">
        <v>0</v>
      </c>
      <c r="Z1361" s="14" t="n">
        <v>0.75</v>
      </c>
      <c r="AA1361" s="14" t="n">
        <v>0</v>
      </c>
    </row>
    <row r="1362">
      <c r="A1362" t="inlineStr">
        <is>
          <t>020609</t>
        </is>
      </c>
      <c r="B1362" t="inlineStr">
        <is>
          <t>ANCASH</t>
        </is>
      </c>
      <c r="C1362" t="inlineStr">
        <is>
          <t>CARHUAZ</t>
        </is>
      </c>
      <c r="D1362" t="inlineStr">
        <is>
          <t>SHILLA</t>
        </is>
      </c>
      <c r="E1362" t="n">
        <v>913</v>
      </c>
      <c r="F1362" s="14" t="n">
        <v>0</v>
      </c>
      <c r="G1362" s="14" t="n">
        <v>83.02</v>
      </c>
      <c r="H1362" s="14" t="n">
        <v>0.22</v>
      </c>
      <c r="I1362" s="14" t="n">
        <v>1.97</v>
      </c>
      <c r="J1362" s="14" t="n">
        <v>0</v>
      </c>
      <c r="K1362" s="14" t="n">
        <v>0</v>
      </c>
      <c r="L1362" s="14" t="n">
        <v>2.08</v>
      </c>
      <c r="M1362" s="14" t="n">
        <v>3.5</v>
      </c>
      <c r="N1362" s="14" t="n">
        <v>1.64</v>
      </c>
      <c r="O1362" s="14" t="n">
        <v>0.88</v>
      </c>
      <c r="P1362" s="14" t="n">
        <v>0</v>
      </c>
      <c r="Q1362" s="14" t="n">
        <v>0</v>
      </c>
      <c r="R1362" s="14" t="n">
        <v>0</v>
      </c>
      <c r="S1362" s="14" t="n">
        <v>0.33</v>
      </c>
      <c r="T1362" s="14" t="n">
        <v>0</v>
      </c>
      <c r="U1362" s="14" t="n">
        <v>2.85</v>
      </c>
      <c r="V1362" s="14" t="n">
        <v>2.52</v>
      </c>
      <c r="W1362" s="14" t="n">
        <v>0.22</v>
      </c>
      <c r="X1362" s="14" t="n">
        <v>0.22</v>
      </c>
      <c r="Y1362" s="14" t="n">
        <v>0.55</v>
      </c>
      <c r="Z1362" s="14" t="n">
        <v>0</v>
      </c>
      <c r="AA1362" s="14" t="n">
        <v>0</v>
      </c>
    </row>
    <row r="1363">
      <c r="A1363" t="inlineStr">
        <is>
          <t>081106</t>
        </is>
      </c>
      <c r="B1363" t="inlineStr">
        <is>
          <t>CUSCO</t>
        </is>
      </c>
      <c r="C1363" t="inlineStr">
        <is>
          <t>PAUCARTAMBO</t>
        </is>
      </c>
      <c r="D1363" t="inlineStr">
        <is>
          <t>KOSÑIPATA</t>
        </is>
      </c>
      <c r="E1363" t="n">
        <v>1700</v>
      </c>
      <c r="F1363" s="14" t="n">
        <v>0</v>
      </c>
      <c r="G1363" s="14" t="n">
        <v>65</v>
      </c>
      <c r="H1363" s="14" t="n">
        <v>0.35</v>
      </c>
      <c r="I1363" s="14" t="n">
        <v>1.82</v>
      </c>
      <c r="J1363" s="14" t="n">
        <v>0</v>
      </c>
      <c r="K1363" s="14" t="n">
        <v>0</v>
      </c>
      <c r="L1363" s="14" t="n">
        <v>3.65</v>
      </c>
      <c r="M1363" s="14" t="n">
        <v>13.06</v>
      </c>
      <c r="N1363" s="14" t="n">
        <v>2.18</v>
      </c>
      <c r="O1363" s="14" t="n">
        <v>3.71</v>
      </c>
      <c r="P1363" s="14" t="n">
        <v>0.12</v>
      </c>
      <c r="Q1363" s="14" t="n">
        <v>0</v>
      </c>
      <c r="R1363" s="14" t="n">
        <v>0</v>
      </c>
      <c r="S1363" s="14" t="n">
        <v>1.35</v>
      </c>
      <c r="T1363" s="14" t="n">
        <v>1.29</v>
      </c>
      <c r="U1363" s="14" t="n">
        <v>2.53</v>
      </c>
      <c r="V1363" s="14" t="n">
        <v>2.29</v>
      </c>
      <c r="W1363" s="14" t="n">
        <v>0.59</v>
      </c>
      <c r="X1363" s="14" t="n">
        <v>0.12</v>
      </c>
      <c r="Y1363" s="14" t="n">
        <v>1.53</v>
      </c>
      <c r="Z1363" s="14" t="n">
        <v>0.41</v>
      </c>
      <c r="AA1363" s="14" t="n">
        <v>0</v>
      </c>
    </row>
    <row r="1364">
      <c r="A1364" t="inlineStr">
        <is>
          <t>030703</t>
        </is>
      </c>
      <c r="B1364" t="inlineStr">
        <is>
          <t>APURIMAC</t>
        </is>
      </c>
      <c r="C1364" t="inlineStr">
        <is>
          <t>GRAU</t>
        </is>
      </c>
      <c r="D1364" t="inlineStr">
        <is>
          <t>GAMARRA</t>
        </is>
      </c>
      <c r="E1364" t="n">
        <v>708</v>
      </c>
      <c r="F1364" s="14" t="n">
        <v>0</v>
      </c>
      <c r="G1364" s="14" t="n">
        <v>81.92</v>
      </c>
      <c r="H1364" s="14" t="n">
        <v>0.28</v>
      </c>
      <c r="I1364" s="14" t="n">
        <v>0.14</v>
      </c>
      <c r="J1364" s="14" t="n">
        <v>0.14</v>
      </c>
      <c r="K1364" s="14" t="n">
        <v>0</v>
      </c>
      <c r="L1364" s="14" t="n">
        <v>0.42</v>
      </c>
      <c r="M1364" s="14" t="n">
        <v>6.64</v>
      </c>
      <c r="N1364" s="14" t="n">
        <v>0.5600000000000001</v>
      </c>
      <c r="O1364" s="14" t="n">
        <v>0.5600000000000001</v>
      </c>
      <c r="P1364" s="14" t="n">
        <v>0</v>
      </c>
      <c r="Q1364" s="14" t="n">
        <v>0</v>
      </c>
      <c r="R1364" s="14" t="n">
        <v>0</v>
      </c>
      <c r="S1364" s="14" t="n">
        <v>0.28</v>
      </c>
      <c r="T1364" s="14" t="n">
        <v>0.14</v>
      </c>
      <c r="U1364" s="14" t="n">
        <v>2.12</v>
      </c>
      <c r="V1364" s="14" t="n">
        <v>4.66</v>
      </c>
      <c r="W1364" s="14" t="n">
        <v>1.84</v>
      </c>
      <c r="X1364" s="14" t="n">
        <v>0</v>
      </c>
      <c r="Y1364" s="14" t="n">
        <v>0.14</v>
      </c>
      <c r="Z1364" s="14" t="n">
        <v>0.14</v>
      </c>
      <c r="AA1364" s="14" t="n">
        <v>0</v>
      </c>
    </row>
    <row r="1365">
      <c r="A1365" t="inlineStr">
        <is>
          <t>081304</t>
        </is>
      </c>
      <c r="B1365" t="inlineStr">
        <is>
          <t>CUSCO</t>
        </is>
      </c>
      <c r="C1365" t="inlineStr">
        <is>
          <t>URUBAMBA</t>
        </is>
      </c>
      <c r="D1365" t="inlineStr">
        <is>
          <t>MACHUPICCHU</t>
        </is>
      </c>
      <c r="E1365" t="n">
        <v>3578</v>
      </c>
      <c r="F1365" s="14" t="n">
        <v>0</v>
      </c>
      <c r="G1365" s="14" t="n">
        <v>3.66</v>
      </c>
      <c r="H1365" s="14" t="n">
        <v>0.17</v>
      </c>
      <c r="I1365" s="14" t="n">
        <v>3.02</v>
      </c>
      <c r="J1365" s="14" t="n">
        <v>0.78</v>
      </c>
      <c r="K1365" s="14" t="n">
        <v>0.14</v>
      </c>
      <c r="L1365" s="14" t="n">
        <v>5.67</v>
      </c>
      <c r="M1365" s="14" t="n">
        <v>13.16</v>
      </c>
      <c r="N1365" s="14" t="n">
        <v>3.52</v>
      </c>
      <c r="O1365" s="14" t="n">
        <v>33.71</v>
      </c>
      <c r="P1365" s="14" t="n">
        <v>0.34</v>
      </c>
      <c r="Q1365" s="14" t="n">
        <v>0.48</v>
      </c>
      <c r="R1365" s="14" t="n">
        <v>0.06</v>
      </c>
      <c r="S1365" s="14" t="n">
        <v>3.61</v>
      </c>
      <c r="T1365" s="14" t="n">
        <v>15.26</v>
      </c>
      <c r="U1365" s="14" t="n">
        <v>8.66</v>
      </c>
      <c r="V1365" s="14" t="n">
        <v>1.62</v>
      </c>
      <c r="W1365" s="14" t="n">
        <v>1.2</v>
      </c>
      <c r="X1365" s="14" t="n">
        <v>1.4</v>
      </c>
      <c r="Y1365" s="14" t="n">
        <v>2.88</v>
      </c>
      <c r="Z1365" s="14" t="n">
        <v>0.67</v>
      </c>
      <c r="AA1365" s="14" t="n">
        <v>0</v>
      </c>
    </row>
    <row r="1366">
      <c r="A1366" t="inlineStr">
        <is>
          <t>080707</t>
        </is>
      </c>
      <c r="B1366" t="inlineStr">
        <is>
          <t>CUSCO</t>
        </is>
      </c>
      <c r="C1366" t="inlineStr">
        <is>
          <t>CHUMBIVILCAS</t>
        </is>
      </c>
      <c r="D1366" t="inlineStr">
        <is>
          <t>QUIÑOTA</t>
        </is>
      </c>
      <c r="E1366" t="n">
        <v>1031</v>
      </c>
      <c r="F1366" s="14" t="n">
        <v>0</v>
      </c>
      <c r="G1366" s="14" t="n">
        <v>79.23999999999999</v>
      </c>
      <c r="H1366" s="14" t="n">
        <v>0.48</v>
      </c>
      <c r="I1366" s="14" t="n">
        <v>0.68</v>
      </c>
      <c r="J1366" s="14" t="n">
        <v>0</v>
      </c>
      <c r="K1366" s="14" t="n">
        <v>0</v>
      </c>
      <c r="L1366" s="14" t="n">
        <v>2.52</v>
      </c>
      <c r="M1366" s="14" t="n">
        <v>5.53</v>
      </c>
      <c r="N1366" s="14" t="n">
        <v>1.07</v>
      </c>
      <c r="O1366" s="14" t="n">
        <v>2.23</v>
      </c>
      <c r="P1366" s="14" t="n">
        <v>0</v>
      </c>
      <c r="Q1366" s="14" t="n">
        <v>0</v>
      </c>
      <c r="R1366" s="14" t="n">
        <v>0</v>
      </c>
      <c r="S1366" s="14" t="n">
        <v>0.58</v>
      </c>
      <c r="T1366" s="14" t="n">
        <v>0.29</v>
      </c>
      <c r="U1366" s="14" t="n">
        <v>0.87</v>
      </c>
      <c r="V1366" s="14" t="n">
        <v>4.46</v>
      </c>
      <c r="W1366" s="14" t="n">
        <v>0.97</v>
      </c>
      <c r="X1366" s="14" t="n">
        <v>0.1</v>
      </c>
      <c r="Y1366" s="14" t="n">
        <v>0.97</v>
      </c>
      <c r="Z1366" s="14" t="n">
        <v>0</v>
      </c>
      <c r="AA1366" s="14" t="n">
        <v>0</v>
      </c>
    </row>
    <row r="1367">
      <c r="A1367" t="inlineStr">
        <is>
          <t>021710</t>
        </is>
      </c>
      <c r="B1367" t="inlineStr">
        <is>
          <t>ANCASH</t>
        </is>
      </c>
      <c r="C1367" t="inlineStr">
        <is>
          <t>RECUAY</t>
        </is>
      </c>
      <c r="D1367" t="inlineStr">
        <is>
          <t>TICAPAMPA</t>
        </is>
      </c>
      <c r="E1367" t="n">
        <v>740</v>
      </c>
      <c r="F1367" s="14" t="n">
        <v>0</v>
      </c>
      <c r="G1367" s="14" t="n">
        <v>24.73</v>
      </c>
      <c r="H1367" s="14" t="n">
        <v>7.97</v>
      </c>
      <c r="I1367" s="14" t="n">
        <v>4.32</v>
      </c>
      <c r="J1367" s="14" t="n">
        <v>0</v>
      </c>
      <c r="K1367" s="14" t="n">
        <v>0</v>
      </c>
      <c r="L1367" s="14" t="n">
        <v>10</v>
      </c>
      <c r="M1367" s="14" t="n">
        <v>12.43</v>
      </c>
      <c r="N1367" s="14" t="n">
        <v>11.22</v>
      </c>
      <c r="O1367" s="14" t="n">
        <v>4.46</v>
      </c>
      <c r="P1367" s="14" t="n">
        <v>0</v>
      </c>
      <c r="Q1367" s="14" t="n">
        <v>0.27</v>
      </c>
      <c r="R1367" s="14" t="n">
        <v>0</v>
      </c>
      <c r="S1367" s="14" t="n">
        <v>3.11</v>
      </c>
      <c r="T1367" s="14" t="n">
        <v>2.97</v>
      </c>
      <c r="U1367" s="14" t="n">
        <v>6.49</v>
      </c>
      <c r="V1367" s="14" t="n">
        <v>6.49</v>
      </c>
      <c r="W1367" s="14" t="n">
        <v>1.76</v>
      </c>
      <c r="X1367" s="14" t="n">
        <v>0.41</v>
      </c>
      <c r="Y1367" s="14" t="n">
        <v>2.43</v>
      </c>
      <c r="Z1367" s="14" t="n">
        <v>0.95</v>
      </c>
      <c r="AA1367" s="14" t="n">
        <v>0</v>
      </c>
    </row>
    <row r="1368">
      <c r="A1368" t="inlineStr">
        <is>
          <t>030204</t>
        </is>
      </c>
      <c r="B1368" t="inlineStr">
        <is>
          <t>APURIMAC</t>
        </is>
      </c>
      <c r="C1368" t="inlineStr">
        <is>
          <t>ANDAHUAYLAS</t>
        </is>
      </c>
      <c r="D1368" t="inlineStr">
        <is>
          <t>HUANCARAMA</t>
        </is>
      </c>
      <c r="E1368" t="n">
        <v>1575</v>
      </c>
      <c r="F1368" s="14" t="n">
        <v>0</v>
      </c>
      <c r="G1368" s="14" t="n">
        <v>60.95</v>
      </c>
      <c r="H1368" s="14" t="n">
        <v>0.32</v>
      </c>
      <c r="I1368" s="14" t="n">
        <v>1.52</v>
      </c>
      <c r="J1368" s="14" t="n">
        <v>0.13</v>
      </c>
      <c r="K1368" s="14" t="n">
        <v>0.19</v>
      </c>
      <c r="L1368" s="14" t="n">
        <v>2.79</v>
      </c>
      <c r="M1368" s="14" t="n">
        <v>12.06</v>
      </c>
      <c r="N1368" s="14" t="n">
        <v>2.48</v>
      </c>
      <c r="O1368" s="14" t="n">
        <v>3.94</v>
      </c>
      <c r="P1368" s="14" t="n">
        <v>0.19</v>
      </c>
      <c r="Q1368" s="14" t="n">
        <v>1.02</v>
      </c>
      <c r="R1368" s="14" t="n">
        <v>0</v>
      </c>
      <c r="S1368" s="14" t="n">
        <v>1.52</v>
      </c>
      <c r="T1368" s="14" t="n">
        <v>0.38</v>
      </c>
      <c r="U1368" s="14" t="n">
        <v>2.92</v>
      </c>
      <c r="V1368" s="14" t="n">
        <v>4.51</v>
      </c>
      <c r="W1368" s="14" t="n">
        <v>2.29</v>
      </c>
      <c r="X1368" s="14" t="n">
        <v>0.13</v>
      </c>
      <c r="Y1368" s="14" t="n">
        <v>2.1</v>
      </c>
      <c r="Z1368" s="14" t="n">
        <v>0.57</v>
      </c>
      <c r="AA1368" s="14" t="n">
        <v>0</v>
      </c>
    </row>
    <row r="1369">
      <c r="A1369" t="inlineStr">
        <is>
          <t>021508</t>
        </is>
      </c>
      <c r="B1369" t="inlineStr">
        <is>
          <t>ANCASH</t>
        </is>
      </c>
      <c r="C1369" t="inlineStr">
        <is>
          <t>PALLASCA</t>
        </is>
      </c>
      <c r="D1369" t="inlineStr">
        <is>
          <t>PALLASCA</t>
        </is>
      </c>
      <c r="E1369" t="n">
        <v>548</v>
      </c>
      <c r="F1369" s="14" t="n">
        <v>0</v>
      </c>
      <c r="G1369" s="14" t="n">
        <v>60.04</v>
      </c>
      <c r="H1369" s="14" t="n">
        <v>0.55</v>
      </c>
      <c r="I1369" s="14" t="n">
        <v>2.92</v>
      </c>
      <c r="J1369" s="14" t="n">
        <v>0.55</v>
      </c>
      <c r="K1369" s="14" t="n">
        <v>0</v>
      </c>
      <c r="L1369" s="14" t="n">
        <v>4.56</v>
      </c>
      <c r="M1369" s="14" t="n">
        <v>6.57</v>
      </c>
      <c r="N1369" s="14" t="n">
        <v>1.46</v>
      </c>
      <c r="O1369" s="14" t="n">
        <v>1.09</v>
      </c>
      <c r="P1369" s="14" t="n">
        <v>0</v>
      </c>
      <c r="Q1369" s="14" t="n">
        <v>0.18</v>
      </c>
      <c r="R1369" s="14" t="n">
        <v>0</v>
      </c>
      <c r="S1369" s="14" t="n">
        <v>2.19</v>
      </c>
      <c r="T1369" s="14" t="n">
        <v>1.46</v>
      </c>
      <c r="U1369" s="14" t="n">
        <v>4.38</v>
      </c>
      <c r="V1369" s="14" t="n">
        <v>9.85</v>
      </c>
      <c r="W1369" s="14" t="n">
        <v>1.28</v>
      </c>
      <c r="X1369" s="14" t="n">
        <v>0</v>
      </c>
      <c r="Y1369" s="14" t="n">
        <v>2.37</v>
      </c>
      <c r="Z1369" s="14" t="n">
        <v>0.55</v>
      </c>
      <c r="AA1369" s="14" t="n">
        <v>0</v>
      </c>
    </row>
    <row r="1370">
      <c r="A1370" t="inlineStr">
        <is>
          <t>081001</t>
        </is>
      </c>
      <c r="B1370" t="inlineStr">
        <is>
          <t>CUSCO</t>
        </is>
      </c>
      <c r="C1370" t="inlineStr">
        <is>
          <t>PARURO</t>
        </is>
      </c>
      <c r="D1370" t="inlineStr">
        <is>
          <t>PARURO</t>
        </is>
      </c>
      <c r="E1370" t="n">
        <v>1250</v>
      </c>
      <c r="F1370" s="14" t="n">
        <v>0</v>
      </c>
      <c r="G1370" s="14" t="n">
        <v>52.08</v>
      </c>
      <c r="H1370" s="14" t="n">
        <v>0.24</v>
      </c>
      <c r="I1370" s="14" t="n">
        <v>3.2</v>
      </c>
      <c r="J1370" s="14" t="n">
        <v>0.16</v>
      </c>
      <c r="K1370" s="14" t="n">
        <v>0</v>
      </c>
      <c r="L1370" s="14" t="n">
        <v>6.8</v>
      </c>
      <c r="M1370" s="14" t="n">
        <v>10</v>
      </c>
      <c r="N1370" s="14" t="n">
        <v>2.64</v>
      </c>
      <c r="O1370" s="14" t="n">
        <v>4.8</v>
      </c>
      <c r="P1370" s="14" t="n">
        <v>0.16</v>
      </c>
      <c r="Q1370" s="14" t="n">
        <v>0.16</v>
      </c>
      <c r="R1370" s="14" t="n">
        <v>0</v>
      </c>
      <c r="S1370" s="14" t="n">
        <v>2.08</v>
      </c>
      <c r="T1370" s="14" t="n">
        <v>2.16</v>
      </c>
      <c r="U1370" s="14" t="n">
        <v>5.92</v>
      </c>
      <c r="V1370" s="14" t="n">
        <v>6.72</v>
      </c>
      <c r="W1370" s="14" t="n">
        <v>1.76</v>
      </c>
      <c r="X1370" s="14" t="n">
        <v>0.24</v>
      </c>
      <c r="Y1370" s="14" t="n">
        <v>0.72</v>
      </c>
      <c r="Z1370" s="14" t="n">
        <v>0.16</v>
      </c>
      <c r="AA1370" s="14" t="n">
        <v>0</v>
      </c>
    </row>
    <row r="1371">
      <c r="A1371" t="inlineStr">
        <is>
          <t>021511</t>
        </is>
      </c>
      <c r="B1371" t="inlineStr">
        <is>
          <t>ANCASH</t>
        </is>
      </c>
      <c r="C1371" t="inlineStr">
        <is>
          <t>PALLASCA</t>
        </is>
      </c>
      <c r="D1371" t="inlineStr">
        <is>
          <t>TAUCA</t>
        </is>
      </c>
      <c r="E1371" t="n">
        <v>618</v>
      </c>
      <c r="F1371" s="14" t="n">
        <v>0</v>
      </c>
      <c r="G1371" s="14" t="n">
        <v>58.09</v>
      </c>
      <c r="H1371" s="14" t="n">
        <v>0.65</v>
      </c>
      <c r="I1371" s="14" t="n">
        <v>6.8</v>
      </c>
      <c r="J1371" s="14" t="n">
        <v>0</v>
      </c>
      <c r="K1371" s="14" t="n">
        <v>0</v>
      </c>
      <c r="L1371" s="14" t="n">
        <v>5.5</v>
      </c>
      <c r="M1371" s="14" t="n">
        <v>5.99</v>
      </c>
      <c r="N1371" s="14" t="n">
        <v>1.78</v>
      </c>
      <c r="O1371" s="14" t="n">
        <v>1.94</v>
      </c>
      <c r="P1371" s="14" t="n">
        <v>0.16</v>
      </c>
      <c r="Q1371" s="14" t="n">
        <v>0</v>
      </c>
      <c r="R1371" s="14" t="n">
        <v>0</v>
      </c>
      <c r="S1371" s="14" t="n">
        <v>0.65</v>
      </c>
      <c r="T1371" s="14" t="n">
        <v>0.49</v>
      </c>
      <c r="U1371" s="14" t="n">
        <v>5.5</v>
      </c>
      <c r="V1371" s="14" t="n">
        <v>6.8</v>
      </c>
      <c r="W1371" s="14" t="n">
        <v>2.59</v>
      </c>
      <c r="X1371" s="14" t="n">
        <v>1.78</v>
      </c>
      <c r="Y1371" s="14" t="n">
        <v>0.65</v>
      </c>
      <c r="Z1371" s="14" t="n">
        <v>0.65</v>
      </c>
      <c r="AA1371" s="14" t="n">
        <v>0</v>
      </c>
    </row>
    <row r="1372">
      <c r="A1372" t="inlineStr">
        <is>
          <t>090108</t>
        </is>
      </c>
      <c r="B1372" t="inlineStr">
        <is>
          <t>HUANCAVELICA</t>
        </is>
      </c>
      <c r="C1372" t="inlineStr">
        <is>
          <t>HUANCAVELICA</t>
        </is>
      </c>
      <c r="D1372" t="inlineStr">
        <is>
          <t>IZCUCHACA</t>
        </is>
      </c>
      <c r="E1372" t="n">
        <v>298</v>
      </c>
      <c r="F1372" s="14" t="n">
        <v>0</v>
      </c>
      <c r="G1372" s="14" t="n">
        <v>20.13</v>
      </c>
      <c r="H1372" s="14" t="n">
        <v>0.67</v>
      </c>
      <c r="I1372" s="14" t="n">
        <v>6.71</v>
      </c>
      <c r="J1372" s="14" t="n">
        <v>0</v>
      </c>
      <c r="K1372" s="14" t="n">
        <v>0.34</v>
      </c>
      <c r="L1372" s="14" t="n">
        <v>7.72</v>
      </c>
      <c r="M1372" s="14" t="n">
        <v>17.79</v>
      </c>
      <c r="N1372" s="14" t="n">
        <v>4.7</v>
      </c>
      <c r="O1372" s="14" t="n">
        <v>12.42</v>
      </c>
      <c r="P1372" s="14" t="n">
        <v>0.67</v>
      </c>
      <c r="Q1372" s="14" t="n">
        <v>0</v>
      </c>
      <c r="R1372" s="14" t="n">
        <v>0</v>
      </c>
      <c r="S1372" s="14" t="n">
        <v>2.35</v>
      </c>
      <c r="T1372" s="14" t="n">
        <v>2.01</v>
      </c>
      <c r="U1372" s="14" t="n">
        <v>11.41</v>
      </c>
      <c r="V1372" s="14" t="n">
        <v>9.06</v>
      </c>
      <c r="W1372" s="14" t="n">
        <v>3.36</v>
      </c>
      <c r="X1372" s="14" t="n">
        <v>0</v>
      </c>
      <c r="Y1372" s="14" t="n">
        <v>0.67</v>
      </c>
      <c r="Z1372" s="14" t="n">
        <v>0</v>
      </c>
      <c r="AA1372" s="14" t="n">
        <v>0</v>
      </c>
    </row>
    <row r="1373">
      <c r="A1373" t="inlineStr">
        <is>
          <t>010514</t>
        </is>
      </c>
      <c r="B1373" t="inlineStr">
        <is>
          <t>AMAZONAS</t>
        </is>
      </c>
      <c r="C1373" t="inlineStr">
        <is>
          <t>LUYA</t>
        </is>
      </c>
      <c r="D1373" t="inlineStr">
        <is>
          <t>PISUQUIA</t>
        </is>
      </c>
      <c r="E1373" t="n">
        <v>1473</v>
      </c>
      <c r="F1373" s="14" t="n">
        <v>0</v>
      </c>
      <c r="G1373" s="14" t="n">
        <v>88.26000000000001</v>
      </c>
      <c r="H1373" s="14" t="n">
        <v>0</v>
      </c>
      <c r="I1373" s="14" t="n">
        <v>0.61</v>
      </c>
      <c r="J1373" s="14" t="n">
        <v>0.07000000000000001</v>
      </c>
      <c r="K1373" s="14" t="n">
        <v>0</v>
      </c>
      <c r="L1373" s="14" t="n">
        <v>0.14</v>
      </c>
      <c r="M1373" s="14" t="n">
        <v>0.75</v>
      </c>
      <c r="N1373" s="14" t="n">
        <v>0.34</v>
      </c>
      <c r="O1373" s="14" t="n">
        <v>0.2</v>
      </c>
      <c r="P1373" s="14" t="n">
        <v>0</v>
      </c>
      <c r="Q1373" s="14" t="n">
        <v>0</v>
      </c>
      <c r="R1373" s="14" t="n">
        <v>0</v>
      </c>
      <c r="S1373" s="14" t="n">
        <v>0.14</v>
      </c>
      <c r="T1373" s="14" t="n">
        <v>0</v>
      </c>
      <c r="U1373" s="14" t="n">
        <v>1.77</v>
      </c>
      <c r="V1373" s="14" t="n">
        <v>5.5</v>
      </c>
      <c r="W1373" s="14" t="n">
        <v>1.7</v>
      </c>
      <c r="X1373" s="14" t="n">
        <v>0</v>
      </c>
      <c r="Y1373" s="14" t="n">
        <v>0.41</v>
      </c>
      <c r="Z1373" s="14" t="n">
        <v>0.14</v>
      </c>
      <c r="AA1373" s="14" t="n">
        <v>0</v>
      </c>
    </row>
    <row r="1374">
      <c r="A1374" t="inlineStr">
        <is>
          <t>081101</t>
        </is>
      </c>
      <c r="B1374" t="inlineStr">
        <is>
          <t>CUSCO</t>
        </is>
      </c>
      <c r="C1374" t="inlineStr">
        <is>
          <t>PAUCARTAMBO</t>
        </is>
      </c>
      <c r="D1374" t="inlineStr">
        <is>
          <t>PAUCARTAMBO</t>
        </is>
      </c>
      <c r="E1374" t="n">
        <v>4289</v>
      </c>
      <c r="F1374" s="14" t="n">
        <v>0</v>
      </c>
      <c r="G1374" s="14" t="n">
        <v>65.12</v>
      </c>
      <c r="H1374" s="14" t="n">
        <v>0.63</v>
      </c>
      <c r="I1374" s="14" t="n">
        <v>3.24</v>
      </c>
      <c r="J1374" s="14" t="n">
        <v>0.02</v>
      </c>
      <c r="K1374" s="14" t="n">
        <v>0.02</v>
      </c>
      <c r="L1374" s="14" t="n">
        <v>4.08</v>
      </c>
      <c r="M1374" s="14" t="n">
        <v>8.140000000000001</v>
      </c>
      <c r="N1374" s="14" t="n">
        <v>2.01</v>
      </c>
      <c r="O1374" s="14" t="n">
        <v>3.33</v>
      </c>
      <c r="P1374" s="14" t="n">
        <v>0.21</v>
      </c>
      <c r="Q1374" s="14" t="n">
        <v>0.09</v>
      </c>
      <c r="R1374" s="14" t="n">
        <v>0</v>
      </c>
      <c r="S1374" s="14" t="n">
        <v>0.68</v>
      </c>
      <c r="T1374" s="14" t="n">
        <v>0.77</v>
      </c>
      <c r="U1374" s="14" t="n">
        <v>4.13</v>
      </c>
      <c r="V1374" s="14" t="n">
        <v>5.85</v>
      </c>
      <c r="W1374" s="14" t="n">
        <v>0.5600000000000001</v>
      </c>
      <c r="X1374" s="14" t="n">
        <v>0.09</v>
      </c>
      <c r="Y1374" s="14" t="n">
        <v>0.77</v>
      </c>
      <c r="Z1374" s="14" t="n">
        <v>0.26</v>
      </c>
      <c r="AA1374" s="14" t="n">
        <v>0</v>
      </c>
    </row>
    <row r="1375">
      <c r="A1375" t="inlineStr">
        <is>
          <t>021902</t>
        </is>
      </c>
      <c r="B1375" t="inlineStr">
        <is>
          <t>ANCASH</t>
        </is>
      </c>
      <c r="C1375" t="inlineStr">
        <is>
          <t>SIHUAS</t>
        </is>
      </c>
      <c r="D1375" t="inlineStr">
        <is>
          <t>ACOBAMBA</t>
        </is>
      </c>
      <c r="E1375" t="n">
        <v>306</v>
      </c>
      <c r="F1375" s="14" t="n">
        <v>0</v>
      </c>
      <c r="G1375" s="14" t="n">
        <v>78.09999999999999</v>
      </c>
      <c r="H1375" s="14" t="n">
        <v>0</v>
      </c>
      <c r="I1375" s="14" t="n">
        <v>0</v>
      </c>
      <c r="J1375" s="14" t="n">
        <v>0</v>
      </c>
      <c r="K1375" s="14" t="n">
        <v>0</v>
      </c>
      <c r="L1375" s="14" t="n">
        <v>0.33</v>
      </c>
      <c r="M1375" s="14" t="n">
        <v>2.94</v>
      </c>
      <c r="N1375" s="14" t="n">
        <v>1.31</v>
      </c>
      <c r="O1375" s="14" t="n">
        <v>0.65</v>
      </c>
      <c r="P1375" s="14" t="n">
        <v>0</v>
      </c>
      <c r="Q1375" s="14" t="n">
        <v>0</v>
      </c>
      <c r="R1375" s="14" t="n">
        <v>0</v>
      </c>
      <c r="S1375" s="14" t="n">
        <v>0.33</v>
      </c>
      <c r="T1375" s="14" t="n">
        <v>0</v>
      </c>
      <c r="U1375" s="14" t="n">
        <v>2.29</v>
      </c>
      <c r="V1375" s="14" t="n">
        <v>12.42</v>
      </c>
      <c r="W1375" s="14" t="n">
        <v>1.63</v>
      </c>
      <c r="X1375" s="14" t="n">
        <v>0</v>
      </c>
      <c r="Y1375" s="14" t="n">
        <v>0</v>
      </c>
      <c r="Z1375" s="14" t="n">
        <v>0</v>
      </c>
      <c r="AA1375" s="14" t="n">
        <v>0</v>
      </c>
    </row>
    <row r="1376">
      <c r="A1376" t="inlineStr">
        <is>
          <t>021012</t>
        </is>
      </c>
      <c r="B1376" t="inlineStr">
        <is>
          <t>ANCASH</t>
        </is>
      </c>
      <c r="C1376" t="inlineStr">
        <is>
          <t>HUARI</t>
        </is>
      </c>
      <c r="D1376" t="inlineStr">
        <is>
          <t>RAHUAPAMPA</t>
        </is>
      </c>
      <c r="E1376" t="n">
        <v>198</v>
      </c>
      <c r="F1376" s="14" t="n">
        <v>0</v>
      </c>
      <c r="G1376" s="14" t="n">
        <v>21.21</v>
      </c>
      <c r="H1376" s="14" t="n">
        <v>0</v>
      </c>
      <c r="I1376" s="14" t="n">
        <v>5.05</v>
      </c>
      <c r="J1376" s="14" t="n">
        <v>0</v>
      </c>
      <c r="K1376" s="14" t="n">
        <v>0</v>
      </c>
      <c r="L1376" s="14" t="n">
        <v>19.7</v>
      </c>
      <c r="M1376" s="14" t="n">
        <v>7.07</v>
      </c>
      <c r="N1376" s="14" t="n">
        <v>7.58</v>
      </c>
      <c r="O1376" s="14" t="n">
        <v>5.05</v>
      </c>
      <c r="P1376" s="14" t="n">
        <v>0</v>
      </c>
      <c r="Q1376" s="14" t="n">
        <v>0</v>
      </c>
      <c r="R1376" s="14" t="n">
        <v>0</v>
      </c>
      <c r="S1376" s="14" t="n">
        <v>1.01</v>
      </c>
      <c r="T1376" s="14" t="n">
        <v>0.51</v>
      </c>
      <c r="U1376" s="14" t="n">
        <v>8.08</v>
      </c>
      <c r="V1376" s="14" t="n">
        <v>16.67</v>
      </c>
      <c r="W1376" s="14" t="n">
        <v>4.55</v>
      </c>
      <c r="X1376" s="14" t="n">
        <v>0</v>
      </c>
      <c r="Y1376" s="14" t="n">
        <v>3.03</v>
      </c>
      <c r="Z1376" s="14" t="n">
        <v>0.51</v>
      </c>
      <c r="AA1376" s="14" t="n">
        <v>0</v>
      </c>
    </row>
    <row r="1377">
      <c r="A1377" t="inlineStr">
        <is>
          <t>040413</t>
        </is>
      </c>
      <c r="B1377" t="inlineStr">
        <is>
          <t>AREQUIPA</t>
        </is>
      </c>
      <c r="C1377" t="inlineStr">
        <is>
          <t>CASTILLA</t>
        </is>
      </c>
      <c r="D1377" t="inlineStr">
        <is>
          <t>URACA</t>
        </is>
      </c>
      <c r="E1377" t="n">
        <v>2978</v>
      </c>
      <c r="F1377" s="14" t="n">
        <v>0</v>
      </c>
      <c r="G1377" s="14" t="n">
        <v>53.93</v>
      </c>
      <c r="H1377" s="14" t="n">
        <v>0.3</v>
      </c>
      <c r="I1377" s="14" t="n">
        <v>2.32</v>
      </c>
      <c r="J1377" s="14" t="n">
        <v>0.17</v>
      </c>
      <c r="K1377" s="14" t="n">
        <v>0.03</v>
      </c>
      <c r="L1377" s="14" t="n">
        <v>4.1</v>
      </c>
      <c r="M1377" s="14" t="n">
        <v>13.73</v>
      </c>
      <c r="N1377" s="14" t="n">
        <v>5.44</v>
      </c>
      <c r="O1377" s="14" t="n">
        <v>5.47</v>
      </c>
      <c r="P1377" s="14" t="n">
        <v>0.3</v>
      </c>
      <c r="Q1377" s="14" t="n">
        <v>1.28</v>
      </c>
      <c r="R1377" s="14" t="n">
        <v>0</v>
      </c>
      <c r="S1377" s="14" t="n">
        <v>1.28</v>
      </c>
      <c r="T1377" s="14" t="n">
        <v>1.34</v>
      </c>
      <c r="U1377" s="14" t="n">
        <v>3.12</v>
      </c>
      <c r="V1377" s="14" t="n">
        <v>3.63</v>
      </c>
      <c r="W1377" s="14" t="n">
        <v>1.34</v>
      </c>
      <c r="X1377" s="14" t="n">
        <v>0.5</v>
      </c>
      <c r="Y1377" s="14" t="n">
        <v>0.97</v>
      </c>
      <c r="Z1377" s="14" t="n">
        <v>0.74</v>
      </c>
      <c r="AA1377" s="14" t="n">
        <v>0</v>
      </c>
    </row>
    <row r="1378">
      <c r="A1378" t="inlineStr">
        <is>
          <t>090612</t>
        </is>
      </c>
      <c r="B1378" t="inlineStr">
        <is>
          <t>HUANCAVELICA</t>
        </is>
      </c>
      <c r="C1378" t="inlineStr">
        <is>
          <t>HUAYTARA</t>
        </is>
      </c>
      <c r="D1378" t="inlineStr">
        <is>
          <t>SAN ISIDRO</t>
        </is>
      </c>
      <c r="E1378" t="n">
        <v>375</v>
      </c>
      <c r="F1378" s="14" t="n">
        <v>0</v>
      </c>
      <c r="G1378" s="14" t="n">
        <v>88</v>
      </c>
      <c r="H1378" s="14" t="n">
        <v>0</v>
      </c>
      <c r="I1378" s="14" t="n">
        <v>0.53</v>
      </c>
      <c r="J1378" s="14" t="n">
        <v>0</v>
      </c>
      <c r="K1378" s="14" t="n">
        <v>0</v>
      </c>
      <c r="L1378" s="14" t="n">
        <v>0.27</v>
      </c>
      <c r="M1378" s="14" t="n">
        <v>5.07</v>
      </c>
      <c r="N1378" s="14" t="n">
        <v>0.8</v>
      </c>
      <c r="O1378" s="14" t="n">
        <v>0</v>
      </c>
      <c r="P1378" s="14" t="n">
        <v>0</v>
      </c>
      <c r="Q1378" s="14" t="n">
        <v>0</v>
      </c>
      <c r="R1378" s="14" t="n">
        <v>0</v>
      </c>
      <c r="S1378" s="14" t="n">
        <v>0.27</v>
      </c>
      <c r="T1378" s="14" t="n">
        <v>0</v>
      </c>
      <c r="U1378" s="14" t="n">
        <v>0.8</v>
      </c>
      <c r="V1378" s="14" t="n">
        <v>2.4</v>
      </c>
      <c r="W1378" s="14" t="n">
        <v>0.27</v>
      </c>
      <c r="X1378" s="14" t="n">
        <v>0</v>
      </c>
      <c r="Y1378" s="14" t="n">
        <v>0.53</v>
      </c>
      <c r="Z1378" s="14" t="n">
        <v>1.07</v>
      </c>
      <c r="AA1378" s="14" t="n">
        <v>0</v>
      </c>
    </row>
    <row r="1379">
      <c r="A1379" t="inlineStr">
        <is>
          <t>050907</t>
        </is>
      </c>
      <c r="B1379" t="inlineStr">
        <is>
          <t>AYACUCHO</t>
        </is>
      </c>
      <c r="C1379" t="inlineStr">
        <is>
          <t>SUCRE</t>
        </is>
      </c>
      <c r="D1379" t="inlineStr">
        <is>
          <t>PAICO</t>
        </is>
      </c>
      <c r="E1379" t="n">
        <v>151</v>
      </c>
      <c r="F1379" s="14" t="n">
        <v>0</v>
      </c>
      <c r="G1379" s="14" t="n">
        <v>35.1</v>
      </c>
      <c r="H1379" s="14" t="n">
        <v>0</v>
      </c>
      <c r="I1379" s="14" t="n">
        <v>0.66</v>
      </c>
      <c r="J1379" s="14" t="n">
        <v>0</v>
      </c>
      <c r="K1379" s="14" t="n">
        <v>0</v>
      </c>
      <c r="L1379" s="14" t="n">
        <v>15.89</v>
      </c>
      <c r="M1379" s="14" t="n">
        <v>1.99</v>
      </c>
      <c r="N1379" s="14" t="n">
        <v>1.99</v>
      </c>
      <c r="O1379" s="14" t="n">
        <v>0.66</v>
      </c>
      <c r="P1379" s="14" t="n">
        <v>0</v>
      </c>
      <c r="Q1379" s="14" t="n">
        <v>0</v>
      </c>
      <c r="R1379" s="14" t="n">
        <v>0</v>
      </c>
      <c r="S1379" s="14" t="n">
        <v>1.99</v>
      </c>
      <c r="T1379" s="14" t="n">
        <v>1.32</v>
      </c>
      <c r="U1379" s="14" t="n">
        <v>8.609999999999999</v>
      </c>
      <c r="V1379" s="14" t="n">
        <v>25.83</v>
      </c>
      <c r="W1379" s="14" t="n">
        <v>1.99</v>
      </c>
      <c r="X1379" s="14" t="n">
        <v>0</v>
      </c>
      <c r="Y1379" s="14" t="n">
        <v>3.97</v>
      </c>
      <c r="Z1379" s="14" t="n">
        <v>0</v>
      </c>
      <c r="AA1379" s="14" t="n">
        <v>0</v>
      </c>
    </row>
    <row r="1380">
      <c r="A1380" t="inlineStr">
        <is>
          <t>060406</t>
        </is>
      </c>
      <c r="B1380" t="inlineStr">
        <is>
          <t>CAJAMARCA</t>
        </is>
      </c>
      <c r="C1380" t="inlineStr">
        <is>
          <t>CHOTA</t>
        </is>
      </c>
      <c r="D1380" t="inlineStr">
        <is>
          <t>CHOROPAMPA</t>
        </is>
      </c>
      <c r="E1380" t="n">
        <v>622</v>
      </c>
      <c r="F1380" s="14" t="n">
        <v>0</v>
      </c>
      <c r="G1380" s="14" t="n">
        <v>75.40000000000001</v>
      </c>
      <c r="H1380" s="14" t="n">
        <v>0.32</v>
      </c>
      <c r="I1380" s="14" t="n">
        <v>1.77</v>
      </c>
      <c r="J1380" s="14" t="n">
        <v>0</v>
      </c>
      <c r="K1380" s="14" t="n">
        <v>0</v>
      </c>
      <c r="L1380" s="14" t="n">
        <v>2.09</v>
      </c>
      <c r="M1380" s="14" t="n">
        <v>9.970000000000001</v>
      </c>
      <c r="N1380" s="14" t="n">
        <v>1.13</v>
      </c>
      <c r="O1380" s="14" t="n">
        <v>0.48</v>
      </c>
      <c r="P1380" s="14" t="n">
        <v>0</v>
      </c>
      <c r="Q1380" s="14" t="n">
        <v>0</v>
      </c>
      <c r="R1380" s="14" t="n">
        <v>0</v>
      </c>
      <c r="S1380" s="14" t="n">
        <v>0.8</v>
      </c>
      <c r="T1380" s="14" t="n">
        <v>0</v>
      </c>
      <c r="U1380" s="14" t="n">
        <v>1.29</v>
      </c>
      <c r="V1380" s="14" t="n">
        <v>4.18</v>
      </c>
      <c r="W1380" s="14" t="n">
        <v>1.45</v>
      </c>
      <c r="X1380" s="14" t="n">
        <v>0</v>
      </c>
      <c r="Y1380" s="14" t="n">
        <v>0.16</v>
      </c>
      <c r="Z1380" s="14" t="n">
        <v>0.96</v>
      </c>
      <c r="AA1380" s="14" t="n">
        <v>0</v>
      </c>
    </row>
    <row r="1381">
      <c r="A1381" t="inlineStr">
        <is>
          <t>020106</t>
        </is>
      </c>
      <c r="B1381" t="inlineStr">
        <is>
          <t>ANCASH</t>
        </is>
      </c>
      <c r="C1381" t="inlineStr">
        <is>
          <t>HUARAZ</t>
        </is>
      </c>
      <c r="D1381" t="inlineStr">
        <is>
          <t>JANGAS</t>
        </is>
      </c>
      <c r="E1381" t="n">
        <v>1429</v>
      </c>
      <c r="F1381" s="14" t="n">
        <v>0</v>
      </c>
      <c r="G1381" s="14" t="n">
        <v>42.55</v>
      </c>
      <c r="H1381" s="14" t="n">
        <v>6.79</v>
      </c>
      <c r="I1381" s="14" t="n">
        <v>3.92</v>
      </c>
      <c r="J1381" s="14" t="n">
        <v>0</v>
      </c>
      <c r="K1381" s="14" t="n">
        <v>0</v>
      </c>
      <c r="L1381" s="14" t="n">
        <v>8.960000000000001</v>
      </c>
      <c r="M1381" s="14" t="n">
        <v>7.63</v>
      </c>
      <c r="N1381" s="14" t="n">
        <v>7.56</v>
      </c>
      <c r="O1381" s="14" t="n">
        <v>3.29</v>
      </c>
      <c r="P1381" s="14" t="n">
        <v>0.21</v>
      </c>
      <c r="Q1381" s="14" t="n">
        <v>0.07000000000000001</v>
      </c>
      <c r="R1381" s="14" t="n">
        <v>0</v>
      </c>
      <c r="S1381" s="14" t="n">
        <v>2.03</v>
      </c>
      <c r="T1381" s="14" t="n">
        <v>3.15</v>
      </c>
      <c r="U1381" s="14" t="n">
        <v>6.79</v>
      </c>
      <c r="V1381" s="14" t="n">
        <v>3.43</v>
      </c>
      <c r="W1381" s="14" t="n">
        <v>1.12</v>
      </c>
      <c r="X1381" s="14" t="n">
        <v>0.42</v>
      </c>
      <c r="Y1381" s="14" t="n">
        <v>1.19</v>
      </c>
      <c r="Z1381" s="14" t="n">
        <v>0.91</v>
      </c>
      <c r="AA1381" s="14" t="n">
        <v>0</v>
      </c>
    </row>
    <row r="1382">
      <c r="A1382" t="inlineStr">
        <is>
          <t>021907</t>
        </is>
      </c>
      <c r="B1382" t="inlineStr">
        <is>
          <t>ANCASH</t>
        </is>
      </c>
      <c r="C1382" t="inlineStr">
        <is>
          <t>SIHUAS</t>
        </is>
      </c>
      <c r="D1382" t="inlineStr">
        <is>
          <t>QUICHES</t>
        </is>
      </c>
      <c r="E1382" t="n">
        <v>177</v>
      </c>
      <c r="F1382" s="14" t="n">
        <v>0</v>
      </c>
      <c r="G1382" s="14" t="n">
        <v>47.46</v>
      </c>
      <c r="H1382" s="14" t="n">
        <v>0</v>
      </c>
      <c r="I1382" s="14" t="n">
        <v>1.69</v>
      </c>
      <c r="J1382" s="14" t="n">
        <v>0</v>
      </c>
      <c r="K1382" s="14" t="n">
        <v>0</v>
      </c>
      <c r="L1382" s="14" t="n">
        <v>1.13</v>
      </c>
      <c r="M1382" s="14" t="n">
        <v>6.78</v>
      </c>
      <c r="N1382" s="14" t="n">
        <v>0</v>
      </c>
      <c r="O1382" s="14" t="n">
        <v>0.5600000000000001</v>
      </c>
      <c r="P1382" s="14" t="n">
        <v>0</v>
      </c>
      <c r="Q1382" s="14" t="n">
        <v>0</v>
      </c>
      <c r="R1382" s="14" t="n">
        <v>0</v>
      </c>
      <c r="S1382" s="14" t="n">
        <v>5.08</v>
      </c>
      <c r="T1382" s="14" t="n">
        <v>0.5600000000000001</v>
      </c>
      <c r="U1382" s="14" t="n">
        <v>1.13</v>
      </c>
      <c r="V1382" s="14" t="n">
        <v>12.43</v>
      </c>
      <c r="W1382" s="14" t="n">
        <v>1.69</v>
      </c>
      <c r="X1382" s="14" t="n">
        <v>0</v>
      </c>
      <c r="Y1382" s="14" t="n">
        <v>7.34</v>
      </c>
      <c r="Z1382" s="14" t="n">
        <v>14.12</v>
      </c>
      <c r="AA1382" s="14" t="n">
        <v>0</v>
      </c>
    </row>
    <row r="1383">
      <c r="A1383" t="inlineStr">
        <is>
          <t>022005</t>
        </is>
      </c>
      <c r="B1383" t="inlineStr">
        <is>
          <t>ANCASH</t>
        </is>
      </c>
      <c r="C1383" t="inlineStr">
        <is>
          <t>YUNGAY</t>
        </is>
      </c>
      <c r="D1383" t="inlineStr">
        <is>
          <t>QUILLO</t>
        </is>
      </c>
      <c r="E1383" t="n">
        <v>2884</v>
      </c>
      <c r="F1383" s="14" t="n">
        <v>0</v>
      </c>
      <c r="G1383" s="14" t="n">
        <v>86.09999999999999</v>
      </c>
      <c r="H1383" s="14" t="n">
        <v>0.14</v>
      </c>
      <c r="I1383" s="14" t="n">
        <v>1.18</v>
      </c>
      <c r="J1383" s="14" t="n">
        <v>0.03</v>
      </c>
      <c r="K1383" s="14" t="n">
        <v>0</v>
      </c>
      <c r="L1383" s="14" t="n">
        <v>0.66</v>
      </c>
      <c r="M1383" s="14" t="n">
        <v>4.26</v>
      </c>
      <c r="N1383" s="14" t="n">
        <v>0.6899999999999999</v>
      </c>
      <c r="O1383" s="14" t="n">
        <v>1.21</v>
      </c>
      <c r="P1383" s="14" t="n">
        <v>0.03</v>
      </c>
      <c r="Q1383" s="14" t="n">
        <v>0.03</v>
      </c>
      <c r="R1383" s="14" t="n">
        <v>0</v>
      </c>
      <c r="S1383" s="14" t="n">
        <v>0.21</v>
      </c>
      <c r="T1383" s="14" t="n">
        <v>0.1</v>
      </c>
      <c r="U1383" s="14" t="n">
        <v>1.91</v>
      </c>
      <c r="V1383" s="14" t="n">
        <v>1.73</v>
      </c>
      <c r="W1383" s="14" t="n">
        <v>0.76</v>
      </c>
      <c r="X1383" s="14" t="n">
        <v>0</v>
      </c>
      <c r="Y1383" s="14" t="n">
        <v>0.8</v>
      </c>
      <c r="Z1383" s="14" t="n">
        <v>0.14</v>
      </c>
      <c r="AA1383" s="14" t="n">
        <v>0</v>
      </c>
    </row>
    <row r="1384">
      <c r="A1384" t="inlineStr">
        <is>
          <t>080604</t>
        </is>
      </c>
      <c r="B1384" t="inlineStr">
        <is>
          <t>CUSCO</t>
        </is>
      </c>
      <c r="C1384" t="inlineStr">
        <is>
          <t>CANCHIS</t>
        </is>
      </c>
      <c r="D1384" t="inlineStr">
        <is>
          <t>MARANGANI</t>
        </is>
      </c>
      <c r="E1384" t="n">
        <v>3587</v>
      </c>
      <c r="F1384" s="14" t="n">
        <v>0</v>
      </c>
      <c r="G1384" s="14" t="n">
        <v>60.97</v>
      </c>
      <c r="H1384" s="14" t="n">
        <v>0.78</v>
      </c>
      <c r="I1384" s="14" t="n">
        <v>2.73</v>
      </c>
      <c r="J1384" s="14" t="n">
        <v>0.06</v>
      </c>
      <c r="K1384" s="14" t="n">
        <v>0.03</v>
      </c>
      <c r="L1384" s="14" t="n">
        <v>8.029999999999999</v>
      </c>
      <c r="M1384" s="14" t="n">
        <v>10.29</v>
      </c>
      <c r="N1384" s="14" t="n">
        <v>4.82</v>
      </c>
      <c r="O1384" s="14" t="n">
        <v>2.04</v>
      </c>
      <c r="P1384" s="14" t="n">
        <v>0.03</v>
      </c>
      <c r="Q1384" s="14" t="n">
        <v>0.36</v>
      </c>
      <c r="R1384" s="14" t="n">
        <v>0</v>
      </c>
      <c r="S1384" s="14" t="n">
        <v>0.86</v>
      </c>
      <c r="T1384" s="14" t="n">
        <v>0.5</v>
      </c>
      <c r="U1384" s="14" t="n">
        <v>3.43</v>
      </c>
      <c r="V1384" s="14" t="n">
        <v>3.74</v>
      </c>
      <c r="W1384" s="14" t="n">
        <v>0.39</v>
      </c>
      <c r="X1384" s="14" t="n">
        <v>0.08</v>
      </c>
      <c r="Y1384" s="14" t="n">
        <v>0.42</v>
      </c>
      <c r="Z1384" s="14" t="n">
        <v>0.45</v>
      </c>
      <c r="AA1384" s="14" t="n">
        <v>0</v>
      </c>
    </row>
    <row r="1385">
      <c r="A1385" t="inlineStr">
        <is>
          <t>020402</t>
        </is>
      </c>
      <c r="B1385" t="inlineStr">
        <is>
          <t>ANCASH</t>
        </is>
      </c>
      <c r="C1385" t="inlineStr">
        <is>
          <t>ASUNCION</t>
        </is>
      </c>
      <c r="D1385" t="inlineStr">
        <is>
          <t>ACOCHACA</t>
        </is>
      </c>
      <c r="E1385" t="n">
        <v>607</v>
      </c>
      <c r="F1385" s="14" t="n">
        <v>0</v>
      </c>
      <c r="G1385" s="14" t="n">
        <v>72.16</v>
      </c>
      <c r="H1385" s="14" t="n">
        <v>0.16</v>
      </c>
      <c r="I1385" s="14" t="n">
        <v>1.81</v>
      </c>
      <c r="J1385" s="14" t="n">
        <v>0</v>
      </c>
      <c r="K1385" s="14" t="n">
        <v>0</v>
      </c>
      <c r="L1385" s="14" t="n">
        <v>1.81</v>
      </c>
      <c r="M1385" s="14" t="n">
        <v>2.97</v>
      </c>
      <c r="N1385" s="14" t="n">
        <v>2.14</v>
      </c>
      <c r="O1385" s="14" t="n">
        <v>1.15</v>
      </c>
      <c r="P1385" s="14" t="n">
        <v>0.16</v>
      </c>
      <c r="Q1385" s="14" t="n">
        <v>0</v>
      </c>
      <c r="R1385" s="14" t="n">
        <v>0</v>
      </c>
      <c r="S1385" s="14" t="n">
        <v>0.99</v>
      </c>
      <c r="T1385" s="14" t="n">
        <v>0.16</v>
      </c>
      <c r="U1385" s="14" t="n">
        <v>1.65</v>
      </c>
      <c r="V1385" s="14" t="n">
        <v>12.19</v>
      </c>
      <c r="W1385" s="14" t="n">
        <v>1.15</v>
      </c>
      <c r="X1385" s="14" t="n">
        <v>0</v>
      </c>
      <c r="Y1385" s="14" t="n">
        <v>0.82</v>
      </c>
      <c r="Z1385" s="14" t="n">
        <v>0.66</v>
      </c>
      <c r="AA1385" s="14" t="n">
        <v>0</v>
      </c>
    </row>
    <row r="1386">
      <c r="A1386" t="inlineStr">
        <is>
          <t>021201</t>
        </is>
      </c>
      <c r="B1386" t="inlineStr">
        <is>
          <t>ANCASH</t>
        </is>
      </c>
      <c r="C1386" t="inlineStr">
        <is>
          <t>HUAYLAS</t>
        </is>
      </c>
      <c r="D1386" t="inlineStr">
        <is>
          <t>CARAZ</t>
        </is>
      </c>
      <c r="E1386" t="n">
        <v>9355</v>
      </c>
      <c r="F1386" s="14" t="n">
        <v>0</v>
      </c>
      <c r="G1386" s="14" t="n">
        <v>32.97</v>
      </c>
      <c r="H1386" s="14" t="n">
        <v>0.5600000000000001</v>
      </c>
      <c r="I1386" s="14" t="n">
        <v>3.96</v>
      </c>
      <c r="J1386" s="14" t="n">
        <v>0.06</v>
      </c>
      <c r="K1386" s="14" t="n">
        <v>0.13</v>
      </c>
      <c r="L1386" s="14" t="n">
        <v>5.65</v>
      </c>
      <c r="M1386" s="14" t="n">
        <v>15.13</v>
      </c>
      <c r="N1386" s="14" t="n">
        <v>8.460000000000001</v>
      </c>
      <c r="O1386" s="14" t="n">
        <v>6.17</v>
      </c>
      <c r="P1386" s="14" t="n">
        <v>0.55</v>
      </c>
      <c r="Q1386" s="14" t="n">
        <v>1.48</v>
      </c>
      <c r="R1386" s="14" t="n">
        <v>0.02</v>
      </c>
      <c r="S1386" s="14" t="n">
        <v>2.62</v>
      </c>
      <c r="T1386" s="14" t="n">
        <v>1.45</v>
      </c>
      <c r="U1386" s="14" t="n">
        <v>5.62</v>
      </c>
      <c r="V1386" s="14" t="n">
        <v>7.88</v>
      </c>
      <c r="W1386" s="14" t="n">
        <v>3.2</v>
      </c>
      <c r="X1386" s="14" t="n">
        <v>0.83</v>
      </c>
      <c r="Y1386" s="14" t="n">
        <v>1.92</v>
      </c>
      <c r="Z1386" s="14" t="n">
        <v>1.36</v>
      </c>
      <c r="AA1386" s="14" t="n">
        <v>0</v>
      </c>
    </row>
    <row r="1387">
      <c r="A1387" t="inlineStr">
        <is>
          <t>040128</t>
        </is>
      </c>
      <c r="B1387" t="inlineStr">
        <is>
          <t>AREQUIPA</t>
        </is>
      </c>
      <c r="C1387" t="inlineStr">
        <is>
          <t>AREQUIPA</t>
        </is>
      </c>
      <c r="D1387" t="inlineStr">
        <is>
          <t>YURA</t>
        </is>
      </c>
      <c r="E1387" t="n">
        <v>15262</v>
      </c>
      <c r="F1387" s="14" t="n">
        <v>0</v>
      </c>
      <c r="G1387" s="14" t="n">
        <v>7.68</v>
      </c>
      <c r="H1387" s="14" t="n">
        <v>1.78</v>
      </c>
      <c r="I1387" s="14" t="n">
        <v>10.11</v>
      </c>
      <c r="J1387" s="14" t="n">
        <v>0.07000000000000001</v>
      </c>
      <c r="K1387" s="14" t="n">
        <v>0.58</v>
      </c>
      <c r="L1387" s="14" t="n">
        <v>15.24</v>
      </c>
      <c r="M1387" s="14" t="n">
        <v>25.13</v>
      </c>
      <c r="N1387" s="14" t="n">
        <v>12.86</v>
      </c>
      <c r="O1387" s="14" t="n">
        <v>8.710000000000001</v>
      </c>
      <c r="P1387" s="14" t="n">
        <v>0.48</v>
      </c>
      <c r="Q1387" s="14" t="n">
        <v>0.45</v>
      </c>
      <c r="R1387" s="14" t="n">
        <v>0.03</v>
      </c>
      <c r="S1387" s="14" t="n">
        <v>2.69</v>
      </c>
      <c r="T1387" s="14" t="n">
        <v>3.01</v>
      </c>
      <c r="U1387" s="14" t="n">
        <v>2.25</v>
      </c>
      <c r="V1387" s="14" t="n">
        <v>2.34</v>
      </c>
      <c r="W1387" s="14" t="n">
        <v>1.02</v>
      </c>
      <c r="X1387" s="14" t="n">
        <v>0.46</v>
      </c>
      <c r="Y1387" s="14" t="n">
        <v>3.17</v>
      </c>
      <c r="Z1387" s="14" t="n">
        <v>1.93</v>
      </c>
      <c r="AA1387" s="14" t="n">
        <v>0</v>
      </c>
    </row>
    <row r="1388">
      <c r="A1388" t="inlineStr">
        <is>
          <t>020303</t>
        </is>
      </c>
      <c r="B1388" t="inlineStr">
        <is>
          <t>ANCASH</t>
        </is>
      </c>
      <c r="C1388" t="inlineStr">
        <is>
          <t>ANTONIO RAYMONDI</t>
        </is>
      </c>
      <c r="D1388" t="inlineStr">
        <is>
          <t>CHACCHO</t>
        </is>
      </c>
      <c r="E1388" t="n">
        <v>259</v>
      </c>
      <c r="F1388" s="14" t="n">
        <v>0</v>
      </c>
      <c r="G1388" s="14" t="n">
        <v>39.38</v>
      </c>
      <c r="H1388" s="14" t="n">
        <v>1.16</v>
      </c>
      <c r="I1388" s="14" t="n">
        <v>4.25</v>
      </c>
      <c r="J1388" s="14" t="n">
        <v>0</v>
      </c>
      <c r="K1388" s="14" t="n">
        <v>0</v>
      </c>
      <c r="L1388" s="14" t="n">
        <v>0</v>
      </c>
      <c r="M1388" s="14" t="n">
        <v>17.37</v>
      </c>
      <c r="N1388" s="14" t="n">
        <v>1.16</v>
      </c>
      <c r="O1388" s="14" t="n">
        <v>0.77</v>
      </c>
      <c r="P1388" s="14" t="n">
        <v>0</v>
      </c>
      <c r="Q1388" s="14" t="n">
        <v>0</v>
      </c>
      <c r="R1388" s="14" t="n">
        <v>0</v>
      </c>
      <c r="S1388" s="14" t="n">
        <v>0</v>
      </c>
      <c r="T1388" s="14" t="n">
        <v>0</v>
      </c>
      <c r="U1388" s="14" t="n">
        <v>8.109999999999999</v>
      </c>
      <c r="V1388" s="14" t="n">
        <v>25.1</v>
      </c>
      <c r="W1388" s="14" t="n">
        <v>1.54</v>
      </c>
      <c r="X1388" s="14" t="n">
        <v>0.39</v>
      </c>
      <c r="Y1388" s="14" t="n">
        <v>0.77</v>
      </c>
      <c r="Z1388" s="14" t="n">
        <v>0</v>
      </c>
      <c r="AA1388" s="14" t="n">
        <v>0</v>
      </c>
    </row>
    <row r="1389">
      <c r="A1389" t="inlineStr">
        <is>
          <t>030102</t>
        </is>
      </c>
      <c r="B1389" t="inlineStr">
        <is>
          <t>APURIMAC</t>
        </is>
      </c>
      <c r="C1389" t="inlineStr">
        <is>
          <t>ABANCAY</t>
        </is>
      </c>
      <c r="D1389" t="inlineStr">
        <is>
          <t>CHACOCHE</t>
        </is>
      </c>
      <c r="E1389" t="n">
        <v>450</v>
      </c>
      <c r="F1389" s="14" t="n">
        <v>0</v>
      </c>
      <c r="G1389" s="14" t="n">
        <v>56.44</v>
      </c>
      <c r="H1389" s="14" t="n">
        <v>0.67</v>
      </c>
      <c r="I1389" s="14" t="n">
        <v>2.67</v>
      </c>
      <c r="J1389" s="14" t="n">
        <v>0.44</v>
      </c>
      <c r="K1389" s="14" t="n">
        <v>0.22</v>
      </c>
      <c r="L1389" s="14" t="n">
        <v>13.11</v>
      </c>
      <c r="M1389" s="14" t="n">
        <v>7.56</v>
      </c>
      <c r="N1389" s="14" t="n">
        <v>5.11</v>
      </c>
      <c r="O1389" s="14" t="n">
        <v>3.56</v>
      </c>
      <c r="P1389" s="14" t="n">
        <v>0</v>
      </c>
      <c r="Q1389" s="14" t="n">
        <v>0</v>
      </c>
      <c r="R1389" s="14" t="n">
        <v>0</v>
      </c>
      <c r="S1389" s="14" t="n">
        <v>1.56</v>
      </c>
      <c r="T1389" s="14" t="n">
        <v>0.89</v>
      </c>
      <c r="U1389" s="14" t="n">
        <v>2</v>
      </c>
      <c r="V1389" s="14" t="n">
        <v>1.33</v>
      </c>
      <c r="W1389" s="14" t="n">
        <v>3.11</v>
      </c>
      <c r="X1389" s="14" t="n">
        <v>0</v>
      </c>
      <c r="Y1389" s="14" t="n">
        <v>0.89</v>
      </c>
      <c r="Z1389" s="14" t="n">
        <v>0.44</v>
      </c>
      <c r="AA1389" s="14" t="n">
        <v>0</v>
      </c>
    </row>
    <row r="1390">
      <c r="A1390" t="inlineStr">
        <is>
          <t>050903</t>
        </is>
      </c>
      <c r="B1390" t="inlineStr">
        <is>
          <t>AYACUCHO</t>
        </is>
      </c>
      <c r="C1390" t="inlineStr">
        <is>
          <t>SUCRE</t>
        </is>
      </c>
      <c r="D1390" t="inlineStr">
        <is>
          <t>CHALCOS</t>
        </is>
      </c>
      <c r="E1390" t="n">
        <v>192</v>
      </c>
      <c r="F1390" s="14" t="n">
        <v>0</v>
      </c>
      <c r="G1390" s="14" t="n">
        <v>62.5</v>
      </c>
      <c r="H1390" s="14" t="n">
        <v>2.08</v>
      </c>
      <c r="I1390" s="14" t="n">
        <v>3.13</v>
      </c>
      <c r="J1390" s="14" t="n">
        <v>0</v>
      </c>
      <c r="K1390" s="14" t="n">
        <v>0</v>
      </c>
      <c r="L1390" s="14" t="n">
        <v>9.9</v>
      </c>
      <c r="M1390" s="14" t="n">
        <v>2.6</v>
      </c>
      <c r="N1390" s="14" t="n">
        <v>0</v>
      </c>
      <c r="O1390" s="14" t="n">
        <v>1.04</v>
      </c>
      <c r="P1390" s="14" t="n">
        <v>0</v>
      </c>
      <c r="Q1390" s="14" t="n">
        <v>0</v>
      </c>
      <c r="R1390" s="14" t="n">
        <v>0</v>
      </c>
      <c r="S1390" s="14" t="n">
        <v>0</v>
      </c>
      <c r="T1390" s="14" t="n">
        <v>0</v>
      </c>
      <c r="U1390" s="14" t="n">
        <v>2.6</v>
      </c>
      <c r="V1390" s="14" t="n">
        <v>11.46</v>
      </c>
      <c r="W1390" s="14" t="n">
        <v>2.08</v>
      </c>
      <c r="X1390" s="14" t="n">
        <v>0</v>
      </c>
      <c r="Y1390" s="14" t="n">
        <v>2.08</v>
      </c>
      <c r="Z1390" s="14" t="n">
        <v>0.52</v>
      </c>
      <c r="AA1390" s="14" t="n">
        <v>0</v>
      </c>
    </row>
    <row r="1391">
      <c r="A1391" t="inlineStr">
        <is>
          <t>090601</t>
        </is>
      </c>
      <c r="B1391" t="inlineStr">
        <is>
          <t>HUANCAVELICA</t>
        </is>
      </c>
      <c r="C1391" t="inlineStr">
        <is>
          <t>HUAYTARA</t>
        </is>
      </c>
      <c r="D1391" t="inlineStr">
        <is>
          <t>HUAYTARA</t>
        </is>
      </c>
      <c r="E1391" t="n">
        <v>688</v>
      </c>
      <c r="F1391" s="14" t="n">
        <v>0</v>
      </c>
      <c r="G1391" s="14" t="n">
        <v>19.91</v>
      </c>
      <c r="H1391" s="14" t="n">
        <v>1.45</v>
      </c>
      <c r="I1391" s="14" t="n">
        <v>2.03</v>
      </c>
      <c r="J1391" s="14" t="n">
        <v>0.15</v>
      </c>
      <c r="K1391" s="14" t="n">
        <v>0.29</v>
      </c>
      <c r="L1391" s="14" t="n">
        <v>11.05</v>
      </c>
      <c r="M1391" s="14" t="n">
        <v>10.9</v>
      </c>
      <c r="N1391" s="14" t="n">
        <v>6.54</v>
      </c>
      <c r="O1391" s="14" t="n">
        <v>5.96</v>
      </c>
      <c r="P1391" s="14" t="n">
        <v>0.29</v>
      </c>
      <c r="Q1391" s="14" t="n">
        <v>0</v>
      </c>
      <c r="R1391" s="14" t="n">
        <v>0.15</v>
      </c>
      <c r="S1391" s="14" t="n">
        <v>0.44</v>
      </c>
      <c r="T1391" s="14" t="n">
        <v>3.05</v>
      </c>
      <c r="U1391" s="14" t="n">
        <v>16.13</v>
      </c>
      <c r="V1391" s="14" t="n">
        <v>14.83</v>
      </c>
      <c r="W1391" s="14" t="n">
        <v>5.09</v>
      </c>
      <c r="X1391" s="14" t="n">
        <v>0</v>
      </c>
      <c r="Y1391" s="14" t="n">
        <v>0.73</v>
      </c>
      <c r="Z1391" s="14" t="n">
        <v>1.02</v>
      </c>
      <c r="AA1391" s="14" t="n">
        <v>0</v>
      </c>
    </row>
    <row r="1392">
      <c r="A1392" t="inlineStr">
        <is>
          <t>080702</t>
        </is>
      </c>
      <c r="B1392" t="inlineStr">
        <is>
          <t>CUSCO</t>
        </is>
      </c>
      <c r="C1392" t="inlineStr">
        <is>
          <t>CHUMBIVILCAS</t>
        </is>
      </c>
      <c r="D1392" t="inlineStr">
        <is>
          <t>CAPACMARCA</t>
        </is>
      </c>
      <c r="E1392" t="n">
        <v>1362</v>
      </c>
      <c r="F1392" s="14" t="n">
        <v>0</v>
      </c>
      <c r="G1392" s="14" t="n">
        <v>82.67</v>
      </c>
      <c r="H1392" s="14" t="n">
        <v>0.22</v>
      </c>
      <c r="I1392" s="14" t="n">
        <v>0.44</v>
      </c>
      <c r="J1392" s="14" t="n">
        <v>0</v>
      </c>
      <c r="K1392" s="14" t="n">
        <v>0</v>
      </c>
      <c r="L1392" s="14" t="n">
        <v>1.69</v>
      </c>
      <c r="M1392" s="14" t="n">
        <v>4.19</v>
      </c>
      <c r="N1392" s="14" t="n">
        <v>2.35</v>
      </c>
      <c r="O1392" s="14" t="n">
        <v>1.47</v>
      </c>
      <c r="P1392" s="14" t="n">
        <v>0.15</v>
      </c>
      <c r="Q1392" s="14" t="n">
        <v>0</v>
      </c>
      <c r="R1392" s="14" t="n">
        <v>0</v>
      </c>
      <c r="S1392" s="14" t="n">
        <v>1.1</v>
      </c>
      <c r="T1392" s="14" t="n">
        <v>0.8100000000000001</v>
      </c>
      <c r="U1392" s="14" t="n">
        <v>0.88</v>
      </c>
      <c r="V1392" s="14" t="n">
        <v>2.57</v>
      </c>
      <c r="W1392" s="14" t="n">
        <v>0.88</v>
      </c>
      <c r="X1392" s="14" t="n">
        <v>0</v>
      </c>
      <c r="Y1392" s="14" t="n">
        <v>0.51</v>
      </c>
      <c r="Z1392" s="14" t="n">
        <v>0.07000000000000001</v>
      </c>
      <c r="AA1392" s="14" t="n">
        <v>0</v>
      </c>
    </row>
    <row r="1393">
      <c r="A1393" t="inlineStr">
        <is>
          <t>060609</t>
        </is>
      </c>
      <c r="B1393" t="inlineStr">
        <is>
          <t>CAJAMARCA</t>
        </is>
      </c>
      <c r="C1393" t="inlineStr">
        <is>
          <t>CUTERVO</t>
        </is>
      </c>
      <c r="D1393" t="inlineStr">
        <is>
          <t>SAN JUAN DE CUTERVO</t>
        </is>
      </c>
      <c r="E1393" t="n">
        <v>616</v>
      </c>
      <c r="F1393" s="14" t="n">
        <v>0</v>
      </c>
      <c r="G1393" s="14" t="n">
        <v>86.53</v>
      </c>
      <c r="H1393" s="14" t="n">
        <v>0.16</v>
      </c>
      <c r="I1393" s="14" t="n">
        <v>0.16</v>
      </c>
      <c r="J1393" s="14" t="n">
        <v>0</v>
      </c>
      <c r="K1393" s="14" t="n">
        <v>0</v>
      </c>
      <c r="L1393" s="14" t="n">
        <v>0.16</v>
      </c>
      <c r="M1393" s="14" t="n">
        <v>1.46</v>
      </c>
      <c r="N1393" s="14" t="n">
        <v>0.97</v>
      </c>
      <c r="O1393" s="14" t="n">
        <v>0.49</v>
      </c>
      <c r="P1393" s="14" t="n">
        <v>0</v>
      </c>
      <c r="Q1393" s="14" t="n">
        <v>0</v>
      </c>
      <c r="R1393" s="14" t="n">
        <v>0</v>
      </c>
      <c r="S1393" s="14" t="n">
        <v>0.16</v>
      </c>
      <c r="T1393" s="14" t="n">
        <v>0.16</v>
      </c>
      <c r="U1393" s="14" t="n">
        <v>2.76</v>
      </c>
      <c r="V1393" s="14" t="n">
        <v>5.36</v>
      </c>
      <c r="W1393" s="14" t="n">
        <v>1.62</v>
      </c>
      <c r="X1393" s="14" t="n">
        <v>0</v>
      </c>
      <c r="Y1393" s="14" t="n">
        <v>0</v>
      </c>
      <c r="Z1393" s="14" t="n">
        <v>0</v>
      </c>
      <c r="AA1393" s="14" t="n">
        <v>0</v>
      </c>
    </row>
    <row r="1394">
      <c r="A1394" t="inlineStr">
        <is>
          <t>080301</t>
        </is>
      </c>
      <c r="B1394" t="inlineStr">
        <is>
          <t>CUSCO</t>
        </is>
      </c>
      <c r="C1394" t="inlineStr">
        <is>
          <t>ANTA</t>
        </is>
      </c>
      <c r="D1394" t="inlineStr">
        <is>
          <t>ANTA</t>
        </is>
      </c>
      <c r="E1394" t="n">
        <v>8201</v>
      </c>
      <c r="F1394" s="14" t="n">
        <v>0</v>
      </c>
      <c r="G1394" s="14" t="n">
        <v>38.35</v>
      </c>
      <c r="H1394" s="14" t="n">
        <v>0.28</v>
      </c>
      <c r="I1394" s="14" t="n">
        <v>4.49</v>
      </c>
      <c r="J1394" s="14" t="n">
        <v>0.1</v>
      </c>
      <c r="K1394" s="14" t="n">
        <v>0.09</v>
      </c>
      <c r="L1394" s="14" t="n">
        <v>7.5</v>
      </c>
      <c r="M1394" s="14" t="n">
        <v>17.38</v>
      </c>
      <c r="N1394" s="14" t="n">
        <v>8.609999999999999</v>
      </c>
      <c r="O1394" s="14" t="n">
        <v>6.4</v>
      </c>
      <c r="P1394" s="14" t="n">
        <v>0.48</v>
      </c>
      <c r="Q1394" s="14" t="n">
        <v>0.59</v>
      </c>
      <c r="R1394" s="14" t="n">
        <v>0.06</v>
      </c>
      <c r="S1394" s="14" t="n">
        <v>2.11</v>
      </c>
      <c r="T1394" s="14" t="n">
        <v>1.68</v>
      </c>
      <c r="U1394" s="14" t="n">
        <v>3.11</v>
      </c>
      <c r="V1394" s="14" t="n">
        <v>4.82</v>
      </c>
      <c r="W1394" s="14" t="n">
        <v>1.11</v>
      </c>
      <c r="X1394" s="14" t="n">
        <v>0.63</v>
      </c>
      <c r="Y1394" s="14" t="n">
        <v>1.63</v>
      </c>
      <c r="Z1394" s="14" t="n">
        <v>0.6</v>
      </c>
      <c r="AA1394" s="14" t="n">
        <v>0</v>
      </c>
    </row>
    <row r="1395">
      <c r="A1395" t="inlineStr">
        <is>
          <t>051004</t>
        </is>
      </c>
      <c r="B1395" t="inlineStr">
        <is>
          <t>AYACUCHO</t>
        </is>
      </c>
      <c r="C1395" t="inlineStr">
        <is>
          <t>VICTOR FAJARDO</t>
        </is>
      </c>
      <c r="D1395" t="inlineStr">
        <is>
          <t>ASQUIPATA</t>
        </is>
      </c>
      <c r="E1395" t="n">
        <v>225</v>
      </c>
      <c r="F1395" s="14" t="n">
        <v>0</v>
      </c>
      <c r="G1395" s="14" t="n">
        <v>53.33</v>
      </c>
      <c r="H1395" s="14" t="n">
        <v>2.22</v>
      </c>
      <c r="I1395" s="14" t="n">
        <v>2.22</v>
      </c>
      <c r="J1395" s="14" t="n">
        <v>0</v>
      </c>
      <c r="K1395" s="14" t="n">
        <v>0</v>
      </c>
      <c r="L1395" s="14" t="n">
        <v>4.89</v>
      </c>
      <c r="M1395" s="14" t="n">
        <v>18.67</v>
      </c>
      <c r="N1395" s="14" t="n">
        <v>1.33</v>
      </c>
      <c r="O1395" s="14" t="n">
        <v>3.11</v>
      </c>
      <c r="P1395" s="14" t="n">
        <v>0</v>
      </c>
      <c r="Q1395" s="14" t="n">
        <v>0</v>
      </c>
      <c r="R1395" s="14" t="n">
        <v>0</v>
      </c>
      <c r="S1395" s="14" t="n">
        <v>3.11</v>
      </c>
      <c r="T1395" s="14" t="n">
        <v>0.44</v>
      </c>
      <c r="U1395" s="14" t="n">
        <v>1.78</v>
      </c>
      <c r="V1395" s="14" t="n">
        <v>5.33</v>
      </c>
      <c r="W1395" s="14" t="n">
        <v>0.44</v>
      </c>
      <c r="X1395" s="14" t="n">
        <v>0.44</v>
      </c>
      <c r="Y1395" s="14" t="n">
        <v>1.78</v>
      </c>
      <c r="Z1395" s="14" t="n">
        <v>0.89</v>
      </c>
      <c r="AA1395" s="14" t="n">
        <v>0</v>
      </c>
    </row>
    <row r="1396">
      <c r="A1396" t="inlineStr">
        <is>
          <t>020703</t>
        </is>
      </c>
      <c r="B1396" t="inlineStr">
        <is>
          <t>ANCASH</t>
        </is>
      </c>
      <c r="C1396" t="inlineStr">
        <is>
          <t>CARLOS FERMIN FITZCARRALD</t>
        </is>
      </c>
      <c r="D1396" t="inlineStr">
        <is>
          <t>YAUYA</t>
        </is>
      </c>
      <c r="E1396" t="n">
        <v>474</v>
      </c>
      <c r="F1396" s="14" t="n">
        <v>0</v>
      </c>
      <c r="G1396" s="14" t="n">
        <v>36.08</v>
      </c>
      <c r="H1396" s="14" t="n">
        <v>0</v>
      </c>
      <c r="I1396" s="14" t="n">
        <v>2.95</v>
      </c>
      <c r="J1396" s="14" t="n">
        <v>0</v>
      </c>
      <c r="K1396" s="14" t="n">
        <v>0</v>
      </c>
      <c r="L1396" s="14" t="n">
        <v>4.43</v>
      </c>
      <c r="M1396" s="14" t="n">
        <v>6.96</v>
      </c>
      <c r="N1396" s="14" t="n">
        <v>1.05</v>
      </c>
      <c r="O1396" s="14" t="n">
        <v>2.11</v>
      </c>
      <c r="P1396" s="14" t="n">
        <v>0</v>
      </c>
      <c r="Q1396" s="14" t="n">
        <v>0.21</v>
      </c>
      <c r="R1396" s="14" t="n">
        <v>0</v>
      </c>
      <c r="S1396" s="14" t="n">
        <v>1.27</v>
      </c>
      <c r="T1396" s="14" t="n">
        <v>1.69</v>
      </c>
      <c r="U1396" s="14" t="n">
        <v>6.75</v>
      </c>
      <c r="V1396" s="14" t="n">
        <v>28.06</v>
      </c>
      <c r="W1396" s="14" t="n">
        <v>4.43</v>
      </c>
      <c r="X1396" s="14" t="n">
        <v>0</v>
      </c>
      <c r="Y1396" s="14" t="n">
        <v>3.8</v>
      </c>
      <c r="Z1396" s="14" t="n">
        <v>0.21</v>
      </c>
      <c r="AA1396" s="14" t="n">
        <v>0</v>
      </c>
    </row>
    <row r="1397">
      <c r="A1397" t="inlineStr">
        <is>
          <t>090115</t>
        </is>
      </c>
      <c r="B1397" t="inlineStr">
        <is>
          <t>HUANCAVELICA</t>
        </is>
      </c>
      <c r="C1397" t="inlineStr">
        <is>
          <t>HUANCAVELICA</t>
        </is>
      </c>
      <c r="D1397" t="inlineStr">
        <is>
          <t>PILCHACA</t>
        </is>
      </c>
      <c r="E1397" t="n">
        <v>160</v>
      </c>
      <c r="F1397" s="14" t="n">
        <v>0</v>
      </c>
      <c r="G1397" s="14" t="n">
        <v>78.75</v>
      </c>
      <c r="H1397" s="14" t="n">
        <v>0.63</v>
      </c>
      <c r="I1397" s="14" t="n">
        <v>1.25</v>
      </c>
      <c r="J1397" s="14" t="n">
        <v>0</v>
      </c>
      <c r="K1397" s="14" t="n">
        <v>0</v>
      </c>
      <c r="L1397" s="14" t="n">
        <v>6.88</v>
      </c>
      <c r="M1397" s="14" t="n">
        <v>1.88</v>
      </c>
      <c r="N1397" s="14" t="n">
        <v>1.25</v>
      </c>
      <c r="O1397" s="14" t="n">
        <v>0</v>
      </c>
      <c r="P1397" s="14" t="n">
        <v>0</v>
      </c>
      <c r="Q1397" s="14" t="n">
        <v>0</v>
      </c>
      <c r="R1397" s="14" t="n">
        <v>0</v>
      </c>
      <c r="S1397" s="14" t="n">
        <v>0.63</v>
      </c>
      <c r="T1397" s="14" t="n">
        <v>1.25</v>
      </c>
      <c r="U1397" s="14" t="n">
        <v>6.25</v>
      </c>
      <c r="V1397" s="14" t="n">
        <v>0.63</v>
      </c>
      <c r="W1397" s="14" t="n">
        <v>0.63</v>
      </c>
      <c r="X1397" s="14" t="n">
        <v>0</v>
      </c>
      <c r="Y1397" s="14" t="n">
        <v>0</v>
      </c>
      <c r="Z1397" s="14" t="n">
        <v>0</v>
      </c>
      <c r="AA1397" s="14" t="n">
        <v>0</v>
      </c>
    </row>
    <row r="1398">
      <c r="A1398" t="inlineStr">
        <is>
          <t>022004</t>
        </is>
      </c>
      <c r="B1398" t="inlineStr">
        <is>
          <t>ANCASH</t>
        </is>
      </c>
      <c r="C1398" t="inlineStr">
        <is>
          <t>YUNGAY</t>
        </is>
      </c>
      <c r="D1398" t="inlineStr">
        <is>
          <t>MATACOTO</t>
        </is>
      </c>
      <c r="E1398" t="n">
        <v>421</v>
      </c>
      <c r="F1398" s="14" t="n">
        <v>0</v>
      </c>
      <c r="G1398" s="14" t="n">
        <v>71.26000000000001</v>
      </c>
      <c r="H1398" s="14" t="n">
        <v>0.48</v>
      </c>
      <c r="I1398" s="14" t="n">
        <v>0.95</v>
      </c>
      <c r="J1398" s="14" t="n">
        <v>0</v>
      </c>
      <c r="K1398" s="14" t="n">
        <v>0.24</v>
      </c>
      <c r="L1398" s="14" t="n">
        <v>3.56</v>
      </c>
      <c r="M1398" s="14" t="n">
        <v>4.51</v>
      </c>
      <c r="N1398" s="14" t="n">
        <v>5.7</v>
      </c>
      <c r="O1398" s="14" t="n">
        <v>0.71</v>
      </c>
      <c r="P1398" s="14" t="n">
        <v>0.24</v>
      </c>
      <c r="Q1398" s="14" t="n">
        <v>0</v>
      </c>
      <c r="R1398" s="14" t="n">
        <v>0</v>
      </c>
      <c r="S1398" s="14" t="n">
        <v>0.95</v>
      </c>
      <c r="T1398" s="14" t="n">
        <v>1.19</v>
      </c>
      <c r="U1398" s="14" t="n">
        <v>4.99</v>
      </c>
      <c r="V1398" s="14" t="n">
        <v>3.09</v>
      </c>
      <c r="W1398" s="14" t="n">
        <v>0.95</v>
      </c>
      <c r="X1398" s="14" t="n">
        <v>0</v>
      </c>
      <c r="Y1398" s="14" t="n">
        <v>0.48</v>
      </c>
      <c r="Z1398" s="14" t="n">
        <v>0.71</v>
      </c>
      <c r="AA1398" s="14" t="n">
        <v>0</v>
      </c>
    </row>
    <row r="1399">
      <c r="A1399" t="inlineStr">
        <is>
          <t>021304</t>
        </is>
      </c>
      <c r="B1399" t="inlineStr">
        <is>
          <t>ANCASH</t>
        </is>
      </c>
      <c r="C1399" t="inlineStr">
        <is>
          <t>MARISCAL LUZURIAGA</t>
        </is>
      </c>
      <c r="D1399" t="inlineStr">
        <is>
          <t>FIDEL OLIVAS ESCUDERO</t>
        </is>
      </c>
      <c r="E1399" t="n">
        <v>122</v>
      </c>
      <c r="F1399" s="14" t="n">
        <v>0</v>
      </c>
      <c r="G1399" s="14" t="n">
        <v>49.18</v>
      </c>
      <c r="H1399" s="14" t="n">
        <v>0</v>
      </c>
      <c r="I1399" s="14" t="n">
        <v>1.64</v>
      </c>
      <c r="J1399" s="14" t="n">
        <v>0</v>
      </c>
      <c r="K1399" s="14" t="n">
        <v>0</v>
      </c>
      <c r="L1399" s="14" t="n">
        <v>12.3</v>
      </c>
      <c r="M1399" s="14" t="n">
        <v>4.1</v>
      </c>
      <c r="N1399" s="14" t="n">
        <v>1.64</v>
      </c>
      <c r="O1399" s="14" t="n">
        <v>0</v>
      </c>
      <c r="P1399" s="14" t="n">
        <v>0</v>
      </c>
      <c r="Q1399" s="14" t="n">
        <v>0</v>
      </c>
      <c r="R1399" s="14" t="n">
        <v>0</v>
      </c>
      <c r="S1399" s="14" t="n">
        <v>2.46</v>
      </c>
      <c r="T1399" s="14" t="n">
        <v>0</v>
      </c>
      <c r="U1399" s="14" t="n">
        <v>9.02</v>
      </c>
      <c r="V1399" s="14" t="n">
        <v>12.3</v>
      </c>
      <c r="W1399" s="14" t="n">
        <v>2.46</v>
      </c>
      <c r="X1399" s="14" t="n">
        <v>0</v>
      </c>
      <c r="Y1399" s="14" t="n">
        <v>4.92</v>
      </c>
      <c r="Z1399" s="14" t="n">
        <v>0</v>
      </c>
      <c r="AA1399" s="14" t="n">
        <v>0</v>
      </c>
    </row>
    <row r="1400">
      <c r="A1400" t="inlineStr">
        <is>
          <t>080103</t>
        </is>
      </c>
      <c r="B1400" t="inlineStr">
        <is>
          <t>CUSCO</t>
        </is>
      </c>
      <c r="C1400" t="inlineStr">
        <is>
          <t>CUSCO</t>
        </is>
      </c>
      <c r="D1400" t="inlineStr">
        <is>
          <t>POROY</t>
        </is>
      </c>
      <c r="E1400" t="n">
        <v>1033</v>
      </c>
      <c r="F1400" s="14" t="n">
        <v>0</v>
      </c>
      <c r="G1400" s="14" t="n">
        <v>18.01</v>
      </c>
      <c r="H1400" s="14" t="n">
        <v>0.39</v>
      </c>
      <c r="I1400" s="14" t="n">
        <v>4.26</v>
      </c>
      <c r="J1400" s="14" t="n">
        <v>0</v>
      </c>
      <c r="K1400" s="14" t="n">
        <v>0.19</v>
      </c>
      <c r="L1400" s="14" t="n">
        <v>13.36</v>
      </c>
      <c r="M1400" s="14" t="n">
        <v>17.81</v>
      </c>
      <c r="N1400" s="14" t="n">
        <v>12.1</v>
      </c>
      <c r="O1400" s="14" t="n">
        <v>14.23</v>
      </c>
      <c r="P1400" s="14" t="n">
        <v>0.48</v>
      </c>
      <c r="Q1400" s="14" t="n">
        <v>0.19</v>
      </c>
      <c r="R1400" s="14" t="n">
        <v>0</v>
      </c>
      <c r="S1400" s="14" t="n">
        <v>1.45</v>
      </c>
      <c r="T1400" s="14" t="n">
        <v>5.32</v>
      </c>
      <c r="U1400" s="14" t="n">
        <v>6.68</v>
      </c>
      <c r="V1400" s="14" t="n">
        <v>1.55</v>
      </c>
      <c r="W1400" s="14" t="n">
        <v>0.97</v>
      </c>
      <c r="X1400" s="14" t="n">
        <v>0.58</v>
      </c>
      <c r="Y1400" s="14" t="n">
        <v>1.55</v>
      </c>
      <c r="Z1400" s="14" t="n">
        <v>0.87</v>
      </c>
      <c r="AA1400" s="14" t="n">
        <v>0</v>
      </c>
    </row>
    <row r="1401">
      <c r="A1401" t="inlineStr">
        <is>
          <t>090610</t>
        </is>
      </c>
      <c r="B1401" t="inlineStr">
        <is>
          <t>HUANCAVELICA</t>
        </is>
      </c>
      <c r="C1401" t="inlineStr">
        <is>
          <t>HUAYTARA</t>
        </is>
      </c>
      <c r="D1401" t="inlineStr">
        <is>
          <t>SAN ANTONIO DE CUSICANCHA</t>
        </is>
      </c>
      <c r="E1401" t="n">
        <v>180</v>
      </c>
      <c r="F1401" s="14" t="n">
        <v>0</v>
      </c>
      <c r="G1401" s="14" t="n">
        <v>68.89</v>
      </c>
      <c r="H1401" s="14" t="n">
        <v>0</v>
      </c>
      <c r="I1401" s="14" t="n">
        <v>0</v>
      </c>
      <c r="J1401" s="14" t="n">
        <v>0</v>
      </c>
      <c r="K1401" s="14" t="n">
        <v>0</v>
      </c>
      <c r="L1401" s="14" t="n">
        <v>11.11</v>
      </c>
      <c r="M1401" s="14" t="n">
        <v>2.22</v>
      </c>
      <c r="N1401" s="14" t="n">
        <v>3.33</v>
      </c>
      <c r="O1401" s="14" t="n">
        <v>0</v>
      </c>
      <c r="P1401" s="14" t="n">
        <v>0</v>
      </c>
      <c r="Q1401" s="14" t="n">
        <v>0</v>
      </c>
      <c r="R1401" s="14" t="n">
        <v>0</v>
      </c>
      <c r="S1401" s="14" t="n">
        <v>0.5600000000000001</v>
      </c>
      <c r="T1401" s="14" t="n">
        <v>0.5600000000000001</v>
      </c>
      <c r="U1401" s="14" t="n">
        <v>3.33</v>
      </c>
      <c r="V1401" s="14" t="n">
        <v>7.78</v>
      </c>
      <c r="W1401" s="14" t="n">
        <v>2.22</v>
      </c>
      <c r="X1401" s="14" t="n">
        <v>0</v>
      </c>
      <c r="Y1401" s="14" t="n">
        <v>0</v>
      </c>
      <c r="Z1401" s="14" t="n">
        <v>0</v>
      </c>
      <c r="AA1401" s="14" t="n">
        <v>0</v>
      </c>
    </row>
    <row r="1402">
      <c r="A1402" t="inlineStr">
        <is>
          <t>060110</t>
        </is>
      </c>
      <c r="B1402" t="inlineStr">
        <is>
          <t>CAJAMARCA</t>
        </is>
      </c>
      <c r="C1402" t="inlineStr">
        <is>
          <t>CAJAMARCA</t>
        </is>
      </c>
      <c r="D1402" t="inlineStr">
        <is>
          <t>MATARA</t>
        </is>
      </c>
      <c r="E1402" t="n">
        <v>1112</v>
      </c>
      <c r="F1402" s="14" t="n">
        <v>0</v>
      </c>
      <c r="G1402" s="14" t="n">
        <v>70.41</v>
      </c>
      <c r="H1402" s="14" t="n">
        <v>0</v>
      </c>
      <c r="I1402" s="14" t="n">
        <v>2.88</v>
      </c>
      <c r="J1402" s="14" t="n">
        <v>0.18</v>
      </c>
      <c r="K1402" s="14" t="n">
        <v>0.18</v>
      </c>
      <c r="L1402" s="14" t="n">
        <v>3.51</v>
      </c>
      <c r="M1402" s="14" t="n">
        <v>6.21</v>
      </c>
      <c r="N1402" s="14" t="n">
        <v>2.79</v>
      </c>
      <c r="O1402" s="14" t="n">
        <v>2.88</v>
      </c>
      <c r="P1402" s="14" t="n">
        <v>0.18</v>
      </c>
      <c r="Q1402" s="14" t="n">
        <v>0.09</v>
      </c>
      <c r="R1402" s="14" t="n">
        <v>0</v>
      </c>
      <c r="S1402" s="14" t="n">
        <v>1.26</v>
      </c>
      <c r="T1402" s="14" t="n">
        <v>0.54</v>
      </c>
      <c r="U1402" s="14" t="n">
        <v>2.52</v>
      </c>
      <c r="V1402" s="14" t="n">
        <v>2.88</v>
      </c>
      <c r="W1402" s="14" t="n">
        <v>0.72</v>
      </c>
      <c r="X1402" s="14" t="n">
        <v>0.18</v>
      </c>
      <c r="Y1402" s="14" t="n">
        <v>0.99</v>
      </c>
      <c r="Z1402" s="14" t="n">
        <v>1.62</v>
      </c>
      <c r="AA1402" s="14" t="n">
        <v>0</v>
      </c>
    </row>
    <row r="1403">
      <c r="A1403" t="inlineStr">
        <is>
          <t>051008</t>
        </is>
      </c>
      <c r="B1403" t="inlineStr">
        <is>
          <t>AYACUCHO</t>
        </is>
      </c>
      <c r="C1403" t="inlineStr">
        <is>
          <t>VICTOR FAJARDO</t>
        </is>
      </c>
      <c r="D1403" t="inlineStr">
        <is>
          <t>HUAMANQUIQUIA</t>
        </is>
      </c>
      <c r="E1403" t="n">
        <v>204</v>
      </c>
      <c r="F1403" s="14" t="n">
        <v>0</v>
      </c>
      <c r="G1403" s="14" t="n">
        <v>63.73</v>
      </c>
      <c r="H1403" s="14" t="n">
        <v>0</v>
      </c>
      <c r="I1403" s="14" t="n">
        <v>0</v>
      </c>
      <c r="J1403" s="14" t="n">
        <v>0</v>
      </c>
      <c r="K1403" s="14" t="n">
        <v>0</v>
      </c>
      <c r="L1403" s="14" t="n">
        <v>16.18</v>
      </c>
      <c r="M1403" s="14" t="n">
        <v>3.92</v>
      </c>
      <c r="N1403" s="14" t="n">
        <v>0.98</v>
      </c>
      <c r="O1403" s="14" t="n">
        <v>0.98</v>
      </c>
      <c r="P1403" s="14" t="n">
        <v>0</v>
      </c>
      <c r="Q1403" s="14" t="n">
        <v>0</v>
      </c>
      <c r="R1403" s="14" t="n">
        <v>0</v>
      </c>
      <c r="S1403" s="14" t="n">
        <v>0.98</v>
      </c>
      <c r="T1403" s="14" t="n">
        <v>0.49</v>
      </c>
      <c r="U1403" s="14" t="n">
        <v>5.39</v>
      </c>
      <c r="V1403" s="14" t="n">
        <v>4.41</v>
      </c>
      <c r="W1403" s="14" t="n">
        <v>1.47</v>
      </c>
      <c r="X1403" s="14" t="n">
        <v>0</v>
      </c>
      <c r="Y1403" s="14" t="n">
        <v>1.47</v>
      </c>
      <c r="Z1403" s="14" t="n">
        <v>0</v>
      </c>
      <c r="AA1403" s="14" t="n">
        <v>0</v>
      </c>
    </row>
    <row r="1404">
      <c r="A1404" t="inlineStr">
        <is>
          <t>040810</t>
        </is>
      </c>
      <c r="B1404" t="inlineStr">
        <is>
          <t>AREQUIPA</t>
        </is>
      </c>
      <c r="C1404" t="inlineStr">
        <is>
          <t>LA UNION</t>
        </is>
      </c>
      <c r="D1404" t="inlineStr">
        <is>
          <t>TOMEPAMPA</t>
        </is>
      </c>
      <c r="E1404" t="n">
        <v>288</v>
      </c>
      <c r="F1404" s="14" t="n">
        <v>0</v>
      </c>
      <c r="G1404" s="14" t="n">
        <v>75</v>
      </c>
      <c r="H1404" s="14" t="n">
        <v>0</v>
      </c>
      <c r="I1404" s="14" t="n">
        <v>1.74</v>
      </c>
      <c r="J1404" s="14" t="n">
        <v>0</v>
      </c>
      <c r="K1404" s="14" t="n">
        <v>0</v>
      </c>
      <c r="L1404" s="14" t="n">
        <v>2.08</v>
      </c>
      <c r="M1404" s="14" t="n">
        <v>2.43</v>
      </c>
      <c r="N1404" s="14" t="n">
        <v>0.35</v>
      </c>
      <c r="O1404" s="14" t="n">
        <v>1.04</v>
      </c>
      <c r="P1404" s="14" t="n">
        <v>0</v>
      </c>
      <c r="Q1404" s="14" t="n">
        <v>0</v>
      </c>
      <c r="R1404" s="14" t="n">
        <v>0</v>
      </c>
      <c r="S1404" s="14" t="n">
        <v>1.74</v>
      </c>
      <c r="T1404" s="14" t="n">
        <v>0</v>
      </c>
      <c r="U1404" s="14" t="n">
        <v>3.82</v>
      </c>
      <c r="V1404" s="14" t="n">
        <v>10.42</v>
      </c>
      <c r="W1404" s="14" t="n">
        <v>1.04</v>
      </c>
      <c r="X1404" s="14" t="n">
        <v>0</v>
      </c>
      <c r="Y1404" s="14" t="n">
        <v>0.35</v>
      </c>
      <c r="Z1404" s="14" t="n">
        <v>0</v>
      </c>
      <c r="AA1404" s="14" t="n">
        <v>0</v>
      </c>
    </row>
    <row r="1405">
      <c r="A1405" t="inlineStr">
        <is>
          <t>050304</t>
        </is>
      </c>
      <c r="B1405" t="inlineStr">
        <is>
          <t>AYACUCHO</t>
        </is>
      </c>
      <c r="C1405" t="inlineStr">
        <is>
          <t>HUANCA SANCOS</t>
        </is>
      </c>
      <c r="D1405" t="inlineStr">
        <is>
          <t>SANTIAGO DE LUCANAMARCA</t>
        </is>
      </c>
      <c r="E1405" t="n">
        <v>505</v>
      </c>
      <c r="F1405" s="14" t="n">
        <v>0</v>
      </c>
      <c r="G1405" s="14" t="n">
        <v>68.51000000000001</v>
      </c>
      <c r="H1405" s="14" t="n">
        <v>1.98</v>
      </c>
      <c r="I1405" s="14" t="n">
        <v>1.19</v>
      </c>
      <c r="J1405" s="14" t="n">
        <v>0</v>
      </c>
      <c r="K1405" s="14" t="n">
        <v>0</v>
      </c>
      <c r="L1405" s="14" t="n">
        <v>4.55</v>
      </c>
      <c r="M1405" s="14" t="n">
        <v>6.34</v>
      </c>
      <c r="N1405" s="14" t="n">
        <v>1.78</v>
      </c>
      <c r="O1405" s="14" t="n">
        <v>0.59</v>
      </c>
      <c r="P1405" s="14" t="n">
        <v>0</v>
      </c>
      <c r="Q1405" s="14" t="n">
        <v>0</v>
      </c>
      <c r="R1405" s="14" t="n">
        <v>0</v>
      </c>
      <c r="S1405" s="14" t="n">
        <v>0.99</v>
      </c>
      <c r="T1405" s="14" t="n">
        <v>0.79</v>
      </c>
      <c r="U1405" s="14" t="n">
        <v>1.39</v>
      </c>
      <c r="V1405" s="14" t="n">
        <v>7.52</v>
      </c>
      <c r="W1405" s="14" t="n">
        <v>1.98</v>
      </c>
      <c r="X1405" s="14" t="n">
        <v>0</v>
      </c>
      <c r="Y1405" s="14" t="n">
        <v>1.19</v>
      </c>
      <c r="Z1405" s="14" t="n">
        <v>1.19</v>
      </c>
      <c r="AA1405" s="14" t="n">
        <v>0</v>
      </c>
    </row>
    <row r="1406">
      <c r="A1406" t="inlineStr">
        <is>
          <t>080803</t>
        </is>
      </c>
      <c r="B1406" t="inlineStr">
        <is>
          <t>CUSCO</t>
        </is>
      </c>
      <c r="C1406" t="inlineStr">
        <is>
          <t>ESPINAR</t>
        </is>
      </c>
      <c r="D1406" t="inlineStr">
        <is>
          <t>COPORAQUE</t>
        </is>
      </c>
      <c r="E1406" t="n">
        <v>3230</v>
      </c>
      <c r="F1406" s="14" t="n">
        <v>0</v>
      </c>
      <c r="G1406" s="14" t="n">
        <v>78.51000000000001</v>
      </c>
      <c r="H1406" s="14" t="n">
        <v>0.68</v>
      </c>
      <c r="I1406" s="14" t="n">
        <v>1.15</v>
      </c>
      <c r="J1406" s="14" t="n">
        <v>0</v>
      </c>
      <c r="K1406" s="14" t="n">
        <v>0</v>
      </c>
      <c r="L1406" s="14" t="n">
        <v>8.140000000000001</v>
      </c>
      <c r="M1406" s="14" t="n">
        <v>6.28</v>
      </c>
      <c r="N1406" s="14" t="n">
        <v>1.27</v>
      </c>
      <c r="O1406" s="14" t="n">
        <v>0.87</v>
      </c>
      <c r="P1406" s="14" t="n">
        <v>0.03</v>
      </c>
      <c r="Q1406" s="14" t="n">
        <v>0</v>
      </c>
      <c r="R1406" s="14" t="n">
        <v>0</v>
      </c>
      <c r="S1406" s="14" t="n">
        <v>0.25</v>
      </c>
      <c r="T1406" s="14" t="n">
        <v>0.15</v>
      </c>
      <c r="U1406" s="14" t="n">
        <v>0.77</v>
      </c>
      <c r="V1406" s="14" t="n">
        <v>1.05</v>
      </c>
      <c r="W1406" s="14" t="n">
        <v>0.03</v>
      </c>
      <c r="X1406" s="14" t="n">
        <v>0</v>
      </c>
      <c r="Y1406" s="14" t="n">
        <v>0.71</v>
      </c>
      <c r="Z1406" s="14" t="n">
        <v>0.09</v>
      </c>
      <c r="AA1406" s="14" t="n">
        <v>0</v>
      </c>
    </row>
    <row r="1407">
      <c r="A1407" t="inlineStr">
        <is>
          <t>051009</t>
        </is>
      </c>
      <c r="B1407" t="inlineStr">
        <is>
          <t>AYACUCHO</t>
        </is>
      </c>
      <c r="C1407" t="inlineStr">
        <is>
          <t>VICTOR FAJARDO</t>
        </is>
      </c>
      <c r="D1407" t="inlineStr">
        <is>
          <t>HUANCARAYLLA</t>
        </is>
      </c>
      <c r="E1407" t="n">
        <v>398</v>
      </c>
      <c r="F1407" s="14" t="n">
        <v>0</v>
      </c>
      <c r="G1407" s="14" t="n">
        <v>57.79</v>
      </c>
      <c r="H1407" s="14" t="n">
        <v>0</v>
      </c>
      <c r="I1407" s="14" t="n">
        <v>1.51</v>
      </c>
      <c r="J1407" s="14" t="n">
        <v>0.5</v>
      </c>
      <c r="K1407" s="14" t="n">
        <v>0.75</v>
      </c>
      <c r="L1407" s="14" t="n">
        <v>10.05</v>
      </c>
      <c r="M1407" s="14" t="n">
        <v>7.04</v>
      </c>
      <c r="N1407" s="14" t="n">
        <v>2.76</v>
      </c>
      <c r="O1407" s="14" t="n">
        <v>3.02</v>
      </c>
      <c r="P1407" s="14" t="n">
        <v>0</v>
      </c>
      <c r="Q1407" s="14" t="n">
        <v>0</v>
      </c>
      <c r="R1407" s="14" t="n">
        <v>0</v>
      </c>
      <c r="S1407" s="14" t="n">
        <v>1.26</v>
      </c>
      <c r="T1407" s="14" t="n">
        <v>0.25</v>
      </c>
      <c r="U1407" s="14" t="n">
        <v>5.03</v>
      </c>
      <c r="V1407" s="14" t="n">
        <v>6.53</v>
      </c>
      <c r="W1407" s="14" t="n">
        <v>2.01</v>
      </c>
      <c r="X1407" s="14" t="n">
        <v>0.5</v>
      </c>
      <c r="Y1407" s="14" t="n">
        <v>0.5</v>
      </c>
      <c r="Z1407" s="14" t="n">
        <v>0.5</v>
      </c>
      <c r="AA1407" s="14" t="n">
        <v>0</v>
      </c>
    </row>
    <row r="1408">
      <c r="A1408" t="inlineStr">
        <is>
          <t>050113</t>
        </is>
      </c>
      <c r="B1408" t="inlineStr">
        <is>
          <t>AYACUCHO</t>
        </is>
      </c>
      <c r="C1408" t="inlineStr">
        <is>
          <t>HUAMANGA</t>
        </is>
      </c>
      <c r="D1408" t="inlineStr">
        <is>
          <t>TAMBILLO</t>
        </is>
      </c>
      <c r="E1408" t="n">
        <v>1803</v>
      </c>
      <c r="F1408" s="14" t="n">
        <v>0</v>
      </c>
      <c r="G1408" s="14" t="n">
        <v>83.42</v>
      </c>
      <c r="H1408" s="14" t="n">
        <v>0.06</v>
      </c>
      <c r="I1408" s="14" t="n">
        <v>0.89</v>
      </c>
      <c r="J1408" s="14" t="n">
        <v>0</v>
      </c>
      <c r="K1408" s="14" t="n">
        <v>0</v>
      </c>
      <c r="L1408" s="14" t="n">
        <v>4.44</v>
      </c>
      <c r="M1408" s="14" t="n">
        <v>3.83</v>
      </c>
      <c r="N1408" s="14" t="n">
        <v>2.88</v>
      </c>
      <c r="O1408" s="14" t="n">
        <v>1.89</v>
      </c>
      <c r="P1408" s="14" t="n">
        <v>0</v>
      </c>
      <c r="Q1408" s="14" t="n">
        <v>0</v>
      </c>
      <c r="R1408" s="14" t="n">
        <v>0</v>
      </c>
      <c r="S1408" s="14" t="n">
        <v>0.28</v>
      </c>
      <c r="T1408" s="14" t="n">
        <v>0.28</v>
      </c>
      <c r="U1408" s="14" t="n">
        <v>0.33</v>
      </c>
      <c r="V1408" s="14" t="n">
        <v>0.44</v>
      </c>
      <c r="W1408" s="14" t="n">
        <v>0.33</v>
      </c>
      <c r="X1408" s="14" t="n">
        <v>0</v>
      </c>
      <c r="Y1408" s="14" t="n">
        <v>0.83</v>
      </c>
      <c r="Z1408" s="14" t="n">
        <v>0.11</v>
      </c>
      <c r="AA1408" s="14" t="n">
        <v>0</v>
      </c>
    </row>
    <row r="1409">
      <c r="A1409" t="inlineStr">
        <is>
          <t>061303</t>
        </is>
      </c>
      <c r="B1409" t="inlineStr">
        <is>
          <t>CAJAMARCA</t>
        </is>
      </c>
      <c r="C1409" t="inlineStr">
        <is>
          <t>SANTA CRUZ</t>
        </is>
      </c>
      <c r="D1409" t="inlineStr">
        <is>
          <t>CATACHE</t>
        </is>
      </c>
      <c r="E1409" t="n">
        <v>3375</v>
      </c>
      <c r="F1409" s="14" t="n">
        <v>0</v>
      </c>
      <c r="G1409" s="14" t="n">
        <v>55.67</v>
      </c>
      <c r="H1409" s="14" t="n">
        <v>20.68</v>
      </c>
      <c r="I1409" s="14" t="n">
        <v>0.95</v>
      </c>
      <c r="J1409" s="14" t="n">
        <v>0</v>
      </c>
      <c r="K1409" s="14" t="n">
        <v>0.15</v>
      </c>
      <c r="L1409" s="14" t="n">
        <v>4.03</v>
      </c>
      <c r="M1409" s="14" t="n">
        <v>4.98</v>
      </c>
      <c r="N1409" s="14" t="n">
        <v>1.33</v>
      </c>
      <c r="O1409" s="14" t="n">
        <v>1.63</v>
      </c>
      <c r="P1409" s="14" t="n">
        <v>0</v>
      </c>
      <c r="Q1409" s="14" t="n">
        <v>0.09</v>
      </c>
      <c r="R1409" s="14" t="n">
        <v>0</v>
      </c>
      <c r="S1409" s="14" t="n">
        <v>1.21</v>
      </c>
      <c r="T1409" s="14" t="n">
        <v>1.93</v>
      </c>
      <c r="U1409" s="14" t="n">
        <v>1.51</v>
      </c>
      <c r="V1409" s="14" t="n">
        <v>3.41</v>
      </c>
      <c r="W1409" s="14" t="n">
        <v>0.83</v>
      </c>
      <c r="X1409" s="14" t="n">
        <v>0.03</v>
      </c>
      <c r="Y1409" s="14" t="n">
        <v>0.44</v>
      </c>
      <c r="Z1409" s="14" t="n">
        <v>1.13</v>
      </c>
      <c r="AA1409" s="14" t="n">
        <v>0</v>
      </c>
    </row>
    <row r="1410">
      <c r="A1410" t="inlineStr">
        <is>
          <t>050902</t>
        </is>
      </c>
      <c r="B1410" t="inlineStr">
        <is>
          <t>AYACUCHO</t>
        </is>
      </c>
      <c r="C1410" t="inlineStr">
        <is>
          <t>SUCRE</t>
        </is>
      </c>
      <c r="D1410" t="inlineStr">
        <is>
          <t>BELEN</t>
        </is>
      </c>
      <c r="E1410" t="n">
        <v>113</v>
      </c>
      <c r="F1410" s="14" t="n">
        <v>0</v>
      </c>
      <c r="G1410" s="14" t="n">
        <v>48.67</v>
      </c>
      <c r="H1410" s="14" t="n">
        <v>0.88</v>
      </c>
      <c r="I1410" s="14" t="n">
        <v>0.88</v>
      </c>
      <c r="J1410" s="14" t="n">
        <v>0</v>
      </c>
      <c r="K1410" s="14" t="n">
        <v>0</v>
      </c>
      <c r="L1410" s="14" t="n">
        <v>11.5</v>
      </c>
      <c r="M1410" s="14" t="n">
        <v>2.65</v>
      </c>
      <c r="N1410" s="14" t="n">
        <v>5.31</v>
      </c>
      <c r="O1410" s="14" t="n">
        <v>0.88</v>
      </c>
      <c r="P1410" s="14" t="n">
        <v>0</v>
      </c>
      <c r="Q1410" s="14" t="n">
        <v>0</v>
      </c>
      <c r="R1410" s="14" t="n">
        <v>0</v>
      </c>
      <c r="S1410" s="14" t="n">
        <v>6.19</v>
      </c>
      <c r="T1410" s="14" t="n">
        <v>0.88</v>
      </c>
      <c r="U1410" s="14" t="n">
        <v>2.65</v>
      </c>
      <c r="V1410" s="14" t="n">
        <v>14.16</v>
      </c>
      <c r="W1410" s="14" t="n">
        <v>2.65</v>
      </c>
      <c r="X1410" s="14" t="n">
        <v>0</v>
      </c>
      <c r="Y1410" s="14" t="n">
        <v>0.88</v>
      </c>
      <c r="Z1410" s="14" t="n">
        <v>1.77</v>
      </c>
      <c r="AA1410" s="14" t="n">
        <v>0</v>
      </c>
    </row>
    <row r="1411">
      <c r="A1411" t="inlineStr">
        <is>
          <t>022008</t>
        </is>
      </c>
      <c r="B1411" t="inlineStr">
        <is>
          <t>ANCASH</t>
        </is>
      </c>
      <c r="C1411" t="inlineStr">
        <is>
          <t>YUNGAY</t>
        </is>
      </c>
      <c r="D1411" t="inlineStr">
        <is>
          <t>YANAMA</t>
        </is>
      </c>
      <c r="E1411" t="n">
        <v>1298</v>
      </c>
      <c r="F1411" s="14" t="n">
        <v>0</v>
      </c>
      <c r="G1411" s="14" t="n">
        <v>71.56999999999999</v>
      </c>
      <c r="H1411" s="14" t="n">
        <v>0.15</v>
      </c>
      <c r="I1411" s="14" t="n">
        <v>4.08</v>
      </c>
      <c r="J1411" s="14" t="n">
        <v>0</v>
      </c>
      <c r="K1411" s="14" t="n">
        <v>0</v>
      </c>
      <c r="L1411" s="14" t="n">
        <v>2</v>
      </c>
      <c r="M1411" s="14" t="n">
        <v>5.93</v>
      </c>
      <c r="N1411" s="14" t="n">
        <v>1.23</v>
      </c>
      <c r="O1411" s="14" t="n">
        <v>1.23</v>
      </c>
      <c r="P1411" s="14" t="n">
        <v>0.08</v>
      </c>
      <c r="Q1411" s="14" t="n">
        <v>0.08</v>
      </c>
      <c r="R1411" s="14" t="n">
        <v>0</v>
      </c>
      <c r="S1411" s="14" t="n">
        <v>1.46</v>
      </c>
      <c r="T1411" s="14" t="n">
        <v>0.39</v>
      </c>
      <c r="U1411" s="14" t="n">
        <v>2.23</v>
      </c>
      <c r="V1411" s="14" t="n">
        <v>5.78</v>
      </c>
      <c r="W1411" s="14" t="n">
        <v>1.54</v>
      </c>
      <c r="X1411" s="14" t="n">
        <v>0</v>
      </c>
      <c r="Y1411" s="14" t="n">
        <v>1.77</v>
      </c>
      <c r="Z1411" s="14" t="n">
        <v>0.46</v>
      </c>
      <c r="AA1411" s="14" t="n">
        <v>0</v>
      </c>
    </row>
    <row r="1412">
      <c r="A1412" t="inlineStr">
        <is>
          <t>030702</t>
        </is>
      </c>
      <c r="B1412" t="inlineStr">
        <is>
          <t>APURIMAC</t>
        </is>
      </c>
      <c r="C1412" t="inlineStr">
        <is>
          <t>GRAU</t>
        </is>
      </c>
      <c r="D1412" t="inlineStr">
        <is>
          <t>CURPAHUASI</t>
        </is>
      </c>
      <c r="E1412" t="n">
        <v>496</v>
      </c>
      <c r="F1412" s="14" t="n">
        <v>0</v>
      </c>
      <c r="G1412" s="14" t="n">
        <v>85.48</v>
      </c>
      <c r="H1412" s="14" t="n">
        <v>1.61</v>
      </c>
      <c r="I1412" s="14" t="n">
        <v>0.6</v>
      </c>
      <c r="J1412" s="14" t="n">
        <v>0</v>
      </c>
      <c r="K1412" s="14" t="n">
        <v>0</v>
      </c>
      <c r="L1412" s="14" t="n">
        <v>0.6</v>
      </c>
      <c r="M1412" s="14" t="n">
        <v>0.8100000000000001</v>
      </c>
      <c r="N1412" s="14" t="n">
        <v>0.8100000000000001</v>
      </c>
      <c r="O1412" s="14" t="n">
        <v>1.01</v>
      </c>
      <c r="P1412" s="14" t="n">
        <v>0</v>
      </c>
      <c r="Q1412" s="14" t="n">
        <v>0</v>
      </c>
      <c r="R1412" s="14" t="n">
        <v>0</v>
      </c>
      <c r="S1412" s="14" t="n">
        <v>0</v>
      </c>
      <c r="T1412" s="14" t="n">
        <v>0</v>
      </c>
      <c r="U1412" s="14" t="n">
        <v>1.21</v>
      </c>
      <c r="V1412" s="14" t="n">
        <v>5.44</v>
      </c>
      <c r="W1412" s="14" t="n">
        <v>2.22</v>
      </c>
      <c r="X1412" s="14" t="n">
        <v>0</v>
      </c>
      <c r="Y1412" s="14" t="n">
        <v>0.2</v>
      </c>
      <c r="Z1412" s="14" t="n">
        <v>0</v>
      </c>
      <c r="AA1412" s="14" t="n">
        <v>0</v>
      </c>
    </row>
    <row r="1413">
      <c r="A1413" t="inlineStr">
        <is>
          <t>040805</t>
        </is>
      </c>
      <c r="B1413" t="inlineStr">
        <is>
          <t>AREQUIPA</t>
        </is>
      </c>
      <c r="C1413" t="inlineStr">
        <is>
          <t>LA UNION</t>
        </is>
      </c>
      <c r="D1413" t="inlineStr">
        <is>
          <t>PAMPAMARCA</t>
        </is>
      </c>
      <c r="E1413" t="n">
        <v>494</v>
      </c>
      <c r="F1413" s="14" t="n">
        <v>0</v>
      </c>
      <c r="G1413" s="14" t="n">
        <v>87.84999999999999</v>
      </c>
      <c r="H1413" s="14" t="n">
        <v>0.2</v>
      </c>
      <c r="I1413" s="14" t="n">
        <v>0.4</v>
      </c>
      <c r="J1413" s="14" t="n">
        <v>0</v>
      </c>
      <c r="K1413" s="14" t="n">
        <v>0</v>
      </c>
      <c r="L1413" s="14" t="n">
        <v>0</v>
      </c>
      <c r="M1413" s="14" t="n">
        <v>5.06</v>
      </c>
      <c r="N1413" s="14" t="n">
        <v>0.4</v>
      </c>
      <c r="O1413" s="14" t="n">
        <v>0.4</v>
      </c>
      <c r="P1413" s="14" t="n">
        <v>0</v>
      </c>
      <c r="Q1413" s="14" t="n">
        <v>0</v>
      </c>
      <c r="R1413" s="14" t="n">
        <v>0</v>
      </c>
      <c r="S1413" s="14" t="n">
        <v>0</v>
      </c>
      <c r="T1413" s="14" t="n">
        <v>0</v>
      </c>
      <c r="U1413" s="14" t="n">
        <v>1.62</v>
      </c>
      <c r="V1413" s="14" t="n">
        <v>3.44</v>
      </c>
      <c r="W1413" s="14" t="n">
        <v>0.61</v>
      </c>
      <c r="X1413" s="14" t="n">
        <v>0</v>
      </c>
      <c r="Y1413" s="14" t="n">
        <v>0</v>
      </c>
      <c r="Z1413" s="14" t="n">
        <v>0</v>
      </c>
      <c r="AA1413" s="14" t="n">
        <v>0</v>
      </c>
    </row>
    <row r="1414">
      <c r="A1414" t="inlineStr">
        <is>
          <t>080901</t>
        </is>
      </c>
      <c r="B1414" t="inlineStr">
        <is>
          <t>CUSCO</t>
        </is>
      </c>
      <c r="C1414" t="inlineStr">
        <is>
          <t>LA CONVENCION</t>
        </is>
      </c>
      <c r="D1414" t="inlineStr">
        <is>
          <t>SANTA ANA</t>
        </is>
      </c>
      <c r="E1414" t="n">
        <v>13298</v>
      </c>
      <c r="F1414" s="14" t="n">
        <v>0</v>
      </c>
      <c r="G1414" s="14" t="n">
        <v>22.16</v>
      </c>
      <c r="H1414" s="14" t="n">
        <v>0.4</v>
      </c>
      <c r="I1414" s="14" t="n">
        <v>3.89</v>
      </c>
      <c r="J1414" s="14" t="n">
        <v>0.12</v>
      </c>
      <c r="K1414" s="14" t="n">
        <v>0.07000000000000001</v>
      </c>
      <c r="L1414" s="14" t="n">
        <v>8.949999999999999</v>
      </c>
      <c r="M1414" s="14" t="n">
        <v>22.54</v>
      </c>
      <c r="N1414" s="14" t="n">
        <v>5.4</v>
      </c>
      <c r="O1414" s="14" t="n">
        <v>5.26</v>
      </c>
      <c r="P1414" s="14" t="n">
        <v>0.44</v>
      </c>
      <c r="Q1414" s="14" t="n">
        <v>0.72</v>
      </c>
      <c r="R1414" s="14" t="n">
        <v>0.04</v>
      </c>
      <c r="S1414" s="14" t="n">
        <v>10.05</v>
      </c>
      <c r="T1414" s="14" t="n">
        <v>0.92</v>
      </c>
      <c r="U1414" s="14" t="n">
        <v>5.05</v>
      </c>
      <c r="V1414" s="14" t="n">
        <v>4.01</v>
      </c>
      <c r="W1414" s="14" t="n">
        <v>2.6</v>
      </c>
      <c r="X1414" s="14" t="n">
        <v>0.38</v>
      </c>
      <c r="Y1414" s="14" t="n">
        <v>6.55</v>
      </c>
      <c r="Z1414" s="14" t="n">
        <v>0.46</v>
      </c>
      <c r="AA1414" s="14" t="n">
        <v>0</v>
      </c>
    </row>
    <row r="1415">
      <c r="A1415" t="inlineStr">
        <is>
          <t>010106</t>
        </is>
      </c>
      <c r="B1415" t="inlineStr">
        <is>
          <t>AMAZONAS</t>
        </is>
      </c>
      <c r="C1415" t="inlineStr">
        <is>
          <t>CHACHAPOYAS</t>
        </is>
      </c>
      <c r="D1415" t="inlineStr">
        <is>
          <t>CHUQUIBAMBA</t>
        </is>
      </c>
      <c r="E1415" t="n">
        <v>555</v>
      </c>
      <c r="F1415" s="14" t="n">
        <v>0</v>
      </c>
      <c r="G1415" s="14" t="n">
        <v>78.2</v>
      </c>
      <c r="H1415" s="14" t="n">
        <v>0</v>
      </c>
      <c r="I1415" s="14" t="n">
        <v>1.08</v>
      </c>
      <c r="J1415" s="14" t="n">
        <v>0</v>
      </c>
      <c r="K1415" s="14" t="n">
        <v>0</v>
      </c>
      <c r="L1415" s="14" t="n">
        <v>1.98</v>
      </c>
      <c r="M1415" s="14" t="n">
        <v>2.16</v>
      </c>
      <c r="N1415" s="14" t="n">
        <v>0.18</v>
      </c>
      <c r="O1415" s="14" t="n">
        <v>0.72</v>
      </c>
      <c r="P1415" s="14" t="n">
        <v>0</v>
      </c>
      <c r="Q1415" s="14" t="n">
        <v>0</v>
      </c>
      <c r="R1415" s="14" t="n">
        <v>0</v>
      </c>
      <c r="S1415" s="14" t="n">
        <v>0.36</v>
      </c>
      <c r="T1415" s="14" t="n">
        <v>0</v>
      </c>
      <c r="U1415" s="14" t="n">
        <v>4.68</v>
      </c>
      <c r="V1415" s="14" t="n">
        <v>9.01</v>
      </c>
      <c r="W1415" s="14" t="n">
        <v>1.44</v>
      </c>
      <c r="X1415" s="14" t="n">
        <v>0</v>
      </c>
      <c r="Y1415" s="14" t="n">
        <v>0</v>
      </c>
      <c r="Z1415" s="14" t="n">
        <v>0.18</v>
      </c>
      <c r="AA1415" s="14" t="n">
        <v>0</v>
      </c>
    </row>
    <row r="1416">
      <c r="A1416" t="inlineStr">
        <is>
          <t>050705</t>
        </is>
      </c>
      <c r="B1416" t="inlineStr">
        <is>
          <t>AYACUCHO</t>
        </is>
      </c>
      <c r="C1416" t="inlineStr">
        <is>
          <t>PARINACOCHAS</t>
        </is>
      </c>
      <c r="D1416" t="inlineStr">
        <is>
          <t>PULLO</t>
        </is>
      </c>
      <c r="E1416" t="n">
        <v>2710</v>
      </c>
      <c r="F1416" s="14" t="n">
        <v>0</v>
      </c>
      <c r="G1416" s="14" t="n">
        <v>27.27</v>
      </c>
      <c r="H1416" s="14" t="n">
        <v>36.2</v>
      </c>
      <c r="I1416" s="14" t="n">
        <v>1.7</v>
      </c>
      <c r="J1416" s="14" t="n">
        <v>0</v>
      </c>
      <c r="K1416" s="14" t="n">
        <v>0.07000000000000001</v>
      </c>
      <c r="L1416" s="14" t="n">
        <v>9.699999999999999</v>
      </c>
      <c r="M1416" s="14" t="n">
        <v>11.14</v>
      </c>
      <c r="N1416" s="14" t="n">
        <v>2.58</v>
      </c>
      <c r="O1416" s="14" t="n">
        <v>4.06</v>
      </c>
      <c r="P1416" s="14" t="n">
        <v>0.33</v>
      </c>
      <c r="Q1416" s="14" t="n">
        <v>0.04</v>
      </c>
      <c r="R1416" s="14" t="n">
        <v>0</v>
      </c>
      <c r="S1416" s="14" t="n">
        <v>0.77</v>
      </c>
      <c r="T1416" s="14" t="n">
        <v>0.41</v>
      </c>
      <c r="U1416" s="14" t="n">
        <v>0.77</v>
      </c>
      <c r="V1416" s="14" t="n">
        <v>2.32</v>
      </c>
      <c r="W1416" s="14" t="n">
        <v>0.41</v>
      </c>
      <c r="X1416" s="14" t="n">
        <v>0.15</v>
      </c>
      <c r="Y1416" s="14" t="n">
        <v>1.25</v>
      </c>
      <c r="Z1416" s="14" t="n">
        <v>0.8100000000000001</v>
      </c>
      <c r="AA1416" s="14" t="n">
        <v>0</v>
      </c>
    </row>
    <row r="1417">
      <c r="A1417" t="inlineStr">
        <is>
          <t>061203</t>
        </is>
      </c>
      <c r="B1417" t="inlineStr">
        <is>
          <t>CAJAMARCA</t>
        </is>
      </c>
      <c r="C1417" t="inlineStr">
        <is>
          <t>SAN PABLO</t>
        </is>
      </c>
      <c r="D1417" t="inlineStr">
        <is>
          <t>SAN LUIS</t>
        </is>
      </c>
      <c r="E1417" t="n">
        <v>273</v>
      </c>
      <c r="F1417" s="14" t="n">
        <v>0</v>
      </c>
      <c r="G1417" s="14" t="n">
        <v>84.25</v>
      </c>
      <c r="H1417" s="14" t="n">
        <v>0</v>
      </c>
      <c r="I1417" s="14" t="n">
        <v>1.47</v>
      </c>
      <c r="J1417" s="14" t="n">
        <v>0</v>
      </c>
      <c r="K1417" s="14" t="n">
        <v>0</v>
      </c>
      <c r="L1417" s="14" t="n">
        <v>0.73</v>
      </c>
      <c r="M1417" s="14" t="n">
        <v>1.83</v>
      </c>
      <c r="N1417" s="14" t="n">
        <v>2.2</v>
      </c>
      <c r="O1417" s="14" t="n">
        <v>0</v>
      </c>
      <c r="P1417" s="14" t="n">
        <v>0</v>
      </c>
      <c r="Q1417" s="14" t="n">
        <v>0.37</v>
      </c>
      <c r="R1417" s="14" t="n">
        <v>0</v>
      </c>
      <c r="S1417" s="14" t="n">
        <v>0.37</v>
      </c>
      <c r="T1417" s="14" t="n">
        <v>0</v>
      </c>
      <c r="U1417" s="14" t="n">
        <v>2.2</v>
      </c>
      <c r="V1417" s="14" t="n">
        <v>5.86</v>
      </c>
      <c r="W1417" s="14" t="n">
        <v>0.73</v>
      </c>
      <c r="X1417" s="14" t="n">
        <v>0</v>
      </c>
      <c r="Y1417" s="14" t="n">
        <v>0</v>
      </c>
      <c r="Z1417" s="14" t="n">
        <v>0</v>
      </c>
      <c r="AA1417" s="14" t="n">
        <v>0</v>
      </c>
    </row>
    <row r="1418">
      <c r="A1418" t="inlineStr">
        <is>
          <t>030416</t>
        </is>
      </c>
      <c r="B1418" t="inlineStr">
        <is>
          <t>APURIMAC</t>
        </is>
      </c>
      <c r="C1418" t="inlineStr">
        <is>
          <t>AYMARAES</t>
        </is>
      </c>
      <c r="D1418" t="inlineStr">
        <is>
          <t>TORAYA</t>
        </is>
      </c>
      <c r="E1418" t="n">
        <v>435</v>
      </c>
      <c r="F1418" s="14" t="n">
        <v>0</v>
      </c>
      <c r="G1418" s="14" t="n">
        <v>64.59999999999999</v>
      </c>
      <c r="H1418" s="14" t="n">
        <v>1.38</v>
      </c>
      <c r="I1418" s="14" t="n">
        <v>0.46</v>
      </c>
      <c r="J1418" s="14" t="n">
        <v>0</v>
      </c>
      <c r="K1418" s="14" t="n">
        <v>0</v>
      </c>
      <c r="L1418" s="14" t="n">
        <v>9.43</v>
      </c>
      <c r="M1418" s="14" t="n">
        <v>4.83</v>
      </c>
      <c r="N1418" s="14" t="n">
        <v>2.76</v>
      </c>
      <c r="O1418" s="14" t="n">
        <v>1.61</v>
      </c>
      <c r="P1418" s="14" t="n">
        <v>0</v>
      </c>
      <c r="Q1418" s="14" t="n">
        <v>0</v>
      </c>
      <c r="R1418" s="14" t="n">
        <v>0</v>
      </c>
      <c r="S1418" s="14" t="n">
        <v>0.46</v>
      </c>
      <c r="T1418" s="14" t="n">
        <v>0.46</v>
      </c>
      <c r="U1418" s="14" t="n">
        <v>7.13</v>
      </c>
      <c r="V1418" s="14" t="n">
        <v>5.75</v>
      </c>
      <c r="W1418" s="14" t="n">
        <v>0.6899999999999999</v>
      </c>
      <c r="X1418" s="14" t="n">
        <v>0</v>
      </c>
      <c r="Y1418" s="14" t="n">
        <v>0.23</v>
      </c>
      <c r="Z1418" s="14" t="n">
        <v>0.23</v>
      </c>
      <c r="AA1418" s="14" t="n">
        <v>0</v>
      </c>
    </row>
    <row r="1419">
      <c r="A1419" t="inlineStr">
        <is>
          <t>080703</t>
        </is>
      </c>
      <c r="B1419" t="inlineStr">
        <is>
          <t>CUSCO</t>
        </is>
      </c>
      <c r="C1419" t="inlineStr">
        <is>
          <t>CHUMBIVILCAS</t>
        </is>
      </c>
      <c r="D1419" t="inlineStr">
        <is>
          <t>CHAMACA</t>
        </is>
      </c>
      <c r="E1419" t="n">
        <v>1760</v>
      </c>
      <c r="F1419" s="14" t="n">
        <v>0</v>
      </c>
      <c r="G1419" s="14" t="n">
        <v>68.41</v>
      </c>
      <c r="H1419" s="14" t="n">
        <v>1.59</v>
      </c>
      <c r="I1419" s="14" t="n">
        <v>1.36</v>
      </c>
      <c r="J1419" s="14" t="n">
        <v>0</v>
      </c>
      <c r="K1419" s="14" t="n">
        <v>0.11</v>
      </c>
      <c r="L1419" s="14" t="n">
        <v>8.75</v>
      </c>
      <c r="M1419" s="14" t="n">
        <v>7.44</v>
      </c>
      <c r="N1419" s="14" t="n">
        <v>0.8</v>
      </c>
      <c r="O1419" s="14" t="n">
        <v>1.53</v>
      </c>
      <c r="P1419" s="14" t="n">
        <v>0</v>
      </c>
      <c r="Q1419" s="14" t="n">
        <v>0.06</v>
      </c>
      <c r="R1419" s="14" t="n">
        <v>0</v>
      </c>
      <c r="S1419" s="14" t="n">
        <v>1.59</v>
      </c>
      <c r="T1419" s="14" t="n">
        <v>0.57</v>
      </c>
      <c r="U1419" s="14" t="n">
        <v>1.36</v>
      </c>
      <c r="V1419" s="14" t="n">
        <v>4.38</v>
      </c>
      <c r="W1419" s="14" t="n">
        <v>0.8</v>
      </c>
      <c r="X1419" s="14" t="n">
        <v>0</v>
      </c>
      <c r="Y1419" s="14" t="n">
        <v>0.8</v>
      </c>
      <c r="Z1419" s="14" t="n">
        <v>0.45</v>
      </c>
      <c r="AA1419" s="14" t="n">
        <v>0</v>
      </c>
    </row>
    <row r="1420">
      <c r="A1420" t="inlineStr">
        <is>
          <t>020512</t>
        </is>
      </c>
      <c r="B1420" t="inlineStr">
        <is>
          <t>ANCASH</t>
        </is>
      </c>
      <c r="C1420" t="inlineStr">
        <is>
          <t>BOLOGNESI</t>
        </is>
      </c>
      <c r="D1420" t="inlineStr">
        <is>
          <t>MANGAS</t>
        </is>
      </c>
      <c r="E1420" t="n">
        <v>177</v>
      </c>
      <c r="F1420" s="14" t="n">
        <v>0</v>
      </c>
      <c r="G1420" s="14" t="n">
        <v>51.98</v>
      </c>
      <c r="H1420" s="14" t="n">
        <v>0</v>
      </c>
      <c r="I1420" s="14" t="n">
        <v>3.95</v>
      </c>
      <c r="J1420" s="14" t="n">
        <v>0</v>
      </c>
      <c r="K1420" s="14" t="n">
        <v>0</v>
      </c>
      <c r="L1420" s="14" t="n">
        <v>2.26</v>
      </c>
      <c r="M1420" s="14" t="n">
        <v>13.56</v>
      </c>
      <c r="N1420" s="14" t="n">
        <v>3.95</v>
      </c>
      <c r="O1420" s="14" t="n">
        <v>5.65</v>
      </c>
      <c r="P1420" s="14" t="n">
        <v>0</v>
      </c>
      <c r="Q1420" s="14" t="n">
        <v>0</v>
      </c>
      <c r="R1420" s="14" t="n">
        <v>0</v>
      </c>
      <c r="S1420" s="14" t="n">
        <v>0.5600000000000001</v>
      </c>
      <c r="T1420" s="14" t="n">
        <v>1.69</v>
      </c>
      <c r="U1420" s="14" t="n">
        <v>5.08</v>
      </c>
      <c r="V1420" s="14" t="n">
        <v>6.78</v>
      </c>
      <c r="W1420" s="14" t="n">
        <v>2.82</v>
      </c>
      <c r="X1420" s="14" t="n">
        <v>0</v>
      </c>
      <c r="Y1420" s="14" t="n">
        <v>0</v>
      </c>
      <c r="Z1420" s="14" t="n">
        <v>1.69</v>
      </c>
      <c r="AA1420" s="14" t="n">
        <v>0</v>
      </c>
    </row>
    <row r="1421">
      <c r="A1421" t="inlineStr">
        <is>
          <t>030414</t>
        </is>
      </c>
      <c r="B1421" t="inlineStr">
        <is>
          <t>APURIMAC</t>
        </is>
      </c>
      <c r="C1421" t="inlineStr">
        <is>
          <t>AYMARAES</t>
        </is>
      </c>
      <c r="D1421" t="inlineStr">
        <is>
          <t>TAPAIRIHUA</t>
        </is>
      </c>
      <c r="E1421" t="n">
        <v>496</v>
      </c>
      <c r="F1421" s="14" t="n">
        <v>0</v>
      </c>
      <c r="G1421" s="14" t="n">
        <v>74.40000000000001</v>
      </c>
      <c r="H1421" s="14" t="n">
        <v>0.8100000000000001</v>
      </c>
      <c r="I1421" s="14" t="n">
        <v>0.8100000000000001</v>
      </c>
      <c r="J1421" s="14" t="n">
        <v>0</v>
      </c>
      <c r="K1421" s="14" t="n">
        <v>0</v>
      </c>
      <c r="L1421" s="14" t="n">
        <v>6.65</v>
      </c>
      <c r="M1421" s="14" t="n">
        <v>3.63</v>
      </c>
      <c r="N1421" s="14" t="n">
        <v>2.02</v>
      </c>
      <c r="O1421" s="14" t="n">
        <v>0</v>
      </c>
      <c r="P1421" s="14" t="n">
        <v>0.2</v>
      </c>
      <c r="Q1421" s="14" t="n">
        <v>0</v>
      </c>
      <c r="R1421" s="14" t="n">
        <v>0</v>
      </c>
      <c r="S1421" s="14" t="n">
        <v>0.4</v>
      </c>
      <c r="T1421" s="14" t="n">
        <v>0.2</v>
      </c>
      <c r="U1421" s="14" t="n">
        <v>6.05</v>
      </c>
      <c r="V1421" s="14" t="n">
        <v>1.81</v>
      </c>
      <c r="W1421" s="14" t="n">
        <v>2.42</v>
      </c>
      <c r="X1421" s="14" t="n">
        <v>0</v>
      </c>
      <c r="Y1421" s="14" t="n">
        <v>0.4</v>
      </c>
      <c r="Z1421" s="14" t="n">
        <v>0.2</v>
      </c>
      <c r="AA1421" s="14" t="n">
        <v>0</v>
      </c>
    </row>
    <row r="1422">
      <c r="A1422" t="inlineStr">
        <is>
          <t>040803</t>
        </is>
      </c>
      <c r="B1422" t="inlineStr">
        <is>
          <t>AREQUIPA</t>
        </is>
      </c>
      <c r="C1422" t="inlineStr">
        <is>
          <t>LA UNION</t>
        </is>
      </c>
      <c r="D1422" t="inlineStr">
        <is>
          <t>CHARCANA</t>
        </is>
      </c>
      <c r="E1422" t="n">
        <v>226</v>
      </c>
      <c r="F1422" s="14" t="n">
        <v>0</v>
      </c>
      <c r="G1422" s="14" t="n">
        <v>67.26000000000001</v>
      </c>
      <c r="H1422" s="14" t="n">
        <v>0.44</v>
      </c>
      <c r="I1422" s="14" t="n">
        <v>2.65</v>
      </c>
      <c r="J1422" s="14" t="n">
        <v>0</v>
      </c>
      <c r="K1422" s="14" t="n">
        <v>0</v>
      </c>
      <c r="L1422" s="14" t="n">
        <v>13.27</v>
      </c>
      <c r="M1422" s="14" t="n">
        <v>3.1</v>
      </c>
      <c r="N1422" s="14" t="n">
        <v>0</v>
      </c>
      <c r="O1422" s="14" t="n">
        <v>1.77</v>
      </c>
      <c r="P1422" s="14" t="n">
        <v>0</v>
      </c>
      <c r="Q1422" s="14" t="n">
        <v>0.44</v>
      </c>
      <c r="R1422" s="14" t="n">
        <v>0</v>
      </c>
      <c r="S1422" s="14" t="n">
        <v>0</v>
      </c>
      <c r="T1422" s="14" t="n">
        <v>0</v>
      </c>
      <c r="U1422" s="14" t="n">
        <v>4.87</v>
      </c>
      <c r="V1422" s="14" t="n">
        <v>3.1</v>
      </c>
      <c r="W1422" s="14" t="n">
        <v>2.21</v>
      </c>
      <c r="X1422" s="14" t="n">
        <v>0</v>
      </c>
      <c r="Y1422" s="14" t="n">
        <v>0.44</v>
      </c>
      <c r="Z1422" s="14" t="n">
        <v>0.44</v>
      </c>
      <c r="AA1422" s="14" t="n">
        <v>0</v>
      </c>
    </row>
    <row r="1423">
      <c r="A1423" t="inlineStr">
        <is>
          <t>050103</t>
        </is>
      </c>
      <c r="B1423" t="inlineStr">
        <is>
          <t>AYACUCHO</t>
        </is>
      </c>
      <c r="C1423" t="inlineStr">
        <is>
          <t>HUAMANGA</t>
        </is>
      </c>
      <c r="D1423" t="inlineStr">
        <is>
          <t>ACOS VINCHOS</t>
        </is>
      </c>
      <c r="E1423" t="n">
        <v>1343</v>
      </c>
      <c r="F1423" s="14" t="n">
        <v>0</v>
      </c>
      <c r="G1423" s="14" t="n">
        <v>86.52</v>
      </c>
      <c r="H1423" s="14" t="n">
        <v>0</v>
      </c>
      <c r="I1423" s="14" t="n">
        <v>2.23</v>
      </c>
      <c r="J1423" s="14" t="n">
        <v>0</v>
      </c>
      <c r="K1423" s="14" t="n">
        <v>0</v>
      </c>
      <c r="L1423" s="14" t="n">
        <v>0.97</v>
      </c>
      <c r="M1423" s="14" t="n">
        <v>3.2</v>
      </c>
      <c r="N1423" s="14" t="n">
        <v>1.79</v>
      </c>
      <c r="O1423" s="14" t="n">
        <v>1.19</v>
      </c>
      <c r="P1423" s="14" t="n">
        <v>0.07000000000000001</v>
      </c>
      <c r="Q1423" s="14" t="n">
        <v>0</v>
      </c>
      <c r="R1423" s="14" t="n">
        <v>0</v>
      </c>
      <c r="S1423" s="14" t="n">
        <v>0.22</v>
      </c>
      <c r="T1423" s="14" t="n">
        <v>0.6</v>
      </c>
      <c r="U1423" s="14" t="n">
        <v>0.97</v>
      </c>
      <c r="V1423" s="14" t="n">
        <v>0.6</v>
      </c>
      <c r="W1423" s="14" t="n">
        <v>0.3</v>
      </c>
      <c r="X1423" s="14" t="n">
        <v>1.04</v>
      </c>
      <c r="Y1423" s="14" t="n">
        <v>0.3</v>
      </c>
      <c r="Z1423" s="14" t="n">
        <v>0</v>
      </c>
      <c r="AA1423" s="14" t="n">
        <v>0</v>
      </c>
    </row>
    <row r="1424">
      <c r="A1424" t="inlineStr">
        <is>
          <t>081002</t>
        </is>
      </c>
      <c r="B1424" t="inlineStr">
        <is>
          <t>CUSCO</t>
        </is>
      </c>
      <c r="C1424" t="inlineStr">
        <is>
          <t>PARURO</t>
        </is>
      </c>
      <c r="D1424" t="inlineStr">
        <is>
          <t>ACCHA</t>
        </is>
      </c>
      <c r="E1424" t="n">
        <v>833</v>
      </c>
      <c r="F1424" s="14" t="n">
        <v>0</v>
      </c>
      <c r="G1424" s="14" t="n">
        <v>70.11</v>
      </c>
      <c r="H1424" s="14" t="n">
        <v>0</v>
      </c>
      <c r="I1424" s="14" t="n">
        <v>1.56</v>
      </c>
      <c r="J1424" s="14" t="n">
        <v>0</v>
      </c>
      <c r="K1424" s="14" t="n">
        <v>0.12</v>
      </c>
      <c r="L1424" s="14" t="n">
        <v>3.12</v>
      </c>
      <c r="M1424" s="14" t="n">
        <v>6.36</v>
      </c>
      <c r="N1424" s="14" t="n">
        <v>2.88</v>
      </c>
      <c r="O1424" s="14" t="n">
        <v>2.28</v>
      </c>
      <c r="P1424" s="14" t="n">
        <v>0</v>
      </c>
      <c r="Q1424" s="14" t="n">
        <v>0</v>
      </c>
      <c r="R1424" s="14" t="n">
        <v>0</v>
      </c>
      <c r="S1424" s="14" t="n">
        <v>1.68</v>
      </c>
      <c r="T1424" s="14" t="n">
        <v>0.84</v>
      </c>
      <c r="U1424" s="14" t="n">
        <v>1.8</v>
      </c>
      <c r="V1424" s="14" t="n">
        <v>5.04</v>
      </c>
      <c r="W1424" s="14" t="n">
        <v>0.48</v>
      </c>
      <c r="X1424" s="14" t="n">
        <v>0.12</v>
      </c>
      <c r="Y1424" s="14" t="n">
        <v>3.12</v>
      </c>
      <c r="Z1424" s="14" t="n">
        <v>0.48</v>
      </c>
      <c r="AA1424" s="14" t="n">
        <v>0</v>
      </c>
    </row>
    <row r="1425">
      <c r="A1425" t="inlineStr">
        <is>
          <t>061311</t>
        </is>
      </c>
      <c r="B1425" t="inlineStr">
        <is>
          <t>CAJAMARCA</t>
        </is>
      </c>
      <c r="C1425" t="inlineStr">
        <is>
          <t>SANTA CRUZ</t>
        </is>
      </c>
      <c r="D1425" t="inlineStr">
        <is>
          <t>YAUYUCAN</t>
        </is>
      </c>
      <c r="E1425" t="n">
        <v>1516</v>
      </c>
      <c r="F1425" s="14" t="n">
        <v>0</v>
      </c>
      <c r="G1425" s="14" t="n">
        <v>76.12</v>
      </c>
      <c r="H1425" s="14" t="n">
        <v>0.2</v>
      </c>
      <c r="I1425" s="14" t="n">
        <v>1.52</v>
      </c>
      <c r="J1425" s="14" t="n">
        <v>0</v>
      </c>
      <c r="K1425" s="14" t="n">
        <v>0.07000000000000001</v>
      </c>
      <c r="L1425" s="14" t="n">
        <v>2.04</v>
      </c>
      <c r="M1425" s="14" t="n">
        <v>9.23</v>
      </c>
      <c r="N1425" s="14" t="n">
        <v>1.45</v>
      </c>
      <c r="O1425" s="14" t="n">
        <v>1.78</v>
      </c>
      <c r="P1425" s="14" t="n">
        <v>0.2</v>
      </c>
      <c r="Q1425" s="14" t="n">
        <v>0</v>
      </c>
      <c r="R1425" s="14" t="n">
        <v>0.07000000000000001</v>
      </c>
      <c r="S1425" s="14" t="n">
        <v>0.33</v>
      </c>
      <c r="T1425" s="14" t="n">
        <v>0.4</v>
      </c>
      <c r="U1425" s="14" t="n">
        <v>1.12</v>
      </c>
      <c r="V1425" s="14" t="n">
        <v>3.17</v>
      </c>
      <c r="W1425" s="14" t="n">
        <v>1.06</v>
      </c>
      <c r="X1425" s="14" t="n">
        <v>0</v>
      </c>
      <c r="Y1425" s="14" t="n">
        <v>0.73</v>
      </c>
      <c r="Z1425" s="14" t="n">
        <v>0.53</v>
      </c>
      <c r="AA1425" s="14" t="n">
        <v>0</v>
      </c>
    </row>
    <row r="1426">
      <c r="A1426" t="inlineStr">
        <is>
          <t>080708</t>
        </is>
      </c>
      <c r="B1426" t="inlineStr">
        <is>
          <t>CUSCO</t>
        </is>
      </c>
      <c r="C1426" t="inlineStr">
        <is>
          <t>CHUMBIVILCAS</t>
        </is>
      </c>
      <c r="D1426" t="inlineStr">
        <is>
          <t>VELILLE</t>
        </is>
      </c>
      <c r="E1426" t="n">
        <v>4320</v>
      </c>
      <c r="F1426" s="14" t="n">
        <v>0</v>
      </c>
      <c r="G1426" s="14" t="n">
        <v>33.68</v>
      </c>
      <c r="H1426" s="14" t="n">
        <v>30.46</v>
      </c>
      <c r="I1426" s="14" t="n">
        <v>1.25</v>
      </c>
      <c r="J1426" s="14" t="n">
        <v>0.05</v>
      </c>
      <c r="K1426" s="14" t="n">
        <v>0.14</v>
      </c>
      <c r="L1426" s="14" t="n">
        <v>6.5</v>
      </c>
      <c r="M1426" s="14" t="n">
        <v>9.44</v>
      </c>
      <c r="N1426" s="14" t="n">
        <v>2.13</v>
      </c>
      <c r="O1426" s="14" t="n">
        <v>7.38</v>
      </c>
      <c r="P1426" s="14" t="n">
        <v>0.09</v>
      </c>
      <c r="Q1426" s="14" t="n">
        <v>0.05</v>
      </c>
      <c r="R1426" s="14" t="n">
        <v>0</v>
      </c>
      <c r="S1426" s="14" t="n">
        <v>1.3</v>
      </c>
      <c r="T1426" s="14" t="n">
        <v>0.58</v>
      </c>
      <c r="U1426" s="14" t="n">
        <v>1.69</v>
      </c>
      <c r="V1426" s="14" t="n">
        <v>3.38</v>
      </c>
      <c r="W1426" s="14" t="n">
        <v>0.14</v>
      </c>
      <c r="X1426" s="14" t="n">
        <v>0.19</v>
      </c>
      <c r="Y1426" s="14" t="n">
        <v>1.04</v>
      </c>
      <c r="Z1426" s="14" t="n">
        <v>0.51</v>
      </c>
      <c r="AA1426" s="14" t="n">
        <v>0</v>
      </c>
    </row>
    <row r="1427">
      <c r="A1427" t="inlineStr">
        <is>
          <t>080507</t>
        </is>
      </c>
      <c r="B1427" t="inlineStr">
        <is>
          <t>CUSCO</t>
        </is>
      </c>
      <c r="C1427" t="inlineStr">
        <is>
          <t>CANAS</t>
        </is>
      </c>
      <c r="D1427" t="inlineStr">
        <is>
          <t>QUEHUE</t>
        </is>
      </c>
      <c r="E1427" t="n">
        <v>451</v>
      </c>
      <c r="F1427" s="14" t="n">
        <v>0</v>
      </c>
      <c r="G1427" s="14" t="n">
        <v>81.59999999999999</v>
      </c>
      <c r="H1427" s="14" t="n">
        <v>0</v>
      </c>
      <c r="I1427" s="14" t="n">
        <v>1.11</v>
      </c>
      <c r="J1427" s="14" t="n">
        <v>0</v>
      </c>
      <c r="K1427" s="14" t="n">
        <v>0</v>
      </c>
      <c r="L1427" s="14" t="n">
        <v>3.1</v>
      </c>
      <c r="M1427" s="14" t="n">
        <v>2.66</v>
      </c>
      <c r="N1427" s="14" t="n">
        <v>0.67</v>
      </c>
      <c r="O1427" s="14" t="n">
        <v>1.11</v>
      </c>
      <c r="P1427" s="14" t="n">
        <v>0</v>
      </c>
      <c r="Q1427" s="14" t="n">
        <v>0</v>
      </c>
      <c r="R1427" s="14" t="n">
        <v>0</v>
      </c>
      <c r="S1427" s="14" t="n">
        <v>1.33</v>
      </c>
      <c r="T1427" s="14" t="n">
        <v>0.44</v>
      </c>
      <c r="U1427" s="14" t="n">
        <v>1.33</v>
      </c>
      <c r="V1427" s="14" t="n">
        <v>4.43</v>
      </c>
      <c r="W1427" s="14" t="n">
        <v>0.67</v>
      </c>
      <c r="X1427" s="14" t="n">
        <v>0</v>
      </c>
      <c r="Y1427" s="14" t="n">
        <v>1.33</v>
      </c>
      <c r="Z1427" s="14" t="n">
        <v>0.22</v>
      </c>
      <c r="AA1427" s="14" t="n">
        <v>0</v>
      </c>
    </row>
    <row r="1428">
      <c r="A1428" t="inlineStr">
        <is>
          <t>021003</t>
        </is>
      </c>
      <c r="B1428" t="inlineStr">
        <is>
          <t>ANCASH</t>
        </is>
      </c>
      <c r="C1428" t="inlineStr">
        <is>
          <t>HUARI</t>
        </is>
      </c>
      <c r="D1428" t="inlineStr">
        <is>
          <t>CAJAY</t>
        </is>
      </c>
      <c r="E1428" t="n">
        <v>566</v>
      </c>
      <c r="F1428" s="14" t="n">
        <v>0</v>
      </c>
      <c r="G1428" s="14" t="n">
        <v>45.76</v>
      </c>
      <c r="H1428" s="14" t="n">
        <v>0.18</v>
      </c>
      <c r="I1428" s="14" t="n">
        <v>1.59</v>
      </c>
      <c r="J1428" s="14" t="n">
        <v>0</v>
      </c>
      <c r="K1428" s="14" t="n">
        <v>0</v>
      </c>
      <c r="L1428" s="14" t="n">
        <v>4.77</v>
      </c>
      <c r="M1428" s="14" t="n">
        <v>24.2</v>
      </c>
      <c r="N1428" s="14" t="n">
        <v>1.94</v>
      </c>
      <c r="O1428" s="14" t="n">
        <v>0.71</v>
      </c>
      <c r="P1428" s="14" t="n">
        <v>0.18</v>
      </c>
      <c r="Q1428" s="14" t="n">
        <v>0</v>
      </c>
      <c r="R1428" s="14" t="n">
        <v>0</v>
      </c>
      <c r="S1428" s="14" t="n">
        <v>1.94</v>
      </c>
      <c r="T1428" s="14" t="n">
        <v>2.47</v>
      </c>
      <c r="U1428" s="14" t="n">
        <v>6.18</v>
      </c>
      <c r="V1428" s="14" t="n">
        <v>5.65</v>
      </c>
      <c r="W1428" s="14" t="n">
        <v>1.94</v>
      </c>
      <c r="X1428" s="14" t="n">
        <v>0.18</v>
      </c>
      <c r="Y1428" s="14" t="n">
        <v>1.59</v>
      </c>
      <c r="Z1428" s="14" t="n">
        <v>0.71</v>
      </c>
      <c r="AA1428" s="14" t="n">
        <v>0</v>
      </c>
    </row>
    <row r="1429">
      <c r="A1429" t="inlineStr">
        <is>
          <t>020509</t>
        </is>
      </c>
      <c r="B1429" t="inlineStr">
        <is>
          <t>ANCASH</t>
        </is>
      </c>
      <c r="C1429" t="inlineStr">
        <is>
          <t>BOLOGNESI</t>
        </is>
      </c>
      <c r="D1429" t="inlineStr">
        <is>
          <t>HUASTA</t>
        </is>
      </c>
      <c r="E1429" t="n">
        <v>520</v>
      </c>
      <c r="F1429" s="14" t="n">
        <v>0</v>
      </c>
      <c r="G1429" s="14" t="n">
        <v>76.54000000000001</v>
      </c>
      <c r="H1429" s="14" t="n">
        <v>0</v>
      </c>
      <c r="I1429" s="14" t="n">
        <v>1.35</v>
      </c>
      <c r="J1429" s="14" t="n">
        <v>0</v>
      </c>
      <c r="K1429" s="14" t="n">
        <v>0.19</v>
      </c>
      <c r="L1429" s="14" t="n">
        <v>5</v>
      </c>
      <c r="M1429" s="14" t="n">
        <v>3.27</v>
      </c>
      <c r="N1429" s="14" t="n">
        <v>1.54</v>
      </c>
      <c r="O1429" s="14" t="n">
        <v>1.35</v>
      </c>
      <c r="P1429" s="14" t="n">
        <v>0</v>
      </c>
      <c r="Q1429" s="14" t="n">
        <v>0</v>
      </c>
      <c r="R1429" s="14" t="n">
        <v>0</v>
      </c>
      <c r="S1429" s="14" t="n">
        <v>0.38</v>
      </c>
      <c r="T1429" s="14" t="n">
        <v>0.77</v>
      </c>
      <c r="U1429" s="14" t="n">
        <v>2.31</v>
      </c>
      <c r="V1429" s="14" t="n">
        <v>2.31</v>
      </c>
      <c r="W1429" s="14" t="n">
        <v>0.77</v>
      </c>
      <c r="X1429" s="14" t="n">
        <v>0</v>
      </c>
      <c r="Y1429" s="14" t="n">
        <v>1.73</v>
      </c>
      <c r="Z1429" s="14" t="n">
        <v>2.5</v>
      </c>
      <c r="AA1429" s="14" t="n">
        <v>0</v>
      </c>
    </row>
    <row r="1430">
      <c r="A1430" t="inlineStr">
        <is>
          <t>010118</t>
        </is>
      </c>
      <c r="B1430" t="inlineStr">
        <is>
          <t>AMAZONAS</t>
        </is>
      </c>
      <c r="C1430" t="inlineStr">
        <is>
          <t>CHACHAPOYAS</t>
        </is>
      </c>
      <c r="D1430" t="inlineStr">
        <is>
          <t>SAN FRANCISCO DE DAGUAS</t>
        </is>
      </c>
      <c r="E1430" t="n">
        <v>131</v>
      </c>
      <c r="F1430" s="14" t="n">
        <v>0</v>
      </c>
      <c r="G1430" s="14" t="n">
        <v>47.33</v>
      </c>
      <c r="H1430" s="14" t="n">
        <v>0</v>
      </c>
      <c r="I1430" s="14" t="n">
        <v>1.53</v>
      </c>
      <c r="J1430" s="14" t="n">
        <v>0</v>
      </c>
      <c r="K1430" s="14" t="n">
        <v>0</v>
      </c>
      <c r="L1430" s="14" t="n">
        <v>6.87</v>
      </c>
      <c r="M1430" s="14" t="n">
        <v>9.92</v>
      </c>
      <c r="N1430" s="14" t="n">
        <v>1.53</v>
      </c>
      <c r="O1430" s="14" t="n">
        <v>6.11</v>
      </c>
      <c r="P1430" s="14" t="n">
        <v>0</v>
      </c>
      <c r="Q1430" s="14" t="n">
        <v>0</v>
      </c>
      <c r="R1430" s="14" t="n">
        <v>0</v>
      </c>
      <c r="S1430" s="14" t="n">
        <v>3.82</v>
      </c>
      <c r="T1430" s="14" t="n">
        <v>0.76</v>
      </c>
      <c r="U1430" s="14" t="n">
        <v>9.92</v>
      </c>
      <c r="V1430" s="14" t="n">
        <v>3.82</v>
      </c>
      <c r="W1430" s="14" t="n">
        <v>6.11</v>
      </c>
      <c r="X1430" s="14" t="n">
        <v>0</v>
      </c>
      <c r="Y1430" s="14" t="n">
        <v>0.76</v>
      </c>
      <c r="Z1430" s="14" t="n">
        <v>1.53</v>
      </c>
      <c r="AA1430" s="14" t="n">
        <v>0</v>
      </c>
    </row>
    <row r="1431">
      <c r="A1431" t="inlineStr">
        <is>
          <t>040801</t>
        </is>
      </c>
      <c r="B1431" t="inlineStr">
        <is>
          <t>AREQUIPA</t>
        </is>
      </c>
      <c r="C1431" t="inlineStr">
        <is>
          <t>LA UNION</t>
        </is>
      </c>
      <c r="D1431" t="inlineStr">
        <is>
          <t>COTAHUASI</t>
        </is>
      </c>
      <c r="E1431" t="n">
        <v>1300</v>
      </c>
      <c r="F1431" s="14" t="n">
        <v>0</v>
      </c>
      <c r="G1431" s="14" t="n">
        <v>35.54</v>
      </c>
      <c r="H1431" s="14" t="n">
        <v>0.92</v>
      </c>
      <c r="I1431" s="14" t="n">
        <v>2.31</v>
      </c>
      <c r="J1431" s="14" t="n">
        <v>0.31</v>
      </c>
      <c r="K1431" s="14" t="n">
        <v>0.08</v>
      </c>
      <c r="L1431" s="14" t="n">
        <v>9.380000000000001</v>
      </c>
      <c r="M1431" s="14" t="n">
        <v>13.31</v>
      </c>
      <c r="N1431" s="14" t="n">
        <v>4.85</v>
      </c>
      <c r="O1431" s="14" t="n">
        <v>6</v>
      </c>
      <c r="P1431" s="14" t="n">
        <v>0.46</v>
      </c>
      <c r="Q1431" s="14" t="n">
        <v>0.38</v>
      </c>
      <c r="R1431" s="14" t="n">
        <v>0</v>
      </c>
      <c r="S1431" s="14" t="n">
        <v>1.69</v>
      </c>
      <c r="T1431" s="14" t="n">
        <v>1.38</v>
      </c>
      <c r="U1431" s="14" t="n">
        <v>6.69</v>
      </c>
      <c r="V1431" s="14" t="n">
        <v>12.23</v>
      </c>
      <c r="W1431" s="14" t="n">
        <v>3.08</v>
      </c>
      <c r="X1431" s="14" t="n">
        <v>0.46</v>
      </c>
      <c r="Y1431" s="14" t="n">
        <v>0.6899999999999999</v>
      </c>
      <c r="Z1431" s="14" t="n">
        <v>0.23</v>
      </c>
      <c r="AA1431" s="14" t="n">
        <v>0</v>
      </c>
    </row>
    <row r="1432">
      <c r="A1432" t="inlineStr">
        <is>
          <t>090409</t>
        </is>
      </c>
      <c r="B1432" t="inlineStr">
        <is>
          <t>HUANCAVELICA</t>
        </is>
      </c>
      <c r="C1432" t="inlineStr">
        <is>
          <t>CASTROVIRREYNA</t>
        </is>
      </c>
      <c r="D1432" t="inlineStr">
        <is>
          <t>MOLLEPAMPA</t>
        </is>
      </c>
      <c r="E1432" t="n">
        <v>339</v>
      </c>
      <c r="F1432" s="14" t="n">
        <v>0</v>
      </c>
      <c r="G1432" s="14" t="n">
        <v>78.47</v>
      </c>
      <c r="H1432" s="14" t="n">
        <v>2.06</v>
      </c>
      <c r="I1432" s="14" t="n">
        <v>0.59</v>
      </c>
      <c r="J1432" s="14" t="n">
        <v>0</v>
      </c>
      <c r="K1432" s="14" t="n">
        <v>0</v>
      </c>
      <c r="L1432" s="14" t="n">
        <v>2.36</v>
      </c>
      <c r="M1432" s="14" t="n">
        <v>3.83</v>
      </c>
      <c r="N1432" s="14" t="n">
        <v>0.59</v>
      </c>
      <c r="O1432" s="14" t="n">
        <v>0.88</v>
      </c>
      <c r="P1432" s="14" t="n">
        <v>0</v>
      </c>
      <c r="Q1432" s="14" t="n">
        <v>0</v>
      </c>
      <c r="R1432" s="14" t="n">
        <v>0</v>
      </c>
      <c r="S1432" s="14" t="n">
        <v>0</v>
      </c>
      <c r="T1432" s="14" t="n">
        <v>0</v>
      </c>
      <c r="U1432" s="14" t="n">
        <v>2.36</v>
      </c>
      <c r="V1432" s="14" t="n">
        <v>7.67</v>
      </c>
      <c r="W1432" s="14" t="n">
        <v>1.18</v>
      </c>
      <c r="X1432" s="14" t="n">
        <v>0</v>
      </c>
      <c r="Y1432" s="14" t="n">
        <v>0</v>
      </c>
      <c r="Z1432" s="14" t="n">
        <v>0</v>
      </c>
      <c r="AA1432" s="14" t="n">
        <v>0</v>
      </c>
    </row>
    <row r="1433">
      <c r="A1433" t="inlineStr">
        <is>
          <t>090412</t>
        </is>
      </c>
      <c r="B1433" t="inlineStr">
        <is>
          <t>HUANCAVELICA</t>
        </is>
      </c>
      <c r="C1433" t="inlineStr">
        <is>
          <t>CASTROVIRREYNA</t>
        </is>
      </c>
      <c r="D1433" t="inlineStr">
        <is>
          <t>TANTARA</t>
        </is>
      </c>
      <c r="E1433" t="n">
        <v>269</v>
      </c>
      <c r="F1433" s="14" t="n">
        <v>0</v>
      </c>
      <c r="G1433" s="14" t="n">
        <v>59.48</v>
      </c>
      <c r="H1433" s="14" t="n">
        <v>0.37</v>
      </c>
      <c r="I1433" s="14" t="n">
        <v>1.86</v>
      </c>
      <c r="J1433" s="14" t="n">
        <v>0</v>
      </c>
      <c r="K1433" s="14" t="n">
        <v>0</v>
      </c>
      <c r="L1433" s="14" t="n">
        <v>7.06</v>
      </c>
      <c r="M1433" s="14" t="n">
        <v>4.46</v>
      </c>
      <c r="N1433" s="14" t="n">
        <v>2.6</v>
      </c>
      <c r="O1433" s="14" t="n">
        <v>1.86</v>
      </c>
      <c r="P1433" s="14" t="n">
        <v>0</v>
      </c>
      <c r="Q1433" s="14" t="n">
        <v>0</v>
      </c>
      <c r="R1433" s="14" t="n">
        <v>0</v>
      </c>
      <c r="S1433" s="14" t="n">
        <v>2.6</v>
      </c>
      <c r="T1433" s="14" t="n">
        <v>0.37</v>
      </c>
      <c r="U1433" s="14" t="n">
        <v>7.81</v>
      </c>
      <c r="V1433" s="14" t="n">
        <v>6.69</v>
      </c>
      <c r="W1433" s="14" t="n">
        <v>3.35</v>
      </c>
      <c r="X1433" s="14" t="n">
        <v>0.37</v>
      </c>
      <c r="Y1433" s="14" t="n">
        <v>0.37</v>
      </c>
      <c r="Z1433" s="14" t="n">
        <v>0.74</v>
      </c>
      <c r="AA1433" s="14" t="n">
        <v>0</v>
      </c>
    </row>
    <row r="1434">
      <c r="A1434" t="inlineStr">
        <is>
          <t>090207</t>
        </is>
      </c>
      <c r="B1434" t="inlineStr">
        <is>
          <t>HUANCAVELICA</t>
        </is>
      </c>
      <c r="C1434" t="inlineStr">
        <is>
          <t>ACOBAMBA</t>
        </is>
      </c>
      <c r="D1434" t="inlineStr">
        <is>
          <t>POMACOCHA</t>
        </is>
      </c>
      <c r="E1434" t="n">
        <v>1042</v>
      </c>
      <c r="F1434" s="14" t="n">
        <v>0</v>
      </c>
      <c r="G1434" s="14" t="n">
        <v>83.97</v>
      </c>
      <c r="H1434" s="14" t="n">
        <v>0</v>
      </c>
      <c r="I1434" s="14" t="n">
        <v>0.29</v>
      </c>
      <c r="J1434" s="14" t="n">
        <v>0</v>
      </c>
      <c r="K1434" s="14" t="n">
        <v>0</v>
      </c>
      <c r="L1434" s="14" t="n">
        <v>1.06</v>
      </c>
      <c r="M1434" s="14" t="n">
        <v>1.73</v>
      </c>
      <c r="N1434" s="14" t="n">
        <v>1.82</v>
      </c>
      <c r="O1434" s="14" t="n">
        <v>0.58</v>
      </c>
      <c r="P1434" s="14" t="n">
        <v>0</v>
      </c>
      <c r="Q1434" s="14" t="n">
        <v>0.48</v>
      </c>
      <c r="R1434" s="14" t="n">
        <v>0</v>
      </c>
      <c r="S1434" s="14" t="n">
        <v>0.29</v>
      </c>
      <c r="T1434" s="14" t="n">
        <v>0</v>
      </c>
      <c r="U1434" s="14" t="n">
        <v>1.54</v>
      </c>
      <c r="V1434" s="14" t="n">
        <v>5.47</v>
      </c>
      <c r="W1434" s="14" t="n">
        <v>2.02</v>
      </c>
      <c r="X1434" s="14" t="n">
        <v>0.19</v>
      </c>
      <c r="Y1434" s="14" t="n">
        <v>0.48</v>
      </c>
      <c r="Z1434" s="14" t="n">
        <v>0.1</v>
      </c>
      <c r="AA1434" s="14" t="n">
        <v>0</v>
      </c>
    </row>
    <row r="1435">
      <c r="A1435" t="inlineStr">
        <is>
          <t>060419</t>
        </is>
      </c>
      <c r="B1435" t="inlineStr">
        <is>
          <t>CAJAMARCA</t>
        </is>
      </c>
      <c r="C1435" t="inlineStr">
        <is>
          <t>CHOTA</t>
        </is>
      </c>
      <c r="D1435" t="inlineStr">
        <is>
          <t>CHALAMARCA</t>
        </is>
      </c>
      <c r="E1435" t="n">
        <v>2723</v>
      </c>
      <c r="F1435" s="14" t="n">
        <v>0</v>
      </c>
      <c r="G1435" s="14" t="n">
        <v>86.38</v>
      </c>
      <c r="H1435" s="14" t="n">
        <v>0.04</v>
      </c>
      <c r="I1435" s="14" t="n">
        <v>1.84</v>
      </c>
      <c r="J1435" s="14" t="n">
        <v>0.04</v>
      </c>
      <c r="K1435" s="14" t="n">
        <v>0</v>
      </c>
      <c r="L1435" s="14" t="n">
        <v>1.14</v>
      </c>
      <c r="M1435" s="14" t="n">
        <v>2.17</v>
      </c>
      <c r="N1435" s="14" t="n">
        <v>0.84</v>
      </c>
      <c r="O1435" s="14" t="n">
        <v>0.7</v>
      </c>
      <c r="P1435" s="14" t="n">
        <v>0.07000000000000001</v>
      </c>
      <c r="Q1435" s="14" t="n">
        <v>0</v>
      </c>
      <c r="R1435" s="14" t="n">
        <v>0</v>
      </c>
      <c r="S1435" s="14" t="n">
        <v>0.55</v>
      </c>
      <c r="T1435" s="14" t="n">
        <v>0.22</v>
      </c>
      <c r="U1435" s="14" t="n">
        <v>0.77</v>
      </c>
      <c r="V1435" s="14" t="n">
        <v>2.86</v>
      </c>
      <c r="W1435" s="14" t="n">
        <v>0.8100000000000001</v>
      </c>
      <c r="X1435" s="14" t="n">
        <v>0</v>
      </c>
      <c r="Y1435" s="14" t="n">
        <v>1.25</v>
      </c>
      <c r="Z1435" s="14" t="n">
        <v>0.33</v>
      </c>
      <c r="AA1435" s="14" t="n">
        <v>0</v>
      </c>
    </row>
    <row r="1436">
      <c r="A1436" t="inlineStr">
        <is>
          <t>050504</t>
        </is>
      </c>
      <c r="B1436" t="inlineStr">
        <is>
          <t>AYACUCHO</t>
        </is>
      </c>
      <c r="C1436" t="inlineStr">
        <is>
          <t>LA MAR</t>
        </is>
      </c>
      <c r="D1436" t="inlineStr">
        <is>
          <t>CHILCAS</t>
        </is>
      </c>
      <c r="E1436" t="n">
        <v>382</v>
      </c>
      <c r="F1436" s="14" t="n">
        <v>0</v>
      </c>
      <c r="G1436" s="14" t="n">
        <v>74.87</v>
      </c>
      <c r="H1436" s="14" t="n">
        <v>0.52</v>
      </c>
      <c r="I1436" s="14" t="n">
        <v>1.57</v>
      </c>
      <c r="J1436" s="14" t="n">
        <v>0</v>
      </c>
      <c r="K1436" s="14" t="n">
        <v>0</v>
      </c>
      <c r="L1436" s="14" t="n">
        <v>2.88</v>
      </c>
      <c r="M1436" s="14" t="n">
        <v>10.21</v>
      </c>
      <c r="N1436" s="14" t="n">
        <v>0.52</v>
      </c>
      <c r="O1436" s="14" t="n">
        <v>1.57</v>
      </c>
      <c r="P1436" s="14" t="n">
        <v>0</v>
      </c>
      <c r="Q1436" s="14" t="n">
        <v>0</v>
      </c>
      <c r="R1436" s="14" t="n">
        <v>0</v>
      </c>
      <c r="S1436" s="14" t="n">
        <v>0.79</v>
      </c>
      <c r="T1436" s="14" t="n">
        <v>0.79</v>
      </c>
      <c r="U1436" s="14" t="n">
        <v>1.83</v>
      </c>
      <c r="V1436" s="14" t="n">
        <v>1.57</v>
      </c>
      <c r="W1436" s="14" t="n">
        <v>1.83</v>
      </c>
      <c r="X1436" s="14" t="n">
        <v>0</v>
      </c>
      <c r="Y1436" s="14" t="n">
        <v>1.05</v>
      </c>
      <c r="Z1436" s="14" t="n">
        <v>0</v>
      </c>
      <c r="AA1436" s="14" t="n">
        <v>0</v>
      </c>
    </row>
    <row r="1437">
      <c r="A1437" t="inlineStr">
        <is>
          <t>090602</t>
        </is>
      </c>
      <c r="B1437" t="inlineStr">
        <is>
          <t>HUANCAVELICA</t>
        </is>
      </c>
      <c r="C1437" t="inlineStr">
        <is>
          <t>HUAYTARA</t>
        </is>
      </c>
      <c r="D1437" t="inlineStr">
        <is>
          <t>AYAVI</t>
        </is>
      </c>
      <c r="E1437" t="n">
        <v>300</v>
      </c>
      <c r="F1437" s="14" t="n">
        <v>0</v>
      </c>
      <c r="G1437" s="14" t="n">
        <v>76</v>
      </c>
      <c r="H1437" s="14" t="n">
        <v>0</v>
      </c>
      <c r="I1437" s="14" t="n">
        <v>0.67</v>
      </c>
      <c r="J1437" s="14" t="n">
        <v>0</v>
      </c>
      <c r="K1437" s="14" t="n">
        <v>0</v>
      </c>
      <c r="L1437" s="14" t="n">
        <v>3.67</v>
      </c>
      <c r="M1437" s="14" t="n">
        <v>5.33</v>
      </c>
      <c r="N1437" s="14" t="n">
        <v>2</v>
      </c>
      <c r="O1437" s="14" t="n">
        <v>1.67</v>
      </c>
      <c r="P1437" s="14" t="n">
        <v>0</v>
      </c>
      <c r="Q1437" s="14" t="n">
        <v>0</v>
      </c>
      <c r="R1437" s="14" t="n">
        <v>0</v>
      </c>
      <c r="S1437" s="14" t="n">
        <v>0.67</v>
      </c>
      <c r="T1437" s="14" t="n">
        <v>1</v>
      </c>
      <c r="U1437" s="14" t="n">
        <v>1.67</v>
      </c>
      <c r="V1437" s="14" t="n">
        <v>5.67</v>
      </c>
      <c r="W1437" s="14" t="n">
        <v>1.67</v>
      </c>
      <c r="X1437" s="14" t="n">
        <v>0</v>
      </c>
      <c r="Y1437" s="14" t="n">
        <v>0</v>
      </c>
      <c r="Z1437" s="14" t="n">
        <v>0</v>
      </c>
      <c r="AA1437" s="14" t="n">
        <v>0</v>
      </c>
    </row>
    <row r="1438">
      <c r="A1438" t="inlineStr">
        <is>
          <t>090604</t>
        </is>
      </c>
      <c r="B1438" t="inlineStr">
        <is>
          <t>HUANCAVELICA</t>
        </is>
      </c>
      <c r="C1438" t="inlineStr">
        <is>
          <t>HUAYTARA</t>
        </is>
      </c>
      <c r="D1438" t="inlineStr">
        <is>
          <t>HUAYACUNDO ARMA</t>
        </is>
      </c>
      <c r="E1438" t="n">
        <v>125</v>
      </c>
      <c r="F1438" s="14" t="n">
        <v>0</v>
      </c>
      <c r="G1438" s="14" t="n">
        <v>44</v>
      </c>
      <c r="H1438" s="14" t="n">
        <v>0</v>
      </c>
      <c r="I1438" s="14" t="n">
        <v>4</v>
      </c>
      <c r="J1438" s="14" t="n">
        <v>0</v>
      </c>
      <c r="K1438" s="14" t="n">
        <v>0</v>
      </c>
      <c r="L1438" s="14" t="n">
        <v>5.6</v>
      </c>
      <c r="M1438" s="14" t="n">
        <v>9.6</v>
      </c>
      <c r="N1438" s="14" t="n">
        <v>4</v>
      </c>
      <c r="O1438" s="14" t="n">
        <v>2.4</v>
      </c>
      <c r="P1438" s="14" t="n">
        <v>0</v>
      </c>
      <c r="Q1438" s="14" t="n">
        <v>0</v>
      </c>
      <c r="R1438" s="14" t="n">
        <v>0</v>
      </c>
      <c r="S1438" s="14" t="n">
        <v>0.8</v>
      </c>
      <c r="T1438" s="14" t="n">
        <v>0</v>
      </c>
      <c r="U1438" s="14" t="n">
        <v>5.6</v>
      </c>
      <c r="V1438" s="14" t="n">
        <v>15.2</v>
      </c>
      <c r="W1438" s="14" t="n">
        <v>8</v>
      </c>
      <c r="X1438" s="14" t="n">
        <v>0.8</v>
      </c>
      <c r="Y1438" s="14" t="n">
        <v>0</v>
      </c>
      <c r="Z1438" s="14" t="n">
        <v>0</v>
      </c>
      <c r="AA1438" s="14" t="n">
        <v>0</v>
      </c>
    </row>
    <row r="1439">
      <c r="A1439" t="inlineStr">
        <is>
          <t>040804</t>
        </is>
      </c>
      <c r="B1439" t="inlineStr">
        <is>
          <t>AREQUIPA</t>
        </is>
      </c>
      <c r="C1439" t="inlineStr">
        <is>
          <t>LA UNION</t>
        </is>
      </c>
      <c r="D1439" t="inlineStr">
        <is>
          <t>HUAYNACOTAS</t>
        </is>
      </c>
      <c r="E1439" t="n">
        <v>817</v>
      </c>
      <c r="F1439" s="14" t="n">
        <v>0</v>
      </c>
      <c r="G1439" s="14" t="n">
        <v>75.28</v>
      </c>
      <c r="H1439" s="14" t="n">
        <v>5.39</v>
      </c>
      <c r="I1439" s="14" t="n">
        <v>0.12</v>
      </c>
      <c r="J1439" s="14" t="n">
        <v>0</v>
      </c>
      <c r="K1439" s="14" t="n">
        <v>0</v>
      </c>
      <c r="L1439" s="14" t="n">
        <v>2.69</v>
      </c>
      <c r="M1439" s="14" t="n">
        <v>4.16</v>
      </c>
      <c r="N1439" s="14" t="n">
        <v>0.61</v>
      </c>
      <c r="O1439" s="14" t="n">
        <v>1.22</v>
      </c>
      <c r="P1439" s="14" t="n">
        <v>0</v>
      </c>
      <c r="Q1439" s="14" t="n">
        <v>0</v>
      </c>
      <c r="R1439" s="14" t="n">
        <v>0</v>
      </c>
      <c r="S1439" s="14" t="n">
        <v>0.24</v>
      </c>
      <c r="T1439" s="14" t="n">
        <v>0.12</v>
      </c>
      <c r="U1439" s="14" t="n">
        <v>2.45</v>
      </c>
      <c r="V1439" s="14" t="n">
        <v>5.63</v>
      </c>
      <c r="W1439" s="14" t="n">
        <v>1.1</v>
      </c>
      <c r="X1439" s="14" t="n">
        <v>0</v>
      </c>
      <c r="Y1439" s="14" t="n">
        <v>0.49</v>
      </c>
      <c r="Z1439" s="14" t="n">
        <v>0.49</v>
      </c>
      <c r="AA1439" s="14" t="n">
        <v>0</v>
      </c>
    </row>
    <row r="1440">
      <c r="A1440" t="inlineStr">
        <is>
          <t>040409</t>
        </is>
      </c>
      <c r="B1440" t="inlineStr">
        <is>
          <t>AREQUIPA</t>
        </is>
      </c>
      <c r="C1440" t="inlineStr">
        <is>
          <t>CASTILLA</t>
        </is>
      </c>
      <c r="D1440" t="inlineStr">
        <is>
          <t>ORCOPAMPA</t>
        </is>
      </c>
      <c r="E1440" t="n">
        <v>3585</v>
      </c>
      <c r="F1440" s="14" t="n">
        <v>0</v>
      </c>
      <c r="G1440" s="14" t="n">
        <v>8.51</v>
      </c>
      <c r="H1440" s="14" t="n">
        <v>40.84</v>
      </c>
      <c r="I1440" s="14" t="n">
        <v>4.88</v>
      </c>
      <c r="J1440" s="14" t="n">
        <v>0.06</v>
      </c>
      <c r="K1440" s="14" t="n">
        <v>0.25</v>
      </c>
      <c r="L1440" s="14" t="n">
        <v>7.87</v>
      </c>
      <c r="M1440" s="14" t="n">
        <v>13.11</v>
      </c>
      <c r="N1440" s="14" t="n">
        <v>5.08</v>
      </c>
      <c r="O1440" s="14" t="n">
        <v>6.97</v>
      </c>
      <c r="P1440" s="14" t="n">
        <v>0.25</v>
      </c>
      <c r="Q1440" s="14" t="n">
        <v>0.14</v>
      </c>
      <c r="R1440" s="14" t="n">
        <v>0</v>
      </c>
      <c r="S1440" s="14" t="n">
        <v>1.98</v>
      </c>
      <c r="T1440" s="14" t="n">
        <v>1.28</v>
      </c>
      <c r="U1440" s="14" t="n">
        <v>1.95</v>
      </c>
      <c r="V1440" s="14" t="n">
        <v>3.29</v>
      </c>
      <c r="W1440" s="14" t="n">
        <v>0.95</v>
      </c>
      <c r="X1440" s="14" t="n">
        <v>0.39</v>
      </c>
      <c r="Y1440" s="14" t="n">
        <v>1.56</v>
      </c>
      <c r="Z1440" s="14" t="n">
        <v>0.64</v>
      </c>
      <c r="AA1440" s="14" t="n">
        <v>0</v>
      </c>
    </row>
    <row r="1441">
      <c r="A1441" t="inlineStr">
        <is>
          <t>040806</t>
        </is>
      </c>
      <c r="B1441" t="inlineStr">
        <is>
          <t>AREQUIPA</t>
        </is>
      </c>
      <c r="C1441" t="inlineStr">
        <is>
          <t>LA UNION</t>
        </is>
      </c>
      <c r="D1441" t="inlineStr">
        <is>
          <t>PUYCA</t>
        </is>
      </c>
      <c r="E1441" t="n">
        <v>1062</v>
      </c>
      <c r="F1441" s="14" t="n">
        <v>0</v>
      </c>
      <c r="G1441" s="14" t="n">
        <v>93.03</v>
      </c>
      <c r="H1441" s="14" t="n">
        <v>0.19</v>
      </c>
      <c r="I1441" s="14" t="n">
        <v>0.38</v>
      </c>
      <c r="J1441" s="14" t="n">
        <v>0</v>
      </c>
      <c r="K1441" s="14" t="n">
        <v>0</v>
      </c>
      <c r="L1441" s="14" t="n">
        <v>0.85</v>
      </c>
      <c r="M1441" s="14" t="n">
        <v>1.22</v>
      </c>
      <c r="N1441" s="14" t="n">
        <v>0</v>
      </c>
      <c r="O1441" s="14" t="n">
        <v>0.19</v>
      </c>
      <c r="P1441" s="14" t="n">
        <v>0</v>
      </c>
      <c r="Q1441" s="14" t="n">
        <v>0</v>
      </c>
      <c r="R1441" s="14" t="n">
        <v>0</v>
      </c>
      <c r="S1441" s="14" t="n">
        <v>0.09</v>
      </c>
      <c r="T1441" s="14" t="n">
        <v>0</v>
      </c>
      <c r="U1441" s="14" t="n">
        <v>1.69</v>
      </c>
      <c r="V1441" s="14" t="n">
        <v>1.41</v>
      </c>
      <c r="W1441" s="14" t="n">
        <v>0.85</v>
      </c>
      <c r="X1441" s="14" t="n">
        <v>0</v>
      </c>
      <c r="Y1441" s="14" t="n">
        <v>0.09</v>
      </c>
      <c r="Z1441" s="14" t="n">
        <v>0</v>
      </c>
      <c r="AA1441" s="14" t="n">
        <v>0</v>
      </c>
    </row>
    <row r="1442">
      <c r="A1442" t="inlineStr">
        <is>
          <t>040406</t>
        </is>
      </c>
      <c r="B1442" t="inlineStr">
        <is>
          <t>AREQUIPA</t>
        </is>
      </c>
      <c r="C1442" t="inlineStr">
        <is>
          <t>CASTILLA</t>
        </is>
      </c>
      <c r="D1442" t="inlineStr">
        <is>
          <t>CHOCO</t>
        </is>
      </c>
      <c r="E1442" t="n">
        <v>462</v>
      </c>
      <c r="F1442" s="14" t="n">
        <v>0</v>
      </c>
      <c r="G1442" s="14" t="n">
        <v>83.12</v>
      </c>
      <c r="H1442" s="14" t="n">
        <v>4.33</v>
      </c>
      <c r="I1442" s="14" t="n">
        <v>0.43</v>
      </c>
      <c r="J1442" s="14" t="n">
        <v>0</v>
      </c>
      <c r="K1442" s="14" t="n">
        <v>0.22</v>
      </c>
      <c r="L1442" s="14" t="n">
        <v>4.98</v>
      </c>
      <c r="M1442" s="14" t="n">
        <v>0.87</v>
      </c>
      <c r="N1442" s="14" t="n">
        <v>0.65</v>
      </c>
      <c r="O1442" s="14" t="n">
        <v>0.65</v>
      </c>
      <c r="P1442" s="14" t="n">
        <v>0</v>
      </c>
      <c r="Q1442" s="14" t="n">
        <v>0</v>
      </c>
      <c r="R1442" s="14" t="n">
        <v>0</v>
      </c>
      <c r="S1442" s="14" t="n">
        <v>0.22</v>
      </c>
      <c r="T1442" s="14" t="n">
        <v>0.43</v>
      </c>
      <c r="U1442" s="14" t="n">
        <v>2.16</v>
      </c>
      <c r="V1442" s="14" t="n">
        <v>1.73</v>
      </c>
      <c r="W1442" s="14" t="n">
        <v>0.22</v>
      </c>
      <c r="X1442" s="14" t="n">
        <v>0</v>
      </c>
      <c r="Y1442" s="14" t="n">
        <v>0</v>
      </c>
      <c r="Z1442" s="14" t="n">
        <v>0</v>
      </c>
      <c r="AA1442" s="14" t="n">
        <v>0</v>
      </c>
    </row>
    <row r="1443">
      <c r="A1443" t="inlineStr">
        <is>
          <t>080508</t>
        </is>
      </c>
      <c r="B1443" t="inlineStr">
        <is>
          <t>CUSCO</t>
        </is>
      </c>
      <c r="C1443" t="inlineStr">
        <is>
          <t>CANAS</t>
        </is>
      </c>
      <c r="D1443" t="inlineStr">
        <is>
          <t>TUPAC AMARU</t>
        </is>
      </c>
      <c r="E1443" t="n">
        <v>966</v>
      </c>
      <c r="F1443" s="14" t="n">
        <v>0</v>
      </c>
      <c r="G1443" s="14" t="n">
        <v>78.05</v>
      </c>
      <c r="H1443" s="14" t="n">
        <v>0.62</v>
      </c>
      <c r="I1443" s="14" t="n">
        <v>0.93</v>
      </c>
      <c r="J1443" s="14" t="n">
        <v>0</v>
      </c>
      <c r="K1443" s="14" t="n">
        <v>0</v>
      </c>
      <c r="L1443" s="14" t="n">
        <v>2.17</v>
      </c>
      <c r="M1443" s="14" t="n">
        <v>9.32</v>
      </c>
      <c r="N1443" s="14" t="n">
        <v>0.72</v>
      </c>
      <c r="O1443" s="14" t="n">
        <v>0.83</v>
      </c>
      <c r="P1443" s="14" t="n">
        <v>0</v>
      </c>
      <c r="Q1443" s="14" t="n">
        <v>0</v>
      </c>
      <c r="R1443" s="14" t="n">
        <v>0</v>
      </c>
      <c r="S1443" s="14" t="n">
        <v>0.62</v>
      </c>
      <c r="T1443" s="14" t="n">
        <v>0.31</v>
      </c>
      <c r="U1443" s="14" t="n">
        <v>2.48</v>
      </c>
      <c r="V1443" s="14" t="n">
        <v>2.59</v>
      </c>
      <c r="W1443" s="14" t="n">
        <v>0.52</v>
      </c>
      <c r="X1443" s="14" t="n">
        <v>0</v>
      </c>
      <c r="Y1443" s="14" t="n">
        <v>0.62</v>
      </c>
      <c r="Z1443" s="14" t="n">
        <v>0.21</v>
      </c>
      <c r="AA1443" s="14" t="n">
        <v>0</v>
      </c>
    </row>
    <row r="1444">
      <c r="A1444" t="inlineStr">
        <is>
          <t>030610</t>
        </is>
      </c>
      <c r="B1444" t="inlineStr">
        <is>
          <t>APURIMAC</t>
        </is>
      </c>
      <c r="C1444" t="inlineStr">
        <is>
          <t>CHINCHEROS</t>
        </is>
      </c>
      <c r="D1444" t="inlineStr">
        <is>
          <t>EL PORVENIR</t>
        </is>
      </c>
      <c r="E1444" t="n">
        <v>364</v>
      </c>
      <c r="F1444" s="14" t="n">
        <v>0</v>
      </c>
      <c r="G1444" s="14" t="n">
        <v>78.56999999999999</v>
      </c>
      <c r="H1444" s="14" t="n">
        <v>0</v>
      </c>
      <c r="I1444" s="14" t="n">
        <v>0.55</v>
      </c>
      <c r="J1444" s="14" t="n">
        <v>0</v>
      </c>
      <c r="K1444" s="14" t="n">
        <v>0</v>
      </c>
      <c r="L1444" s="14" t="n">
        <v>2.75</v>
      </c>
      <c r="M1444" s="14" t="n">
        <v>4.4</v>
      </c>
      <c r="N1444" s="14" t="n">
        <v>1.37</v>
      </c>
      <c r="O1444" s="14" t="n">
        <v>1.1</v>
      </c>
      <c r="P1444" s="14" t="n">
        <v>0</v>
      </c>
      <c r="Q1444" s="14" t="n">
        <v>0</v>
      </c>
      <c r="R1444" s="14" t="n">
        <v>0.27</v>
      </c>
      <c r="S1444" s="14" t="n">
        <v>0</v>
      </c>
      <c r="T1444" s="14" t="n">
        <v>0</v>
      </c>
      <c r="U1444" s="14" t="n">
        <v>2.47</v>
      </c>
      <c r="V1444" s="14" t="n">
        <v>5.49</v>
      </c>
      <c r="W1444" s="14" t="n">
        <v>1.92</v>
      </c>
      <c r="X1444" s="14" t="n">
        <v>0</v>
      </c>
      <c r="Y1444" s="14" t="n">
        <v>0.82</v>
      </c>
      <c r="Z1444" s="14" t="n">
        <v>0.27</v>
      </c>
      <c r="AA1444" s="14" t="n">
        <v>0</v>
      </c>
    </row>
    <row r="1445">
      <c r="A1445" t="inlineStr">
        <is>
          <t>050514</t>
        </is>
      </c>
      <c r="B1445" t="inlineStr">
        <is>
          <t>AYACUCHO</t>
        </is>
      </c>
      <c r="C1445" t="inlineStr">
        <is>
          <t>LA MAR</t>
        </is>
      </c>
      <c r="D1445" t="inlineStr">
        <is>
          <t>NINABAMBA</t>
        </is>
      </c>
      <c r="E1445" t="n">
        <v>0</v>
      </c>
      <c r="F1445" s="14" t="n">
        <v>0</v>
      </c>
      <c r="G1445" s="14" t="n">
        <v>74.94</v>
      </c>
      <c r="H1445" s="14" t="n">
        <v>0</v>
      </c>
      <c r="I1445" s="14" t="n">
        <v>1.04</v>
      </c>
      <c r="J1445" s="14" t="n">
        <v>0</v>
      </c>
      <c r="K1445" s="14" t="n">
        <v>0</v>
      </c>
      <c r="L1445" s="14" t="n">
        <v>2.95</v>
      </c>
      <c r="M1445" s="14" t="n">
        <v>8.279999999999999</v>
      </c>
      <c r="N1445" s="14" t="n">
        <v>1.08</v>
      </c>
      <c r="O1445" s="14" t="n">
        <v>2.19</v>
      </c>
      <c r="P1445" s="14" t="n">
        <v>0.07000000000000001</v>
      </c>
      <c r="Q1445" s="14" t="n">
        <v>0.06</v>
      </c>
      <c r="R1445" s="14" t="n">
        <v>0</v>
      </c>
      <c r="S1445" s="14" t="n">
        <v>0.65</v>
      </c>
      <c r="T1445" s="14" t="n">
        <v>0.33</v>
      </c>
      <c r="U1445" s="14" t="n">
        <v>2.23</v>
      </c>
      <c r="V1445" s="14" t="n">
        <v>4.07</v>
      </c>
      <c r="W1445" s="14" t="n">
        <v>0.97</v>
      </c>
      <c r="X1445" s="14" t="n">
        <v>0.02</v>
      </c>
      <c r="Y1445" s="14" t="n">
        <v>0.78</v>
      </c>
      <c r="Z1445" s="14" t="n">
        <v>0.32</v>
      </c>
      <c r="AA1445" s="14" t="n">
        <v>0</v>
      </c>
    </row>
    <row r="1446">
      <c r="A1446" t="inlineStr">
        <is>
          <t>020302</t>
        </is>
      </c>
      <c r="B1446" t="inlineStr">
        <is>
          <t>ANCASH</t>
        </is>
      </c>
      <c r="C1446" t="inlineStr">
        <is>
          <t>ANTONIO RAYMONDI</t>
        </is>
      </c>
      <c r="D1446" t="inlineStr">
        <is>
          <t>ACZO</t>
        </is>
      </c>
      <c r="E1446" t="n">
        <v>272</v>
      </c>
      <c r="F1446" s="14" t="n">
        <v>0</v>
      </c>
      <c r="G1446" s="14" t="n">
        <v>54.04</v>
      </c>
      <c r="H1446" s="14" t="n">
        <v>0</v>
      </c>
      <c r="I1446" s="14" t="n">
        <v>2.57</v>
      </c>
      <c r="J1446" s="14" t="n">
        <v>0</v>
      </c>
      <c r="K1446" s="14" t="n">
        <v>0</v>
      </c>
      <c r="L1446" s="14" t="n">
        <v>0.74</v>
      </c>
      <c r="M1446" s="14" t="n">
        <v>4.41</v>
      </c>
      <c r="N1446" s="14" t="n">
        <v>0.37</v>
      </c>
      <c r="O1446" s="14" t="n">
        <v>1.1</v>
      </c>
      <c r="P1446" s="14" t="n">
        <v>0</v>
      </c>
      <c r="Q1446" s="14" t="n">
        <v>0</v>
      </c>
      <c r="R1446" s="14" t="n">
        <v>0</v>
      </c>
      <c r="S1446" s="14" t="n">
        <v>2.21</v>
      </c>
      <c r="T1446" s="14" t="n">
        <v>0.37</v>
      </c>
      <c r="U1446" s="14" t="n">
        <v>3.31</v>
      </c>
      <c r="V1446" s="14" t="n">
        <v>26.84</v>
      </c>
      <c r="W1446" s="14" t="n">
        <v>3.31</v>
      </c>
      <c r="X1446" s="14" t="n">
        <v>0.37</v>
      </c>
      <c r="Y1446" s="14" t="n">
        <v>0.37</v>
      </c>
      <c r="Z1446" s="14" t="n">
        <v>0</v>
      </c>
      <c r="AA1446" s="14" t="n">
        <v>0</v>
      </c>
    </row>
    <row r="1447">
      <c r="A1447" t="inlineStr">
        <is>
          <t>090508</t>
        </is>
      </c>
      <c r="B1447" t="inlineStr">
        <is>
          <t>HUANCAVELICA</t>
        </is>
      </c>
      <c r="C1447" t="inlineStr">
        <is>
          <t>CHURCAMPA</t>
        </is>
      </c>
      <c r="D1447" t="inlineStr">
        <is>
          <t>SAN MIGUEL DE MAYOCC</t>
        </is>
      </c>
      <c r="E1447" t="n">
        <v>361</v>
      </c>
      <c r="F1447" s="14" t="n">
        <v>0</v>
      </c>
      <c r="G1447" s="14" t="n">
        <v>47.92</v>
      </c>
      <c r="H1447" s="14" t="n">
        <v>0</v>
      </c>
      <c r="I1447" s="14" t="n">
        <v>1.94</v>
      </c>
      <c r="J1447" s="14" t="n">
        <v>0</v>
      </c>
      <c r="K1447" s="14" t="n">
        <v>0</v>
      </c>
      <c r="L1447" s="14" t="n">
        <v>12.19</v>
      </c>
      <c r="M1447" s="14" t="n">
        <v>8.59</v>
      </c>
      <c r="N1447" s="14" t="n">
        <v>3.6</v>
      </c>
      <c r="O1447" s="14" t="n">
        <v>2.49</v>
      </c>
      <c r="P1447" s="14" t="n">
        <v>0</v>
      </c>
      <c r="Q1447" s="14" t="n">
        <v>0.28</v>
      </c>
      <c r="R1447" s="14" t="n">
        <v>0</v>
      </c>
      <c r="S1447" s="14" t="n">
        <v>1.94</v>
      </c>
      <c r="T1447" s="14" t="n">
        <v>0.28</v>
      </c>
      <c r="U1447" s="14" t="n">
        <v>10.8</v>
      </c>
      <c r="V1447" s="14" t="n">
        <v>6.65</v>
      </c>
      <c r="W1447" s="14" t="n">
        <v>3.05</v>
      </c>
      <c r="X1447" s="14" t="n">
        <v>0.28</v>
      </c>
      <c r="Y1447" s="14" t="n">
        <v>0</v>
      </c>
      <c r="Z1447" s="14" t="n">
        <v>0</v>
      </c>
      <c r="AA1447" s="14" t="n">
        <v>0</v>
      </c>
    </row>
    <row r="1448">
      <c r="A1448" t="inlineStr">
        <is>
          <t>010607</t>
        </is>
      </c>
      <c r="B1448" t="inlineStr">
        <is>
          <t>AMAZONAS</t>
        </is>
      </c>
      <c r="C1448" t="inlineStr">
        <is>
          <t>RODRIGUEZ DE MENDOZA</t>
        </is>
      </c>
      <c r="D1448" t="inlineStr">
        <is>
          <t>MARISCAL BENAVIDES</t>
        </is>
      </c>
      <c r="E1448" t="n">
        <v>585</v>
      </c>
      <c r="F1448" s="14" t="n">
        <v>0</v>
      </c>
      <c r="G1448" s="14" t="n">
        <v>54.87</v>
      </c>
      <c r="H1448" s="14" t="n">
        <v>0.17</v>
      </c>
      <c r="I1448" s="14" t="n">
        <v>3.59</v>
      </c>
      <c r="J1448" s="14" t="n">
        <v>0.17</v>
      </c>
      <c r="K1448" s="14" t="n">
        <v>0.34</v>
      </c>
      <c r="L1448" s="14" t="n">
        <v>7.35</v>
      </c>
      <c r="M1448" s="14" t="n">
        <v>9.06</v>
      </c>
      <c r="N1448" s="14" t="n">
        <v>3.93</v>
      </c>
      <c r="O1448" s="14" t="n">
        <v>1.88</v>
      </c>
      <c r="P1448" s="14" t="n">
        <v>0.51</v>
      </c>
      <c r="Q1448" s="14" t="n">
        <v>0.85</v>
      </c>
      <c r="R1448" s="14" t="n">
        <v>0</v>
      </c>
      <c r="S1448" s="14" t="n">
        <v>1.54</v>
      </c>
      <c r="T1448" s="14" t="n">
        <v>2.22</v>
      </c>
      <c r="U1448" s="14" t="n">
        <v>3.25</v>
      </c>
      <c r="V1448" s="14" t="n">
        <v>6.84</v>
      </c>
      <c r="W1448" s="14" t="n">
        <v>2.05</v>
      </c>
      <c r="X1448" s="14" t="n">
        <v>0</v>
      </c>
      <c r="Y1448" s="14" t="n">
        <v>0.85</v>
      </c>
      <c r="Z1448" s="14" t="n">
        <v>0.51</v>
      </c>
      <c r="AA1448" s="14" t="n">
        <v>0</v>
      </c>
    </row>
    <row r="1449">
      <c r="A1449" t="inlineStr">
        <is>
          <t>050206</t>
        </is>
      </c>
      <c r="B1449" t="inlineStr">
        <is>
          <t>AYACUCHO</t>
        </is>
      </c>
      <c r="C1449" t="inlineStr">
        <is>
          <t>CANGALLO</t>
        </is>
      </c>
      <c r="D1449" t="inlineStr">
        <is>
          <t>TOTOS</t>
        </is>
      </c>
      <c r="E1449" t="n">
        <v>1077</v>
      </c>
      <c r="F1449" s="14" t="n">
        <v>0</v>
      </c>
      <c r="G1449" s="14" t="n">
        <v>70.94</v>
      </c>
      <c r="H1449" s="14" t="n">
        <v>0.19</v>
      </c>
      <c r="I1449" s="14" t="n">
        <v>1.3</v>
      </c>
      <c r="J1449" s="14" t="n">
        <v>0</v>
      </c>
      <c r="K1449" s="14" t="n">
        <v>0.19</v>
      </c>
      <c r="L1449" s="14" t="n">
        <v>9.380000000000001</v>
      </c>
      <c r="M1449" s="14" t="n">
        <v>6.59</v>
      </c>
      <c r="N1449" s="14" t="n">
        <v>0.5600000000000001</v>
      </c>
      <c r="O1449" s="14" t="n">
        <v>1.11</v>
      </c>
      <c r="P1449" s="14" t="n">
        <v>0.09</v>
      </c>
      <c r="Q1449" s="14" t="n">
        <v>0</v>
      </c>
      <c r="R1449" s="14" t="n">
        <v>0</v>
      </c>
      <c r="S1449" s="14" t="n">
        <v>0.37</v>
      </c>
      <c r="T1449" s="14" t="n">
        <v>0</v>
      </c>
      <c r="U1449" s="14" t="n">
        <v>3.16</v>
      </c>
      <c r="V1449" s="14" t="n">
        <v>4.09</v>
      </c>
      <c r="W1449" s="14" t="n">
        <v>0.84</v>
      </c>
      <c r="X1449" s="14" t="n">
        <v>0.09</v>
      </c>
      <c r="Y1449" s="14" t="n">
        <v>0.93</v>
      </c>
      <c r="Z1449" s="14" t="n">
        <v>0.19</v>
      </c>
      <c r="AA1449" s="14" t="n">
        <v>0</v>
      </c>
    </row>
    <row r="1450">
      <c r="A1450" t="inlineStr">
        <is>
          <t>021007</t>
        </is>
      </c>
      <c r="B1450" t="inlineStr">
        <is>
          <t>ANCASH</t>
        </is>
      </c>
      <c r="C1450" t="inlineStr">
        <is>
          <t>HUARI</t>
        </is>
      </c>
      <c r="D1450" t="inlineStr">
        <is>
          <t>HUACHIS</t>
        </is>
      </c>
      <c r="E1450" t="n">
        <v>722</v>
      </c>
      <c r="F1450" s="14" t="n">
        <v>0</v>
      </c>
      <c r="G1450" s="14" t="n">
        <v>62.33</v>
      </c>
      <c r="H1450" s="14" t="n">
        <v>0.83</v>
      </c>
      <c r="I1450" s="14" t="n">
        <v>0.83</v>
      </c>
      <c r="J1450" s="14" t="n">
        <v>0</v>
      </c>
      <c r="K1450" s="14" t="n">
        <v>0.28</v>
      </c>
      <c r="L1450" s="14" t="n">
        <v>5.26</v>
      </c>
      <c r="M1450" s="14" t="n">
        <v>4.71</v>
      </c>
      <c r="N1450" s="14" t="n">
        <v>2.77</v>
      </c>
      <c r="O1450" s="14" t="n">
        <v>1.39</v>
      </c>
      <c r="P1450" s="14" t="n">
        <v>0.14</v>
      </c>
      <c r="Q1450" s="14" t="n">
        <v>0</v>
      </c>
      <c r="R1450" s="14" t="n">
        <v>0</v>
      </c>
      <c r="S1450" s="14" t="n">
        <v>1.11</v>
      </c>
      <c r="T1450" s="14" t="n">
        <v>0.97</v>
      </c>
      <c r="U1450" s="14" t="n">
        <v>7.2</v>
      </c>
      <c r="V1450" s="14" t="n">
        <v>9.56</v>
      </c>
      <c r="W1450" s="14" t="n">
        <v>1.8</v>
      </c>
      <c r="X1450" s="14" t="n">
        <v>0.28</v>
      </c>
      <c r="Y1450" s="14" t="n">
        <v>0.28</v>
      </c>
      <c r="Z1450" s="14" t="n">
        <v>0.28</v>
      </c>
      <c r="AA1450" s="14" t="n">
        <v>0</v>
      </c>
    </row>
    <row r="1451">
      <c r="A1451" t="inlineStr">
        <is>
          <t>090307</t>
        </is>
      </c>
      <c r="B1451" t="inlineStr">
        <is>
          <t>HUANCAVELICA</t>
        </is>
      </c>
      <c r="C1451" t="inlineStr">
        <is>
          <t>ANGARAES</t>
        </is>
      </c>
      <c r="D1451" t="inlineStr">
        <is>
          <t>HUANCA-HUANCA</t>
        </is>
      </c>
      <c r="E1451" t="n">
        <v>419</v>
      </c>
      <c r="F1451" s="14" t="n">
        <v>0</v>
      </c>
      <c r="G1451" s="14" t="n">
        <v>76.84999999999999</v>
      </c>
      <c r="H1451" s="14" t="n">
        <v>0</v>
      </c>
      <c r="I1451" s="14" t="n">
        <v>0</v>
      </c>
      <c r="J1451" s="14" t="n">
        <v>0</v>
      </c>
      <c r="K1451" s="14" t="n">
        <v>0</v>
      </c>
      <c r="L1451" s="14" t="n">
        <v>2.15</v>
      </c>
      <c r="M1451" s="14" t="n">
        <v>5.73</v>
      </c>
      <c r="N1451" s="14" t="n">
        <v>0</v>
      </c>
      <c r="O1451" s="14" t="n">
        <v>0.48</v>
      </c>
      <c r="P1451" s="14" t="n">
        <v>0</v>
      </c>
      <c r="Q1451" s="14" t="n">
        <v>0</v>
      </c>
      <c r="R1451" s="14" t="n">
        <v>0</v>
      </c>
      <c r="S1451" s="14" t="n">
        <v>1.19</v>
      </c>
      <c r="T1451" s="14" t="n">
        <v>0</v>
      </c>
      <c r="U1451" s="14" t="n">
        <v>10.02</v>
      </c>
      <c r="V1451" s="14" t="n">
        <v>1.19</v>
      </c>
      <c r="W1451" s="14" t="n">
        <v>2.15</v>
      </c>
      <c r="X1451" s="14" t="n">
        <v>0</v>
      </c>
      <c r="Y1451" s="14" t="n">
        <v>0</v>
      </c>
      <c r="Z1451" s="14" t="n">
        <v>0.24</v>
      </c>
      <c r="AA1451" s="14" t="n">
        <v>0</v>
      </c>
    </row>
    <row r="1452">
      <c r="A1452" t="inlineStr">
        <is>
          <t>050615</t>
        </is>
      </c>
      <c r="B1452" t="inlineStr">
        <is>
          <t>AYACUCHO</t>
        </is>
      </c>
      <c r="C1452" t="inlineStr">
        <is>
          <t>LUCANAS</t>
        </is>
      </c>
      <c r="D1452" t="inlineStr">
        <is>
          <t>SAN CRISTOBAL</t>
        </is>
      </c>
      <c r="E1452" t="n">
        <v>651</v>
      </c>
      <c r="F1452" s="14" t="n">
        <v>0</v>
      </c>
      <c r="G1452" s="14" t="n">
        <v>69.43000000000001</v>
      </c>
      <c r="H1452" s="14" t="n">
        <v>4.92</v>
      </c>
      <c r="I1452" s="14" t="n">
        <v>3.99</v>
      </c>
      <c r="J1452" s="14" t="n">
        <v>0</v>
      </c>
      <c r="K1452" s="14" t="n">
        <v>0</v>
      </c>
      <c r="L1452" s="14" t="n">
        <v>2.3</v>
      </c>
      <c r="M1452" s="14" t="n">
        <v>9.52</v>
      </c>
      <c r="N1452" s="14" t="n">
        <v>0.61</v>
      </c>
      <c r="O1452" s="14" t="n">
        <v>0.92</v>
      </c>
      <c r="P1452" s="14" t="n">
        <v>0</v>
      </c>
      <c r="Q1452" s="14" t="n">
        <v>0</v>
      </c>
      <c r="R1452" s="14" t="n">
        <v>0.15</v>
      </c>
      <c r="S1452" s="14" t="n">
        <v>0.31</v>
      </c>
      <c r="T1452" s="14" t="n">
        <v>0.31</v>
      </c>
      <c r="U1452" s="14" t="n">
        <v>1.84</v>
      </c>
      <c r="V1452" s="14" t="n">
        <v>2.92</v>
      </c>
      <c r="W1452" s="14" t="n">
        <v>2.61</v>
      </c>
      <c r="X1452" s="14" t="n">
        <v>0</v>
      </c>
      <c r="Y1452" s="14" t="n">
        <v>0.15</v>
      </c>
      <c r="Z1452" s="14" t="n">
        <v>0</v>
      </c>
      <c r="AA1452" s="14" t="n">
        <v>0</v>
      </c>
    </row>
    <row r="1453">
      <c r="A1453" t="inlineStr">
        <is>
          <t>020501</t>
        </is>
      </c>
      <c r="B1453" t="inlineStr">
        <is>
          <t>ANCASH</t>
        </is>
      </c>
      <c r="C1453" t="inlineStr">
        <is>
          <t>BOLOGNESI</t>
        </is>
      </c>
      <c r="D1453" t="inlineStr">
        <is>
          <t>CHIQUIAN</t>
        </is>
      </c>
      <c r="E1453" t="n">
        <v>1512</v>
      </c>
      <c r="F1453" s="14" t="n">
        <v>0</v>
      </c>
      <c r="G1453" s="14" t="n">
        <v>26.98</v>
      </c>
      <c r="H1453" s="14" t="n">
        <v>1.32</v>
      </c>
      <c r="I1453" s="14" t="n">
        <v>4.43</v>
      </c>
      <c r="J1453" s="14" t="n">
        <v>0</v>
      </c>
      <c r="K1453" s="14" t="n">
        <v>0.13</v>
      </c>
      <c r="L1453" s="14" t="n">
        <v>8.27</v>
      </c>
      <c r="M1453" s="14" t="n">
        <v>12.7</v>
      </c>
      <c r="N1453" s="14" t="n">
        <v>2.71</v>
      </c>
      <c r="O1453" s="14" t="n">
        <v>5.09</v>
      </c>
      <c r="P1453" s="14" t="n">
        <v>0.13</v>
      </c>
      <c r="Q1453" s="14" t="n">
        <v>0.46</v>
      </c>
      <c r="R1453" s="14" t="n">
        <v>0</v>
      </c>
      <c r="S1453" s="14" t="n">
        <v>3.24</v>
      </c>
      <c r="T1453" s="14" t="n">
        <v>2.58</v>
      </c>
      <c r="U1453" s="14" t="n">
        <v>7.87</v>
      </c>
      <c r="V1453" s="14" t="n">
        <v>18.25</v>
      </c>
      <c r="W1453" s="14" t="n">
        <v>2.31</v>
      </c>
      <c r="X1453" s="14" t="n">
        <v>0.6</v>
      </c>
      <c r="Y1453" s="14" t="n">
        <v>2.31</v>
      </c>
      <c r="Z1453" s="14" t="n">
        <v>0.6</v>
      </c>
      <c r="AA1453" s="14" t="n">
        <v>0</v>
      </c>
    </row>
    <row r="1454">
      <c r="A1454" t="inlineStr">
        <is>
          <t>050110</t>
        </is>
      </c>
      <c r="B1454" t="inlineStr">
        <is>
          <t>AYACUCHO</t>
        </is>
      </c>
      <c r="C1454" t="inlineStr">
        <is>
          <t>HUAMANGA</t>
        </is>
      </c>
      <c r="D1454" t="inlineStr">
        <is>
          <t>SAN JUAN BAUTISTA</t>
        </is>
      </c>
      <c r="E1454" t="n">
        <v>19626</v>
      </c>
      <c r="F1454" s="14" t="n">
        <v>0</v>
      </c>
      <c r="G1454" s="14" t="n">
        <v>6.87</v>
      </c>
      <c r="H1454" s="14" t="n">
        <v>0.35</v>
      </c>
      <c r="I1454" s="14" t="n">
        <v>5.13</v>
      </c>
      <c r="J1454" s="14" t="n">
        <v>0.06</v>
      </c>
      <c r="K1454" s="14" t="n">
        <v>0.19</v>
      </c>
      <c r="L1454" s="14" t="n">
        <v>9.779999999999999</v>
      </c>
      <c r="M1454" s="14" t="n">
        <v>22.68</v>
      </c>
      <c r="N1454" s="14" t="n">
        <v>10.66</v>
      </c>
      <c r="O1454" s="14" t="n">
        <v>8.35</v>
      </c>
      <c r="P1454" s="14" t="n">
        <v>0.9</v>
      </c>
      <c r="Q1454" s="14" t="n">
        <v>1.23</v>
      </c>
      <c r="R1454" s="14" t="n">
        <v>0.04</v>
      </c>
      <c r="S1454" s="14" t="n">
        <v>5.79</v>
      </c>
      <c r="T1454" s="14" t="n">
        <v>1.95</v>
      </c>
      <c r="U1454" s="14" t="n">
        <v>5.95</v>
      </c>
      <c r="V1454" s="14" t="n">
        <v>10.54</v>
      </c>
      <c r="W1454" s="14" t="n">
        <v>4.04</v>
      </c>
      <c r="X1454" s="14" t="n">
        <v>1.1</v>
      </c>
      <c r="Y1454" s="14" t="n">
        <v>3.11</v>
      </c>
      <c r="Z1454" s="14" t="n">
        <v>1.29</v>
      </c>
      <c r="AA1454" s="14" t="n">
        <v>0</v>
      </c>
    </row>
    <row r="1455">
      <c r="A1455" t="inlineStr">
        <is>
          <t>051006</t>
        </is>
      </c>
      <c r="B1455" t="inlineStr">
        <is>
          <t>AYACUCHO</t>
        </is>
      </c>
      <c r="C1455" t="inlineStr">
        <is>
          <t>VICTOR FAJARDO</t>
        </is>
      </c>
      <c r="D1455" t="inlineStr">
        <is>
          <t>CAYARA</t>
        </is>
      </c>
      <c r="E1455" t="n">
        <v>425</v>
      </c>
      <c r="F1455" s="14" t="n">
        <v>0</v>
      </c>
      <c r="G1455" s="14" t="n">
        <v>79.06</v>
      </c>
      <c r="H1455" s="14" t="n">
        <v>0.24</v>
      </c>
      <c r="I1455" s="14" t="n">
        <v>0.24</v>
      </c>
      <c r="J1455" s="14" t="n">
        <v>0</v>
      </c>
      <c r="K1455" s="14" t="n">
        <v>0</v>
      </c>
      <c r="L1455" s="14" t="n">
        <v>1.65</v>
      </c>
      <c r="M1455" s="14" t="n">
        <v>0.9399999999999999</v>
      </c>
      <c r="N1455" s="14" t="n">
        <v>1.18</v>
      </c>
      <c r="O1455" s="14" t="n">
        <v>0.9399999999999999</v>
      </c>
      <c r="P1455" s="14" t="n">
        <v>0.24</v>
      </c>
      <c r="Q1455" s="14" t="n">
        <v>0</v>
      </c>
      <c r="R1455" s="14" t="n">
        <v>0</v>
      </c>
      <c r="S1455" s="14" t="n">
        <v>1.18</v>
      </c>
      <c r="T1455" s="14" t="n">
        <v>0.47</v>
      </c>
      <c r="U1455" s="14" t="n">
        <v>2.59</v>
      </c>
      <c r="V1455" s="14" t="n">
        <v>7.76</v>
      </c>
      <c r="W1455" s="14" t="n">
        <v>3.06</v>
      </c>
      <c r="X1455" s="14" t="n">
        <v>0</v>
      </c>
      <c r="Y1455" s="14" t="n">
        <v>0.24</v>
      </c>
      <c r="Z1455" s="14" t="n">
        <v>0.24</v>
      </c>
      <c r="AA1455" s="14" t="n">
        <v>0</v>
      </c>
    </row>
    <row r="1456">
      <c r="A1456" t="inlineStr">
        <is>
          <t>090608</t>
        </is>
      </c>
      <c r="B1456" t="inlineStr">
        <is>
          <t>HUANCAVELICA</t>
        </is>
      </c>
      <c r="C1456" t="inlineStr">
        <is>
          <t>HUAYTARA</t>
        </is>
      </c>
      <c r="D1456" t="inlineStr">
        <is>
          <t>QUERCO</t>
        </is>
      </c>
      <c r="E1456" t="n">
        <v>498</v>
      </c>
      <c r="F1456" s="14" t="n">
        <v>0</v>
      </c>
      <c r="G1456" s="14" t="n">
        <v>80.92</v>
      </c>
      <c r="H1456" s="14" t="n">
        <v>3.41</v>
      </c>
      <c r="I1456" s="14" t="n">
        <v>0.2</v>
      </c>
      <c r="J1456" s="14" t="n">
        <v>0</v>
      </c>
      <c r="K1456" s="14" t="n">
        <v>0</v>
      </c>
      <c r="L1456" s="14" t="n">
        <v>3.01</v>
      </c>
      <c r="M1456" s="14" t="n">
        <v>3.82</v>
      </c>
      <c r="N1456" s="14" t="n">
        <v>1</v>
      </c>
      <c r="O1456" s="14" t="n">
        <v>0.8</v>
      </c>
      <c r="P1456" s="14" t="n">
        <v>0</v>
      </c>
      <c r="Q1456" s="14" t="n">
        <v>0</v>
      </c>
      <c r="R1456" s="14" t="n">
        <v>0</v>
      </c>
      <c r="S1456" s="14" t="n">
        <v>1</v>
      </c>
      <c r="T1456" s="14" t="n">
        <v>0.2</v>
      </c>
      <c r="U1456" s="14" t="n">
        <v>0.4</v>
      </c>
      <c r="V1456" s="14" t="n">
        <v>2.81</v>
      </c>
      <c r="W1456" s="14" t="n">
        <v>2.21</v>
      </c>
      <c r="X1456" s="14" t="n">
        <v>0</v>
      </c>
      <c r="Y1456" s="14" t="n">
        <v>0.2</v>
      </c>
      <c r="Z1456" s="14" t="n">
        <v>0</v>
      </c>
      <c r="AA1456" s="14" t="n">
        <v>0</v>
      </c>
    </row>
    <row r="1457">
      <c r="A1457" t="inlineStr">
        <is>
          <t>010515</t>
        </is>
      </c>
      <c r="B1457" t="inlineStr">
        <is>
          <t>AMAZONAS</t>
        </is>
      </c>
      <c r="C1457" t="inlineStr">
        <is>
          <t>LUYA</t>
        </is>
      </c>
      <c r="D1457" t="inlineStr">
        <is>
          <t>PROVIDENCIA</t>
        </is>
      </c>
      <c r="E1457" t="n">
        <v>483</v>
      </c>
      <c r="F1457" s="14" t="n">
        <v>0</v>
      </c>
      <c r="G1457" s="14" t="n">
        <v>82.81999999999999</v>
      </c>
      <c r="H1457" s="14" t="n">
        <v>0</v>
      </c>
      <c r="I1457" s="14" t="n">
        <v>1.04</v>
      </c>
      <c r="J1457" s="14" t="n">
        <v>0</v>
      </c>
      <c r="K1457" s="14" t="n">
        <v>0</v>
      </c>
      <c r="L1457" s="14" t="n">
        <v>1.66</v>
      </c>
      <c r="M1457" s="14" t="n">
        <v>2.48</v>
      </c>
      <c r="N1457" s="14" t="n">
        <v>0</v>
      </c>
      <c r="O1457" s="14" t="n">
        <v>0.62</v>
      </c>
      <c r="P1457" s="14" t="n">
        <v>0</v>
      </c>
      <c r="Q1457" s="14" t="n">
        <v>0</v>
      </c>
      <c r="R1457" s="14" t="n">
        <v>0</v>
      </c>
      <c r="S1457" s="14" t="n">
        <v>0.41</v>
      </c>
      <c r="T1457" s="14" t="n">
        <v>0</v>
      </c>
      <c r="U1457" s="14" t="n">
        <v>1.86</v>
      </c>
      <c r="V1457" s="14" t="n">
        <v>7.66</v>
      </c>
      <c r="W1457" s="14" t="n">
        <v>1.24</v>
      </c>
      <c r="X1457" s="14" t="n">
        <v>0</v>
      </c>
      <c r="Y1457" s="14" t="n">
        <v>0</v>
      </c>
      <c r="Z1457" s="14" t="n">
        <v>0.21</v>
      </c>
      <c r="AA1457" s="14" t="n">
        <v>0</v>
      </c>
    </row>
    <row r="1458">
      <c r="A1458" t="inlineStr">
        <is>
          <t>061111</t>
        </is>
      </c>
      <c r="B1458" t="inlineStr">
        <is>
          <t>CAJAMARCA</t>
        </is>
      </c>
      <c r="C1458" t="inlineStr">
        <is>
          <t>SAN MIGUEL</t>
        </is>
      </c>
      <c r="D1458" t="inlineStr">
        <is>
          <t>SAN SILVESTRE DE COCHAN</t>
        </is>
      </c>
      <c r="E1458" t="n">
        <v>1283</v>
      </c>
      <c r="F1458" s="14" t="n">
        <v>0</v>
      </c>
      <c r="G1458" s="14" t="n">
        <v>80.83</v>
      </c>
      <c r="H1458" s="14" t="n">
        <v>0.16</v>
      </c>
      <c r="I1458" s="14" t="n">
        <v>4.21</v>
      </c>
      <c r="J1458" s="14" t="n">
        <v>0</v>
      </c>
      <c r="K1458" s="14" t="n">
        <v>0</v>
      </c>
      <c r="L1458" s="14" t="n">
        <v>1.79</v>
      </c>
      <c r="M1458" s="14" t="n">
        <v>2.49</v>
      </c>
      <c r="N1458" s="14" t="n">
        <v>2.18</v>
      </c>
      <c r="O1458" s="14" t="n">
        <v>1.48</v>
      </c>
      <c r="P1458" s="14" t="n">
        <v>0.16</v>
      </c>
      <c r="Q1458" s="14" t="n">
        <v>0</v>
      </c>
      <c r="R1458" s="14" t="n">
        <v>0</v>
      </c>
      <c r="S1458" s="14" t="n">
        <v>0.31</v>
      </c>
      <c r="T1458" s="14" t="n">
        <v>0.23</v>
      </c>
      <c r="U1458" s="14" t="n">
        <v>0.9399999999999999</v>
      </c>
      <c r="V1458" s="14" t="n">
        <v>3.51</v>
      </c>
      <c r="W1458" s="14" t="n">
        <v>0.55</v>
      </c>
      <c r="X1458" s="14" t="n">
        <v>0.08</v>
      </c>
      <c r="Y1458" s="14" t="n">
        <v>0.47</v>
      </c>
      <c r="Z1458" s="14" t="n">
        <v>0.62</v>
      </c>
      <c r="AA1458" s="14" t="n">
        <v>0</v>
      </c>
    </row>
    <row r="1459">
      <c r="A1459" t="inlineStr">
        <is>
          <t>010307</t>
        </is>
      </c>
      <c r="B1459" t="inlineStr">
        <is>
          <t>AMAZONAS</t>
        </is>
      </c>
      <c r="C1459" t="inlineStr">
        <is>
          <t>BONGARA</t>
        </is>
      </c>
      <c r="D1459" t="inlineStr">
        <is>
          <t>JAZAN</t>
        </is>
      </c>
      <c r="E1459" t="n">
        <v>3512</v>
      </c>
      <c r="F1459" s="14" t="n">
        <v>0</v>
      </c>
      <c r="G1459" s="14" t="n">
        <v>33.54</v>
      </c>
      <c r="H1459" s="14" t="n">
        <v>0</v>
      </c>
      <c r="I1459" s="14" t="n">
        <v>3.33</v>
      </c>
      <c r="J1459" s="14" t="n">
        <v>0.11</v>
      </c>
      <c r="K1459" s="14" t="n">
        <v>0.03</v>
      </c>
      <c r="L1459" s="14" t="n">
        <v>5.52</v>
      </c>
      <c r="M1459" s="14" t="n">
        <v>16.03</v>
      </c>
      <c r="N1459" s="14" t="n">
        <v>8.06</v>
      </c>
      <c r="O1459" s="14" t="n">
        <v>5.32</v>
      </c>
      <c r="P1459" s="14" t="n">
        <v>0.14</v>
      </c>
      <c r="Q1459" s="14" t="n">
        <v>0.6</v>
      </c>
      <c r="R1459" s="14" t="n">
        <v>0.03</v>
      </c>
      <c r="S1459" s="14" t="n">
        <v>2.02</v>
      </c>
      <c r="T1459" s="14" t="n">
        <v>1.51</v>
      </c>
      <c r="U1459" s="14" t="n">
        <v>8.74</v>
      </c>
      <c r="V1459" s="14" t="n">
        <v>8.119999999999999</v>
      </c>
      <c r="W1459" s="14" t="n">
        <v>1.77</v>
      </c>
      <c r="X1459" s="14" t="n">
        <v>0.11</v>
      </c>
      <c r="Y1459" s="14" t="n">
        <v>1.71</v>
      </c>
      <c r="Z1459" s="14" t="n">
        <v>3.3</v>
      </c>
      <c r="AA1459" s="14" t="n">
        <v>0</v>
      </c>
    </row>
    <row r="1460">
      <c r="A1460" t="inlineStr">
        <is>
          <t>061304</t>
        </is>
      </c>
      <c r="B1460" t="inlineStr">
        <is>
          <t>CAJAMARCA</t>
        </is>
      </c>
      <c r="C1460" t="inlineStr">
        <is>
          <t>SANTA CRUZ</t>
        </is>
      </c>
      <c r="D1460" t="inlineStr">
        <is>
          <t>CHANCAYBAÑOS</t>
        </is>
      </c>
      <c r="E1460" t="n">
        <v>992</v>
      </c>
      <c r="F1460" s="14" t="n">
        <v>0</v>
      </c>
      <c r="G1460" s="14" t="n">
        <v>80.65000000000001</v>
      </c>
      <c r="H1460" s="14" t="n">
        <v>0.2</v>
      </c>
      <c r="I1460" s="14" t="n">
        <v>0.3</v>
      </c>
      <c r="J1460" s="14" t="n">
        <v>0.2</v>
      </c>
      <c r="K1460" s="14" t="n">
        <v>0</v>
      </c>
      <c r="L1460" s="14" t="n">
        <v>1.41</v>
      </c>
      <c r="M1460" s="14" t="n">
        <v>1.71</v>
      </c>
      <c r="N1460" s="14" t="n">
        <v>1.11</v>
      </c>
      <c r="O1460" s="14" t="n">
        <v>1.01</v>
      </c>
      <c r="P1460" s="14" t="n">
        <v>0</v>
      </c>
      <c r="Q1460" s="14" t="n">
        <v>0</v>
      </c>
      <c r="R1460" s="14" t="n">
        <v>0</v>
      </c>
      <c r="S1460" s="14" t="n">
        <v>0.91</v>
      </c>
      <c r="T1460" s="14" t="n">
        <v>0.3</v>
      </c>
      <c r="U1460" s="14" t="n">
        <v>2.22</v>
      </c>
      <c r="V1460" s="14" t="n">
        <v>7.66</v>
      </c>
      <c r="W1460" s="14" t="n">
        <v>1.92</v>
      </c>
      <c r="X1460" s="14" t="n">
        <v>0</v>
      </c>
      <c r="Y1460" s="14" t="n">
        <v>0.1</v>
      </c>
      <c r="Z1460" s="14" t="n">
        <v>0.3</v>
      </c>
      <c r="AA1460" s="14" t="n">
        <v>0</v>
      </c>
    </row>
    <row r="1461">
      <c r="A1461" t="inlineStr">
        <is>
          <t>090105</t>
        </is>
      </c>
      <c r="B1461" t="inlineStr">
        <is>
          <t>HUANCAVELICA</t>
        </is>
      </c>
      <c r="C1461" t="inlineStr">
        <is>
          <t>HUANCAVELICA</t>
        </is>
      </c>
      <c r="D1461" t="inlineStr">
        <is>
          <t>CUENCA</t>
        </is>
      </c>
      <c r="E1461" t="n">
        <v>447</v>
      </c>
      <c r="F1461" s="14" t="n">
        <v>0</v>
      </c>
      <c r="G1461" s="14" t="n">
        <v>90.16</v>
      </c>
      <c r="H1461" s="14" t="n">
        <v>0</v>
      </c>
      <c r="I1461" s="14" t="n">
        <v>0.67</v>
      </c>
      <c r="J1461" s="14" t="n">
        <v>0</v>
      </c>
      <c r="K1461" s="14" t="n">
        <v>0</v>
      </c>
      <c r="L1461" s="14" t="n">
        <v>1.57</v>
      </c>
      <c r="M1461" s="14" t="n">
        <v>2.68</v>
      </c>
      <c r="N1461" s="14" t="n">
        <v>1.12</v>
      </c>
      <c r="O1461" s="14" t="n">
        <v>0.67</v>
      </c>
      <c r="P1461" s="14" t="n">
        <v>0</v>
      </c>
      <c r="Q1461" s="14" t="n">
        <v>0</v>
      </c>
      <c r="R1461" s="14" t="n">
        <v>0</v>
      </c>
      <c r="S1461" s="14" t="n">
        <v>0.22</v>
      </c>
      <c r="T1461" s="14" t="n">
        <v>0</v>
      </c>
      <c r="U1461" s="14" t="n">
        <v>1.12</v>
      </c>
      <c r="V1461" s="14" t="n">
        <v>1.57</v>
      </c>
      <c r="W1461" s="14" t="n">
        <v>0</v>
      </c>
      <c r="X1461" s="14" t="n">
        <v>0</v>
      </c>
      <c r="Y1461" s="14" t="n">
        <v>0.22</v>
      </c>
      <c r="Z1461" s="14" t="n">
        <v>0</v>
      </c>
      <c r="AA1461" s="14" t="n">
        <v>0</v>
      </c>
    </row>
    <row r="1462">
      <c r="A1462" t="inlineStr">
        <is>
          <t>010107</t>
        </is>
      </c>
      <c r="B1462" t="inlineStr">
        <is>
          <t>AMAZONAS</t>
        </is>
      </c>
      <c r="C1462" t="inlineStr">
        <is>
          <t>CHACHAPOYAS</t>
        </is>
      </c>
      <c r="D1462" t="inlineStr">
        <is>
          <t>GRANADA</t>
        </is>
      </c>
      <c r="E1462" t="n">
        <v>194</v>
      </c>
      <c r="F1462" s="14" t="n">
        <v>0</v>
      </c>
      <c r="G1462" s="14" t="n">
        <v>78.87</v>
      </c>
      <c r="H1462" s="14" t="n">
        <v>0</v>
      </c>
      <c r="I1462" s="14" t="n">
        <v>0.52</v>
      </c>
      <c r="J1462" s="14" t="n">
        <v>0</v>
      </c>
      <c r="K1462" s="14" t="n">
        <v>0</v>
      </c>
      <c r="L1462" s="14" t="n">
        <v>3.09</v>
      </c>
      <c r="M1462" s="14" t="n">
        <v>4.64</v>
      </c>
      <c r="N1462" s="14" t="n">
        <v>2.06</v>
      </c>
      <c r="O1462" s="14" t="n">
        <v>1.03</v>
      </c>
      <c r="P1462" s="14" t="n">
        <v>0</v>
      </c>
      <c r="Q1462" s="14" t="n">
        <v>0</v>
      </c>
      <c r="R1462" s="14" t="n">
        <v>0</v>
      </c>
      <c r="S1462" s="14" t="n">
        <v>1.03</v>
      </c>
      <c r="T1462" s="14" t="n">
        <v>0</v>
      </c>
      <c r="U1462" s="14" t="n">
        <v>5.67</v>
      </c>
      <c r="V1462" s="14" t="n">
        <v>1.55</v>
      </c>
      <c r="W1462" s="14" t="n">
        <v>1.03</v>
      </c>
      <c r="X1462" s="14" t="n">
        <v>0</v>
      </c>
      <c r="Y1462" s="14" t="n">
        <v>0.52</v>
      </c>
      <c r="Z1462" s="14" t="n">
        <v>0</v>
      </c>
      <c r="AA1462" s="14" t="n">
        <v>0</v>
      </c>
    </row>
    <row r="1463">
      <c r="A1463" t="inlineStr">
        <is>
          <t>050706</t>
        </is>
      </c>
      <c r="B1463" t="inlineStr">
        <is>
          <t>AYACUCHO</t>
        </is>
      </c>
      <c r="C1463" t="inlineStr">
        <is>
          <t>PARINACOCHAS</t>
        </is>
      </c>
      <c r="D1463" t="inlineStr">
        <is>
          <t>PUYUSCA</t>
        </is>
      </c>
      <c r="E1463" t="n">
        <v>803</v>
      </c>
      <c r="F1463" s="14" t="n">
        <v>0</v>
      </c>
      <c r="G1463" s="14" t="n">
        <v>69.48999999999999</v>
      </c>
      <c r="H1463" s="14" t="n">
        <v>0.62</v>
      </c>
      <c r="I1463" s="14" t="n">
        <v>0.75</v>
      </c>
      <c r="J1463" s="14" t="n">
        <v>0</v>
      </c>
      <c r="K1463" s="14" t="n">
        <v>0</v>
      </c>
      <c r="L1463" s="14" t="n">
        <v>2.74</v>
      </c>
      <c r="M1463" s="14" t="n">
        <v>10.71</v>
      </c>
      <c r="N1463" s="14" t="n">
        <v>1.87</v>
      </c>
      <c r="O1463" s="14" t="n">
        <v>2.74</v>
      </c>
      <c r="P1463" s="14" t="n">
        <v>0.12</v>
      </c>
      <c r="Q1463" s="14" t="n">
        <v>0.5</v>
      </c>
      <c r="R1463" s="14" t="n">
        <v>0</v>
      </c>
      <c r="S1463" s="14" t="n">
        <v>1</v>
      </c>
      <c r="T1463" s="14" t="n">
        <v>0.5</v>
      </c>
      <c r="U1463" s="14" t="n">
        <v>2.62</v>
      </c>
      <c r="V1463" s="14" t="n">
        <v>3.36</v>
      </c>
      <c r="W1463" s="14" t="n">
        <v>1.12</v>
      </c>
      <c r="X1463" s="14" t="n">
        <v>0</v>
      </c>
      <c r="Y1463" s="14" t="n">
        <v>1.49</v>
      </c>
      <c r="Z1463" s="14" t="n">
        <v>0.37</v>
      </c>
      <c r="AA1463" s="14" t="n">
        <v>0</v>
      </c>
    </row>
    <row r="1464">
      <c r="A1464" t="inlineStr">
        <is>
          <t>010119</t>
        </is>
      </c>
      <c r="B1464" t="inlineStr">
        <is>
          <t>AMAZONAS</t>
        </is>
      </c>
      <c r="C1464" t="inlineStr">
        <is>
          <t>CHACHAPOYAS</t>
        </is>
      </c>
      <c r="D1464" t="inlineStr">
        <is>
          <t>SAN ISIDRO DE MAINO</t>
        </is>
      </c>
      <c r="E1464" t="n">
        <v>225</v>
      </c>
      <c r="F1464" s="14" t="n">
        <v>0</v>
      </c>
      <c r="G1464" s="14" t="n">
        <v>77.78</v>
      </c>
      <c r="H1464" s="14" t="n">
        <v>0</v>
      </c>
      <c r="I1464" s="14" t="n">
        <v>1.78</v>
      </c>
      <c r="J1464" s="14" t="n">
        <v>0</v>
      </c>
      <c r="K1464" s="14" t="n">
        <v>0</v>
      </c>
      <c r="L1464" s="14" t="n">
        <v>1.78</v>
      </c>
      <c r="M1464" s="14" t="n">
        <v>5.78</v>
      </c>
      <c r="N1464" s="14" t="n">
        <v>0</v>
      </c>
      <c r="O1464" s="14" t="n">
        <v>0.89</v>
      </c>
      <c r="P1464" s="14" t="n">
        <v>0</v>
      </c>
      <c r="Q1464" s="14" t="n">
        <v>0</v>
      </c>
      <c r="R1464" s="14" t="n">
        <v>0</v>
      </c>
      <c r="S1464" s="14" t="n">
        <v>0</v>
      </c>
      <c r="T1464" s="14" t="n">
        <v>0</v>
      </c>
      <c r="U1464" s="14" t="n">
        <v>4.89</v>
      </c>
      <c r="V1464" s="14" t="n">
        <v>4</v>
      </c>
      <c r="W1464" s="14" t="n">
        <v>2.22</v>
      </c>
      <c r="X1464" s="14" t="n">
        <v>0</v>
      </c>
      <c r="Y1464" s="14" t="n">
        <v>0</v>
      </c>
      <c r="Z1464" s="14" t="n">
        <v>0.89</v>
      </c>
      <c r="AA1464" s="14" t="n">
        <v>0</v>
      </c>
    </row>
    <row r="1465">
      <c r="A1465" t="inlineStr">
        <is>
          <t>021510</t>
        </is>
      </c>
      <c r="B1465" t="inlineStr">
        <is>
          <t>ANCASH</t>
        </is>
      </c>
      <c r="C1465" t="inlineStr">
        <is>
          <t>PALLASCA</t>
        </is>
      </c>
      <c r="D1465" t="inlineStr">
        <is>
          <t>SANTA ROSA</t>
        </is>
      </c>
      <c r="E1465" t="n">
        <v>416</v>
      </c>
      <c r="F1465" s="14" t="n">
        <v>0</v>
      </c>
      <c r="G1465" s="14" t="n">
        <v>69.95</v>
      </c>
      <c r="H1465" s="14" t="n">
        <v>4.09</v>
      </c>
      <c r="I1465" s="14" t="n">
        <v>2.4</v>
      </c>
      <c r="J1465" s="14" t="n">
        <v>0</v>
      </c>
      <c r="K1465" s="14" t="n">
        <v>0</v>
      </c>
      <c r="L1465" s="14" t="n">
        <v>3.85</v>
      </c>
      <c r="M1465" s="14" t="n">
        <v>11.06</v>
      </c>
      <c r="N1465" s="14" t="n">
        <v>1.92</v>
      </c>
      <c r="O1465" s="14" t="n">
        <v>0.96</v>
      </c>
      <c r="P1465" s="14" t="n">
        <v>0</v>
      </c>
      <c r="Q1465" s="14" t="n">
        <v>0</v>
      </c>
      <c r="R1465" s="14" t="n">
        <v>0</v>
      </c>
      <c r="S1465" s="14" t="n">
        <v>0.48</v>
      </c>
      <c r="T1465" s="14" t="n">
        <v>0.24</v>
      </c>
      <c r="U1465" s="14" t="n">
        <v>1.92</v>
      </c>
      <c r="V1465" s="14" t="n">
        <v>2.4</v>
      </c>
      <c r="W1465" s="14" t="n">
        <v>0.24</v>
      </c>
      <c r="X1465" s="14" t="n">
        <v>0</v>
      </c>
      <c r="Y1465" s="14" t="n">
        <v>0.24</v>
      </c>
      <c r="Z1465" s="14" t="n">
        <v>0.24</v>
      </c>
      <c r="AA1465" s="14" t="n">
        <v>0</v>
      </c>
    </row>
    <row r="1466">
      <c r="A1466" t="inlineStr">
        <is>
          <t>021908</t>
        </is>
      </c>
      <c r="B1466" t="inlineStr">
        <is>
          <t>ANCASH</t>
        </is>
      </c>
      <c r="C1466" t="inlineStr">
        <is>
          <t>SIHUAS</t>
        </is>
      </c>
      <c r="D1466" t="inlineStr">
        <is>
          <t>RAGASH</t>
        </is>
      </c>
      <c r="E1466" t="n">
        <v>498</v>
      </c>
      <c r="F1466" s="14" t="n">
        <v>0</v>
      </c>
      <c r="G1466" s="14" t="n">
        <v>85.54000000000001</v>
      </c>
      <c r="H1466" s="14" t="n">
        <v>0</v>
      </c>
      <c r="I1466" s="14" t="n">
        <v>1.81</v>
      </c>
      <c r="J1466" s="14" t="n">
        <v>0</v>
      </c>
      <c r="K1466" s="14" t="n">
        <v>0</v>
      </c>
      <c r="L1466" s="14" t="n">
        <v>2.41</v>
      </c>
      <c r="M1466" s="14" t="n">
        <v>1.81</v>
      </c>
      <c r="N1466" s="14" t="n">
        <v>1</v>
      </c>
      <c r="O1466" s="14" t="n">
        <v>0.8</v>
      </c>
      <c r="P1466" s="14" t="n">
        <v>0</v>
      </c>
      <c r="Q1466" s="14" t="n">
        <v>0</v>
      </c>
      <c r="R1466" s="14" t="n">
        <v>0</v>
      </c>
      <c r="S1466" s="14" t="n">
        <v>0.2</v>
      </c>
      <c r="T1466" s="14" t="n">
        <v>0</v>
      </c>
      <c r="U1466" s="14" t="n">
        <v>2.81</v>
      </c>
      <c r="V1466" s="14" t="n">
        <v>1</v>
      </c>
      <c r="W1466" s="14" t="n">
        <v>1.61</v>
      </c>
      <c r="X1466" s="14" t="n">
        <v>0</v>
      </c>
      <c r="Y1466" s="14" t="n">
        <v>1</v>
      </c>
      <c r="Z1466" s="14" t="n">
        <v>0</v>
      </c>
      <c r="AA1466" s="14" t="n">
        <v>0</v>
      </c>
    </row>
    <row r="1467">
      <c r="A1467" t="inlineStr">
        <is>
          <t>090110</t>
        </is>
      </c>
      <c r="B1467" t="inlineStr">
        <is>
          <t>HUANCAVELICA</t>
        </is>
      </c>
      <c r="C1467" t="inlineStr">
        <is>
          <t>HUANCAVELICA</t>
        </is>
      </c>
      <c r="D1467" t="inlineStr">
        <is>
          <t>MANTA</t>
        </is>
      </c>
      <c r="E1467" t="n">
        <v>408</v>
      </c>
      <c r="F1467" s="14" t="n">
        <v>0</v>
      </c>
      <c r="G1467" s="14" t="n">
        <v>62.5</v>
      </c>
      <c r="H1467" s="14" t="n">
        <v>0</v>
      </c>
      <c r="I1467" s="14" t="n">
        <v>0.49</v>
      </c>
      <c r="J1467" s="14" t="n">
        <v>0</v>
      </c>
      <c r="K1467" s="14" t="n">
        <v>0</v>
      </c>
      <c r="L1467" s="14" t="n">
        <v>6.62</v>
      </c>
      <c r="M1467" s="14" t="n">
        <v>16.67</v>
      </c>
      <c r="N1467" s="14" t="n">
        <v>2.45</v>
      </c>
      <c r="O1467" s="14" t="n">
        <v>0.74</v>
      </c>
      <c r="P1467" s="14" t="n">
        <v>0.25</v>
      </c>
      <c r="Q1467" s="14" t="n">
        <v>0</v>
      </c>
      <c r="R1467" s="14" t="n">
        <v>0</v>
      </c>
      <c r="S1467" s="14" t="n">
        <v>0.49</v>
      </c>
      <c r="T1467" s="14" t="n">
        <v>0.25</v>
      </c>
      <c r="U1467" s="14" t="n">
        <v>3.92</v>
      </c>
      <c r="V1467" s="14" t="n">
        <v>2.45</v>
      </c>
      <c r="W1467" s="14" t="n">
        <v>2.21</v>
      </c>
      <c r="X1467" s="14" t="n">
        <v>0.25</v>
      </c>
      <c r="Y1467" s="14" t="n">
        <v>0.49</v>
      </c>
      <c r="Z1467" s="14" t="n">
        <v>0.25</v>
      </c>
      <c r="AA1467" s="14" t="n">
        <v>0</v>
      </c>
    </row>
    <row r="1468">
      <c r="A1468" t="inlineStr">
        <is>
          <t>040411</t>
        </is>
      </c>
      <c r="B1468" t="inlineStr">
        <is>
          <t>AREQUIPA</t>
        </is>
      </c>
      <c r="C1468" t="inlineStr">
        <is>
          <t>CASTILLA</t>
        </is>
      </c>
      <c r="D1468" t="inlineStr">
        <is>
          <t>TIPAN</t>
        </is>
      </c>
      <c r="E1468" t="n">
        <v>161</v>
      </c>
      <c r="F1468" s="14" t="n">
        <v>0</v>
      </c>
      <c r="G1468" s="14" t="n">
        <v>56.52</v>
      </c>
      <c r="H1468" s="14" t="n">
        <v>0</v>
      </c>
      <c r="I1468" s="14" t="n">
        <v>2.48</v>
      </c>
      <c r="J1468" s="14" t="n">
        <v>0</v>
      </c>
      <c r="K1468" s="14" t="n">
        <v>0</v>
      </c>
      <c r="L1468" s="14" t="n">
        <v>5.59</v>
      </c>
      <c r="M1468" s="14" t="n">
        <v>8.699999999999999</v>
      </c>
      <c r="N1468" s="14" t="n">
        <v>3.11</v>
      </c>
      <c r="O1468" s="14" t="n">
        <v>3.11</v>
      </c>
      <c r="P1468" s="14" t="n">
        <v>0</v>
      </c>
      <c r="Q1468" s="14" t="n">
        <v>0</v>
      </c>
      <c r="R1468" s="14" t="n">
        <v>0</v>
      </c>
      <c r="S1468" s="14" t="n">
        <v>1.86</v>
      </c>
      <c r="T1468" s="14" t="n">
        <v>0.62</v>
      </c>
      <c r="U1468" s="14" t="n">
        <v>11.18</v>
      </c>
      <c r="V1468" s="14" t="n">
        <v>3.73</v>
      </c>
      <c r="W1468" s="14" t="n">
        <v>1.86</v>
      </c>
      <c r="X1468" s="14" t="n">
        <v>0</v>
      </c>
      <c r="Y1468" s="14" t="n">
        <v>0.62</v>
      </c>
      <c r="Z1468" s="14" t="n">
        <v>0.62</v>
      </c>
      <c r="AA1468" s="14" t="n">
        <v>0</v>
      </c>
    </row>
    <row r="1469">
      <c r="A1469" t="inlineStr">
        <is>
          <t>040119</t>
        </is>
      </c>
      <c r="B1469" t="inlineStr">
        <is>
          <t>AREQUIPA</t>
        </is>
      </c>
      <c r="C1469" t="inlineStr">
        <is>
          <t>AREQUIPA</t>
        </is>
      </c>
      <c r="D1469" t="inlineStr">
        <is>
          <t>SAN JUAN DE TARUCANI</t>
        </is>
      </c>
      <c r="E1469" t="n">
        <v>619</v>
      </c>
      <c r="F1469" s="14" t="n">
        <v>0</v>
      </c>
      <c r="G1469" s="14" t="n">
        <v>22.13</v>
      </c>
      <c r="H1469" s="14" t="n">
        <v>15.51</v>
      </c>
      <c r="I1469" s="14" t="n">
        <v>5.33</v>
      </c>
      <c r="J1469" s="14" t="n">
        <v>0</v>
      </c>
      <c r="K1469" s="14" t="n">
        <v>0</v>
      </c>
      <c r="L1469" s="14" t="n">
        <v>12.6</v>
      </c>
      <c r="M1469" s="14" t="n">
        <v>19.06</v>
      </c>
      <c r="N1469" s="14" t="n">
        <v>11.31</v>
      </c>
      <c r="O1469" s="14" t="n">
        <v>2.26</v>
      </c>
      <c r="P1469" s="14" t="n">
        <v>0</v>
      </c>
      <c r="Q1469" s="14" t="n">
        <v>0</v>
      </c>
      <c r="R1469" s="14" t="n">
        <v>0</v>
      </c>
      <c r="S1469" s="14" t="n">
        <v>0.65</v>
      </c>
      <c r="T1469" s="14" t="n">
        <v>1.78</v>
      </c>
      <c r="U1469" s="14" t="n">
        <v>5.82</v>
      </c>
      <c r="V1469" s="14" t="n">
        <v>0.65</v>
      </c>
      <c r="W1469" s="14" t="n">
        <v>0.48</v>
      </c>
      <c r="X1469" s="14" t="n">
        <v>0.32</v>
      </c>
      <c r="Y1469" s="14" t="n">
        <v>1.94</v>
      </c>
      <c r="Z1469" s="14" t="n">
        <v>0.16</v>
      </c>
      <c r="AA1469" s="14" t="n">
        <v>0</v>
      </c>
    </row>
    <row r="1470">
      <c r="A1470" t="inlineStr">
        <is>
          <t>061102</t>
        </is>
      </c>
      <c r="B1470" t="inlineStr">
        <is>
          <t>CAJAMARCA</t>
        </is>
      </c>
      <c r="C1470" t="inlineStr">
        <is>
          <t>SAN MIGUEL</t>
        </is>
      </c>
      <c r="D1470" t="inlineStr">
        <is>
          <t>BOLIVAR</t>
        </is>
      </c>
      <c r="E1470" t="n">
        <v>546</v>
      </c>
      <c r="F1470" s="14" t="n">
        <v>0</v>
      </c>
      <c r="G1470" s="14" t="n">
        <v>71.43000000000001</v>
      </c>
      <c r="H1470" s="14" t="n">
        <v>0.37</v>
      </c>
      <c r="I1470" s="14" t="n">
        <v>0.73</v>
      </c>
      <c r="J1470" s="14" t="n">
        <v>0</v>
      </c>
      <c r="K1470" s="14" t="n">
        <v>0</v>
      </c>
      <c r="L1470" s="14" t="n">
        <v>2.93</v>
      </c>
      <c r="M1470" s="14" t="n">
        <v>10.62</v>
      </c>
      <c r="N1470" s="14" t="n">
        <v>0.37</v>
      </c>
      <c r="O1470" s="14" t="n">
        <v>1.83</v>
      </c>
      <c r="P1470" s="14" t="n">
        <v>0</v>
      </c>
      <c r="Q1470" s="14" t="n">
        <v>0</v>
      </c>
      <c r="R1470" s="14" t="n">
        <v>0</v>
      </c>
      <c r="S1470" s="14" t="n">
        <v>0.18</v>
      </c>
      <c r="T1470" s="14" t="n">
        <v>0.18</v>
      </c>
      <c r="U1470" s="14" t="n">
        <v>3.66</v>
      </c>
      <c r="V1470" s="14" t="n">
        <v>4.95</v>
      </c>
      <c r="W1470" s="14" t="n">
        <v>1.47</v>
      </c>
      <c r="X1470" s="14" t="n">
        <v>0.18</v>
      </c>
      <c r="Y1470" s="14" t="n">
        <v>0.55</v>
      </c>
      <c r="Z1470" s="14" t="n">
        <v>0.55</v>
      </c>
      <c r="AA1470" s="14" t="n">
        <v>0</v>
      </c>
    </row>
    <row r="1471">
      <c r="A1471" t="inlineStr">
        <is>
          <t>090614</t>
        </is>
      </c>
      <c r="B1471" t="inlineStr">
        <is>
          <t>HUANCAVELICA</t>
        </is>
      </c>
      <c r="C1471" t="inlineStr">
        <is>
          <t>HUAYTARA</t>
        </is>
      </c>
      <c r="D1471" t="inlineStr">
        <is>
          <t>SANTIAGO DE QUIRAHUARA</t>
        </is>
      </c>
      <c r="E1471" t="n">
        <v>41</v>
      </c>
      <c r="F1471" s="14" t="n">
        <v>0</v>
      </c>
      <c r="G1471" s="14" t="n">
        <v>24.39</v>
      </c>
      <c r="H1471" s="14" t="n">
        <v>0</v>
      </c>
      <c r="I1471" s="14" t="n">
        <v>0</v>
      </c>
      <c r="J1471" s="14" t="n">
        <v>0</v>
      </c>
      <c r="K1471" s="14" t="n">
        <v>0</v>
      </c>
      <c r="L1471" s="14" t="n">
        <v>7.32</v>
      </c>
      <c r="M1471" s="14" t="n">
        <v>29.27</v>
      </c>
      <c r="N1471" s="14" t="n">
        <v>14.63</v>
      </c>
      <c r="O1471" s="14" t="n">
        <v>4.88</v>
      </c>
      <c r="P1471" s="14" t="n">
        <v>0</v>
      </c>
      <c r="Q1471" s="14" t="n">
        <v>0</v>
      </c>
      <c r="R1471" s="14" t="n">
        <v>0</v>
      </c>
      <c r="S1471" s="14" t="n">
        <v>0</v>
      </c>
      <c r="T1471" s="14" t="n">
        <v>0</v>
      </c>
      <c r="U1471" s="14" t="n">
        <v>4.88</v>
      </c>
      <c r="V1471" s="14" t="n">
        <v>9.76</v>
      </c>
      <c r="W1471" s="14" t="n">
        <v>0</v>
      </c>
      <c r="X1471" s="14" t="n">
        <v>0</v>
      </c>
      <c r="Y1471" s="14" t="n">
        <v>0</v>
      </c>
      <c r="Z1471" s="14" t="n">
        <v>4.88</v>
      </c>
      <c r="AA1471" s="14" t="n">
        <v>0</v>
      </c>
    </row>
    <row r="1472">
      <c r="A1472" t="inlineStr">
        <is>
          <t>040403</t>
        </is>
      </c>
      <c r="B1472" t="inlineStr">
        <is>
          <t>AREQUIPA</t>
        </is>
      </c>
      <c r="C1472" t="inlineStr">
        <is>
          <t>CASTILLA</t>
        </is>
      </c>
      <c r="D1472" t="inlineStr">
        <is>
          <t>AYO</t>
        </is>
      </c>
      <c r="E1472" t="n">
        <v>160</v>
      </c>
      <c r="F1472" s="14" t="n">
        <v>0</v>
      </c>
      <c r="G1472" s="14" t="n">
        <v>56.88</v>
      </c>
      <c r="H1472" s="14" t="n">
        <v>0</v>
      </c>
      <c r="I1472" s="14" t="n">
        <v>0</v>
      </c>
      <c r="J1472" s="14" t="n">
        <v>3.75</v>
      </c>
      <c r="K1472" s="14" t="n">
        <v>0</v>
      </c>
      <c r="L1472" s="14" t="n">
        <v>6.25</v>
      </c>
      <c r="M1472" s="14" t="n">
        <v>4.38</v>
      </c>
      <c r="N1472" s="14" t="n">
        <v>1.25</v>
      </c>
      <c r="O1472" s="14" t="n">
        <v>2.5</v>
      </c>
      <c r="P1472" s="14" t="n">
        <v>0</v>
      </c>
      <c r="Q1472" s="14" t="n">
        <v>0</v>
      </c>
      <c r="R1472" s="14" t="n">
        <v>0</v>
      </c>
      <c r="S1472" s="14" t="n">
        <v>2.5</v>
      </c>
      <c r="T1472" s="14" t="n">
        <v>0.63</v>
      </c>
      <c r="U1472" s="14" t="n">
        <v>17.5</v>
      </c>
      <c r="V1472" s="14" t="n">
        <v>1.25</v>
      </c>
      <c r="W1472" s="14" t="n">
        <v>1.25</v>
      </c>
      <c r="X1472" s="14" t="n">
        <v>0</v>
      </c>
      <c r="Y1472" s="14" t="n">
        <v>1.25</v>
      </c>
      <c r="Z1472" s="14" t="n">
        <v>0.63</v>
      </c>
      <c r="AA1472" s="14" t="n">
        <v>0</v>
      </c>
    </row>
    <row r="1473">
      <c r="A1473" t="inlineStr">
        <is>
          <t>030410</t>
        </is>
      </c>
      <c r="B1473" t="inlineStr">
        <is>
          <t>APURIMAC</t>
        </is>
      </c>
      <c r="C1473" t="inlineStr">
        <is>
          <t>AYMARAES</t>
        </is>
      </c>
      <c r="D1473" t="inlineStr">
        <is>
          <t>POCOHUANCA</t>
        </is>
      </c>
      <c r="E1473" t="n">
        <v>390</v>
      </c>
      <c r="F1473" s="14" t="n">
        <v>0</v>
      </c>
      <c r="G1473" s="14" t="n">
        <v>68.97</v>
      </c>
      <c r="H1473" s="14" t="n">
        <v>5.13</v>
      </c>
      <c r="I1473" s="14" t="n">
        <v>0.77</v>
      </c>
      <c r="J1473" s="14" t="n">
        <v>0</v>
      </c>
      <c r="K1473" s="14" t="n">
        <v>0</v>
      </c>
      <c r="L1473" s="14" t="n">
        <v>3.59</v>
      </c>
      <c r="M1473" s="14" t="n">
        <v>7.18</v>
      </c>
      <c r="N1473" s="14" t="n">
        <v>1.28</v>
      </c>
      <c r="O1473" s="14" t="n">
        <v>1.79</v>
      </c>
      <c r="P1473" s="14" t="n">
        <v>0</v>
      </c>
      <c r="Q1473" s="14" t="n">
        <v>0.26</v>
      </c>
      <c r="R1473" s="14" t="n">
        <v>0</v>
      </c>
      <c r="S1473" s="14" t="n">
        <v>0.26</v>
      </c>
      <c r="T1473" s="14" t="n">
        <v>0.26</v>
      </c>
      <c r="U1473" s="14" t="n">
        <v>3.08</v>
      </c>
      <c r="V1473" s="14" t="n">
        <v>4.87</v>
      </c>
      <c r="W1473" s="14" t="n">
        <v>1.79</v>
      </c>
      <c r="X1473" s="14" t="n">
        <v>0</v>
      </c>
      <c r="Y1473" s="14" t="n">
        <v>0.26</v>
      </c>
      <c r="Z1473" s="14" t="n">
        <v>0.51</v>
      </c>
      <c r="AA1473" s="14" t="n">
        <v>0</v>
      </c>
    </row>
    <row r="1474">
      <c r="A1474" t="inlineStr">
        <is>
          <t>030220</t>
        </is>
      </c>
      <c r="B1474" t="inlineStr">
        <is>
          <t>APURIMAC</t>
        </is>
      </c>
      <c r="C1474" t="inlineStr">
        <is>
          <t>ANDAHUAYLAS</t>
        </is>
      </c>
      <c r="D1474" t="inlineStr">
        <is>
          <t>JOSE MARIA ARGUEDAS</t>
        </is>
      </c>
      <c r="E1474" t="n">
        <v>1428</v>
      </c>
      <c r="F1474" s="14" t="n">
        <v>0</v>
      </c>
      <c r="G1474" s="14" t="n">
        <v>89.92</v>
      </c>
      <c r="H1474" s="14" t="n">
        <v>0.7</v>
      </c>
      <c r="I1474" s="14" t="n">
        <v>0.14</v>
      </c>
      <c r="J1474" s="14" t="n">
        <v>0</v>
      </c>
      <c r="K1474" s="14" t="n">
        <v>0</v>
      </c>
      <c r="L1474" s="14" t="n">
        <v>0.77</v>
      </c>
      <c r="M1474" s="14" t="n">
        <v>2.52</v>
      </c>
      <c r="N1474" s="14" t="n">
        <v>0.49</v>
      </c>
      <c r="O1474" s="14" t="n">
        <v>1.47</v>
      </c>
      <c r="P1474" s="14" t="n">
        <v>0</v>
      </c>
      <c r="Q1474" s="14" t="n">
        <v>0</v>
      </c>
      <c r="R1474" s="14" t="n">
        <v>0</v>
      </c>
      <c r="S1474" s="14" t="n">
        <v>0.28</v>
      </c>
      <c r="T1474" s="14" t="n">
        <v>0.28</v>
      </c>
      <c r="U1474" s="14" t="n">
        <v>1.54</v>
      </c>
      <c r="V1474" s="14" t="n">
        <v>0.5600000000000001</v>
      </c>
      <c r="W1474" s="14" t="n">
        <v>0.7</v>
      </c>
      <c r="X1474" s="14" t="n">
        <v>0</v>
      </c>
      <c r="Y1474" s="14" t="n">
        <v>0.49</v>
      </c>
      <c r="Z1474" s="14" t="n">
        <v>0.14</v>
      </c>
      <c r="AA1474" s="14" t="n">
        <v>0</v>
      </c>
    </row>
    <row r="1475">
      <c r="A1475" t="inlineStr">
        <is>
          <t>021306</t>
        </is>
      </c>
      <c r="B1475" t="inlineStr">
        <is>
          <t>ANCASH</t>
        </is>
      </c>
      <c r="C1475" t="inlineStr">
        <is>
          <t>MARISCAL LUZURIAGA</t>
        </is>
      </c>
      <c r="D1475" t="inlineStr">
        <is>
          <t>LLUMPA</t>
        </is>
      </c>
      <c r="E1475" t="n">
        <v>504</v>
      </c>
      <c r="F1475" s="14" t="n">
        <v>0</v>
      </c>
      <c r="G1475" s="14" t="n">
        <v>58.33</v>
      </c>
      <c r="H1475" s="14" t="n">
        <v>0</v>
      </c>
      <c r="I1475" s="14" t="n">
        <v>3.17</v>
      </c>
      <c r="J1475" s="14" t="n">
        <v>0.2</v>
      </c>
      <c r="K1475" s="14" t="n">
        <v>0</v>
      </c>
      <c r="L1475" s="14" t="n">
        <v>5.75</v>
      </c>
      <c r="M1475" s="14" t="n">
        <v>5.56</v>
      </c>
      <c r="N1475" s="14" t="n">
        <v>3.77</v>
      </c>
      <c r="O1475" s="14" t="n">
        <v>1.98</v>
      </c>
      <c r="P1475" s="14" t="n">
        <v>0.2</v>
      </c>
      <c r="Q1475" s="14" t="n">
        <v>0.2</v>
      </c>
      <c r="R1475" s="14" t="n">
        <v>0</v>
      </c>
      <c r="S1475" s="14" t="n">
        <v>1.98</v>
      </c>
      <c r="T1475" s="14" t="n">
        <v>0.6</v>
      </c>
      <c r="U1475" s="14" t="n">
        <v>2.78</v>
      </c>
      <c r="V1475" s="14" t="n">
        <v>9.130000000000001</v>
      </c>
      <c r="W1475" s="14" t="n">
        <v>4.17</v>
      </c>
      <c r="X1475" s="14" t="n">
        <v>0</v>
      </c>
      <c r="Y1475" s="14" t="n">
        <v>1.59</v>
      </c>
      <c r="Z1475" s="14" t="n">
        <v>0.6</v>
      </c>
      <c r="AA1475" s="14" t="n">
        <v>0</v>
      </c>
    </row>
    <row r="1476">
      <c r="A1476" t="inlineStr">
        <is>
          <t>022006</t>
        </is>
      </c>
      <c r="B1476" t="inlineStr">
        <is>
          <t>ANCASH</t>
        </is>
      </c>
      <c r="C1476" t="inlineStr">
        <is>
          <t>YUNGAY</t>
        </is>
      </c>
      <c r="D1476" t="inlineStr">
        <is>
          <t>RANRAHIRCA</t>
        </is>
      </c>
      <c r="E1476" t="n">
        <v>941</v>
      </c>
      <c r="F1476" s="14" t="n">
        <v>0</v>
      </c>
      <c r="G1476" s="14" t="n">
        <v>64.51000000000001</v>
      </c>
      <c r="H1476" s="14" t="n">
        <v>1.91</v>
      </c>
      <c r="I1476" s="14" t="n">
        <v>3.72</v>
      </c>
      <c r="J1476" s="14" t="n">
        <v>0</v>
      </c>
      <c r="K1476" s="14" t="n">
        <v>0.11</v>
      </c>
      <c r="L1476" s="14" t="n">
        <v>1.91</v>
      </c>
      <c r="M1476" s="14" t="n">
        <v>6.27</v>
      </c>
      <c r="N1476" s="14" t="n">
        <v>3.4</v>
      </c>
      <c r="O1476" s="14" t="n">
        <v>2.66</v>
      </c>
      <c r="P1476" s="14" t="n">
        <v>0.32</v>
      </c>
      <c r="Q1476" s="14" t="n">
        <v>0.11</v>
      </c>
      <c r="R1476" s="14" t="n">
        <v>0.11</v>
      </c>
      <c r="S1476" s="14" t="n">
        <v>2.02</v>
      </c>
      <c r="T1476" s="14" t="n">
        <v>0.74</v>
      </c>
      <c r="U1476" s="14" t="n">
        <v>3.83</v>
      </c>
      <c r="V1476" s="14" t="n">
        <v>5.1</v>
      </c>
      <c r="W1476" s="14" t="n">
        <v>1.06</v>
      </c>
      <c r="X1476" s="14" t="n">
        <v>0.53</v>
      </c>
      <c r="Y1476" s="14" t="n">
        <v>0.96</v>
      </c>
      <c r="Z1476" s="14" t="n">
        <v>0.74</v>
      </c>
      <c r="AA1476" s="14" t="n">
        <v>0</v>
      </c>
    </row>
    <row r="1477">
      <c r="A1477" t="inlineStr">
        <is>
          <t>020305</t>
        </is>
      </c>
      <c r="B1477" t="inlineStr">
        <is>
          <t>ANCASH</t>
        </is>
      </c>
      <c r="C1477" t="inlineStr">
        <is>
          <t>ANTONIO RAYMONDI</t>
        </is>
      </c>
      <c r="D1477" t="inlineStr">
        <is>
          <t>MIRGAS</t>
        </is>
      </c>
      <c r="E1477" t="n">
        <v>860</v>
      </c>
      <c r="F1477" s="14" t="n">
        <v>0</v>
      </c>
      <c r="G1477" s="14" t="n">
        <v>77.09</v>
      </c>
      <c r="H1477" s="14" t="n">
        <v>0</v>
      </c>
      <c r="I1477" s="14" t="n">
        <v>0.93</v>
      </c>
      <c r="J1477" s="14" t="n">
        <v>0</v>
      </c>
      <c r="K1477" s="14" t="n">
        <v>0</v>
      </c>
      <c r="L1477" s="14" t="n">
        <v>1.16</v>
      </c>
      <c r="M1477" s="14" t="n">
        <v>2.44</v>
      </c>
      <c r="N1477" s="14" t="n">
        <v>0.8100000000000001</v>
      </c>
      <c r="O1477" s="14" t="n">
        <v>0.8100000000000001</v>
      </c>
      <c r="P1477" s="14" t="n">
        <v>0</v>
      </c>
      <c r="Q1477" s="14" t="n">
        <v>0</v>
      </c>
      <c r="R1477" s="14" t="n">
        <v>0</v>
      </c>
      <c r="S1477" s="14" t="n">
        <v>0.35</v>
      </c>
      <c r="T1477" s="14" t="n">
        <v>0.12</v>
      </c>
      <c r="U1477" s="14" t="n">
        <v>1.51</v>
      </c>
      <c r="V1477" s="14" t="n">
        <v>11.98</v>
      </c>
      <c r="W1477" s="14" t="n">
        <v>1.86</v>
      </c>
      <c r="X1477" s="14" t="n">
        <v>0</v>
      </c>
      <c r="Y1477" s="14" t="n">
        <v>0.58</v>
      </c>
      <c r="Z1477" s="14" t="n">
        <v>0.35</v>
      </c>
      <c r="AA1477" s="14" t="n">
        <v>0</v>
      </c>
    </row>
    <row r="1478">
      <c r="A1478" t="inlineStr">
        <is>
          <t>030306</t>
        </is>
      </c>
      <c r="B1478" t="inlineStr">
        <is>
          <t>APURIMAC</t>
        </is>
      </c>
      <c r="C1478" t="inlineStr">
        <is>
          <t>ANTABAMBA</t>
        </is>
      </c>
      <c r="D1478" t="inlineStr">
        <is>
          <t>PACHACONAS</t>
        </is>
      </c>
      <c r="E1478" t="n">
        <v>406</v>
      </c>
      <c r="F1478" s="14" t="n">
        <v>0</v>
      </c>
      <c r="G1478" s="14" t="n">
        <v>60.1</v>
      </c>
      <c r="H1478" s="14" t="n">
        <v>4.19</v>
      </c>
      <c r="I1478" s="14" t="n">
        <v>0.99</v>
      </c>
      <c r="J1478" s="14" t="n">
        <v>0</v>
      </c>
      <c r="K1478" s="14" t="n">
        <v>0</v>
      </c>
      <c r="L1478" s="14" t="n">
        <v>7.39</v>
      </c>
      <c r="M1478" s="14" t="n">
        <v>8.369999999999999</v>
      </c>
      <c r="N1478" s="14" t="n">
        <v>0.25</v>
      </c>
      <c r="O1478" s="14" t="n">
        <v>1.48</v>
      </c>
      <c r="P1478" s="14" t="n">
        <v>0</v>
      </c>
      <c r="Q1478" s="14" t="n">
        <v>0</v>
      </c>
      <c r="R1478" s="14" t="n">
        <v>0</v>
      </c>
      <c r="S1478" s="14" t="n">
        <v>1.97</v>
      </c>
      <c r="T1478" s="14" t="n">
        <v>0.49</v>
      </c>
      <c r="U1478" s="14" t="n">
        <v>4.19</v>
      </c>
      <c r="V1478" s="14" t="n">
        <v>7.14</v>
      </c>
      <c r="W1478" s="14" t="n">
        <v>2.46</v>
      </c>
      <c r="X1478" s="14" t="n">
        <v>0</v>
      </c>
      <c r="Y1478" s="14" t="n">
        <v>0.25</v>
      </c>
      <c r="Z1478" s="14" t="n">
        <v>0.74</v>
      </c>
      <c r="AA1478" s="14" t="n">
        <v>0</v>
      </c>
    </row>
    <row r="1479">
      <c r="A1479" t="inlineStr">
        <is>
          <t>021206</t>
        </is>
      </c>
      <c r="B1479" t="inlineStr">
        <is>
          <t>ANCASH</t>
        </is>
      </c>
      <c r="C1479" t="inlineStr">
        <is>
          <t>HUAYLAS</t>
        </is>
      </c>
      <c r="D1479" t="inlineStr">
        <is>
          <t>PAMPAROMAS</t>
        </is>
      </c>
      <c r="E1479" t="n">
        <v>2477</v>
      </c>
      <c r="F1479" s="14" t="n">
        <v>0</v>
      </c>
      <c r="G1479" s="14" t="n">
        <v>79.33</v>
      </c>
      <c r="H1479" s="14" t="n">
        <v>2.46</v>
      </c>
      <c r="I1479" s="14" t="n">
        <v>1.25</v>
      </c>
      <c r="J1479" s="14" t="n">
        <v>0</v>
      </c>
      <c r="K1479" s="14" t="n">
        <v>0.04</v>
      </c>
      <c r="L1479" s="14" t="n">
        <v>3.35</v>
      </c>
      <c r="M1479" s="14" t="n">
        <v>5.33</v>
      </c>
      <c r="N1479" s="14" t="n">
        <v>0.61</v>
      </c>
      <c r="O1479" s="14" t="n">
        <v>1.13</v>
      </c>
      <c r="P1479" s="14" t="n">
        <v>0</v>
      </c>
      <c r="Q1479" s="14" t="n">
        <v>0</v>
      </c>
      <c r="R1479" s="14" t="n">
        <v>0</v>
      </c>
      <c r="S1479" s="14" t="n">
        <v>0.8100000000000001</v>
      </c>
      <c r="T1479" s="14" t="n">
        <v>0.57</v>
      </c>
      <c r="U1479" s="14" t="n">
        <v>1.7</v>
      </c>
      <c r="V1479" s="14" t="n">
        <v>1.82</v>
      </c>
      <c r="W1479" s="14" t="n">
        <v>0.93</v>
      </c>
      <c r="X1479" s="14" t="n">
        <v>0.16</v>
      </c>
      <c r="Y1479" s="14" t="n">
        <v>0.4</v>
      </c>
      <c r="Z1479" s="14" t="n">
        <v>0.12</v>
      </c>
      <c r="AA1479" s="14" t="n">
        <v>0</v>
      </c>
    </row>
    <row r="1480">
      <c r="A1480" t="inlineStr">
        <is>
          <t>010116</t>
        </is>
      </c>
      <c r="B1480" t="inlineStr">
        <is>
          <t>AMAZONAS</t>
        </is>
      </c>
      <c r="C1480" t="inlineStr">
        <is>
          <t>CHACHAPOYAS</t>
        </is>
      </c>
      <c r="D1480" t="inlineStr">
        <is>
          <t>OLLEROS</t>
        </is>
      </c>
      <c r="E1480" t="n">
        <v>175</v>
      </c>
      <c r="F1480" s="14" t="n">
        <v>0</v>
      </c>
      <c r="G1480" s="14" t="n">
        <v>76.56999999999999</v>
      </c>
      <c r="H1480" s="14" t="n">
        <v>0</v>
      </c>
      <c r="I1480" s="14" t="n">
        <v>2.29</v>
      </c>
      <c r="J1480" s="14" t="n">
        <v>0</v>
      </c>
      <c r="K1480" s="14" t="n">
        <v>0</v>
      </c>
      <c r="L1480" s="14" t="n">
        <v>9.710000000000001</v>
      </c>
      <c r="M1480" s="14" t="n">
        <v>0.57</v>
      </c>
      <c r="N1480" s="14" t="n">
        <v>1.14</v>
      </c>
      <c r="O1480" s="14" t="n">
        <v>2.29</v>
      </c>
      <c r="P1480" s="14" t="n">
        <v>0</v>
      </c>
      <c r="Q1480" s="14" t="n">
        <v>0</v>
      </c>
      <c r="R1480" s="14" t="n">
        <v>0</v>
      </c>
      <c r="S1480" s="14" t="n">
        <v>0</v>
      </c>
      <c r="T1480" s="14" t="n">
        <v>1.14</v>
      </c>
      <c r="U1480" s="14" t="n">
        <v>2.86</v>
      </c>
      <c r="V1480" s="14" t="n">
        <v>1.71</v>
      </c>
      <c r="W1480" s="14" t="n">
        <v>1.14</v>
      </c>
      <c r="X1480" s="14" t="n">
        <v>0</v>
      </c>
      <c r="Y1480" s="14" t="n">
        <v>0</v>
      </c>
      <c r="Z1480" s="14" t="n">
        <v>0.57</v>
      </c>
      <c r="AA1480" s="14" t="n">
        <v>0</v>
      </c>
    </row>
    <row r="1481">
      <c r="A1481" t="inlineStr">
        <is>
          <t>040507</t>
        </is>
      </c>
      <c r="B1481" t="inlineStr">
        <is>
          <t>AREQUIPA</t>
        </is>
      </c>
      <c r="C1481" t="inlineStr">
        <is>
          <t>CAYLLOMA</t>
        </is>
      </c>
      <c r="D1481" t="inlineStr">
        <is>
          <t>HUAMBO</t>
        </is>
      </c>
      <c r="E1481" t="n">
        <v>347</v>
      </c>
      <c r="F1481" s="14" t="n">
        <v>0</v>
      </c>
      <c r="G1481" s="14" t="n">
        <v>78.95999999999999</v>
      </c>
      <c r="H1481" s="14" t="n">
        <v>0</v>
      </c>
      <c r="I1481" s="14" t="n">
        <v>1.44</v>
      </c>
      <c r="J1481" s="14" t="n">
        <v>0</v>
      </c>
      <c r="K1481" s="14" t="n">
        <v>0</v>
      </c>
      <c r="L1481" s="14" t="n">
        <v>4.03</v>
      </c>
      <c r="M1481" s="14" t="n">
        <v>5.48</v>
      </c>
      <c r="N1481" s="14" t="n">
        <v>1.44</v>
      </c>
      <c r="O1481" s="14" t="n">
        <v>2.59</v>
      </c>
      <c r="P1481" s="14" t="n">
        <v>0</v>
      </c>
      <c r="Q1481" s="14" t="n">
        <v>0</v>
      </c>
      <c r="R1481" s="14" t="n">
        <v>0</v>
      </c>
      <c r="S1481" s="14" t="n">
        <v>0.29</v>
      </c>
      <c r="T1481" s="14" t="n">
        <v>1.15</v>
      </c>
      <c r="U1481" s="14" t="n">
        <v>2.88</v>
      </c>
      <c r="V1481" s="14" t="n">
        <v>1.15</v>
      </c>
      <c r="W1481" s="14" t="n">
        <v>0.58</v>
      </c>
      <c r="X1481" s="14" t="n">
        <v>0</v>
      </c>
      <c r="Y1481" s="14" t="n">
        <v>0</v>
      </c>
      <c r="Z1481" s="14" t="n">
        <v>0</v>
      </c>
      <c r="AA1481" s="14" t="n">
        <v>0</v>
      </c>
    </row>
    <row r="1482">
      <c r="A1482" t="inlineStr">
        <is>
          <t>040519</t>
        </is>
      </c>
      <c r="B1482" t="inlineStr">
        <is>
          <t>AREQUIPA</t>
        </is>
      </c>
      <c r="C1482" t="inlineStr">
        <is>
          <t>CAYLLOMA</t>
        </is>
      </c>
      <c r="D1482" t="inlineStr">
        <is>
          <t>YANQUE</t>
        </is>
      </c>
      <c r="E1482" t="n">
        <v>1087</v>
      </c>
      <c r="F1482" s="14" t="n">
        <v>0</v>
      </c>
      <c r="G1482" s="14" t="n">
        <v>51.89</v>
      </c>
      <c r="H1482" s="14" t="n">
        <v>0.09</v>
      </c>
      <c r="I1482" s="14" t="n">
        <v>2.76</v>
      </c>
      <c r="J1482" s="14" t="n">
        <v>0</v>
      </c>
      <c r="K1482" s="14" t="n">
        <v>0</v>
      </c>
      <c r="L1482" s="14" t="n">
        <v>15.18</v>
      </c>
      <c r="M1482" s="14" t="n">
        <v>5.7</v>
      </c>
      <c r="N1482" s="14" t="n">
        <v>2.85</v>
      </c>
      <c r="O1482" s="14" t="n">
        <v>9.02</v>
      </c>
      <c r="P1482" s="14" t="n">
        <v>0.09</v>
      </c>
      <c r="Q1482" s="14" t="n">
        <v>0.55</v>
      </c>
      <c r="R1482" s="14" t="n">
        <v>0</v>
      </c>
      <c r="S1482" s="14" t="n">
        <v>1.01</v>
      </c>
      <c r="T1482" s="14" t="n">
        <v>1.47</v>
      </c>
      <c r="U1482" s="14" t="n">
        <v>5.43</v>
      </c>
      <c r="V1482" s="14" t="n">
        <v>1.38</v>
      </c>
      <c r="W1482" s="14" t="n">
        <v>0.46</v>
      </c>
      <c r="X1482" s="14" t="n">
        <v>0.37</v>
      </c>
      <c r="Y1482" s="14" t="n">
        <v>1.66</v>
      </c>
      <c r="Z1482" s="14" t="n">
        <v>0.09</v>
      </c>
      <c r="AA1482" s="14" t="n">
        <v>0</v>
      </c>
    </row>
    <row r="1483">
      <c r="A1483" t="inlineStr">
        <is>
          <t>081007</t>
        </is>
      </c>
      <c r="B1483" t="inlineStr">
        <is>
          <t>CUSCO</t>
        </is>
      </c>
      <c r="C1483" t="inlineStr">
        <is>
          <t>PARURO</t>
        </is>
      </c>
      <c r="D1483" t="inlineStr">
        <is>
          <t>PACCARITAMBO</t>
        </is>
      </c>
      <c r="E1483" t="n">
        <v>803</v>
      </c>
      <c r="F1483" s="14" t="n">
        <v>0</v>
      </c>
      <c r="G1483" s="14" t="n">
        <v>67.37</v>
      </c>
      <c r="H1483" s="14" t="n">
        <v>0.87</v>
      </c>
      <c r="I1483" s="14" t="n">
        <v>1.87</v>
      </c>
      <c r="J1483" s="14" t="n">
        <v>0</v>
      </c>
      <c r="K1483" s="14" t="n">
        <v>0.62</v>
      </c>
      <c r="L1483" s="14" t="n">
        <v>9.710000000000001</v>
      </c>
      <c r="M1483" s="14" t="n">
        <v>8.59</v>
      </c>
      <c r="N1483" s="14" t="n">
        <v>1.99</v>
      </c>
      <c r="O1483" s="14" t="n">
        <v>2.49</v>
      </c>
      <c r="P1483" s="14" t="n">
        <v>0.12</v>
      </c>
      <c r="Q1483" s="14" t="n">
        <v>0</v>
      </c>
      <c r="R1483" s="14" t="n">
        <v>0</v>
      </c>
      <c r="S1483" s="14" t="n">
        <v>1.37</v>
      </c>
      <c r="T1483" s="14" t="n">
        <v>0.5</v>
      </c>
      <c r="U1483" s="14" t="n">
        <v>1.87</v>
      </c>
      <c r="V1483" s="14" t="n">
        <v>0.75</v>
      </c>
      <c r="W1483" s="14" t="n">
        <v>0.25</v>
      </c>
      <c r="X1483" s="14" t="n">
        <v>0.25</v>
      </c>
      <c r="Y1483" s="14" t="n">
        <v>0.75</v>
      </c>
      <c r="Z1483" s="14" t="n">
        <v>0.62</v>
      </c>
      <c r="AA1483" s="14" t="n">
        <v>0</v>
      </c>
    </row>
    <row r="1484">
      <c r="A1484" t="inlineStr">
        <is>
          <t>081201</t>
        </is>
      </c>
      <c r="B1484" t="inlineStr">
        <is>
          <t>CUSCO</t>
        </is>
      </c>
      <c r="C1484" t="inlineStr">
        <is>
          <t>QUISPICANCHI</t>
        </is>
      </c>
      <c r="D1484" t="inlineStr">
        <is>
          <t>URCOS</t>
        </is>
      </c>
      <c r="E1484" t="n">
        <v>4128</v>
      </c>
      <c r="F1484" s="14" t="n">
        <v>0</v>
      </c>
      <c r="G1484" s="14" t="n">
        <v>31.54</v>
      </c>
      <c r="H1484" s="14" t="n">
        <v>0.68</v>
      </c>
      <c r="I1484" s="14" t="n">
        <v>3.9</v>
      </c>
      <c r="J1484" s="14" t="n">
        <v>0.12</v>
      </c>
      <c r="K1484" s="14" t="n">
        <v>0.02</v>
      </c>
      <c r="L1484" s="14" t="n">
        <v>7.78</v>
      </c>
      <c r="M1484" s="14" t="n">
        <v>16.55</v>
      </c>
      <c r="N1484" s="14" t="n">
        <v>7.29</v>
      </c>
      <c r="O1484" s="14" t="n">
        <v>7.05</v>
      </c>
      <c r="P1484" s="14" t="n">
        <v>0.68</v>
      </c>
      <c r="Q1484" s="14" t="n">
        <v>1.38</v>
      </c>
      <c r="R1484" s="14" t="n">
        <v>0.02</v>
      </c>
      <c r="S1484" s="14" t="n">
        <v>2.4</v>
      </c>
      <c r="T1484" s="14" t="n">
        <v>1.67</v>
      </c>
      <c r="U1484" s="14" t="n">
        <v>6.61</v>
      </c>
      <c r="V1484" s="14" t="n">
        <v>7.41</v>
      </c>
      <c r="W1484" s="14" t="n">
        <v>1.26</v>
      </c>
      <c r="X1484" s="14" t="n">
        <v>0.58</v>
      </c>
      <c r="Y1484" s="14" t="n">
        <v>2.35</v>
      </c>
      <c r="Z1484" s="14" t="n">
        <v>0.7</v>
      </c>
      <c r="AA1484" s="14" t="n">
        <v>0</v>
      </c>
    </row>
    <row r="1485">
      <c r="A1485" t="inlineStr">
        <is>
          <t>080105</t>
        </is>
      </c>
      <c r="B1485" t="inlineStr">
        <is>
          <t>CUSCO</t>
        </is>
      </c>
      <c r="C1485" t="inlineStr">
        <is>
          <t>CUSCO</t>
        </is>
      </c>
      <c r="D1485" t="inlineStr">
        <is>
          <t>SAN SEBASTIAN</t>
        </is>
      </c>
      <c r="E1485" t="n">
        <v>53520</v>
      </c>
      <c r="F1485" s="14" t="n">
        <v>0</v>
      </c>
      <c r="G1485" s="14" t="n">
        <v>2.78</v>
      </c>
      <c r="H1485" s="14" t="n">
        <v>0.35</v>
      </c>
      <c r="I1485" s="14" t="n">
        <v>7.16</v>
      </c>
      <c r="J1485" s="14" t="n">
        <v>0.13</v>
      </c>
      <c r="K1485" s="14" t="n">
        <v>0.26</v>
      </c>
      <c r="L1485" s="14" t="n">
        <v>9.039999999999999</v>
      </c>
      <c r="M1485" s="14" t="n">
        <v>22.66</v>
      </c>
      <c r="N1485" s="14" t="n">
        <v>9.859999999999999</v>
      </c>
      <c r="O1485" s="14" t="n">
        <v>9.460000000000001</v>
      </c>
      <c r="P1485" s="14" t="n">
        <v>1.38</v>
      </c>
      <c r="Q1485" s="14" t="n">
        <v>1.47</v>
      </c>
      <c r="R1485" s="14" t="n">
        <v>0.19</v>
      </c>
      <c r="S1485" s="14" t="n">
        <v>7.27</v>
      </c>
      <c r="T1485" s="14" t="n">
        <v>5.11</v>
      </c>
      <c r="U1485" s="14" t="n">
        <v>5.5</v>
      </c>
      <c r="V1485" s="14" t="n">
        <v>8.33</v>
      </c>
      <c r="W1485" s="14" t="n">
        <v>3.71</v>
      </c>
      <c r="X1485" s="14" t="n">
        <v>1.38</v>
      </c>
      <c r="Y1485" s="14" t="n">
        <v>3.02</v>
      </c>
      <c r="Z1485" s="14" t="n">
        <v>0.93</v>
      </c>
      <c r="AA1485" s="14" t="n">
        <v>0</v>
      </c>
    </row>
    <row r="1486">
      <c r="A1486" t="inlineStr">
        <is>
          <t>030411</t>
        </is>
      </c>
      <c r="B1486" t="inlineStr">
        <is>
          <t>APURIMAC</t>
        </is>
      </c>
      <c r="C1486" t="inlineStr">
        <is>
          <t>AYMARAES</t>
        </is>
      </c>
      <c r="D1486" t="inlineStr">
        <is>
          <t>SAN JUAN DE CHACÑA</t>
        </is>
      </c>
      <c r="E1486" t="n">
        <v>460</v>
      </c>
      <c r="F1486" s="14" t="n">
        <v>0</v>
      </c>
      <c r="G1486" s="14" t="n">
        <v>80.87</v>
      </c>
      <c r="H1486" s="14" t="n">
        <v>0.43</v>
      </c>
      <c r="I1486" s="14" t="n">
        <v>2.39</v>
      </c>
      <c r="J1486" s="14" t="n">
        <v>0</v>
      </c>
      <c r="K1486" s="14" t="n">
        <v>0</v>
      </c>
      <c r="L1486" s="14" t="n">
        <v>2.39</v>
      </c>
      <c r="M1486" s="14" t="n">
        <v>5.65</v>
      </c>
      <c r="N1486" s="14" t="n">
        <v>0.43</v>
      </c>
      <c r="O1486" s="14" t="n">
        <v>0.65</v>
      </c>
      <c r="P1486" s="14" t="n">
        <v>0.22</v>
      </c>
      <c r="Q1486" s="14" t="n">
        <v>0</v>
      </c>
      <c r="R1486" s="14" t="n">
        <v>0</v>
      </c>
      <c r="S1486" s="14" t="n">
        <v>0</v>
      </c>
      <c r="T1486" s="14" t="n">
        <v>0.22</v>
      </c>
      <c r="U1486" s="14" t="n">
        <v>3.04</v>
      </c>
      <c r="V1486" s="14" t="n">
        <v>2.39</v>
      </c>
      <c r="W1486" s="14" t="n">
        <v>0.87</v>
      </c>
      <c r="X1486" s="14" t="n">
        <v>0</v>
      </c>
      <c r="Y1486" s="14" t="n">
        <v>0.22</v>
      </c>
      <c r="Z1486" s="14" t="n">
        <v>0.22</v>
      </c>
      <c r="AA1486" s="14" t="n">
        <v>0</v>
      </c>
    </row>
    <row r="1487">
      <c r="A1487" t="inlineStr">
        <is>
          <t>080602</t>
        </is>
      </c>
      <c r="B1487" t="inlineStr">
        <is>
          <t>CUSCO</t>
        </is>
      </c>
      <c r="C1487" t="inlineStr">
        <is>
          <t>CANCHIS</t>
        </is>
      </c>
      <c r="D1487" t="inlineStr">
        <is>
          <t>CHECACUPE</t>
        </is>
      </c>
      <c r="E1487" t="n">
        <v>1686</v>
      </c>
      <c r="F1487" s="14" t="n">
        <v>0</v>
      </c>
      <c r="G1487" s="14" t="n">
        <v>68.39</v>
      </c>
      <c r="H1487" s="14" t="n">
        <v>0.47</v>
      </c>
      <c r="I1487" s="14" t="n">
        <v>1.42</v>
      </c>
      <c r="J1487" s="14" t="n">
        <v>0</v>
      </c>
      <c r="K1487" s="14" t="n">
        <v>0</v>
      </c>
      <c r="L1487" s="14" t="n">
        <v>5.04</v>
      </c>
      <c r="M1487" s="14" t="n">
        <v>7.47</v>
      </c>
      <c r="N1487" s="14" t="n">
        <v>2.67</v>
      </c>
      <c r="O1487" s="14" t="n">
        <v>2.14</v>
      </c>
      <c r="P1487" s="14" t="n">
        <v>0</v>
      </c>
      <c r="Q1487" s="14" t="n">
        <v>0.12</v>
      </c>
      <c r="R1487" s="14" t="n">
        <v>0</v>
      </c>
      <c r="S1487" s="14" t="n">
        <v>1.13</v>
      </c>
      <c r="T1487" s="14" t="n">
        <v>0.89</v>
      </c>
      <c r="U1487" s="14" t="n">
        <v>2.73</v>
      </c>
      <c r="V1487" s="14" t="n">
        <v>5.93</v>
      </c>
      <c r="W1487" s="14" t="n">
        <v>1.01</v>
      </c>
      <c r="X1487" s="14" t="n">
        <v>0</v>
      </c>
      <c r="Y1487" s="14" t="n">
        <v>0.42</v>
      </c>
      <c r="Z1487" s="14" t="n">
        <v>0.18</v>
      </c>
      <c r="AA1487" s="14" t="n">
        <v>0</v>
      </c>
    </row>
    <row r="1488">
      <c r="A1488" t="inlineStr">
        <is>
          <t>051011</t>
        </is>
      </c>
      <c r="B1488" t="inlineStr">
        <is>
          <t>AYACUCHO</t>
        </is>
      </c>
      <c r="C1488" t="inlineStr">
        <is>
          <t>VICTOR FAJARDO</t>
        </is>
      </c>
      <c r="D1488" t="inlineStr">
        <is>
          <t>SARHUA</t>
        </is>
      </c>
      <c r="E1488" t="n">
        <v>1057</v>
      </c>
      <c r="F1488" s="14" t="n">
        <v>0</v>
      </c>
      <c r="G1488" s="14" t="n">
        <v>80.61</v>
      </c>
      <c r="H1488" s="14" t="n">
        <v>0</v>
      </c>
      <c r="I1488" s="14" t="n">
        <v>1.42</v>
      </c>
      <c r="J1488" s="14" t="n">
        <v>0</v>
      </c>
      <c r="K1488" s="14" t="n">
        <v>0</v>
      </c>
      <c r="L1488" s="14" t="n">
        <v>2.37</v>
      </c>
      <c r="M1488" s="14" t="n">
        <v>6.43</v>
      </c>
      <c r="N1488" s="14" t="n">
        <v>0.09</v>
      </c>
      <c r="O1488" s="14" t="n">
        <v>0.85</v>
      </c>
      <c r="P1488" s="14" t="n">
        <v>0</v>
      </c>
      <c r="Q1488" s="14" t="n">
        <v>0</v>
      </c>
      <c r="R1488" s="14" t="n">
        <v>0</v>
      </c>
      <c r="S1488" s="14" t="n">
        <v>0.28</v>
      </c>
      <c r="T1488" s="14" t="n">
        <v>0.09</v>
      </c>
      <c r="U1488" s="14" t="n">
        <v>2.08</v>
      </c>
      <c r="V1488" s="14" t="n">
        <v>3.03</v>
      </c>
      <c r="W1488" s="14" t="n">
        <v>1.99</v>
      </c>
      <c r="X1488" s="14" t="n">
        <v>0</v>
      </c>
      <c r="Y1488" s="14" t="n">
        <v>0.47</v>
      </c>
      <c r="Z1488" s="14" t="n">
        <v>0.28</v>
      </c>
      <c r="AA1488" s="14" t="n">
        <v>0</v>
      </c>
    </row>
    <row r="1489">
      <c r="A1489" t="inlineStr">
        <is>
          <t>050204</t>
        </is>
      </c>
      <c r="B1489" t="inlineStr">
        <is>
          <t>AYACUCHO</t>
        </is>
      </c>
      <c r="C1489" t="inlineStr">
        <is>
          <t>CANGALLO</t>
        </is>
      </c>
      <c r="D1489" t="inlineStr">
        <is>
          <t>MARIA PARADO DE BELLIDO</t>
        </is>
      </c>
      <c r="E1489" t="n">
        <v>415</v>
      </c>
      <c r="F1489" s="14" t="n">
        <v>0</v>
      </c>
      <c r="G1489" s="14" t="n">
        <v>74.22</v>
      </c>
      <c r="H1489" s="14" t="n">
        <v>0</v>
      </c>
      <c r="I1489" s="14" t="n">
        <v>1.45</v>
      </c>
      <c r="J1489" s="14" t="n">
        <v>0</v>
      </c>
      <c r="K1489" s="14" t="n">
        <v>0</v>
      </c>
      <c r="L1489" s="14" t="n">
        <v>2.65</v>
      </c>
      <c r="M1489" s="14" t="n">
        <v>6.99</v>
      </c>
      <c r="N1489" s="14" t="n">
        <v>0.72</v>
      </c>
      <c r="O1489" s="14" t="n">
        <v>2.89</v>
      </c>
      <c r="P1489" s="14" t="n">
        <v>0</v>
      </c>
      <c r="Q1489" s="14" t="n">
        <v>0</v>
      </c>
      <c r="R1489" s="14" t="n">
        <v>0</v>
      </c>
      <c r="S1489" s="14" t="n">
        <v>2.65</v>
      </c>
      <c r="T1489" s="14" t="n">
        <v>0.48</v>
      </c>
      <c r="U1489" s="14" t="n">
        <v>1.45</v>
      </c>
      <c r="V1489" s="14" t="n">
        <v>1.93</v>
      </c>
      <c r="W1489" s="14" t="n">
        <v>3.37</v>
      </c>
      <c r="X1489" s="14" t="n">
        <v>0</v>
      </c>
      <c r="Y1489" s="14" t="n">
        <v>0.72</v>
      </c>
      <c r="Z1489" s="14" t="n">
        <v>0.48</v>
      </c>
      <c r="AA1489" s="14" t="n">
        <v>0</v>
      </c>
    </row>
    <row r="1490">
      <c r="A1490" t="inlineStr">
        <is>
          <t>010605</t>
        </is>
      </c>
      <c r="B1490" t="inlineStr">
        <is>
          <t>AMAZONAS</t>
        </is>
      </c>
      <c r="C1490" t="inlineStr">
        <is>
          <t>RODRIGUEZ DE MENDOZA</t>
        </is>
      </c>
      <c r="D1490" t="inlineStr">
        <is>
          <t>LIMABAMBA</t>
        </is>
      </c>
      <c r="E1490" t="n">
        <v>928</v>
      </c>
      <c r="F1490" s="14" t="n">
        <v>0</v>
      </c>
      <c r="G1490" s="14" t="n">
        <v>83.19</v>
      </c>
      <c r="H1490" s="14" t="n">
        <v>0</v>
      </c>
      <c r="I1490" s="14" t="n">
        <v>1.83</v>
      </c>
      <c r="J1490" s="14" t="n">
        <v>0</v>
      </c>
      <c r="K1490" s="14" t="n">
        <v>0</v>
      </c>
      <c r="L1490" s="14" t="n">
        <v>1.72</v>
      </c>
      <c r="M1490" s="14" t="n">
        <v>3.56</v>
      </c>
      <c r="N1490" s="14" t="n">
        <v>0.75</v>
      </c>
      <c r="O1490" s="14" t="n">
        <v>0.43</v>
      </c>
      <c r="P1490" s="14" t="n">
        <v>0</v>
      </c>
      <c r="Q1490" s="14" t="n">
        <v>0.11</v>
      </c>
      <c r="R1490" s="14" t="n">
        <v>0</v>
      </c>
      <c r="S1490" s="14" t="n">
        <v>0.32</v>
      </c>
      <c r="T1490" s="14" t="n">
        <v>0.43</v>
      </c>
      <c r="U1490" s="14" t="n">
        <v>1.62</v>
      </c>
      <c r="V1490" s="14" t="n">
        <v>5.17</v>
      </c>
      <c r="W1490" s="14" t="n">
        <v>0.65</v>
      </c>
      <c r="X1490" s="14" t="n">
        <v>0</v>
      </c>
      <c r="Y1490" s="14" t="n">
        <v>0.11</v>
      </c>
      <c r="Z1490" s="14" t="n">
        <v>0.11</v>
      </c>
      <c r="AA1490" s="14" t="n">
        <v>0</v>
      </c>
    </row>
    <row r="1491">
      <c r="A1491" t="inlineStr">
        <is>
          <t>010103</t>
        </is>
      </c>
      <c r="B1491" t="inlineStr">
        <is>
          <t>AMAZONAS</t>
        </is>
      </c>
      <c r="C1491" t="inlineStr">
        <is>
          <t>CHACHAPOYAS</t>
        </is>
      </c>
      <c r="D1491" t="inlineStr">
        <is>
          <t>BALSAS</t>
        </is>
      </c>
      <c r="E1491" t="n">
        <v>444</v>
      </c>
      <c r="F1491" s="14" t="n">
        <v>0</v>
      </c>
      <c r="G1491" s="14" t="n">
        <v>70.95</v>
      </c>
      <c r="H1491" s="14" t="n">
        <v>0</v>
      </c>
      <c r="I1491" s="14" t="n">
        <v>0.9</v>
      </c>
      <c r="J1491" s="14" t="n">
        <v>0</v>
      </c>
      <c r="K1491" s="14" t="n">
        <v>0</v>
      </c>
      <c r="L1491" s="14" t="n">
        <v>5.86</v>
      </c>
      <c r="M1491" s="14" t="n">
        <v>6.53</v>
      </c>
      <c r="N1491" s="14" t="n">
        <v>2.03</v>
      </c>
      <c r="O1491" s="14" t="n">
        <v>3.15</v>
      </c>
      <c r="P1491" s="14" t="n">
        <v>0</v>
      </c>
      <c r="Q1491" s="14" t="n">
        <v>0</v>
      </c>
      <c r="R1491" s="14" t="n">
        <v>0</v>
      </c>
      <c r="S1491" s="14" t="n">
        <v>0.45</v>
      </c>
      <c r="T1491" s="14" t="n">
        <v>0.68</v>
      </c>
      <c r="U1491" s="14" t="n">
        <v>2.03</v>
      </c>
      <c r="V1491" s="14" t="n">
        <v>3.83</v>
      </c>
      <c r="W1491" s="14" t="n">
        <v>1.8</v>
      </c>
      <c r="X1491" s="14" t="n">
        <v>0</v>
      </c>
      <c r="Y1491" s="14" t="n">
        <v>0.23</v>
      </c>
      <c r="Z1491" s="14" t="n">
        <v>1.58</v>
      </c>
      <c r="AA1491" s="14" t="n">
        <v>0</v>
      </c>
    </row>
    <row r="1492">
      <c r="A1492" t="inlineStr">
        <is>
          <t>081212</t>
        </is>
      </c>
      <c r="B1492" t="inlineStr">
        <is>
          <t>CUSCO</t>
        </is>
      </c>
      <c r="C1492" t="inlineStr">
        <is>
          <t>QUISPICANCHI</t>
        </is>
      </c>
      <c r="D1492" t="inlineStr">
        <is>
          <t>QUIQUIJANA</t>
        </is>
      </c>
      <c r="E1492" t="n">
        <v>3301</v>
      </c>
      <c r="F1492" s="14" t="n">
        <v>0</v>
      </c>
      <c r="G1492" s="14" t="n">
        <v>71.13</v>
      </c>
      <c r="H1492" s="14" t="n">
        <v>0.39</v>
      </c>
      <c r="I1492" s="14" t="n">
        <v>1.42</v>
      </c>
      <c r="J1492" s="14" t="n">
        <v>0.09</v>
      </c>
      <c r="K1492" s="14" t="n">
        <v>0.03</v>
      </c>
      <c r="L1492" s="14" t="n">
        <v>6.18</v>
      </c>
      <c r="M1492" s="14" t="n">
        <v>6.91</v>
      </c>
      <c r="N1492" s="14" t="n">
        <v>3.06</v>
      </c>
      <c r="O1492" s="14" t="n">
        <v>2.3</v>
      </c>
      <c r="P1492" s="14" t="n">
        <v>0.09</v>
      </c>
      <c r="Q1492" s="14" t="n">
        <v>0.09</v>
      </c>
      <c r="R1492" s="14" t="n">
        <v>0.03</v>
      </c>
      <c r="S1492" s="14" t="n">
        <v>0.48</v>
      </c>
      <c r="T1492" s="14" t="n">
        <v>0.36</v>
      </c>
      <c r="U1492" s="14" t="n">
        <v>2.85</v>
      </c>
      <c r="V1492" s="14" t="n">
        <v>2.97</v>
      </c>
      <c r="W1492" s="14" t="n">
        <v>0.67</v>
      </c>
      <c r="X1492" s="14" t="n">
        <v>0</v>
      </c>
      <c r="Y1492" s="14" t="n">
        <v>0.58</v>
      </c>
      <c r="Z1492" s="14" t="n">
        <v>0.36</v>
      </c>
      <c r="AA1492" s="14" t="n">
        <v>0</v>
      </c>
    </row>
    <row r="1493">
      <c r="A1493" t="inlineStr">
        <is>
          <t>060413</t>
        </is>
      </c>
      <c r="B1493" t="inlineStr">
        <is>
          <t>CAJAMARCA</t>
        </is>
      </c>
      <c r="C1493" t="inlineStr">
        <is>
          <t>CHOTA</t>
        </is>
      </c>
      <c r="D1493" t="inlineStr">
        <is>
          <t>PACCHA</t>
        </is>
      </c>
      <c r="E1493" t="n">
        <v>1534</v>
      </c>
      <c r="F1493" s="14" t="n">
        <v>0</v>
      </c>
      <c r="G1493" s="14" t="n">
        <v>76.59999999999999</v>
      </c>
      <c r="H1493" s="14" t="n">
        <v>0.13</v>
      </c>
      <c r="I1493" s="14" t="n">
        <v>2.22</v>
      </c>
      <c r="J1493" s="14" t="n">
        <v>0.07000000000000001</v>
      </c>
      <c r="K1493" s="14" t="n">
        <v>0</v>
      </c>
      <c r="L1493" s="14" t="n">
        <v>2.67</v>
      </c>
      <c r="M1493" s="14" t="n">
        <v>4.5</v>
      </c>
      <c r="N1493" s="14" t="n">
        <v>1.96</v>
      </c>
      <c r="O1493" s="14" t="n">
        <v>1.17</v>
      </c>
      <c r="P1493" s="14" t="n">
        <v>0.26</v>
      </c>
      <c r="Q1493" s="14" t="n">
        <v>0.13</v>
      </c>
      <c r="R1493" s="14" t="n">
        <v>0</v>
      </c>
      <c r="S1493" s="14" t="n">
        <v>0.65</v>
      </c>
      <c r="T1493" s="14" t="n">
        <v>0.33</v>
      </c>
      <c r="U1493" s="14" t="n">
        <v>1.69</v>
      </c>
      <c r="V1493" s="14" t="n">
        <v>4.5</v>
      </c>
      <c r="W1493" s="14" t="n">
        <v>1.96</v>
      </c>
      <c r="X1493" s="14" t="n">
        <v>0</v>
      </c>
      <c r="Y1493" s="14" t="n">
        <v>0.78</v>
      </c>
      <c r="Z1493" s="14" t="n">
        <v>0.39</v>
      </c>
      <c r="AA1493" s="14" t="n">
        <v>0</v>
      </c>
    </row>
    <row r="1494">
      <c r="A1494" t="inlineStr">
        <is>
          <t>050616</t>
        </is>
      </c>
      <c r="B1494" t="inlineStr">
        <is>
          <t>AYACUCHO</t>
        </is>
      </c>
      <c r="C1494" t="inlineStr">
        <is>
          <t>LUCANAS</t>
        </is>
      </c>
      <c r="D1494" t="inlineStr">
        <is>
          <t>SAN JUAN</t>
        </is>
      </c>
      <c r="E1494" t="n">
        <v>457</v>
      </c>
      <c r="F1494" s="14" t="n">
        <v>0</v>
      </c>
      <c r="G1494" s="14" t="n">
        <v>61.27</v>
      </c>
      <c r="H1494" s="14" t="n">
        <v>2.84</v>
      </c>
      <c r="I1494" s="14" t="n">
        <v>1.97</v>
      </c>
      <c r="J1494" s="14" t="n">
        <v>0</v>
      </c>
      <c r="K1494" s="14" t="n">
        <v>0</v>
      </c>
      <c r="L1494" s="14" t="n">
        <v>5.47</v>
      </c>
      <c r="M1494" s="14" t="n">
        <v>7.66</v>
      </c>
      <c r="N1494" s="14" t="n">
        <v>2.63</v>
      </c>
      <c r="O1494" s="14" t="n">
        <v>0.66</v>
      </c>
      <c r="P1494" s="14" t="n">
        <v>0.22</v>
      </c>
      <c r="Q1494" s="14" t="n">
        <v>0</v>
      </c>
      <c r="R1494" s="14" t="n">
        <v>0</v>
      </c>
      <c r="S1494" s="14" t="n">
        <v>2.19</v>
      </c>
      <c r="T1494" s="14" t="n">
        <v>0.22</v>
      </c>
      <c r="U1494" s="14" t="n">
        <v>3.06</v>
      </c>
      <c r="V1494" s="14" t="n">
        <v>8.970000000000001</v>
      </c>
      <c r="W1494" s="14" t="n">
        <v>1.53</v>
      </c>
      <c r="X1494" s="14" t="n">
        <v>0</v>
      </c>
      <c r="Y1494" s="14" t="n">
        <v>0.88</v>
      </c>
      <c r="Z1494" s="14" t="n">
        <v>0.44</v>
      </c>
      <c r="AA1494" s="14" t="n">
        <v>0</v>
      </c>
    </row>
    <row r="1495">
      <c r="A1495" t="inlineStr">
        <is>
          <t>060111</t>
        </is>
      </c>
      <c r="B1495" t="inlineStr">
        <is>
          <t>CAJAMARCA</t>
        </is>
      </c>
      <c r="C1495" t="inlineStr">
        <is>
          <t>CAJAMARCA</t>
        </is>
      </c>
      <c r="D1495" t="inlineStr"/>
      <c r="E1495" t="n">
        <v>0</v>
      </c>
      <c r="F1495" s="14" t="n">
        <v>0</v>
      </c>
      <c r="G1495" s="14" t="n">
        <v>69.02</v>
      </c>
      <c r="H1495" s="14" t="n">
        <v>0.15</v>
      </c>
      <c r="I1495" s="14" t="n">
        <v>2.87</v>
      </c>
      <c r="J1495" s="14" t="n">
        <v>0.02</v>
      </c>
      <c r="K1495" s="14" t="n">
        <v>0.04</v>
      </c>
      <c r="L1495" s="14" t="n">
        <v>5.02</v>
      </c>
      <c r="M1495" s="14" t="n">
        <v>6.32</v>
      </c>
      <c r="N1495" s="14" t="n">
        <v>3.67</v>
      </c>
      <c r="O1495" s="14" t="n">
        <v>2.67</v>
      </c>
      <c r="P1495" s="14" t="n">
        <v>0.18</v>
      </c>
      <c r="Q1495" s="14" t="n">
        <v>0.08</v>
      </c>
      <c r="R1495" s="14" t="n">
        <v>0</v>
      </c>
      <c r="S1495" s="14" t="n">
        <v>1.22</v>
      </c>
      <c r="T1495" s="14" t="n">
        <v>0.8100000000000001</v>
      </c>
      <c r="U1495" s="14" t="n">
        <v>1.78</v>
      </c>
      <c r="V1495" s="14" t="n">
        <v>3</v>
      </c>
      <c r="W1495" s="14" t="n">
        <v>0.8</v>
      </c>
      <c r="X1495" s="14" t="n">
        <v>0.13</v>
      </c>
      <c r="Y1495" s="14" t="n">
        <v>1.01</v>
      </c>
      <c r="Z1495" s="14" t="n">
        <v>1.2</v>
      </c>
      <c r="AA1495" s="14" t="n">
        <v>0</v>
      </c>
    </row>
    <row r="1496">
      <c r="A1496" t="inlineStr">
        <is>
          <t>090605</t>
        </is>
      </c>
      <c r="B1496" t="inlineStr">
        <is>
          <t>HUANCAVELICA</t>
        </is>
      </c>
      <c r="C1496" t="inlineStr">
        <is>
          <t>HUAYTARA</t>
        </is>
      </c>
      <c r="D1496" t="inlineStr">
        <is>
          <t>LARAMARCA</t>
        </is>
      </c>
      <c r="E1496" t="n">
        <v>359</v>
      </c>
      <c r="F1496" s="14" t="n">
        <v>0</v>
      </c>
      <c r="G1496" s="14" t="n">
        <v>66.84999999999999</v>
      </c>
      <c r="H1496" s="14" t="n">
        <v>0</v>
      </c>
      <c r="I1496" s="14" t="n">
        <v>0.84</v>
      </c>
      <c r="J1496" s="14" t="n">
        <v>0</v>
      </c>
      <c r="K1496" s="14" t="n">
        <v>0</v>
      </c>
      <c r="L1496" s="14" t="n">
        <v>8.08</v>
      </c>
      <c r="M1496" s="14" t="n">
        <v>6.96</v>
      </c>
      <c r="N1496" s="14" t="n">
        <v>1.95</v>
      </c>
      <c r="O1496" s="14" t="n">
        <v>2.51</v>
      </c>
      <c r="P1496" s="14" t="n">
        <v>0</v>
      </c>
      <c r="Q1496" s="14" t="n">
        <v>0</v>
      </c>
      <c r="R1496" s="14" t="n">
        <v>0</v>
      </c>
      <c r="S1496" s="14" t="n">
        <v>3.62</v>
      </c>
      <c r="T1496" s="14" t="n">
        <v>0.5600000000000001</v>
      </c>
      <c r="U1496" s="14" t="n">
        <v>1.11</v>
      </c>
      <c r="V1496" s="14" t="n">
        <v>3.62</v>
      </c>
      <c r="W1496" s="14" t="n">
        <v>0.84</v>
      </c>
      <c r="X1496" s="14" t="n">
        <v>0</v>
      </c>
      <c r="Y1496" s="14" t="n">
        <v>1.39</v>
      </c>
      <c r="Z1496" s="14" t="n">
        <v>1.67</v>
      </c>
      <c r="AA1496" s="14" t="n">
        <v>0</v>
      </c>
    </row>
    <row r="1497">
      <c r="A1497" t="inlineStr">
        <is>
          <t>060808</t>
        </is>
      </c>
      <c r="B1497" t="inlineStr">
        <is>
          <t>CAJAMARCA</t>
        </is>
      </c>
      <c r="C1497" t="inlineStr">
        <is>
          <t>JAEN</t>
        </is>
      </c>
      <c r="D1497" t="inlineStr">
        <is>
          <t>PUCARA</t>
        </is>
      </c>
      <c r="E1497" t="n">
        <v>2299</v>
      </c>
      <c r="F1497" s="14" t="n">
        <v>0</v>
      </c>
      <c r="G1497" s="14" t="n">
        <v>37.89</v>
      </c>
      <c r="H1497" s="14" t="n">
        <v>0.22</v>
      </c>
      <c r="I1497" s="14" t="n">
        <v>3.52</v>
      </c>
      <c r="J1497" s="14" t="n">
        <v>0.17</v>
      </c>
      <c r="K1497" s="14" t="n">
        <v>0.17</v>
      </c>
      <c r="L1497" s="14" t="n">
        <v>5.92</v>
      </c>
      <c r="M1497" s="14" t="n">
        <v>15.75</v>
      </c>
      <c r="N1497" s="14" t="n">
        <v>8.26</v>
      </c>
      <c r="O1497" s="14" t="n">
        <v>4.96</v>
      </c>
      <c r="P1497" s="14" t="n">
        <v>0.13</v>
      </c>
      <c r="Q1497" s="14" t="n">
        <v>0.39</v>
      </c>
      <c r="R1497" s="14" t="n">
        <v>0.04</v>
      </c>
      <c r="S1497" s="14" t="n">
        <v>1.96</v>
      </c>
      <c r="T1497" s="14" t="n">
        <v>1.7</v>
      </c>
      <c r="U1497" s="14" t="n">
        <v>3.18</v>
      </c>
      <c r="V1497" s="14" t="n">
        <v>9.220000000000001</v>
      </c>
      <c r="W1497" s="14" t="n">
        <v>1.61</v>
      </c>
      <c r="X1497" s="14" t="n">
        <v>0.96</v>
      </c>
      <c r="Y1497" s="14" t="n">
        <v>2.13</v>
      </c>
      <c r="Z1497" s="14" t="n">
        <v>1.83</v>
      </c>
      <c r="AA1497" s="14" t="n">
        <v>0</v>
      </c>
    </row>
    <row r="1498">
      <c r="A1498" t="inlineStr">
        <is>
          <t>080201</t>
        </is>
      </c>
      <c r="B1498" t="inlineStr">
        <is>
          <t>CUSCO</t>
        </is>
      </c>
      <c r="C1498" t="inlineStr">
        <is>
          <t>ACOMAYO</t>
        </is>
      </c>
      <c r="D1498" t="inlineStr">
        <is>
          <t>ACOMAYO</t>
        </is>
      </c>
      <c r="E1498" t="n">
        <v>1593</v>
      </c>
      <c r="F1498" s="14" t="n">
        <v>0</v>
      </c>
      <c r="G1498" s="14" t="n">
        <v>53.99</v>
      </c>
      <c r="H1498" s="14" t="n">
        <v>0.44</v>
      </c>
      <c r="I1498" s="14" t="n">
        <v>2.13</v>
      </c>
      <c r="J1498" s="14" t="n">
        <v>0</v>
      </c>
      <c r="K1498" s="14" t="n">
        <v>0</v>
      </c>
      <c r="L1498" s="14" t="n">
        <v>5.78</v>
      </c>
      <c r="M1498" s="14" t="n">
        <v>11.24</v>
      </c>
      <c r="N1498" s="14" t="n">
        <v>2.26</v>
      </c>
      <c r="O1498" s="14" t="n">
        <v>3.64</v>
      </c>
      <c r="P1498" s="14" t="n">
        <v>0.13</v>
      </c>
      <c r="Q1498" s="14" t="n">
        <v>0.06</v>
      </c>
      <c r="R1498" s="14" t="n">
        <v>0</v>
      </c>
      <c r="S1498" s="14" t="n">
        <v>1.88</v>
      </c>
      <c r="T1498" s="14" t="n">
        <v>0.88</v>
      </c>
      <c r="U1498" s="14" t="n">
        <v>5.71</v>
      </c>
      <c r="V1498" s="14" t="n">
        <v>8.789999999999999</v>
      </c>
      <c r="W1498" s="14" t="n">
        <v>1.51</v>
      </c>
      <c r="X1498" s="14" t="n">
        <v>0.06</v>
      </c>
      <c r="Y1498" s="14" t="n">
        <v>1.26</v>
      </c>
      <c r="Z1498" s="14" t="n">
        <v>0.25</v>
      </c>
      <c r="AA1498" s="14" t="n">
        <v>0</v>
      </c>
    </row>
    <row r="1499">
      <c r="A1499" t="inlineStr">
        <is>
          <t>080606</t>
        </is>
      </c>
      <c r="B1499" t="inlineStr">
        <is>
          <t>CUSCO</t>
        </is>
      </c>
      <c r="C1499" t="inlineStr">
        <is>
          <t>CANCHIS</t>
        </is>
      </c>
      <c r="D1499" t="inlineStr">
        <is>
          <t>SAN PABLO</t>
        </is>
      </c>
      <c r="E1499" t="n">
        <v>1689</v>
      </c>
      <c r="F1499" s="14" t="n">
        <v>0</v>
      </c>
      <c r="G1499" s="14" t="n">
        <v>73.36</v>
      </c>
      <c r="H1499" s="14" t="n">
        <v>0.36</v>
      </c>
      <c r="I1499" s="14" t="n">
        <v>3.79</v>
      </c>
      <c r="J1499" s="14" t="n">
        <v>0.06</v>
      </c>
      <c r="K1499" s="14" t="n">
        <v>0.12</v>
      </c>
      <c r="L1499" s="14" t="n">
        <v>3.97</v>
      </c>
      <c r="M1499" s="14" t="n">
        <v>6.75</v>
      </c>
      <c r="N1499" s="14" t="n">
        <v>1.89</v>
      </c>
      <c r="O1499" s="14" t="n">
        <v>1.48</v>
      </c>
      <c r="P1499" s="14" t="n">
        <v>0.06</v>
      </c>
      <c r="Q1499" s="14" t="n">
        <v>0.12</v>
      </c>
      <c r="R1499" s="14" t="n">
        <v>0</v>
      </c>
      <c r="S1499" s="14" t="n">
        <v>1.6</v>
      </c>
      <c r="T1499" s="14" t="n">
        <v>0.47</v>
      </c>
      <c r="U1499" s="14" t="n">
        <v>1.66</v>
      </c>
      <c r="V1499" s="14" t="n">
        <v>3.14</v>
      </c>
      <c r="W1499" s="14" t="n">
        <v>0.3</v>
      </c>
      <c r="X1499" s="14" t="n">
        <v>0.12</v>
      </c>
      <c r="Y1499" s="14" t="n">
        <v>0.41</v>
      </c>
      <c r="Z1499" s="14" t="n">
        <v>0.36</v>
      </c>
      <c r="AA1499" s="14" t="n">
        <v>0</v>
      </c>
    </row>
    <row r="1500">
      <c r="A1500" t="inlineStr">
        <is>
          <t>080502</t>
        </is>
      </c>
      <c r="B1500" t="inlineStr">
        <is>
          <t>CUSCO</t>
        </is>
      </c>
      <c r="C1500" t="inlineStr">
        <is>
          <t>CANAS</t>
        </is>
      </c>
      <c r="D1500" t="inlineStr">
        <is>
          <t>CHECCA</t>
        </is>
      </c>
      <c r="E1500" t="n">
        <v>969</v>
      </c>
      <c r="F1500" s="14" t="n">
        <v>0</v>
      </c>
      <c r="G1500" s="14" t="n">
        <v>85.55</v>
      </c>
      <c r="H1500" s="14" t="n">
        <v>0</v>
      </c>
      <c r="I1500" s="14" t="n">
        <v>1.75</v>
      </c>
      <c r="J1500" s="14" t="n">
        <v>0</v>
      </c>
      <c r="K1500" s="14" t="n">
        <v>0</v>
      </c>
      <c r="L1500" s="14" t="n">
        <v>2.99</v>
      </c>
      <c r="M1500" s="14" t="n">
        <v>2.17</v>
      </c>
      <c r="N1500" s="14" t="n">
        <v>0.72</v>
      </c>
      <c r="O1500" s="14" t="n">
        <v>1.03</v>
      </c>
      <c r="P1500" s="14" t="n">
        <v>0.31</v>
      </c>
      <c r="Q1500" s="14" t="n">
        <v>0</v>
      </c>
      <c r="R1500" s="14" t="n">
        <v>0</v>
      </c>
      <c r="S1500" s="14" t="n">
        <v>0.72</v>
      </c>
      <c r="T1500" s="14" t="n">
        <v>0.83</v>
      </c>
      <c r="U1500" s="14" t="n">
        <v>0.72</v>
      </c>
      <c r="V1500" s="14" t="n">
        <v>2.06</v>
      </c>
      <c r="W1500" s="14" t="n">
        <v>0.52</v>
      </c>
      <c r="X1500" s="14" t="n">
        <v>0.21</v>
      </c>
      <c r="Y1500" s="14" t="n">
        <v>0.41</v>
      </c>
      <c r="Z1500" s="14" t="n">
        <v>0</v>
      </c>
      <c r="AA1500" s="14" t="n">
        <v>0</v>
      </c>
    </row>
    <row r="1501">
      <c r="A1501" t="inlineStr">
        <is>
          <t>020102</t>
        </is>
      </c>
      <c r="B1501" t="inlineStr">
        <is>
          <t>ANCASH</t>
        </is>
      </c>
      <c r="C1501" t="inlineStr">
        <is>
          <t>HUARAZ</t>
        </is>
      </c>
      <c r="D1501" t="inlineStr">
        <is>
          <t>COCHABAMBA</t>
        </is>
      </c>
      <c r="E1501" t="n">
        <v>478</v>
      </c>
      <c r="F1501" s="14" t="n">
        <v>0</v>
      </c>
      <c r="G1501" s="14" t="n">
        <v>82.64</v>
      </c>
      <c r="H1501" s="14" t="n">
        <v>0.21</v>
      </c>
      <c r="I1501" s="14" t="n">
        <v>0.42</v>
      </c>
      <c r="J1501" s="14" t="n">
        <v>0</v>
      </c>
      <c r="K1501" s="14" t="n">
        <v>0</v>
      </c>
      <c r="L1501" s="14" t="n">
        <v>0.84</v>
      </c>
      <c r="M1501" s="14" t="n">
        <v>3.77</v>
      </c>
      <c r="N1501" s="14" t="n">
        <v>0.84</v>
      </c>
      <c r="O1501" s="14" t="n">
        <v>1.67</v>
      </c>
      <c r="P1501" s="14" t="n">
        <v>0</v>
      </c>
      <c r="Q1501" s="14" t="n">
        <v>0</v>
      </c>
      <c r="R1501" s="14" t="n">
        <v>0</v>
      </c>
      <c r="S1501" s="14" t="n">
        <v>0.21</v>
      </c>
      <c r="T1501" s="14" t="n">
        <v>0.42</v>
      </c>
      <c r="U1501" s="14" t="n">
        <v>2.3</v>
      </c>
      <c r="V1501" s="14" t="n">
        <v>3.97</v>
      </c>
      <c r="W1501" s="14" t="n">
        <v>1.67</v>
      </c>
      <c r="X1501" s="14" t="n">
        <v>0</v>
      </c>
      <c r="Y1501" s="14" t="n">
        <v>1.05</v>
      </c>
      <c r="Z1501" s="14" t="n">
        <v>0</v>
      </c>
      <c r="AA1501" s="14" t="n">
        <v>0</v>
      </c>
    </row>
    <row r="1502">
      <c r="A1502" t="inlineStr">
        <is>
          <t>051106</t>
        </is>
      </c>
      <c r="B1502" t="inlineStr">
        <is>
          <t>AYACUCHO</t>
        </is>
      </c>
      <c r="C1502" t="inlineStr">
        <is>
          <t>VILCAS HUAMAN</t>
        </is>
      </c>
      <c r="D1502" t="inlineStr">
        <is>
          <t>INDEPENDENCIA</t>
        </is>
      </c>
      <c r="E1502" t="n">
        <v>129</v>
      </c>
      <c r="F1502" s="14" t="n">
        <v>0</v>
      </c>
      <c r="G1502" s="14" t="n">
        <v>41.09</v>
      </c>
      <c r="H1502" s="14" t="n">
        <v>0</v>
      </c>
      <c r="I1502" s="14" t="n">
        <v>0</v>
      </c>
      <c r="J1502" s="14" t="n">
        <v>0</v>
      </c>
      <c r="K1502" s="14" t="n">
        <v>0</v>
      </c>
      <c r="L1502" s="14" t="n">
        <v>16.28</v>
      </c>
      <c r="M1502" s="14" t="n">
        <v>10.08</v>
      </c>
      <c r="N1502" s="14" t="n">
        <v>0.78</v>
      </c>
      <c r="O1502" s="14" t="n">
        <v>1.55</v>
      </c>
      <c r="P1502" s="14" t="n">
        <v>0</v>
      </c>
      <c r="Q1502" s="14" t="n">
        <v>0</v>
      </c>
      <c r="R1502" s="14" t="n">
        <v>0</v>
      </c>
      <c r="S1502" s="14" t="n">
        <v>4.65</v>
      </c>
      <c r="T1502" s="14" t="n">
        <v>0.78</v>
      </c>
      <c r="U1502" s="14" t="n">
        <v>4.65</v>
      </c>
      <c r="V1502" s="14" t="n">
        <v>16.28</v>
      </c>
      <c r="W1502" s="14" t="n">
        <v>3.1</v>
      </c>
      <c r="X1502" s="14" t="n">
        <v>0</v>
      </c>
      <c r="Y1502" s="14" t="n">
        <v>0.78</v>
      </c>
      <c r="Z1502" s="14" t="n">
        <v>0</v>
      </c>
      <c r="AA1502" s="14" t="n">
        <v>0</v>
      </c>
    </row>
    <row r="1503">
      <c r="A1503" t="inlineStr">
        <is>
          <t>061104</t>
        </is>
      </c>
      <c r="B1503" t="inlineStr">
        <is>
          <t>CAJAMARCA</t>
        </is>
      </c>
      <c r="C1503" t="inlineStr">
        <is>
          <t>SAN MIGUEL</t>
        </is>
      </c>
      <c r="D1503" t="inlineStr">
        <is>
          <t>CATILLUC</t>
        </is>
      </c>
      <c r="E1503" t="n">
        <v>923</v>
      </c>
      <c r="F1503" s="14" t="n">
        <v>0</v>
      </c>
      <c r="G1503" s="14" t="n">
        <v>84.62</v>
      </c>
      <c r="H1503" s="14" t="n">
        <v>0.11</v>
      </c>
      <c r="I1503" s="14" t="n">
        <v>1.3</v>
      </c>
      <c r="J1503" s="14" t="n">
        <v>0.11</v>
      </c>
      <c r="K1503" s="14" t="n">
        <v>0</v>
      </c>
      <c r="L1503" s="14" t="n">
        <v>0.87</v>
      </c>
      <c r="M1503" s="14" t="n">
        <v>2.38</v>
      </c>
      <c r="N1503" s="14" t="n">
        <v>0.76</v>
      </c>
      <c r="O1503" s="14" t="n">
        <v>0.87</v>
      </c>
      <c r="P1503" s="14" t="n">
        <v>0</v>
      </c>
      <c r="Q1503" s="14" t="n">
        <v>0.22</v>
      </c>
      <c r="R1503" s="14" t="n">
        <v>0</v>
      </c>
      <c r="S1503" s="14" t="n">
        <v>0.65</v>
      </c>
      <c r="T1503" s="14" t="n">
        <v>0.33</v>
      </c>
      <c r="U1503" s="14" t="n">
        <v>1.3</v>
      </c>
      <c r="V1503" s="14" t="n">
        <v>3.58</v>
      </c>
      <c r="W1503" s="14" t="n">
        <v>1.3</v>
      </c>
      <c r="X1503" s="14" t="n">
        <v>0</v>
      </c>
      <c r="Y1503" s="14" t="n">
        <v>0.43</v>
      </c>
      <c r="Z1503" s="14" t="n">
        <v>1.19</v>
      </c>
      <c r="AA1503" s="14" t="n">
        <v>0</v>
      </c>
    </row>
    <row r="1504">
      <c r="A1504" t="inlineStr">
        <is>
          <t>050703</t>
        </is>
      </c>
      <c r="B1504" t="inlineStr">
        <is>
          <t>AYACUCHO</t>
        </is>
      </c>
      <c r="C1504" t="inlineStr">
        <is>
          <t>PARINACOCHAS</t>
        </is>
      </c>
      <c r="D1504" t="inlineStr">
        <is>
          <t>CORONEL CASTAÑEDA</t>
        </is>
      </c>
      <c r="E1504" t="n">
        <v>1020</v>
      </c>
      <c r="F1504" s="14" t="n">
        <v>0</v>
      </c>
      <c r="G1504" s="14" t="n">
        <v>13.82</v>
      </c>
      <c r="H1504" s="14" t="n">
        <v>59.71</v>
      </c>
      <c r="I1504" s="14" t="n">
        <v>2.16</v>
      </c>
      <c r="J1504" s="14" t="n">
        <v>0.49</v>
      </c>
      <c r="K1504" s="14" t="n">
        <v>0.29</v>
      </c>
      <c r="L1504" s="14" t="n">
        <v>6.37</v>
      </c>
      <c r="M1504" s="14" t="n">
        <v>3.43</v>
      </c>
      <c r="N1504" s="14" t="n">
        <v>3.24</v>
      </c>
      <c r="O1504" s="14" t="n">
        <v>3.82</v>
      </c>
      <c r="P1504" s="14" t="n">
        <v>0</v>
      </c>
      <c r="Q1504" s="14" t="n">
        <v>0</v>
      </c>
      <c r="R1504" s="14" t="n">
        <v>0</v>
      </c>
      <c r="S1504" s="14" t="n">
        <v>0.49</v>
      </c>
      <c r="T1504" s="14" t="n">
        <v>1.86</v>
      </c>
      <c r="U1504" s="14" t="n">
        <v>1.57</v>
      </c>
      <c r="V1504" s="14" t="n">
        <v>1.96</v>
      </c>
      <c r="W1504" s="14" t="n">
        <v>0.49</v>
      </c>
      <c r="X1504" s="14" t="n">
        <v>0</v>
      </c>
      <c r="Y1504" s="14" t="n">
        <v>0.29</v>
      </c>
      <c r="Z1504" s="14" t="n">
        <v>0</v>
      </c>
      <c r="AA1504" s="14" t="n">
        <v>0</v>
      </c>
    </row>
    <row r="1505">
      <c r="A1505" t="inlineStr">
        <is>
          <t>020607</t>
        </is>
      </c>
      <c r="B1505" t="inlineStr">
        <is>
          <t>ANCASH</t>
        </is>
      </c>
      <c r="C1505" t="inlineStr">
        <is>
          <t>CARHUAZ</t>
        </is>
      </c>
      <c r="D1505" t="inlineStr">
        <is>
          <t>PARIAHUANCA</t>
        </is>
      </c>
      <c r="E1505" t="n">
        <v>263</v>
      </c>
      <c r="F1505" s="14" t="n">
        <v>0</v>
      </c>
      <c r="G1505" s="14" t="n">
        <v>58.94</v>
      </c>
      <c r="H1505" s="14" t="n">
        <v>0.76</v>
      </c>
      <c r="I1505" s="14" t="n">
        <v>1.52</v>
      </c>
      <c r="J1505" s="14" t="n">
        <v>0</v>
      </c>
      <c r="K1505" s="14" t="n">
        <v>0</v>
      </c>
      <c r="L1505" s="14" t="n">
        <v>12.93</v>
      </c>
      <c r="M1505" s="14" t="n">
        <v>1.9</v>
      </c>
      <c r="N1505" s="14" t="n">
        <v>5.32</v>
      </c>
      <c r="O1505" s="14" t="n">
        <v>2.66</v>
      </c>
      <c r="P1505" s="14" t="n">
        <v>0</v>
      </c>
      <c r="Q1505" s="14" t="n">
        <v>0</v>
      </c>
      <c r="R1505" s="14" t="n">
        <v>0</v>
      </c>
      <c r="S1505" s="14" t="n">
        <v>2.28</v>
      </c>
      <c r="T1505" s="14" t="n">
        <v>1.14</v>
      </c>
      <c r="U1505" s="14" t="n">
        <v>2.66</v>
      </c>
      <c r="V1505" s="14" t="n">
        <v>7.98</v>
      </c>
      <c r="W1505" s="14" t="n">
        <v>0.76</v>
      </c>
      <c r="X1505" s="14" t="n">
        <v>0</v>
      </c>
      <c r="Y1505" s="14" t="n">
        <v>1.14</v>
      </c>
      <c r="Z1505" s="14" t="n">
        <v>0</v>
      </c>
      <c r="AA1505" s="14" t="n">
        <v>0</v>
      </c>
    </row>
    <row r="1506">
      <c r="A1506" t="inlineStr">
        <is>
          <t>040505</t>
        </is>
      </c>
      <c r="B1506" t="inlineStr">
        <is>
          <t>AREQUIPA</t>
        </is>
      </c>
      <c r="C1506" t="inlineStr">
        <is>
          <t>CAYLLOMA</t>
        </is>
      </c>
      <c r="D1506" t="inlineStr">
        <is>
          <t>CAYLLOMA</t>
        </is>
      </c>
      <c r="E1506" t="n">
        <v>1613</v>
      </c>
      <c r="F1506" s="14" t="n">
        <v>0</v>
      </c>
      <c r="G1506" s="14" t="n">
        <v>17.61</v>
      </c>
      <c r="H1506" s="14" t="n">
        <v>41.54</v>
      </c>
      <c r="I1506" s="14" t="n">
        <v>3.16</v>
      </c>
      <c r="J1506" s="14" t="n">
        <v>0.37</v>
      </c>
      <c r="K1506" s="14" t="n">
        <v>0.31</v>
      </c>
      <c r="L1506" s="14" t="n">
        <v>6.82</v>
      </c>
      <c r="M1506" s="14" t="n">
        <v>9.24</v>
      </c>
      <c r="N1506" s="14" t="n">
        <v>3.1</v>
      </c>
      <c r="O1506" s="14" t="n">
        <v>5.7</v>
      </c>
      <c r="P1506" s="14" t="n">
        <v>0.12</v>
      </c>
      <c r="Q1506" s="14" t="n">
        <v>0.06</v>
      </c>
      <c r="R1506" s="14" t="n">
        <v>0</v>
      </c>
      <c r="S1506" s="14" t="n">
        <v>2.42</v>
      </c>
      <c r="T1506" s="14" t="n">
        <v>1.05</v>
      </c>
      <c r="U1506" s="14" t="n">
        <v>3.78</v>
      </c>
      <c r="V1506" s="14" t="n">
        <v>0.68</v>
      </c>
      <c r="W1506" s="14" t="n">
        <v>0.93</v>
      </c>
      <c r="X1506" s="14" t="n">
        <v>0</v>
      </c>
      <c r="Y1506" s="14" t="n">
        <v>2.98</v>
      </c>
      <c r="Z1506" s="14" t="n">
        <v>0.12</v>
      </c>
      <c r="AA1506" s="14" t="n">
        <v>0</v>
      </c>
    </row>
    <row r="1507">
      <c r="A1507" t="inlineStr">
        <is>
          <t>060307</t>
        </is>
      </c>
      <c r="B1507" t="inlineStr">
        <is>
          <t>CAJAMARCA</t>
        </is>
      </c>
      <c r="C1507" t="inlineStr">
        <is>
          <t>CELENDIN</t>
        </is>
      </c>
      <c r="D1507" t="inlineStr">
        <is>
          <t>MIGUEL IGLESIAS</t>
        </is>
      </c>
      <c r="E1507" t="n">
        <v>1154</v>
      </c>
      <c r="F1507" s="14" t="n">
        <v>0</v>
      </c>
      <c r="G1507" s="14" t="n">
        <v>85.53</v>
      </c>
      <c r="H1507" s="14" t="n">
        <v>0</v>
      </c>
      <c r="I1507" s="14" t="n">
        <v>3.81</v>
      </c>
      <c r="J1507" s="14" t="n">
        <v>0</v>
      </c>
      <c r="K1507" s="14" t="n">
        <v>0</v>
      </c>
      <c r="L1507" s="14" t="n">
        <v>1.13</v>
      </c>
      <c r="M1507" s="14" t="n">
        <v>1.82</v>
      </c>
      <c r="N1507" s="14" t="n">
        <v>0.17</v>
      </c>
      <c r="O1507" s="14" t="n">
        <v>1.3</v>
      </c>
      <c r="P1507" s="14" t="n">
        <v>0</v>
      </c>
      <c r="Q1507" s="14" t="n">
        <v>0</v>
      </c>
      <c r="R1507" s="14" t="n">
        <v>0</v>
      </c>
      <c r="S1507" s="14" t="n">
        <v>0.43</v>
      </c>
      <c r="T1507" s="14" t="n">
        <v>0.35</v>
      </c>
      <c r="U1507" s="14" t="n">
        <v>2.51</v>
      </c>
      <c r="V1507" s="14" t="n">
        <v>1.47</v>
      </c>
      <c r="W1507" s="14" t="n">
        <v>1.13</v>
      </c>
      <c r="X1507" s="14" t="n">
        <v>0</v>
      </c>
      <c r="Y1507" s="14" t="n">
        <v>0.26</v>
      </c>
      <c r="Z1507" s="14" t="n">
        <v>0.09</v>
      </c>
      <c r="AA1507" s="14" t="n">
        <v>0</v>
      </c>
    </row>
    <row r="1508">
      <c r="A1508" t="inlineStr">
        <is>
          <t>030303</t>
        </is>
      </c>
      <c r="B1508" t="inlineStr">
        <is>
          <t>APURIMAC</t>
        </is>
      </c>
      <c r="C1508" t="inlineStr">
        <is>
          <t>ANTABAMBA</t>
        </is>
      </c>
      <c r="D1508" t="inlineStr">
        <is>
          <t>HUAQUIRCA</t>
        </is>
      </c>
      <c r="E1508" t="n">
        <v>1007</v>
      </c>
      <c r="F1508" s="14" t="n">
        <v>0</v>
      </c>
      <c r="G1508" s="14" t="n">
        <v>37.54</v>
      </c>
      <c r="H1508" s="14" t="n">
        <v>33.47</v>
      </c>
      <c r="I1508" s="14" t="n">
        <v>0.89</v>
      </c>
      <c r="J1508" s="14" t="n">
        <v>0.1</v>
      </c>
      <c r="K1508" s="14" t="n">
        <v>0.4</v>
      </c>
      <c r="L1508" s="14" t="n">
        <v>9.43</v>
      </c>
      <c r="M1508" s="14" t="n">
        <v>7.94</v>
      </c>
      <c r="N1508" s="14" t="n">
        <v>1.29</v>
      </c>
      <c r="O1508" s="14" t="n">
        <v>1.69</v>
      </c>
      <c r="P1508" s="14" t="n">
        <v>0.1</v>
      </c>
      <c r="Q1508" s="14" t="n">
        <v>0</v>
      </c>
      <c r="R1508" s="14" t="n">
        <v>0</v>
      </c>
      <c r="S1508" s="14" t="n">
        <v>0.79</v>
      </c>
      <c r="T1508" s="14" t="n">
        <v>1.19</v>
      </c>
      <c r="U1508" s="14" t="n">
        <v>2.09</v>
      </c>
      <c r="V1508" s="14" t="n">
        <v>1.59</v>
      </c>
      <c r="W1508" s="14" t="n">
        <v>1.19</v>
      </c>
      <c r="X1508" s="14" t="n">
        <v>0</v>
      </c>
      <c r="Y1508" s="14" t="n">
        <v>0.3</v>
      </c>
      <c r="Z1508" s="14" t="n">
        <v>0</v>
      </c>
      <c r="AA1508" s="14" t="n">
        <v>0</v>
      </c>
    </row>
    <row r="1509">
      <c r="A1509" t="inlineStr">
        <is>
          <t>040205</t>
        </is>
      </c>
      <c r="B1509" t="inlineStr">
        <is>
          <t>AREQUIPA</t>
        </is>
      </c>
      <c r="C1509" t="inlineStr">
        <is>
          <t>CAMANA</t>
        </is>
      </c>
      <c r="D1509" t="inlineStr">
        <is>
          <t>NICOLAS DE PIEROLA</t>
        </is>
      </c>
      <c r="E1509" t="n">
        <v>3083</v>
      </c>
      <c r="F1509" s="14" t="n">
        <v>0</v>
      </c>
      <c r="G1509" s="14" t="n">
        <v>30.23</v>
      </c>
      <c r="H1509" s="14" t="n">
        <v>1.1</v>
      </c>
      <c r="I1509" s="14" t="n">
        <v>3.28</v>
      </c>
      <c r="J1509" s="14" t="n">
        <v>0.03</v>
      </c>
      <c r="K1509" s="14" t="n">
        <v>0.06</v>
      </c>
      <c r="L1509" s="14" t="n">
        <v>8.109999999999999</v>
      </c>
      <c r="M1509" s="14" t="n">
        <v>19.01</v>
      </c>
      <c r="N1509" s="14" t="n">
        <v>10.38</v>
      </c>
      <c r="O1509" s="14" t="n">
        <v>6.39</v>
      </c>
      <c r="P1509" s="14" t="n">
        <v>0.65</v>
      </c>
      <c r="Q1509" s="14" t="n">
        <v>1.01</v>
      </c>
      <c r="R1509" s="14" t="n">
        <v>0</v>
      </c>
      <c r="S1509" s="14" t="n">
        <v>2.34</v>
      </c>
      <c r="T1509" s="14" t="n">
        <v>2.34</v>
      </c>
      <c r="U1509" s="14" t="n">
        <v>4.31</v>
      </c>
      <c r="V1509" s="14" t="n">
        <v>4.87</v>
      </c>
      <c r="W1509" s="14" t="n">
        <v>2.24</v>
      </c>
      <c r="X1509" s="14" t="n">
        <v>0.26</v>
      </c>
      <c r="Y1509" s="14" t="n">
        <v>2.21</v>
      </c>
      <c r="Z1509" s="14" t="n">
        <v>1.2</v>
      </c>
      <c r="AA1509" s="14" t="n">
        <v>0</v>
      </c>
    </row>
    <row r="1510">
      <c r="A1510" t="inlineStr">
        <is>
          <t>021305</t>
        </is>
      </c>
      <c r="B1510" t="inlineStr">
        <is>
          <t>ANCASH</t>
        </is>
      </c>
      <c r="C1510" t="inlineStr">
        <is>
          <t>MARISCAL LUZURIAGA</t>
        </is>
      </c>
      <c r="D1510" t="inlineStr">
        <is>
          <t>LLAMA</t>
        </is>
      </c>
      <c r="E1510" t="n">
        <v>210</v>
      </c>
      <c r="F1510" s="14" t="n">
        <v>0</v>
      </c>
      <c r="G1510" s="14" t="n">
        <v>69.05</v>
      </c>
      <c r="H1510" s="14" t="n">
        <v>0</v>
      </c>
      <c r="I1510" s="14" t="n">
        <v>0</v>
      </c>
      <c r="J1510" s="14" t="n">
        <v>0</v>
      </c>
      <c r="K1510" s="14" t="n">
        <v>0</v>
      </c>
      <c r="L1510" s="14" t="n">
        <v>2.38</v>
      </c>
      <c r="M1510" s="14" t="n">
        <v>4.29</v>
      </c>
      <c r="N1510" s="14" t="n">
        <v>1.9</v>
      </c>
      <c r="O1510" s="14" t="n">
        <v>0.48</v>
      </c>
      <c r="P1510" s="14" t="n">
        <v>0</v>
      </c>
      <c r="Q1510" s="14" t="n">
        <v>0</v>
      </c>
      <c r="R1510" s="14" t="n">
        <v>0</v>
      </c>
      <c r="S1510" s="14" t="n">
        <v>0.48</v>
      </c>
      <c r="T1510" s="14" t="n">
        <v>0.95</v>
      </c>
      <c r="U1510" s="14" t="n">
        <v>2.38</v>
      </c>
      <c r="V1510" s="14" t="n">
        <v>12.38</v>
      </c>
      <c r="W1510" s="14" t="n">
        <v>5.24</v>
      </c>
      <c r="X1510" s="14" t="n">
        <v>0</v>
      </c>
      <c r="Y1510" s="14" t="n">
        <v>0.48</v>
      </c>
      <c r="Z1510" s="14" t="n">
        <v>0</v>
      </c>
      <c r="AA1510" s="14" t="n">
        <v>0</v>
      </c>
    </row>
    <row r="1511">
      <c r="A1511" t="inlineStr">
        <is>
          <t>090303</t>
        </is>
      </c>
      <c r="B1511" t="inlineStr">
        <is>
          <t>HUANCAVELICA</t>
        </is>
      </c>
      <c r="C1511" t="inlineStr">
        <is>
          <t>ANGARAES</t>
        </is>
      </c>
      <c r="D1511" t="inlineStr">
        <is>
          <t>CALLANMARCA</t>
        </is>
      </c>
      <c r="E1511" t="n">
        <v>192</v>
      </c>
      <c r="F1511" s="14" t="n">
        <v>0</v>
      </c>
      <c r="G1511" s="14" t="n">
        <v>83.84999999999999</v>
      </c>
      <c r="H1511" s="14" t="n">
        <v>0</v>
      </c>
      <c r="I1511" s="14" t="n">
        <v>0</v>
      </c>
      <c r="J1511" s="14" t="n">
        <v>0</v>
      </c>
      <c r="K1511" s="14" t="n">
        <v>0</v>
      </c>
      <c r="L1511" s="14" t="n">
        <v>1.04</v>
      </c>
      <c r="M1511" s="14" t="n">
        <v>5.73</v>
      </c>
      <c r="N1511" s="14" t="n">
        <v>0</v>
      </c>
      <c r="O1511" s="14" t="n">
        <v>0.52</v>
      </c>
      <c r="P1511" s="14" t="n">
        <v>0</v>
      </c>
      <c r="Q1511" s="14" t="n">
        <v>0</v>
      </c>
      <c r="R1511" s="14" t="n">
        <v>0</v>
      </c>
      <c r="S1511" s="14" t="n">
        <v>2.08</v>
      </c>
      <c r="T1511" s="14" t="n">
        <v>0</v>
      </c>
      <c r="U1511" s="14" t="n">
        <v>4.69</v>
      </c>
      <c r="V1511" s="14" t="n">
        <v>1.56</v>
      </c>
      <c r="W1511" s="14" t="n">
        <v>0.52</v>
      </c>
      <c r="X1511" s="14" t="n">
        <v>0</v>
      </c>
      <c r="Y1511" s="14" t="n">
        <v>0</v>
      </c>
      <c r="Z1511" s="14" t="n">
        <v>0</v>
      </c>
      <c r="AA1511" s="14" t="n">
        <v>0</v>
      </c>
    </row>
    <row r="1512">
      <c r="A1512" t="inlineStr">
        <is>
          <t>020608</t>
        </is>
      </c>
      <c r="B1512" t="inlineStr">
        <is>
          <t>ANCASH</t>
        </is>
      </c>
      <c r="C1512" t="inlineStr">
        <is>
          <t>CARHUAZ</t>
        </is>
      </c>
      <c r="D1512" t="inlineStr">
        <is>
          <t>SAN MIGUEL DE ACO</t>
        </is>
      </c>
      <c r="E1512" t="n">
        <v>568</v>
      </c>
      <c r="F1512" s="14" t="n">
        <v>0</v>
      </c>
      <c r="G1512" s="14" t="n">
        <v>79.75</v>
      </c>
      <c r="H1512" s="14" t="n">
        <v>0.35</v>
      </c>
      <c r="I1512" s="14" t="n">
        <v>2.11</v>
      </c>
      <c r="J1512" s="14" t="n">
        <v>0</v>
      </c>
      <c r="K1512" s="14" t="n">
        <v>0.53</v>
      </c>
      <c r="L1512" s="14" t="n">
        <v>6.34</v>
      </c>
      <c r="M1512" s="14" t="n">
        <v>1.94</v>
      </c>
      <c r="N1512" s="14" t="n">
        <v>3.7</v>
      </c>
      <c r="O1512" s="14" t="n">
        <v>1.06</v>
      </c>
      <c r="P1512" s="14" t="n">
        <v>0</v>
      </c>
      <c r="Q1512" s="14" t="n">
        <v>0</v>
      </c>
      <c r="R1512" s="14" t="n">
        <v>0</v>
      </c>
      <c r="S1512" s="14" t="n">
        <v>0.35</v>
      </c>
      <c r="T1512" s="14" t="n">
        <v>0.35</v>
      </c>
      <c r="U1512" s="14" t="n">
        <v>1.41</v>
      </c>
      <c r="V1512" s="14" t="n">
        <v>0.35</v>
      </c>
      <c r="W1512" s="14" t="n">
        <v>0.18</v>
      </c>
      <c r="X1512" s="14" t="n">
        <v>0</v>
      </c>
      <c r="Y1512" s="14" t="n">
        <v>0.88</v>
      </c>
      <c r="Z1512" s="14" t="n">
        <v>0.7</v>
      </c>
      <c r="AA1512" s="14" t="n">
        <v>0</v>
      </c>
    </row>
    <row r="1513">
      <c r="A1513" t="inlineStr">
        <is>
          <t>021910</t>
        </is>
      </c>
      <c r="B1513" t="inlineStr">
        <is>
          <t>ANCASH</t>
        </is>
      </c>
      <c r="C1513" t="inlineStr">
        <is>
          <t>SIHUAS</t>
        </is>
      </c>
      <c r="D1513" t="inlineStr">
        <is>
          <t>SICSIBAMBA</t>
        </is>
      </c>
      <c r="E1513" t="n">
        <v>265</v>
      </c>
      <c r="F1513" s="14" t="n">
        <v>0</v>
      </c>
      <c r="G1513" s="14" t="n">
        <v>53.58</v>
      </c>
      <c r="H1513" s="14" t="n">
        <v>0</v>
      </c>
      <c r="I1513" s="14" t="n">
        <v>0.38</v>
      </c>
      <c r="J1513" s="14" t="n">
        <v>0</v>
      </c>
      <c r="K1513" s="14" t="n">
        <v>0</v>
      </c>
      <c r="L1513" s="14" t="n">
        <v>6.42</v>
      </c>
      <c r="M1513" s="14" t="n">
        <v>2.64</v>
      </c>
      <c r="N1513" s="14" t="n">
        <v>0.75</v>
      </c>
      <c r="O1513" s="14" t="n">
        <v>2.64</v>
      </c>
      <c r="P1513" s="14" t="n">
        <v>0</v>
      </c>
      <c r="Q1513" s="14" t="n">
        <v>0</v>
      </c>
      <c r="R1513" s="14" t="n">
        <v>0</v>
      </c>
      <c r="S1513" s="14" t="n">
        <v>0.38</v>
      </c>
      <c r="T1513" s="14" t="n">
        <v>0.75</v>
      </c>
      <c r="U1513" s="14" t="n">
        <v>6.04</v>
      </c>
      <c r="V1513" s="14" t="n">
        <v>23.77</v>
      </c>
      <c r="W1513" s="14" t="n">
        <v>2.26</v>
      </c>
      <c r="X1513" s="14" t="n">
        <v>0.38</v>
      </c>
      <c r="Y1513" s="14" t="n">
        <v>0</v>
      </c>
      <c r="Z1513" s="14" t="n">
        <v>0</v>
      </c>
      <c r="AA1513" s="14" t="n">
        <v>0</v>
      </c>
    </row>
    <row r="1514">
      <c r="A1514" t="inlineStr">
        <is>
          <t>030404</t>
        </is>
      </c>
      <c r="B1514" t="inlineStr">
        <is>
          <t>APURIMAC</t>
        </is>
      </c>
      <c r="C1514" t="inlineStr">
        <is>
          <t>AYMARAES</t>
        </is>
      </c>
      <c r="D1514" t="inlineStr">
        <is>
          <t>CHAPIMARCA</t>
        </is>
      </c>
      <c r="E1514" t="n">
        <v>528</v>
      </c>
      <c r="F1514" s="14" t="n">
        <v>0</v>
      </c>
      <c r="G1514" s="14" t="n">
        <v>69.51000000000001</v>
      </c>
      <c r="H1514" s="14" t="n">
        <v>0.76</v>
      </c>
      <c r="I1514" s="14" t="n">
        <v>1.52</v>
      </c>
      <c r="J1514" s="14" t="n">
        <v>0</v>
      </c>
      <c r="K1514" s="14" t="n">
        <v>0</v>
      </c>
      <c r="L1514" s="14" t="n">
        <v>5.11</v>
      </c>
      <c r="M1514" s="14" t="n">
        <v>9.09</v>
      </c>
      <c r="N1514" s="14" t="n">
        <v>2.27</v>
      </c>
      <c r="O1514" s="14" t="n">
        <v>3.03</v>
      </c>
      <c r="P1514" s="14" t="n">
        <v>0</v>
      </c>
      <c r="Q1514" s="14" t="n">
        <v>0</v>
      </c>
      <c r="R1514" s="14" t="n">
        <v>0</v>
      </c>
      <c r="S1514" s="14" t="n">
        <v>0.76</v>
      </c>
      <c r="T1514" s="14" t="n">
        <v>0.38</v>
      </c>
      <c r="U1514" s="14" t="n">
        <v>1.33</v>
      </c>
      <c r="V1514" s="14" t="n">
        <v>3.22</v>
      </c>
      <c r="W1514" s="14" t="n">
        <v>1.52</v>
      </c>
      <c r="X1514" s="14" t="n">
        <v>0</v>
      </c>
      <c r="Y1514" s="14" t="n">
        <v>0.95</v>
      </c>
      <c r="Z1514" s="14" t="n">
        <v>0.57</v>
      </c>
      <c r="AA1514" s="14" t="n">
        <v>0</v>
      </c>
    </row>
    <row r="1515">
      <c r="A1515" t="inlineStr">
        <is>
          <t>030710</t>
        </is>
      </c>
      <c r="B1515" t="inlineStr">
        <is>
          <t>APURIMAC</t>
        </is>
      </c>
      <c r="C1515" t="inlineStr">
        <is>
          <t>GRAU</t>
        </is>
      </c>
      <c r="D1515" t="inlineStr">
        <is>
          <t>SANTA ROSA</t>
        </is>
      </c>
      <c r="E1515" t="n">
        <v>117</v>
      </c>
      <c r="F1515" s="14" t="n">
        <v>0</v>
      </c>
      <c r="G1515" s="14" t="n">
        <v>66.67</v>
      </c>
      <c r="H1515" s="14" t="n">
        <v>0</v>
      </c>
      <c r="I1515" s="14" t="n">
        <v>1.71</v>
      </c>
      <c r="J1515" s="14" t="n">
        <v>0</v>
      </c>
      <c r="K1515" s="14" t="n">
        <v>0</v>
      </c>
      <c r="L1515" s="14" t="n">
        <v>7.69</v>
      </c>
      <c r="M1515" s="14" t="n">
        <v>5.13</v>
      </c>
      <c r="N1515" s="14" t="n">
        <v>1.71</v>
      </c>
      <c r="O1515" s="14" t="n">
        <v>3.42</v>
      </c>
      <c r="P1515" s="14" t="n">
        <v>0</v>
      </c>
      <c r="Q1515" s="14" t="n">
        <v>0</v>
      </c>
      <c r="R1515" s="14" t="n">
        <v>0</v>
      </c>
      <c r="S1515" s="14" t="n">
        <v>0</v>
      </c>
      <c r="T1515" s="14" t="n">
        <v>0</v>
      </c>
      <c r="U1515" s="14" t="n">
        <v>3.42</v>
      </c>
      <c r="V1515" s="14" t="n">
        <v>7.69</v>
      </c>
      <c r="W1515" s="14" t="n">
        <v>2.56</v>
      </c>
      <c r="X1515" s="14" t="n">
        <v>0</v>
      </c>
      <c r="Y1515" s="14" t="n">
        <v>0</v>
      </c>
      <c r="Z1515" s="14" t="n">
        <v>0</v>
      </c>
      <c r="AA1515" s="14" t="n">
        <v>0</v>
      </c>
    </row>
    <row r="1516">
      <c r="A1516" t="inlineStr">
        <is>
          <t>080704</t>
        </is>
      </c>
      <c r="B1516" t="inlineStr">
        <is>
          <t>CUSCO</t>
        </is>
      </c>
      <c r="C1516" t="inlineStr">
        <is>
          <t>CHUMBIVILCAS</t>
        </is>
      </c>
      <c r="D1516" t="inlineStr">
        <is>
          <t>COLQUEMARCA</t>
        </is>
      </c>
      <c r="E1516" t="n">
        <v>1942</v>
      </c>
      <c r="F1516" s="14" t="n">
        <v>0</v>
      </c>
      <c r="G1516" s="14" t="n">
        <v>74.36</v>
      </c>
      <c r="H1516" s="14" t="n">
        <v>0.72</v>
      </c>
      <c r="I1516" s="14" t="n">
        <v>1.18</v>
      </c>
      <c r="J1516" s="14" t="n">
        <v>0.05</v>
      </c>
      <c r="K1516" s="14" t="n">
        <v>0.05</v>
      </c>
      <c r="L1516" s="14" t="n">
        <v>2.99</v>
      </c>
      <c r="M1516" s="14" t="n">
        <v>7.88</v>
      </c>
      <c r="N1516" s="14" t="n">
        <v>1.13</v>
      </c>
      <c r="O1516" s="14" t="n">
        <v>2.11</v>
      </c>
      <c r="P1516" s="14" t="n">
        <v>0.1</v>
      </c>
      <c r="Q1516" s="14" t="n">
        <v>0.05</v>
      </c>
      <c r="R1516" s="14" t="n">
        <v>0</v>
      </c>
      <c r="S1516" s="14" t="n">
        <v>0.88</v>
      </c>
      <c r="T1516" s="14" t="n">
        <v>0.51</v>
      </c>
      <c r="U1516" s="14" t="n">
        <v>0.98</v>
      </c>
      <c r="V1516" s="14" t="n">
        <v>5.1</v>
      </c>
      <c r="W1516" s="14" t="n">
        <v>0.77</v>
      </c>
      <c r="X1516" s="14" t="n">
        <v>0.15</v>
      </c>
      <c r="Y1516" s="14" t="n">
        <v>0.51</v>
      </c>
      <c r="Z1516" s="14" t="n">
        <v>0.46</v>
      </c>
      <c r="AA1516" s="14" t="n">
        <v>0</v>
      </c>
    </row>
    <row r="1517">
      <c r="A1517" t="inlineStr">
        <is>
          <t>030408</t>
        </is>
      </c>
      <c r="B1517" t="inlineStr">
        <is>
          <t>APURIMAC</t>
        </is>
      </c>
      <c r="C1517" t="inlineStr">
        <is>
          <t>AYMARAES</t>
        </is>
      </c>
      <c r="D1517" t="inlineStr">
        <is>
          <t>JUSTO APU SAHUARAURA</t>
        </is>
      </c>
      <c r="E1517" t="n">
        <v>251</v>
      </c>
      <c r="F1517" s="14" t="n">
        <v>0</v>
      </c>
      <c r="G1517" s="14" t="n">
        <v>59.36</v>
      </c>
      <c r="H1517" s="14" t="n">
        <v>0.8</v>
      </c>
      <c r="I1517" s="14" t="n">
        <v>1.59</v>
      </c>
      <c r="J1517" s="14" t="n">
        <v>0.4</v>
      </c>
      <c r="K1517" s="14" t="n">
        <v>0</v>
      </c>
      <c r="L1517" s="14" t="n">
        <v>16.33</v>
      </c>
      <c r="M1517" s="14" t="n">
        <v>5.58</v>
      </c>
      <c r="N1517" s="14" t="n">
        <v>1.59</v>
      </c>
      <c r="O1517" s="14" t="n">
        <v>0.4</v>
      </c>
      <c r="P1517" s="14" t="n">
        <v>0</v>
      </c>
      <c r="Q1517" s="14" t="n">
        <v>0.4</v>
      </c>
      <c r="R1517" s="14" t="n">
        <v>0</v>
      </c>
      <c r="S1517" s="14" t="n">
        <v>0.4</v>
      </c>
      <c r="T1517" s="14" t="n">
        <v>0.4</v>
      </c>
      <c r="U1517" s="14" t="n">
        <v>5.18</v>
      </c>
      <c r="V1517" s="14" t="n">
        <v>4.38</v>
      </c>
      <c r="W1517" s="14" t="n">
        <v>2.39</v>
      </c>
      <c r="X1517" s="14" t="n">
        <v>0</v>
      </c>
      <c r="Y1517" s="14" t="n">
        <v>0.4</v>
      </c>
      <c r="Z1517" s="14" t="n">
        <v>0.4</v>
      </c>
      <c r="AA1517" s="14" t="n">
        <v>0</v>
      </c>
    </row>
    <row r="1518">
      <c r="A1518" t="inlineStr">
        <is>
          <t>051007</t>
        </is>
      </c>
      <c r="B1518" t="inlineStr">
        <is>
          <t>AYACUCHO</t>
        </is>
      </c>
      <c r="C1518" t="inlineStr">
        <is>
          <t>VICTOR FAJARDO</t>
        </is>
      </c>
      <c r="D1518" t="inlineStr">
        <is>
          <t>COLCA</t>
        </is>
      </c>
      <c r="E1518" t="n">
        <v>315</v>
      </c>
      <c r="F1518" s="14" t="n">
        <v>0</v>
      </c>
      <c r="G1518" s="14" t="n">
        <v>62.22</v>
      </c>
      <c r="H1518" s="14" t="n">
        <v>0</v>
      </c>
      <c r="I1518" s="14" t="n">
        <v>1.59</v>
      </c>
      <c r="J1518" s="14" t="n">
        <v>0</v>
      </c>
      <c r="K1518" s="14" t="n">
        <v>0</v>
      </c>
      <c r="L1518" s="14" t="n">
        <v>6.98</v>
      </c>
      <c r="M1518" s="14" t="n">
        <v>12.06</v>
      </c>
      <c r="N1518" s="14" t="n">
        <v>0.95</v>
      </c>
      <c r="O1518" s="14" t="n">
        <v>2.54</v>
      </c>
      <c r="P1518" s="14" t="n">
        <v>0</v>
      </c>
      <c r="Q1518" s="14" t="n">
        <v>0</v>
      </c>
      <c r="R1518" s="14" t="n">
        <v>0</v>
      </c>
      <c r="S1518" s="14" t="n">
        <v>0.32</v>
      </c>
      <c r="T1518" s="14" t="n">
        <v>0.32</v>
      </c>
      <c r="U1518" s="14" t="n">
        <v>5.4</v>
      </c>
      <c r="V1518" s="14" t="n">
        <v>5.71</v>
      </c>
      <c r="W1518" s="14" t="n">
        <v>0.63</v>
      </c>
      <c r="X1518" s="14" t="n">
        <v>0</v>
      </c>
      <c r="Y1518" s="14" t="n">
        <v>0.95</v>
      </c>
      <c r="Z1518" s="14" t="n">
        <v>0.32</v>
      </c>
      <c r="AA1518" s="14" t="n">
        <v>0</v>
      </c>
    </row>
    <row r="1519">
      <c r="A1519" t="inlineStr">
        <is>
          <t>010504</t>
        </is>
      </c>
      <c r="B1519" t="inlineStr">
        <is>
          <t>AMAZONAS</t>
        </is>
      </c>
      <c r="C1519" t="inlineStr">
        <is>
          <t>LUYA</t>
        </is>
      </c>
      <c r="D1519" t="inlineStr">
        <is>
          <t>COLCAMAR</t>
        </is>
      </c>
      <c r="E1519" t="n">
        <v>621</v>
      </c>
      <c r="F1519" s="14" t="n">
        <v>0</v>
      </c>
      <c r="G1519" s="14" t="n">
        <v>72.3</v>
      </c>
      <c r="H1519" s="14" t="n">
        <v>0</v>
      </c>
      <c r="I1519" s="14" t="n">
        <v>1.29</v>
      </c>
      <c r="J1519" s="14" t="n">
        <v>0</v>
      </c>
      <c r="K1519" s="14" t="n">
        <v>0</v>
      </c>
      <c r="L1519" s="14" t="n">
        <v>8.859999999999999</v>
      </c>
      <c r="M1519" s="14" t="n">
        <v>3.06</v>
      </c>
      <c r="N1519" s="14" t="n">
        <v>1.29</v>
      </c>
      <c r="O1519" s="14" t="n">
        <v>2.42</v>
      </c>
      <c r="P1519" s="14" t="n">
        <v>0.16</v>
      </c>
      <c r="Q1519" s="14" t="n">
        <v>0.16</v>
      </c>
      <c r="R1519" s="14" t="n">
        <v>0</v>
      </c>
      <c r="S1519" s="14" t="n">
        <v>0.16</v>
      </c>
      <c r="T1519" s="14" t="n">
        <v>0.32</v>
      </c>
      <c r="U1519" s="14" t="n">
        <v>4.03</v>
      </c>
      <c r="V1519" s="14" t="n">
        <v>4.19</v>
      </c>
      <c r="W1519" s="14" t="n">
        <v>1.13</v>
      </c>
      <c r="X1519" s="14" t="n">
        <v>0</v>
      </c>
      <c r="Y1519" s="14" t="n">
        <v>0.32</v>
      </c>
      <c r="Z1519" s="14" t="n">
        <v>0.32</v>
      </c>
      <c r="AA1519" s="14" t="n">
        <v>0</v>
      </c>
    </row>
    <row r="1520">
      <c r="A1520" t="inlineStr">
        <is>
          <t>010509</t>
        </is>
      </c>
      <c r="B1520" t="inlineStr">
        <is>
          <t>AMAZONAS</t>
        </is>
      </c>
      <c r="C1520" t="inlineStr">
        <is>
          <t>LUYA</t>
        </is>
      </c>
      <c r="D1520" t="inlineStr">
        <is>
          <t>LUYA</t>
        </is>
      </c>
      <c r="E1520" t="n">
        <v>1439</v>
      </c>
      <c r="F1520" s="14" t="n">
        <v>0</v>
      </c>
      <c r="G1520" s="14" t="n">
        <v>53.44</v>
      </c>
      <c r="H1520" s="14" t="n">
        <v>0</v>
      </c>
      <c r="I1520" s="14" t="n">
        <v>2.29</v>
      </c>
      <c r="J1520" s="14" t="n">
        <v>0.07000000000000001</v>
      </c>
      <c r="K1520" s="14" t="n">
        <v>0.07000000000000001</v>
      </c>
      <c r="L1520" s="14" t="n">
        <v>3.34</v>
      </c>
      <c r="M1520" s="14" t="n">
        <v>11.88</v>
      </c>
      <c r="N1520" s="14" t="n">
        <v>4.59</v>
      </c>
      <c r="O1520" s="14" t="n">
        <v>2.22</v>
      </c>
      <c r="P1520" s="14" t="n">
        <v>0.14</v>
      </c>
      <c r="Q1520" s="14" t="n">
        <v>0.21</v>
      </c>
      <c r="R1520" s="14" t="n">
        <v>0</v>
      </c>
      <c r="S1520" s="14" t="n">
        <v>0.76</v>
      </c>
      <c r="T1520" s="14" t="n">
        <v>0.35</v>
      </c>
      <c r="U1520" s="14" t="n">
        <v>6.81</v>
      </c>
      <c r="V1520" s="14" t="n">
        <v>9.31</v>
      </c>
      <c r="W1520" s="14" t="n">
        <v>2.36</v>
      </c>
      <c r="X1520" s="14" t="n">
        <v>0.97</v>
      </c>
      <c r="Y1520" s="14" t="n">
        <v>0.6899999999999999</v>
      </c>
      <c r="Z1520" s="14" t="n">
        <v>0.49</v>
      </c>
      <c r="AA1520" s="14" t="n">
        <v>0</v>
      </c>
    </row>
    <row r="1521">
      <c r="A1521" t="inlineStr">
        <is>
          <t>060506</t>
        </is>
      </c>
      <c r="B1521" t="inlineStr">
        <is>
          <t>CAJAMARCA</t>
        </is>
      </c>
      <c r="C1521" t="inlineStr">
        <is>
          <t>CONTUMAZA</t>
        </is>
      </c>
      <c r="D1521" t="inlineStr">
        <is>
          <t>SANTA CRUZ DE TOLEDO</t>
        </is>
      </c>
      <c r="E1521" t="n">
        <v>306</v>
      </c>
      <c r="F1521" s="14" t="n">
        <v>0</v>
      </c>
      <c r="G1521" s="14" t="n">
        <v>84.64</v>
      </c>
      <c r="H1521" s="14" t="n">
        <v>0</v>
      </c>
      <c r="I1521" s="14" t="n">
        <v>0.98</v>
      </c>
      <c r="J1521" s="14" t="n">
        <v>0</v>
      </c>
      <c r="K1521" s="14" t="n">
        <v>0</v>
      </c>
      <c r="L1521" s="14" t="n">
        <v>0</v>
      </c>
      <c r="M1521" s="14" t="n">
        <v>1.31</v>
      </c>
      <c r="N1521" s="14" t="n">
        <v>0.33</v>
      </c>
      <c r="O1521" s="14" t="n">
        <v>0.33</v>
      </c>
      <c r="P1521" s="14" t="n">
        <v>0.33</v>
      </c>
      <c r="Q1521" s="14" t="n">
        <v>0</v>
      </c>
      <c r="R1521" s="14" t="n">
        <v>0</v>
      </c>
      <c r="S1521" s="14" t="n">
        <v>1.31</v>
      </c>
      <c r="T1521" s="14" t="n">
        <v>0.98</v>
      </c>
      <c r="U1521" s="14" t="n">
        <v>2.94</v>
      </c>
      <c r="V1521" s="14" t="n">
        <v>2.61</v>
      </c>
      <c r="W1521" s="14" t="n">
        <v>0.65</v>
      </c>
      <c r="X1521" s="14" t="n">
        <v>0</v>
      </c>
      <c r="Y1521" s="14" t="n">
        <v>0</v>
      </c>
      <c r="Z1521" s="14" t="n">
        <v>3.59</v>
      </c>
      <c r="AA1521" s="14" t="n">
        <v>0</v>
      </c>
    </row>
    <row r="1522">
      <c r="A1522" t="inlineStr">
        <is>
          <t>090408</t>
        </is>
      </c>
      <c r="B1522" t="inlineStr">
        <is>
          <t>HUANCAVELICA</t>
        </is>
      </c>
      <c r="C1522" t="inlineStr">
        <is>
          <t>CASTROVIRREYNA</t>
        </is>
      </c>
      <c r="D1522" t="inlineStr">
        <is>
          <t>HUAMATAMBO</t>
        </is>
      </c>
      <c r="E1522" t="n">
        <v>206</v>
      </c>
      <c r="F1522" s="14" t="n">
        <v>0</v>
      </c>
      <c r="G1522" s="14" t="n">
        <v>71.84</v>
      </c>
      <c r="H1522" s="14" t="n">
        <v>0.49</v>
      </c>
      <c r="I1522" s="14" t="n">
        <v>1.46</v>
      </c>
      <c r="J1522" s="14" t="n">
        <v>0.49</v>
      </c>
      <c r="K1522" s="14" t="n">
        <v>0</v>
      </c>
      <c r="L1522" s="14" t="n">
        <v>12.14</v>
      </c>
      <c r="M1522" s="14" t="n">
        <v>1.94</v>
      </c>
      <c r="N1522" s="14" t="n">
        <v>1.94</v>
      </c>
      <c r="O1522" s="14" t="n">
        <v>0.97</v>
      </c>
      <c r="P1522" s="14" t="n">
        <v>0</v>
      </c>
      <c r="Q1522" s="14" t="n">
        <v>0</v>
      </c>
      <c r="R1522" s="14" t="n">
        <v>0</v>
      </c>
      <c r="S1522" s="14" t="n">
        <v>0.97</v>
      </c>
      <c r="T1522" s="14" t="n">
        <v>0</v>
      </c>
      <c r="U1522" s="14" t="n">
        <v>2.91</v>
      </c>
      <c r="V1522" s="14" t="n">
        <v>3.88</v>
      </c>
      <c r="W1522" s="14" t="n">
        <v>0.97</v>
      </c>
      <c r="X1522" s="14" t="n">
        <v>0</v>
      </c>
      <c r="Y1522" s="14" t="n">
        <v>0</v>
      </c>
      <c r="Z1522" s="14" t="n">
        <v>0</v>
      </c>
      <c r="AA1522" s="14" t="n">
        <v>0</v>
      </c>
    </row>
    <row r="1523">
      <c r="A1523" t="inlineStr">
        <is>
          <t>061002</t>
        </is>
      </c>
      <c r="B1523" t="inlineStr">
        <is>
          <t>CAJAMARCA</t>
        </is>
      </c>
      <c r="C1523" t="inlineStr">
        <is>
          <t>SAN MARCOS</t>
        </is>
      </c>
      <c r="D1523" t="inlineStr">
        <is>
          <t>CHANCAY</t>
        </is>
      </c>
      <c r="E1523" t="n">
        <v>718</v>
      </c>
      <c r="F1523" s="14" t="n">
        <v>0</v>
      </c>
      <c r="G1523" s="14" t="n">
        <v>71.17</v>
      </c>
      <c r="H1523" s="14" t="n">
        <v>0</v>
      </c>
      <c r="I1523" s="14" t="n">
        <v>11.7</v>
      </c>
      <c r="J1523" s="14" t="n">
        <v>0</v>
      </c>
      <c r="K1523" s="14" t="n">
        <v>0.14</v>
      </c>
      <c r="L1523" s="14" t="n">
        <v>3.2</v>
      </c>
      <c r="M1523" s="14" t="n">
        <v>2.92</v>
      </c>
      <c r="N1523" s="14" t="n">
        <v>1.39</v>
      </c>
      <c r="O1523" s="14" t="n">
        <v>1.25</v>
      </c>
      <c r="P1523" s="14" t="n">
        <v>0</v>
      </c>
      <c r="Q1523" s="14" t="n">
        <v>0</v>
      </c>
      <c r="R1523" s="14" t="n">
        <v>0</v>
      </c>
      <c r="S1523" s="14" t="n">
        <v>0.28</v>
      </c>
      <c r="T1523" s="14" t="n">
        <v>0.42</v>
      </c>
      <c r="U1523" s="14" t="n">
        <v>1.53</v>
      </c>
      <c r="V1523" s="14" t="n">
        <v>3.62</v>
      </c>
      <c r="W1523" s="14" t="n">
        <v>1.25</v>
      </c>
      <c r="X1523" s="14" t="n">
        <v>0</v>
      </c>
      <c r="Y1523" s="14" t="n">
        <v>0.97</v>
      </c>
      <c r="Z1523" s="14" t="n">
        <v>0.14</v>
      </c>
      <c r="AA1523" s="14" t="n">
        <v>0</v>
      </c>
    </row>
    <row r="1524">
      <c r="A1524" t="inlineStr">
        <is>
          <t>040501</t>
        </is>
      </c>
      <c r="B1524" t="inlineStr">
        <is>
          <t>AREQUIPA</t>
        </is>
      </c>
      <c r="C1524" t="inlineStr">
        <is>
          <t>CAYLLOMA</t>
        </is>
      </c>
      <c r="D1524" t="inlineStr">
        <is>
          <t>CHIVAY</t>
        </is>
      </c>
      <c r="E1524" t="n">
        <v>2764</v>
      </c>
      <c r="F1524" s="14" t="n">
        <v>0</v>
      </c>
      <c r="G1524" s="14" t="n">
        <v>14.65</v>
      </c>
      <c r="H1524" s="14" t="n">
        <v>0.83</v>
      </c>
      <c r="I1524" s="14" t="n">
        <v>6.26</v>
      </c>
      <c r="J1524" s="14" t="n">
        <v>0.11</v>
      </c>
      <c r="K1524" s="14" t="n">
        <v>0.14</v>
      </c>
      <c r="L1524" s="14" t="n">
        <v>10.02</v>
      </c>
      <c r="M1524" s="14" t="n">
        <v>20.59</v>
      </c>
      <c r="N1524" s="14" t="n">
        <v>7.27</v>
      </c>
      <c r="O1524" s="14" t="n">
        <v>16.39</v>
      </c>
      <c r="P1524" s="14" t="n">
        <v>0.58</v>
      </c>
      <c r="Q1524" s="14" t="n">
        <v>1.45</v>
      </c>
      <c r="R1524" s="14" t="n">
        <v>0</v>
      </c>
      <c r="S1524" s="14" t="n">
        <v>1.23</v>
      </c>
      <c r="T1524" s="14" t="n">
        <v>2.79</v>
      </c>
      <c r="U1524" s="14" t="n">
        <v>7.13</v>
      </c>
      <c r="V1524" s="14" t="n">
        <v>4.78</v>
      </c>
      <c r="W1524" s="14" t="n">
        <v>2.17</v>
      </c>
      <c r="X1524" s="14" t="n">
        <v>0.8</v>
      </c>
      <c r="Y1524" s="14" t="n">
        <v>2.17</v>
      </c>
      <c r="Z1524" s="14" t="n">
        <v>0.65</v>
      </c>
      <c r="AA1524" s="14" t="n">
        <v>0</v>
      </c>
    </row>
    <row r="1525">
      <c r="A1525" t="inlineStr">
        <is>
          <t>040112</t>
        </is>
      </c>
      <c r="B1525" t="inlineStr">
        <is>
          <t>AREQUIPA</t>
        </is>
      </c>
      <c r="C1525" t="inlineStr">
        <is>
          <t>AREQUIPA</t>
        </is>
      </c>
      <c r="D1525" t="inlineStr">
        <is>
          <t>PAUCARPATA</t>
        </is>
      </c>
      <c r="E1525" t="n">
        <v>60685</v>
      </c>
      <c r="F1525" s="14" t="n">
        <v>0.023</v>
      </c>
      <c r="G1525" s="14" t="n">
        <v>2.11</v>
      </c>
      <c r="H1525" s="14" t="n">
        <v>1.41</v>
      </c>
      <c r="I1525" s="14" t="n">
        <v>11.87</v>
      </c>
      <c r="J1525" s="14" t="n">
        <v>0.13</v>
      </c>
      <c r="K1525" s="14" t="n">
        <v>0.32</v>
      </c>
      <c r="L1525" s="14" t="n">
        <v>8.65</v>
      </c>
      <c r="M1525" s="14" t="n">
        <v>25.28</v>
      </c>
      <c r="N1525" s="14" t="n">
        <v>12.46</v>
      </c>
      <c r="O1525" s="14" t="n">
        <v>6.45</v>
      </c>
      <c r="P1525" s="14" t="n">
        <v>0.93</v>
      </c>
      <c r="Q1525" s="14" t="n">
        <v>1.2</v>
      </c>
      <c r="R1525" s="14" t="n">
        <v>0.12</v>
      </c>
      <c r="S1525" s="14" t="n">
        <v>6.38</v>
      </c>
      <c r="T1525" s="14" t="n">
        <v>3.38</v>
      </c>
      <c r="U1525" s="14" t="n">
        <v>3.46</v>
      </c>
      <c r="V1525" s="14" t="n">
        <v>7.13</v>
      </c>
      <c r="W1525" s="14" t="n">
        <v>3.57</v>
      </c>
      <c r="X1525" s="14" t="n">
        <v>0.87</v>
      </c>
      <c r="Y1525" s="14" t="n">
        <v>3.25</v>
      </c>
      <c r="Z1525" s="14" t="n">
        <v>1.04</v>
      </c>
      <c r="AA1525" s="14" t="n">
        <v>0</v>
      </c>
    </row>
    <row r="1526">
      <c r="A1526" t="inlineStr">
        <is>
          <t>040604</t>
        </is>
      </c>
      <c r="B1526" t="inlineStr">
        <is>
          <t>AREQUIPA</t>
        </is>
      </c>
      <c r="C1526" t="inlineStr">
        <is>
          <t>CONDESUYOS</t>
        </is>
      </c>
      <c r="D1526" t="inlineStr">
        <is>
          <t>CHICHAS</t>
        </is>
      </c>
      <c r="E1526" t="n">
        <v>395</v>
      </c>
      <c r="F1526" s="14" t="n">
        <v>0</v>
      </c>
      <c r="G1526" s="14" t="n">
        <v>48.35</v>
      </c>
      <c r="H1526" s="14" t="n">
        <v>22.53</v>
      </c>
      <c r="I1526" s="14" t="n">
        <v>0.25</v>
      </c>
      <c r="J1526" s="14" t="n">
        <v>0</v>
      </c>
      <c r="K1526" s="14" t="n">
        <v>0</v>
      </c>
      <c r="L1526" s="14" t="n">
        <v>5.57</v>
      </c>
      <c r="M1526" s="14" t="n">
        <v>2.53</v>
      </c>
      <c r="N1526" s="14" t="n">
        <v>1.27</v>
      </c>
      <c r="O1526" s="14" t="n">
        <v>1.52</v>
      </c>
      <c r="P1526" s="14" t="n">
        <v>0.25</v>
      </c>
      <c r="Q1526" s="14" t="n">
        <v>0</v>
      </c>
      <c r="R1526" s="14" t="n">
        <v>0</v>
      </c>
      <c r="S1526" s="14" t="n">
        <v>1.27</v>
      </c>
      <c r="T1526" s="14" t="n">
        <v>0</v>
      </c>
      <c r="U1526" s="14" t="n">
        <v>7.59</v>
      </c>
      <c r="V1526" s="14" t="n">
        <v>7.34</v>
      </c>
      <c r="W1526" s="14" t="n">
        <v>1.52</v>
      </c>
      <c r="X1526" s="14" t="n">
        <v>0</v>
      </c>
      <c r="Y1526" s="14" t="n">
        <v>0</v>
      </c>
      <c r="Z1526" s="14" t="n">
        <v>0</v>
      </c>
      <c r="AA1526" s="14" t="n">
        <v>0</v>
      </c>
    </row>
    <row r="1527">
      <c r="A1527" t="inlineStr">
        <is>
          <t>080205</t>
        </is>
      </c>
      <c r="B1527" t="inlineStr">
        <is>
          <t>CUSCO</t>
        </is>
      </c>
      <c r="C1527" t="inlineStr">
        <is>
          <t>ACOMAYO</t>
        </is>
      </c>
      <c r="D1527" t="inlineStr">
        <is>
          <t>POMACANCHI</t>
        </is>
      </c>
      <c r="E1527" t="n">
        <v>2305</v>
      </c>
      <c r="F1527" s="14" t="n">
        <v>0</v>
      </c>
      <c r="G1527" s="14" t="n">
        <v>69.93000000000001</v>
      </c>
      <c r="H1527" s="14" t="n">
        <v>0.26</v>
      </c>
      <c r="I1527" s="14" t="n">
        <v>2.47</v>
      </c>
      <c r="J1527" s="14" t="n">
        <v>0</v>
      </c>
      <c r="K1527" s="14" t="n">
        <v>0.04</v>
      </c>
      <c r="L1527" s="14" t="n">
        <v>4.21</v>
      </c>
      <c r="M1527" s="14" t="n">
        <v>7.9</v>
      </c>
      <c r="N1527" s="14" t="n">
        <v>1.65</v>
      </c>
      <c r="O1527" s="14" t="n">
        <v>1.61</v>
      </c>
      <c r="P1527" s="14" t="n">
        <v>0.22</v>
      </c>
      <c r="Q1527" s="14" t="n">
        <v>0.22</v>
      </c>
      <c r="R1527" s="14" t="n">
        <v>0</v>
      </c>
      <c r="S1527" s="14" t="n">
        <v>0.74</v>
      </c>
      <c r="T1527" s="14" t="n">
        <v>0.6899999999999999</v>
      </c>
      <c r="U1527" s="14" t="n">
        <v>2.56</v>
      </c>
      <c r="V1527" s="14" t="n">
        <v>4.12</v>
      </c>
      <c r="W1527" s="14" t="n">
        <v>1.26</v>
      </c>
      <c r="X1527" s="14" t="n">
        <v>0.13</v>
      </c>
      <c r="Y1527" s="14" t="n">
        <v>1.82</v>
      </c>
      <c r="Z1527" s="14" t="n">
        <v>0.17</v>
      </c>
      <c r="AA1527" s="14" t="n">
        <v>0</v>
      </c>
    </row>
    <row r="1528">
      <c r="A1528" t="inlineStr">
        <is>
          <t>040120</t>
        </is>
      </c>
      <c r="B1528" t="inlineStr">
        <is>
          <t>AREQUIPA</t>
        </is>
      </c>
      <c r="C1528" t="inlineStr">
        <is>
          <t>AREQUIPA</t>
        </is>
      </c>
      <c r="D1528" t="inlineStr">
        <is>
          <t>SANTA ISABEL DE SIGUAS</t>
        </is>
      </c>
      <c r="E1528" t="n">
        <v>307</v>
      </c>
      <c r="F1528" s="14" t="n">
        <v>0</v>
      </c>
      <c r="G1528" s="14" t="n">
        <v>59.28</v>
      </c>
      <c r="H1528" s="14" t="n">
        <v>17.92</v>
      </c>
      <c r="I1528" s="14" t="n">
        <v>2.28</v>
      </c>
      <c r="J1528" s="14" t="n">
        <v>0.33</v>
      </c>
      <c r="K1528" s="14" t="n">
        <v>0.33</v>
      </c>
      <c r="L1528" s="14" t="n">
        <v>1.95</v>
      </c>
      <c r="M1528" s="14" t="n">
        <v>4.89</v>
      </c>
      <c r="N1528" s="14" t="n">
        <v>2.28</v>
      </c>
      <c r="O1528" s="14" t="n">
        <v>2.93</v>
      </c>
      <c r="P1528" s="14" t="n">
        <v>0</v>
      </c>
      <c r="Q1528" s="14" t="n">
        <v>0</v>
      </c>
      <c r="R1528" s="14" t="n">
        <v>0</v>
      </c>
      <c r="S1528" s="14" t="n">
        <v>2.61</v>
      </c>
      <c r="T1528" s="14" t="n">
        <v>1.3</v>
      </c>
      <c r="U1528" s="14" t="n">
        <v>1.63</v>
      </c>
      <c r="V1528" s="14" t="n">
        <v>1.3</v>
      </c>
      <c r="W1528" s="14" t="n">
        <v>0</v>
      </c>
      <c r="X1528" s="14" t="n">
        <v>0</v>
      </c>
      <c r="Y1528" s="14" t="n">
        <v>0.98</v>
      </c>
      <c r="Z1528" s="14" t="n">
        <v>0</v>
      </c>
      <c r="AA1528" s="14" t="n">
        <v>0</v>
      </c>
    </row>
    <row r="1529">
      <c r="A1529" t="inlineStr">
        <is>
          <t>080305</t>
        </is>
      </c>
      <c r="B1529" t="inlineStr">
        <is>
          <t>CUSCO</t>
        </is>
      </c>
      <c r="C1529" t="inlineStr">
        <is>
          <t>ANTA</t>
        </is>
      </c>
      <c r="D1529" t="inlineStr">
        <is>
          <t>HUAROCONDO</t>
        </is>
      </c>
      <c r="E1529" t="n">
        <v>1620</v>
      </c>
      <c r="F1529" s="14" t="n">
        <v>0</v>
      </c>
      <c r="G1529" s="14" t="n">
        <v>64.63</v>
      </c>
      <c r="H1529" s="14" t="n">
        <v>0.37</v>
      </c>
      <c r="I1529" s="14" t="n">
        <v>3.02</v>
      </c>
      <c r="J1529" s="14" t="n">
        <v>0.12</v>
      </c>
      <c r="K1529" s="14" t="n">
        <v>0</v>
      </c>
      <c r="L1529" s="14" t="n">
        <v>7.41</v>
      </c>
      <c r="M1529" s="14" t="n">
        <v>8.33</v>
      </c>
      <c r="N1529" s="14" t="n">
        <v>5</v>
      </c>
      <c r="O1529" s="14" t="n">
        <v>4.69</v>
      </c>
      <c r="P1529" s="14" t="n">
        <v>0.19</v>
      </c>
      <c r="Q1529" s="14" t="n">
        <v>0.06</v>
      </c>
      <c r="R1529" s="14" t="n">
        <v>0.06</v>
      </c>
      <c r="S1529" s="14" t="n">
        <v>0.86</v>
      </c>
      <c r="T1529" s="14" t="n">
        <v>0.8</v>
      </c>
      <c r="U1529" s="14" t="n">
        <v>2.84</v>
      </c>
      <c r="V1529" s="14" t="n">
        <v>0.62</v>
      </c>
      <c r="W1529" s="14" t="n">
        <v>0.37</v>
      </c>
      <c r="X1529" s="14" t="n">
        <v>0.12</v>
      </c>
      <c r="Y1529" s="14" t="n">
        <v>0.37</v>
      </c>
      <c r="Z1529" s="14" t="n">
        <v>0.12</v>
      </c>
      <c r="AA1529" s="14" t="n">
        <v>0</v>
      </c>
    </row>
    <row r="1530">
      <c r="A1530" t="inlineStr">
        <is>
          <t>030712</t>
        </is>
      </c>
      <c r="B1530" t="inlineStr">
        <is>
          <t>APURIMAC</t>
        </is>
      </c>
      <c r="C1530" t="inlineStr">
        <is>
          <t>GRAU</t>
        </is>
      </c>
      <c r="D1530" t="inlineStr">
        <is>
          <t>VILCABAMBA</t>
        </is>
      </c>
      <c r="E1530" t="n">
        <v>342</v>
      </c>
      <c r="F1530" s="14" t="n">
        <v>0</v>
      </c>
      <c r="G1530" s="14" t="n">
        <v>28.36</v>
      </c>
      <c r="H1530" s="14" t="n">
        <v>0.58</v>
      </c>
      <c r="I1530" s="14" t="n">
        <v>2.63</v>
      </c>
      <c r="J1530" s="14" t="n">
        <v>0.29</v>
      </c>
      <c r="K1530" s="14" t="n">
        <v>0</v>
      </c>
      <c r="L1530" s="14" t="n">
        <v>9.06</v>
      </c>
      <c r="M1530" s="14" t="n">
        <v>9.65</v>
      </c>
      <c r="N1530" s="14" t="n">
        <v>3.8</v>
      </c>
      <c r="O1530" s="14" t="n">
        <v>2.92</v>
      </c>
      <c r="P1530" s="14" t="n">
        <v>0.58</v>
      </c>
      <c r="Q1530" s="14" t="n">
        <v>0.29</v>
      </c>
      <c r="R1530" s="14" t="n">
        <v>0</v>
      </c>
      <c r="S1530" s="14" t="n">
        <v>2.34</v>
      </c>
      <c r="T1530" s="14" t="n">
        <v>0.88</v>
      </c>
      <c r="U1530" s="14" t="n">
        <v>6.43</v>
      </c>
      <c r="V1530" s="14" t="n">
        <v>15.2</v>
      </c>
      <c r="W1530" s="14" t="n">
        <v>12.28</v>
      </c>
      <c r="X1530" s="14" t="n">
        <v>0.88</v>
      </c>
      <c r="Y1530" s="14" t="n">
        <v>2.63</v>
      </c>
      <c r="Z1530" s="14" t="n">
        <v>1.17</v>
      </c>
      <c r="AA1530" s="14" t="n">
        <v>0</v>
      </c>
    </row>
    <row r="1531">
      <c r="A1531" t="inlineStr">
        <is>
          <t>030406</t>
        </is>
      </c>
      <c r="B1531" t="inlineStr">
        <is>
          <t>APURIMAC</t>
        </is>
      </c>
      <c r="C1531" t="inlineStr">
        <is>
          <t>AYMARAES</t>
        </is>
      </c>
      <c r="D1531" t="inlineStr">
        <is>
          <t>COTARUSE</t>
        </is>
      </c>
      <c r="E1531" t="n">
        <v>1028</v>
      </c>
      <c r="F1531" s="14" t="n">
        <v>0</v>
      </c>
      <c r="G1531" s="14" t="n">
        <v>55.84</v>
      </c>
      <c r="H1531" s="14" t="n">
        <v>13.91</v>
      </c>
      <c r="I1531" s="14" t="n">
        <v>2.43</v>
      </c>
      <c r="J1531" s="14" t="n">
        <v>0.1</v>
      </c>
      <c r="K1531" s="14" t="n">
        <v>0</v>
      </c>
      <c r="L1531" s="14" t="n">
        <v>7</v>
      </c>
      <c r="M1531" s="14" t="n">
        <v>5.93</v>
      </c>
      <c r="N1531" s="14" t="n">
        <v>2.53</v>
      </c>
      <c r="O1531" s="14" t="n">
        <v>2.04</v>
      </c>
      <c r="P1531" s="14" t="n">
        <v>0.19</v>
      </c>
      <c r="Q1531" s="14" t="n">
        <v>0.1</v>
      </c>
      <c r="R1531" s="14" t="n">
        <v>0</v>
      </c>
      <c r="S1531" s="14" t="n">
        <v>1.65</v>
      </c>
      <c r="T1531" s="14" t="n">
        <v>1.65</v>
      </c>
      <c r="U1531" s="14" t="n">
        <v>2.82</v>
      </c>
      <c r="V1531" s="14" t="n">
        <v>1.46</v>
      </c>
      <c r="W1531" s="14" t="n">
        <v>1.17</v>
      </c>
      <c r="X1531" s="14" t="n">
        <v>0</v>
      </c>
      <c r="Y1531" s="14" t="n">
        <v>1.07</v>
      </c>
      <c r="Z1531" s="14" t="n">
        <v>0.1</v>
      </c>
      <c r="AA1531" s="14" t="n">
        <v>0</v>
      </c>
    </row>
    <row r="1532">
      <c r="A1532" t="inlineStr">
        <is>
          <t>050910</t>
        </is>
      </c>
      <c r="B1532" t="inlineStr">
        <is>
          <t>AYACUCHO</t>
        </is>
      </c>
      <c r="C1532" t="inlineStr">
        <is>
          <t>SUCRE</t>
        </is>
      </c>
      <c r="D1532" t="inlineStr">
        <is>
          <t>SANTIAGO DE PAUCARAY</t>
        </is>
      </c>
      <c r="E1532" t="n">
        <v>160</v>
      </c>
      <c r="F1532" s="14" t="n">
        <v>0</v>
      </c>
      <c r="G1532" s="14" t="n">
        <v>60.62</v>
      </c>
      <c r="H1532" s="14" t="n">
        <v>0</v>
      </c>
      <c r="I1532" s="14" t="n">
        <v>0</v>
      </c>
      <c r="J1532" s="14" t="n">
        <v>0</v>
      </c>
      <c r="K1532" s="14" t="n">
        <v>0</v>
      </c>
      <c r="L1532" s="14" t="n">
        <v>4.38</v>
      </c>
      <c r="M1532" s="14" t="n">
        <v>1.88</v>
      </c>
      <c r="N1532" s="14" t="n">
        <v>1.25</v>
      </c>
      <c r="O1532" s="14" t="n">
        <v>1.88</v>
      </c>
      <c r="P1532" s="14" t="n">
        <v>0</v>
      </c>
      <c r="Q1532" s="14" t="n">
        <v>0</v>
      </c>
      <c r="R1532" s="14" t="n">
        <v>0</v>
      </c>
      <c r="S1532" s="14" t="n">
        <v>1.88</v>
      </c>
      <c r="T1532" s="14" t="n">
        <v>0.63</v>
      </c>
      <c r="U1532" s="14" t="n">
        <v>6.25</v>
      </c>
      <c r="V1532" s="14" t="n">
        <v>18.13</v>
      </c>
      <c r="W1532" s="14" t="n">
        <v>0.63</v>
      </c>
      <c r="X1532" s="14" t="n">
        <v>0.63</v>
      </c>
      <c r="Y1532" s="14" t="n">
        <v>1.25</v>
      </c>
      <c r="Z1532" s="14" t="n">
        <v>0.63</v>
      </c>
      <c r="AA1532" s="14" t="n">
        <v>0</v>
      </c>
    </row>
    <row r="1533">
      <c r="A1533" t="inlineStr">
        <is>
          <t>090111</t>
        </is>
      </c>
      <c r="B1533" t="inlineStr">
        <is>
          <t>HUANCAVELICA</t>
        </is>
      </c>
      <c r="C1533" t="inlineStr">
        <is>
          <t>HUANCAVELICA</t>
        </is>
      </c>
      <c r="D1533" t="inlineStr">
        <is>
          <t>MARISCAL CACERES</t>
        </is>
      </c>
      <c r="E1533" t="n">
        <v>199</v>
      </c>
      <c r="F1533" s="14" t="n">
        <v>0</v>
      </c>
      <c r="G1533" s="14" t="n">
        <v>42.21</v>
      </c>
      <c r="H1533" s="14" t="n">
        <v>1.01</v>
      </c>
      <c r="I1533" s="14" t="n">
        <v>2.01</v>
      </c>
      <c r="J1533" s="14" t="n">
        <v>0</v>
      </c>
      <c r="K1533" s="14" t="n">
        <v>0</v>
      </c>
      <c r="L1533" s="14" t="n">
        <v>9.050000000000001</v>
      </c>
      <c r="M1533" s="14" t="n">
        <v>17.09</v>
      </c>
      <c r="N1533" s="14" t="n">
        <v>3.02</v>
      </c>
      <c r="O1533" s="14" t="n">
        <v>9.050000000000001</v>
      </c>
      <c r="P1533" s="14" t="n">
        <v>0</v>
      </c>
      <c r="Q1533" s="14" t="n">
        <v>0</v>
      </c>
      <c r="R1533" s="14" t="n">
        <v>0</v>
      </c>
      <c r="S1533" s="14" t="n">
        <v>2.51</v>
      </c>
      <c r="T1533" s="14" t="n">
        <v>2.01</v>
      </c>
      <c r="U1533" s="14" t="n">
        <v>4.02</v>
      </c>
      <c r="V1533" s="14" t="n">
        <v>5.53</v>
      </c>
      <c r="W1533" s="14" t="n">
        <v>2.01</v>
      </c>
      <c r="X1533" s="14" t="n">
        <v>0</v>
      </c>
      <c r="Y1533" s="14" t="n">
        <v>0.5</v>
      </c>
      <c r="Z1533" s="14" t="n">
        <v>0</v>
      </c>
      <c r="AA1533" s="14" t="n">
        <v>0</v>
      </c>
    </row>
    <row r="1534">
      <c r="A1534" t="inlineStr">
        <is>
          <t>090112</t>
        </is>
      </c>
      <c r="B1534" t="inlineStr">
        <is>
          <t>HUANCAVELICA</t>
        </is>
      </c>
      <c r="C1534" t="inlineStr">
        <is>
          <t>HUANCAVELICA</t>
        </is>
      </c>
      <c r="D1534" t="inlineStr">
        <is>
          <t>MOYA</t>
        </is>
      </c>
      <c r="E1534" t="n">
        <v>326</v>
      </c>
      <c r="F1534" s="14" t="n">
        <v>0</v>
      </c>
      <c r="G1534" s="14" t="n">
        <v>53.68</v>
      </c>
      <c r="H1534" s="14" t="n">
        <v>1.84</v>
      </c>
      <c r="I1534" s="14" t="n">
        <v>1.53</v>
      </c>
      <c r="J1534" s="14" t="n">
        <v>0.31</v>
      </c>
      <c r="K1534" s="14" t="n">
        <v>0</v>
      </c>
      <c r="L1534" s="14" t="n">
        <v>2.45</v>
      </c>
      <c r="M1534" s="14" t="n">
        <v>4.29</v>
      </c>
      <c r="N1534" s="14" t="n">
        <v>2.76</v>
      </c>
      <c r="O1534" s="14" t="n">
        <v>4.91</v>
      </c>
      <c r="P1534" s="14" t="n">
        <v>0.92</v>
      </c>
      <c r="Q1534" s="14" t="n">
        <v>0</v>
      </c>
      <c r="R1534" s="14" t="n">
        <v>0</v>
      </c>
      <c r="S1534" s="14" t="n">
        <v>1.84</v>
      </c>
      <c r="T1534" s="14" t="n">
        <v>0.92</v>
      </c>
      <c r="U1534" s="14" t="n">
        <v>9.51</v>
      </c>
      <c r="V1534" s="14" t="n">
        <v>8.9</v>
      </c>
      <c r="W1534" s="14" t="n">
        <v>4.6</v>
      </c>
      <c r="X1534" s="14" t="n">
        <v>0</v>
      </c>
      <c r="Y1534" s="14" t="n">
        <v>0.31</v>
      </c>
      <c r="Z1534" s="14" t="n">
        <v>1.23</v>
      </c>
      <c r="AA1534" s="14" t="n">
        <v>0</v>
      </c>
    </row>
    <row r="1535">
      <c r="A1535" t="inlineStr">
        <is>
          <t>010511</t>
        </is>
      </c>
      <c r="B1535" t="inlineStr">
        <is>
          <t>AMAZONAS</t>
        </is>
      </c>
      <c r="C1535" t="inlineStr">
        <is>
          <t>LUYA</t>
        </is>
      </c>
      <c r="D1535" t="inlineStr">
        <is>
          <t>MARIA</t>
        </is>
      </c>
      <c r="E1535" t="n">
        <v>287</v>
      </c>
      <c r="F1535" s="14" t="n">
        <v>0</v>
      </c>
      <c r="G1535" s="14" t="n">
        <v>78.75</v>
      </c>
      <c r="H1535" s="14" t="n">
        <v>0</v>
      </c>
      <c r="I1535" s="14" t="n">
        <v>3.83</v>
      </c>
      <c r="J1535" s="14" t="n">
        <v>0</v>
      </c>
      <c r="K1535" s="14" t="n">
        <v>0</v>
      </c>
      <c r="L1535" s="14" t="n">
        <v>2.79</v>
      </c>
      <c r="M1535" s="14" t="n">
        <v>1.39</v>
      </c>
      <c r="N1535" s="14" t="n">
        <v>1.05</v>
      </c>
      <c r="O1535" s="14" t="n">
        <v>2.44</v>
      </c>
      <c r="P1535" s="14" t="n">
        <v>0</v>
      </c>
      <c r="Q1535" s="14" t="n">
        <v>0</v>
      </c>
      <c r="R1535" s="14" t="n">
        <v>0</v>
      </c>
      <c r="S1535" s="14" t="n">
        <v>0</v>
      </c>
      <c r="T1535" s="14" t="n">
        <v>0.7</v>
      </c>
      <c r="U1535" s="14" t="n">
        <v>2.79</v>
      </c>
      <c r="V1535" s="14" t="n">
        <v>3.48</v>
      </c>
      <c r="W1535" s="14" t="n">
        <v>1.74</v>
      </c>
      <c r="X1535" s="14" t="n">
        <v>0.35</v>
      </c>
      <c r="Y1535" s="14" t="n">
        <v>0.35</v>
      </c>
      <c r="Z1535" s="14" t="n">
        <v>0.35</v>
      </c>
      <c r="AA1535" s="14" t="n">
        <v>0</v>
      </c>
    </row>
    <row r="1536">
      <c r="A1536" t="inlineStr">
        <is>
          <t>010502</t>
        </is>
      </c>
      <c r="B1536" t="inlineStr">
        <is>
          <t>AMAZONAS</t>
        </is>
      </c>
      <c r="C1536" t="inlineStr">
        <is>
          <t>LUYA</t>
        </is>
      </c>
      <c r="D1536" t="inlineStr">
        <is>
          <t>CAMPORREDONDO</t>
        </is>
      </c>
      <c r="E1536" t="n">
        <v>2135</v>
      </c>
      <c r="F1536" s="14" t="n">
        <v>0</v>
      </c>
      <c r="G1536" s="14" t="n">
        <v>81.73</v>
      </c>
      <c r="H1536" s="14" t="n">
        <v>0.05</v>
      </c>
      <c r="I1536" s="14" t="n">
        <v>0.8</v>
      </c>
      <c r="J1536" s="14" t="n">
        <v>0</v>
      </c>
      <c r="K1536" s="14" t="n">
        <v>0</v>
      </c>
      <c r="L1536" s="14" t="n">
        <v>1.97</v>
      </c>
      <c r="M1536" s="14" t="n">
        <v>2.72</v>
      </c>
      <c r="N1536" s="14" t="n">
        <v>0.84</v>
      </c>
      <c r="O1536" s="14" t="n">
        <v>0.42</v>
      </c>
      <c r="P1536" s="14" t="n">
        <v>0</v>
      </c>
      <c r="Q1536" s="14" t="n">
        <v>0.05</v>
      </c>
      <c r="R1536" s="14" t="n">
        <v>0</v>
      </c>
      <c r="S1536" s="14" t="n">
        <v>0.14</v>
      </c>
      <c r="T1536" s="14" t="n">
        <v>0</v>
      </c>
      <c r="U1536" s="14" t="n">
        <v>1.78</v>
      </c>
      <c r="V1536" s="14" t="n">
        <v>8.199999999999999</v>
      </c>
      <c r="W1536" s="14" t="n">
        <v>0.98</v>
      </c>
      <c r="X1536" s="14" t="n">
        <v>0</v>
      </c>
      <c r="Y1536" s="14" t="n">
        <v>0.14</v>
      </c>
      <c r="Z1536" s="14" t="n">
        <v>0.19</v>
      </c>
      <c r="AA1536" s="14" t="n">
        <v>0</v>
      </c>
    </row>
    <row r="1537">
      <c r="A1537" t="inlineStr">
        <is>
          <t>030206</t>
        </is>
      </c>
      <c r="B1537" t="inlineStr">
        <is>
          <t>APURIMAC</t>
        </is>
      </c>
      <c r="C1537" t="inlineStr">
        <is>
          <t>ANDAHUAYLAS</t>
        </is>
      </c>
      <c r="D1537" t="inlineStr">
        <is>
          <t>HUAYANA</t>
        </is>
      </c>
      <c r="E1537" t="n">
        <v>208</v>
      </c>
      <c r="F1537" s="14" t="n">
        <v>0</v>
      </c>
      <c r="G1537" s="14" t="n">
        <v>71.15000000000001</v>
      </c>
      <c r="H1537" s="14" t="n">
        <v>0</v>
      </c>
      <c r="I1537" s="14" t="n">
        <v>0</v>
      </c>
      <c r="J1537" s="14" t="n">
        <v>0</v>
      </c>
      <c r="K1537" s="14" t="n">
        <v>0.48</v>
      </c>
      <c r="L1537" s="14" t="n">
        <v>15.38</v>
      </c>
      <c r="M1537" s="14" t="n">
        <v>2.4</v>
      </c>
      <c r="N1537" s="14" t="n">
        <v>0.96</v>
      </c>
      <c r="O1537" s="14" t="n">
        <v>0.96</v>
      </c>
      <c r="P1537" s="14" t="n">
        <v>0</v>
      </c>
      <c r="Q1537" s="14" t="n">
        <v>0</v>
      </c>
      <c r="R1537" s="14" t="n">
        <v>0</v>
      </c>
      <c r="S1537" s="14" t="n">
        <v>0</v>
      </c>
      <c r="T1537" s="14" t="n">
        <v>0</v>
      </c>
      <c r="U1537" s="14" t="n">
        <v>3.85</v>
      </c>
      <c r="V1537" s="14" t="n">
        <v>2.4</v>
      </c>
      <c r="W1537" s="14" t="n">
        <v>1.44</v>
      </c>
      <c r="X1537" s="14" t="n">
        <v>0</v>
      </c>
      <c r="Y1537" s="14" t="n">
        <v>0.48</v>
      </c>
      <c r="Z1537" s="14" t="n">
        <v>0.48</v>
      </c>
      <c r="AA1537" s="14" t="n">
        <v>0</v>
      </c>
    </row>
    <row r="1538">
      <c r="A1538" t="inlineStr">
        <is>
          <t>010522</t>
        </is>
      </c>
      <c r="B1538" t="inlineStr">
        <is>
          <t>AMAZONAS</t>
        </is>
      </c>
      <c r="C1538" t="inlineStr">
        <is>
          <t>LUYA</t>
        </is>
      </c>
      <c r="D1538" t="inlineStr">
        <is>
          <t>TINGO</t>
        </is>
      </c>
      <c r="E1538" t="n">
        <v>516</v>
      </c>
      <c r="F1538" s="14" t="n">
        <v>0</v>
      </c>
      <c r="G1538" s="14" t="n">
        <v>60.85</v>
      </c>
      <c r="H1538" s="14" t="n">
        <v>0.19</v>
      </c>
      <c r="I1538" s="14" t="n">
        <v>1.74</v>
      </c>
      <c r="J1538" s="14" t="n">
        <v>0</v>
      </c>
      <c r="K1538" s="14" t="n">
        <v>0</v>
      </c>
      <c r="L1538" s="14" t="n">
        <v>6.4</v>
      </c>
      <c r="M1538" s="14" t="n">
        <v>5.62</v>
      </c>
      <c r="N1538" s="14" t="n">
        <v>6.78</v>
      </c>
      <c r="O1538" s="14" t="n">
        <v>6.4</v>
      </c>
      <c r="P1538" s="14" t="n">
        <v>0</v>
      </c>
      <c r="Q1538" s="14" t="n">
        <v>0.19</v>
      </c>
      <c r="R1538" s="14" t="n">
        <v>0</v>
      </c>
      <c r="S1538" s="14" t="n">
        <v>0.39</v>
      </c>
      <c r="T1538" s="14" t="n">
        <v>1.74</v>
      </c>
      <c r="U1538" s="14" t="n">
        <v>3.68</v>
      </c>
      <c r="V1538" s="14" t="n">
        <v>3.1</v>
      </c>
      <c r="W1538" s="14" t="n">
        <v>1.94</v>
      </c>
      <c r="X1538" s="14" t="n">
        <v>0</v>
      </c>
      <c r="Y1538" s="14" t="n">
        <v>0.19</v>
      </c>
      <c r="Z1538" s="14" t="n">
        <v>0.78</v>
      </c>
      <c r="AA1538" s="14" t="n">
        <v>0</v>
      </c>
    </row>
    <row r="1539">
      <c r="A1539" t="inlineStr">
        <is>
          <t>050911</t>
        </is>
      </c>
      <c r="B1539" t="inlineStr">
        <is>
          <t>AYACUCHO</t>
        </is>
      </c>
      <c r="C1539" t="inlineStr">
        <is>
          <t>SUCRE</t>
        </is>
      </c>
      <c r="D1539" t="inlineStr">
        <is>
          <t>SORAS</t>
        </is>
      </c>
      <c r="E1539" t="n">
        <v>368</v>
      </c>
      <c r="F1539" s="14" t="n">
        <v>0</v>
      </c>
      <c r="G1539" s="14" t="n">
        <v>60.87</v>
      </c>
      <c r="H1539" s="14" t="n">
        <v>0.27</v>
      </c>
      <c r="I1539" s="14" t="n">
        <v>0.27</v>
      </c>
      <c r="J1539" s="14" t="n">
        <v>0</v>
      </c>
      <c r="K1539" s="14" t="n">
        <v>0</v>
      </c>
      <c r="L1539" s="14" t="n">
        <v>3.26</v>
      </c>
      <c r="M1539" s="14" t="n">
        <v>5.16</v>
      </c>
      <c r="N1539" s="14" t="n">
        <v>0.27</v>
      </c>
      <c r="O1539" s="14" t="n">
        <v>0.54</v>
      </c>
      <c r="P1539" s="14" t="n">
        <v>0</v>
      </c>
      <c r="Q1539" s="14" t="n">
        <v>0</v>
      </c>
      <c r="R1539" s="14" t="n">
        <v>0</v>
      </c>
      <c r="S1539" s="14" t="n">
        <v>3.53</v>
      </c>
      <c r="T1539" s="14" t="n">
        <v>0.54</v>
      </c>
      <c r="U1539" s="14" t="n">
        <v>5.16</v>
      </c>
      <c r="V1539" s="14" t="n">
        <v>16.3</v>
      </c>
      <c r="W1539" s="14" t="n">
        <v>2.99</v>
      </c>
      <c r="X1539" s="14" t="n">
        <v>0</v>
      </c>
      <c r="Y1539" s="14" t="n">
        <v>0.54</v>
      </c>
      <c r="Z1539" s="14" t="n">
        <v>0.27</v>
      </c>
      <c r="AA1539" s="14" t="n">
        <v>0</v>
      </c>
    </row>
    <row r="1540">
      <c r="A1540" t="inlineStr">
        <is>
          <t>050908</t>
        </is>
      </c>
      <c r="B1540" t="inlineStr">
        <is>
          <t>AYACUCHO</t>
        </is>
      </c>
      <c r="C1540" t="inlineStr">
        <is>
          <t>SUCRE</t>
        </is>
      </c>
      <c r="D1540" t="inlineStr">
        <is>
          <t>SAN PEDRO DE LARCAY</t>
        </is>
      </c>
      <c r="E1540" t="n">
        <v>297</v>
      </c>
      <c r="F1540" s="14" t="n">
        <v>0</v>
      </c>
      <c r="G1540" s="14" t="n">
        <v>69.7</v>
      </c>
      <c r="H1540" s="14" t="n">
        <v>0</v>
      </c>
      <c r="I1540" s="14" t="n">
        <v>2.02</v>
      </c>
      <c r="J1540" s="14" t="n">
        <v>0</v>
      </c>
      <c r="K1540" s="14" t="n">
        <v>0</v>
      </c>
      <c r="L1540" s="14" t="n">
        <v>1.01</v>
      </c>
      <c r="M1540" s="14" t="n">
        <v>6.06</v>
      </c>
      <c r="N1540" s="14" t="n">
        <v>2.02</v>
      </c>
      <c r="O1540" s="14" t="n">
        <v>2.69</v>
      </c>
      <c r="P1540" s="14" t="n">
        <v>0</v>
      </c>
      <c r="Q1540" s="14" t="n">
        <v>0</v>
      </c>
      <c r="R1540" s="14" t="n">
        <v>0</v>
      </c>
      <c r="S1540" s="14" t="n">
        <v>0</v>
      </c>
      <c r="T1540" s="14" t="n">
        <v>0</v>
      </c>
      <c r="U1540" s="14" t="n">
        <v>3.37</v>
      </c>
      <c r="V1540" s="14" t="n">
        <v>9.76</v>
      </c>
      <c r="W1540" s="14" t="n">
        <v>1.35</v>
      </c>
      <c r="X1540" s="14" t="n">
        <v>0.34</v>
      </c>
      <c r="Y1540" s="14" t="n">
        <v>1.68</v>
      </c>
      <c r="Z1540" s="14" t="n">
        <v>0</v>
      </c>
      <c r="AA1540" s="14" t="n">
        <v>0</v>
      </c>
    </row>
    <row r="1541">
      <c r="A1541" t="inlineStr">
        <is>
          <t>021501</t>
        </is>
      </c>
      <c r="B1541" t="inlineStr">
        <is>
          <t>ANCASH</t>
        </is>
      </c>
      <c r="C1541" t="inlineStr">
        <is>
          <t>PALLASCA</t>
        </is>
      </c>
      <c r="D1541" t="inlineStr">
        <is>
          <t>CABANA</t>
        </is>
      </c>
      <c r="E1541" t="n">
        <v>757</v>
      </c>
      <c r="F1541" s="14" t="n">
        <v>0</v>
      </c>
      <c r="G1541" s="14" t="n">
        <v>35.93</v>
      </c>
      <c r="H1541" s="14" t="n">
        <v>0.13</v>
      </c>
      <c r="I1541" s="14" t="n">
        <v>2.51</v>
      </c>
      <c r="J1541" s="14" t="n">
        <v>0</v>
      </c>
      <c r="K1541" s="14" t="n">
        <v>0</v>
      </c>
      <c r="L1541" s="14" t="n">
        <v>6.34</v>
      </c>
      <c r="M1541" s="14" t="n">
        <v>10.44</v>
      </c>
      <c r="N1541" s="14" t="n">
        <v>1.59</v>
      </c>
      <c r="O1541" s="14" t="n">
        <v>4.76</v>
      </c>
      <c r="P1541" s="14" t="n">
        <v>0.26</v>
      </c>
      <c r="Q1541" s="14" t="n">
        <v>0</v>
      </c>
      <c r="R1541" s="14" t="n">
        <v>0</v>
      </c>
      <c r="S1541" s="14" t="n">
        <v>3.3</v>
      </c>
      <c r="T1541" s="14" t="n">
        <v>1.85</v>
      </c>
      <c r="U1541" s="14" t="n">
        <v>14.66</v>
      </c>
      <c r="V1541" s="14" t="n">
        <v>12.42</v>
      </c>
      <c r="W1541" s="14" t="n">
        <v>2.64</v>
      </c>
      <c r="X1541" s="14" t="n">
        <v>0.53</v>
      </c>
      <c r="Y1541" s="14" t="n">
        <v>1.59</v>
      </c>
      <c r="Z1541" s="14" t="n">
        <v>1.06</v>
      </c>
      <c r="AA1541" s="14" t="n">
        <v>0</v>
      </c>
    </row>
    <row r="1542">
      <c r="A1542" t="inlineStr">
        <is>
          <t>050904</t>
        </is>
      </c>
      <c r="B1542" t="inlineStr">
        <is>
          <t>AYACUCHO</t>
        </is>
      </c>
      <c r="C1542" t="inlineStr">
        <is>
          <t>SUCRE</t>
        </is>
      </c>
      <c r="D1542" t="inlineStr">
        <is>
          <t>CHILCAYOC</t>
        </is>
      </c>
      <c r="E1542" t="n">
        <v>152</v>
      </c>
      <c r="F1542" s="14" t="n">
        <v>0</v>
      </c>
      <c r="G1542" s="14" t="n">
        <v>64.47</v>
      </c>
      <c r="H1542" s="14" t="n">
        <v>1.97</v>
      </c>
      <c r="I1542" s="14" t="n">
        <v>5.92</v>
      </c>
      <c r="J1542" s="14" t="n">
        <v>0</v>
      </c>
      <c r="K1542" s="14" t="n">
        <v>0</v>
      </c>
      <c r="L1542" s="14" t="n">
        <v>5.26</v>
      </c>
      <c r="M1542" s="14" t="n">
        <v>3.95</v>
      </c>
      <c r="N1542" s="14" t="n">
        <v>0.66</v>
      </c>
      <c r="O1542" s="14" t="n">
        <v>1.97</v>
      </c>
      <c r="P1542" s="14" t="n">
        <v>0</v>
      </c>
      <c r="Q1542" s="14" t="n">
        <v>0</v>
      </c>
      <c r="R1542" s="14" t="n">
        <v>0</v>
      </c>
      <c r="S1542" s="14" t="n">
        <v>0.66</v>
      </c>
      <c r="T1542" s="14" t="n">
        <v>1.97</v>
      </c>
      <c r="U1542" s="14" t="n">
        <v>3.95</v>
      </c>
      <c r="V1542" s="14" t="n">
        <v>7.24</v>
      </c>
      <c r="W1542" s="14" t="n">
        <v>1.97</v>
      </c>
      <c r="X1542" s="14" t="n">
        <v>0</v>
      </c>
      <c r="Y1542" s="14" t="n">
        <v>0</v>
      </c>
      <c r="Z1542" s="14" t="n">
        <v>0</v>
      </c>
      <c r="AA1542" s="14" t="n">
        <v>0</v>
      </c>
    </row>
    <row r="1543">
      <c r="A1543" t="inlineStr">
        <is>
          <t>020514</t>
        </is>
      </c>
      <c r="B1543" t="inlineStr">
        <is>
          <t>ANCASH</t>
        </is>
      </c>
      <c r="C1543" t="inlineStr">
        <is>
          <t>BOLOGNESI</t>
        </is>
      </c>
      <c r="D1543" t="inlineStr">
        <is>
          <t>SAN MIGUEL DE CORPANQUI</t>
        </is>
      </c>
      <c r="E1543" t="n">
        <v>140</v>
      </c>
      <c r="F1543" s="14" t="n">
        <v>0</v>
      </c>
      <c r="G1543" s="14" t="n">
        <v>50</v>
      </c>
      <c r="H1543" s="14" t="n">
        <v>0</v>
      </c>
      <c r="I1543" s="14" t="n">
        <v>1.43</v>
      </c>
      <c r="J1543" s="14" t="n">
        <v>0</v>
      </c>
      <c r="K1543" s="14" t="n">
        <v>0</v>
      </c>
      <c r="L1543" s="14" t="n">
        <v>5.71</v>
      </c>
      <c r="M1543" s="14" t="n">
        <v>12.14</v>
      </c>
      <c r="N1543" s="14" t="n">
        <v>2.86</v>
      </c>
      <c r="O1543" s="14" t="n">
        <v>2.86</v>
      </c>
      <c r="P1543" s="14" t="n">
        <v>0</v>
      </c>
      <c r="Q1543" s="14" t="n">
        <v>0</v>
      </c>
      <c r="R1543" s="14" t="n">
        <v>0</v>
      </c>
      <c r="S1543" s="14" t="n">
        <v>2.86</v>
      </c>
      <c r="T1543" s="14" t="n">
        <v>2.14</v>
      </c>
      <c r="U1543" s="14" t="n">
        <v>2.86</v>
      </c>
      <c r="V1543" s="14" t="n">
        <v>7.14</v>
      </c>
      <c r="W1543" s="14" t="n">
        <v>4.29</v>
      </c>
      <c r="X1543" s="14" t="n">
        <v>0.71</v>
      </c>
      <c r="Y1543" s="14" t="n">
        <v>4.29</v>
      </c>
      <c r="Z1543" s="14" t="n">
        <v>0.71</v>
      </c>
      <c r="AA1543" s="14" t="n">
        <v>0</v>
      </c>
    </row>
    <row r="1544">
      <c r="A1544" t="inlineStr">
        <is>
          <t>061301</t>
        </is>
      </c>
      <c r="B1544" t="inlineStr">
        <is>
          <t>CAJAMARCA</t>
        </is>
      </c>
      <c r="C1544" t="inlineStr">
        <is>
          <t>SANTA CRUZ</t>
        </is>
      </c>
      <c r="D1544" t="inlineStr">
        <is>
          <t>SANTA CRUZ</t>
        </is>
      </c>
      <c r="E1544" t="n">
        <v>3237</v>
      </c>
      <c r="F1544" s="14" t="n">
        <v>0</v>
      </c>
      <c r="G1544" s="14" t="n">
        <v>43.78</v>
      </c>
      <c r="H1544" s="14" t="n">
        <v>0.34</v>
      </c>
      <c r="I1544" s="14" t="n">
        <v>3.21</v>
      </c>
      <c r="J1544" s="14" t="n">
        <v>0.12</v>
      </c>
      <c r="K1544" s="14" t="n">
        <v>0.06</v>
      </c>
      <c r="L1544" s="14" t="n">
        <v>3.61</v>
      </c>
      <c r="M1544" s="14" t="n">
        <v>10.57</v>
      </c>
      <c r="N1544" s="14" t="n">
        <v>3.68</v>
      </c>
      <c r="O1544" s="14" t="n">
        <v>2.5</v>
      </c>
      <c r="P1544" s="14" t="n">
        <v>0.43</v>
      </c>
      <c r="Q1544" s="14" t="n">
        <v>0.28</v>
      </c>
      <c r="R1544" s="14" t="n">
        <v>0.03</v>
      </c>
      <c r="S1544" s="14" t="n">
        <v>1.85</v>
      </c>
      <c r="T1544" s="14" t="n">
        <v>0.71</v>
      </c>
      <c r="U1544" s="14" t="n">
        <v>5.38</v>
      </c>
      <c r="V1544" s="14" t="n">
        <v>17.73</v>
      </c>
      <c r="W1544" s="14" t="n">
        <v>2.69</v>
      </c>
      <c r="X1544" s="14" t="n">
        <v>0.28</v>
      </c>
      <c r="Y1544" s="14" t="n">
        <v>1.64</v>
      </c>
      <c r="Z1544" s="14" t="n">
        <v>1.11</v>
      </c>
      <c r="AA1544" s="14" t="n">
        <v>0</v>
      </c>
    </row>
    <row r="1545">
      <c r="A1545" t="inlineStr">
        <is>
          <t>090616</t>
        </is>
      </c>
      <c r="B1545" t="inlineStr">
        <is>
          <t>HUANCAVELICA</t>
        </is>
      </c>
      <c r="C1545" t="inlineStr">
        <is>
          <t>HUAYTARA</t>
        </is>
      </c>
      <c r="D1545" t="inlineStr">
        <is>
          <t>TAMBO</t>
        </is>
      </c>
      <c r="E1545" t="n">
        <v>239</v>
      </c>
      <c r="F1545" s="14" t="n">
        <v>0</v>
      </c>
      <c r="G1545" s="14" t="n">
        <v>71.55</v>
      </c>
      <c r="H1545" s="14" t="n">
        <v>0</v>
      </c>
      <c r="I1545" s="14" t="n">
        <v>0</v>
      </c>
      <c r="J1545" s="14" t="n">
        <v>0</v>
      </c>
      <c r="K1545" s="14" t="n">
        <v>0</v>
      </c>
      <c r="L1545" s="14" t="n">
        <v>10.04</v>
      </c>
      <c r="M1545" s="14" t="n">
        <v>7.11</v>
      </c>
      <c r="N1545" s="14" t="n">
        <v>2.51</v>
      </c>
      <c r="O1545" s="14" t="n">
        <v>0.84</v>
      </c>
      <c r="P1545" s="14" t="n">
        <v>0</v>
      </c>
      <c r="Q1545" s="14" t="n">
        <v>0</v>
      </c>
      <c r="R1545" s="14" t="n">
        <v>0</v>
      </c>
      <c r="S1545" s="14" t="n">
        <v>0.42</v>
      </c>
      <c r="T1545" s="14" t="n">
        <v>0</v>
      </c>
      <c r="U1545" s="14" t="n">
        <v>1.67</v>
      </c>
      <c r="V1545" s="14" t="n">
        <v>1.67</v>
      </c>
      <c r="W1545" s="14" t="n">
        <v>4.18</v>
      </c>
      <c r="X1545" s="14" t="n">
        <v>0</v>
      </c>
      <c r="Y1545" s="14" t="n">
        <v>0</v>
      </c>
      <c r="Z1545" s="14" t="n">
        <v>0</v>
      </c>
      <c r="AA1545" s="14" t="n">
        <v>0</v>
      </c>
    </row>
    <row r="1546">
      <c r="A1546" t="inlineStr">
        <is>
          <t>021307</t>
        </is>
      </c>
      <c r="B1546" t="inlineStr">
        <is>
          <t>ANCASH</t>
        </is>
      </c>
      <c r="C1546" t="inlineStr">
        <is>
          <t>MARISCAL LUZURIAGA</t>
        </is>
      </c>
      <c r="D1546" t="inlineStr">
        <is>
          <t>LUCMA</t>
        </is>
      </c>
      <c r="E1546" t="n">
        <v>249</v>
      </c>
      <c r="F1546" s="14" t="n">
        <v>0</v>
      </c>
      <c r="G1546" s="14" t="n">
        <v>51.81</v>
      </c>
      <c r="H1546" s="14" t="n">
        <v>0</v>
      </c>
      <c r="I1546" s="14" t="n">
        <v>1.61</v>
      </c>
      <c r="J1546" s="14" t="n">
        <v>0</v>
      </c>
      <c r="K1546" s="14" t="n">
        <v>0</v>
      </c>
      <c r="L1546" s="14" t="n">
        <v>5.62</v>
      </c>
      <c r="M1546" s="14" t="n">
        <v>3.21</v>
      </c>
      <c r="N1546" s="14" t="n">
        <v>3.21</v>
      </c>
      <c r="O1546" s="14" t="n">
        <v>1.61</v>
      </c>
      <c r="P1546" s="14" t="n">
        <v>0</v>
      </c>
      <c r="Q1546" s="14" t="n">
        <v>0.4</v>
      </c>
      <c r="R1546" s="14" t="n">
        <v>0</v>
      </c>
      <c r="S1546" s="14" t="n">
        <v>1.61</v>
      </c>
      <c r="T1546" s="14" t="n">
        <v>0</v>
      </c>
      <c r="U1546" s="14" t="n">
        <v>3.21</v>
      </c>
      <c r="V1546" s="14" t="n">
        <v>23.29</v>
      </c>
      <c r="W1546" s="14" t="n">
        <v>0.4</v>
      </c>
      <c r="X1546" s="14" t="n">
        <v>0</v>
      </c>
      <c r="Y1546" s="14" t="n">
        <v>3.61</v>
      </c>
      <c r="Z1546" s="14" t="n">
        <v>0.4</v>
      </c>
      <c r="AA1546" s="14" t="n">
        <v>0</v>
      </c>
    </row>
    <row r="1547">
      <c r="A1547" t="inlineStr">
        <is>
          <t>030208</t>
        </is>
      </c>
      <c r="B1547" t="inlineStr">
        <is>
          <t>APURIMAC</t>
        </is>
      </c>
      <c r="C1547" t="inlineStr">
        <is>
          <t>ANDAHUAYLAS</t>
        </is>
      </c>
      <c r="D1547" t="inlineStr">
        <is>
          <t>PACOBAMBA</t>
        </is>
      </c>
      <c r="E1547" t="n">
        <v>1190</v>
      </c>
      <c r="F1547" s="14" t="n">
        <v>0</v>
      </c>
      <c r="G1547" s="14" t="n">
        <v>79.92</v>
      </c>
      <c r="H1547" s="14" t="n">
        <v>0.08</v>
      </c>
      <c r="I1547" s="14" t="n">
        <v>0.42</v>
      </c>
      <c r="J1547" s="14" t="n">
        <v>0</v>
      </c>
      <c r="K1547" s="14" t="n">
        <v>0</v>
      </c>
      <c r="L1547" s="14" t="n">
        <v>1.68</v>
      </c>
      <c r="M1547" s="14" t="n">
        <v>9.75</v>
      </c>
      <c r="N1547" s="14" t="n">
        <v>0.92</v>
      </c>
      <c r="O1547" s="14" t="n">
        <v>0.84</v>
      </c>
      <c r="P1547" s="14" t="n">
        <v>0.08</v>
      </c>
      <c r="Q1547" s="14" t="n">
        <v>0.17</v>
      </c>
      <c r="R1547" s="14" t="n">
        <v>0.08</v>
      </c>
      <c r="S1547" s="14" t="n">
        <v>0.17</v>
      </c>
      <c r="T1547" s="14" t="n">
        <v>0.17</v>
      </c>
      <c r="U1547" s="14" t="n">
        <v>2.77</v>
      </c>
      <c r="V1547" s="14" t="n">
        <v>1.01</v>
      </c>
      <c r="W1547" s="14" t="n">
        <v>1.43</v>
      </c>
      <c r="X1547" s="14" t="n">
        <v>0</v>
      </c>
      <c r="Y1547" s="14" t="n">
        <v>0.42</v>
      </c>
      <c r="Z1547" s="14" t="n">
        <v>0.08</v>
      </c>
      <c r="AA1547" s="14" t="n">
        <v>0</v>
      </c>
    </row>
    <row r="1548">
      <c r="A1548" t="inlineStr">
        <is>
          <t>061108</t>
        </is>
      </c>
      <c r="B1548" t="inlineStr">
        <is>
          <t>CAJAMARCA</t>
        </is>
      </c>
      <c r="C1548" t="inlineStr">
        <is>
          <t>SAN MIGUEL</t>
        </is>
      </c>
      <c r="D1548" t="inlineStr"/>
      <c r="E1548" t="n">
        <v>0</v>
      </c>
      <c r="F1548" s="14" t="n">
        <v>0</v>
      </c>
      <c r="G1548" s="14" t="n">
        <v>76.95</v>
      </c>
      <c r="H1548" s="14" t="n">
        <v>0.24</v>
      </c>
      <c r="I1548" s="14" t="n">
        <v>2.07</v>
      </c>
      <c r="J1548" s="14" t="n">
        <v>0</v>
      </c>
      <c r="K1548" s="14" t="n">
        <v>0</v>
      </c>
      <c r="L1548" s="14" t="n">
        <v>2.41</v>
      </c>
      <c r="M1548" s="14" t="n">
        <v>5.21</v>
      </c>
      <c r="N1548" s="14" t="n">
        <v>1.24</v>
      </c>
      <c r="O1548" s="14" t="n">
        <v>1.47</v>
      </c>
      <c r="P1548" s="14" t="n">
        <v>0.07000000000000001</v>
      </c>
      <c r="Q1548" s="14" t="n">
        <v>0</v>
      </c>
      <c r="R1548" s="14" t="n">
        <v>0</v>
      </c>
      <c r="S1548" s="14" t="n">
        <v>0.71</v>
      </c>
      <c r="T1548" s="14" t="n">
        <v>0.32</v>
      </c>
      <c r="U1548" s="14" t="n">
        <v>2.21</v>
      </c>
      <c r="V1548" s="14" t="n">
        <v>4.51</v>
      </c>
      <c r="W1548" s="14" t="n">
        <v>1.42</v>
      </c>
      <c r="X1548" s="14" t="n">
        <v>0</v>
      </c>
      <c r="Y1548" s="14" t="n">
        <v>0.54</v>
      </c>
      <c r="Z1548" s="14" t="n">
        <v>0.62</v>
      </c>
      <c r="AA1548" s="14" t="n">
        <v>0</v>
      </c>
    </row>
    <row r="1549">
      <c r="A1549" t="inlineStr">
        <is>
          <t>060605</t>
        </is>
      </c>
      <c r="B1549" t="inlineStr">
        <is>
          <t>CAJAMARCA</t>
        </is>
      </c>
      <c r="C1549" t="inlineStr">
        <is>
          <t>CUTERVO</t>
        </is>
      </c>
      <c r="D1549" t="inlineStr">
        <is>
          <t>LA RAMADA</t>
        </is>
      </c>
      <c r="E1549" t="n">
        <v>1222</v>
      </c>
      <c r="F1549" s="14" t="n">
        <v>0</v>
      </c>
      <c r="G1549" s="14" t="n">
        <v>82.41</v>
      </c>
      <c r="H1549" s="14" t="n">
        <v>0.08</v>
      </c>
      <c r="I1549" s="14" t="n">
        <v>1.88</v>
      </c>
      <c r="J1549" s="14" t="n">
        <v>0</v>
      </c>
      <c r="K1549" s="14" t="n">
        <v>0</v>
      </c>
      <c r="L1549" s="14" t="n">
        <v>1.23</v>
      </c>
      <c r="M1549" s="14" t="n">
        <v>3.03</v>
      </c>
      <c r="N1549" s="14" t="n">
        <v>2.13</v>
      </c>
      <c r="O1549" s="14" t="n">
        <v>0.57</v>
      </c>
      <c r="P1549" s="14" t="n">
        <v>0.08</v>
      </c>
      <c r="Q1549" s="14" t="n">
        <v>0</v>
      </c>
      <c r="R1549" s="14" t="n">
        <v>0</v>
      </c>
      <c r="S1549" s="14" t="n">
        <v>1.31</v>
      </c>
      <c r="T1549" s="14" t="n">
        <v>0.41</v>
      </c>
      <c r="U1549" s="14" t="n">
        <v>1.31</v>
      </c>
      <c r="V1549" s="14" t="n">
        <v>3.36</v>
      </c>
      <c r="W1549" s="14" t="n">
        <v>1.31</v>
      </c>
      <c r="X1549" s="14" t="n">
        <v>0</v>
      </c>
      <c r="Y1549" s="14" t="n">
        <v>0.82</v>
      </c>
      <c r="Z1549" s="14" t="n">
        <v>0.08</v>
      </c>
      <c r="AA1549" s="14" t="n">
        <v>0</v>
      </c>
    </row>
    <row r="1550">
      <c r="A1550" t="inlineStr">
        <is>
          <t>021703</t>
        </is>
      </c>
      <c r="B1550" t="inlineStr">
        <is>
          <t>ANCASH</t>
        </is>
      </c>
      <c r="C1550" t="inlineStr">
        <is>
          <t>RECUAY</t>
        </is>
      </c>
      <c r="D1550" t="inlineStr">
        <is>
          <t>COTAPARACO</t>
        </is>
      </c>
      <c r="E1550" t="n">
        <v>147</v>
      </c>
      <c r="F1550" s="14" t="n">
        <v>0</v>
      </c>
      <c r="G1550" s="14" t="n">
        <v>54.42</v>
      </c>
      <c r="H1550" s="14" t="n">
        <v>2.04</v>
      </c>
      <c r="I1550" s="14" t="n">
        <v>0.68</v>
      </c>
      <c r="J1550" s="14" t="n">
        <v>0</v>
      </c>
      <c r="K1550" s="14" t="n">
        <v>0</v>
      </c>
      <c r="L1550" s="14" t="n">
        <v>9.52</v>
      </c>
      <c r="M1550" s="14" t="n">
        <v>8.84</v>
      </c>
      <c r="N1550" s="14" t="n">
        <v>2.72</v>
      </c>
      <c r="O1550" s="14" t="n">
        <v>2.04</v>
      </c>
      <c r="P1550" s="14" t="n">
        <v>0</v>
      </c>
      <c r="Q1550" s="14" t="n">
        <v>0</v>
      </c>
      <c r="R1550" s="14" t="n">
        <v>0</v>
      </c>
      <c r="S1550" s="14" t="n">
        <v>2.72</v>
      </c>
      <c r="T1550" s="14" t="n">
        <v>0</v>
      </c>
      <c r="U1550" s="14" t="n">
        <v>7.48</v>
      </c>
      <c r="V1550" s="14" t="n">
        <v>6.12</v>
      </c>
      <c r="W1550" s="14" t="n">
        <v>2.04</v>
      </c>
      <c r="X1550" s="14" t="n">
        <v>0</v>
      </c>
      <c r="Y1550" s="14" t="n">
        <v>1.36</v>
      </c>
      <c r="Z1550" s="14" t="n">
        <v>0</v>
      </c>
      <c r="AA1550" s="14" t="n">
        <v>0</v>
      </c>
    </row>
    <row r="1551">
      <c r="A1551" t="inlineStr">
        <is>
          <t>080102</t>
        </is>
      </c>
      <c r="B1551" t="inlineStr">
        <is>
          <t>CUSCO</t>
        </is>
      </c>
      <c r="C1551" t="inlineStr">
        <is>
          <t>CUSCO</t>
        </is>
      </c>
      <c r="D1551" t="inlineStr">
        <is>
          <t>CCORCA</t>
        </is>
      </c>
      <c r="E1551" t="n">
        <v>761</v>
      </c>
      <c r="F1551" s="14" t="n">
        <v>0</v>
      </c>
      <c r="G1551" s="14" t="n">
        <v>80.81</v>
      </c>
      <c r="H1551" s="14" t="n">
        <v>0</v>
      </c>
      <c r="I1551" s="14" t="n">
        <v>1.45</v>
      </c>
      <c r="J1551" s="14" t="n">
        <v>0</v>
      </c>
      <c r="K1551" s="14" t="n">
        <v>0</v>
      </c>
      <c r="L1551" s="14" t="n">
        <v>4.2</v>
      </c>
      <c r="M1551" s="14" t="n">
        <v>5.39</v>
      </c>
      <c r="N1551" s="14" t="n">
        <v>2.89</v>
      </c>
      <c r="O1551" s="14" t="n">
        <v>1.45</v>
      </c>
      <c r="P1551" s="14" t="n">
        <v>0</v>
      </c>
      <c r="Q1551" s="14" t="n">
        <v>0</v>
      </c>
      <c r="R1551" s="14" t="n">
        <v>0</v>
      </c>
      <c r="S1551" s="14" t="n">
        <v>0.79</v>
      </c>
      <c r="T1551" s="14" t="n">
        <v>0.66</v>
      </c>
      <c r="U1551" s="14" t="n">
        <v>0.79</v>
      </c>
      <c r="V1551" s="14" t="n">
        <v>0.39</v>
      </c>
      <c r="W1551" s="14" t="n">
        <v>0</v>
      </c>
      <c r="X1551" s="14" t="n">
        <v>0</v>
      </c>
      <c r="Y1551" s="14" t="n">
        <v>1.05</v>
      </c>
      <c r="Z1551" s="14" t="n">
        <v>0.13</v>
      </c>
      <c r="AA1551" s="14" t="n">
        <v>0</v>
      </c>
    </row>
    <row r="1552">
      <c r="A1552" t="inlineStr">
        <is>
          <t>010604</t>
        </is>
      </c>
      <c r="B1552" t="inlineStr">
        <is>
          <t>AMAZONAS</t>
        </is>
      </c>
      <c r="C1552" t="inlineStr">
        <is>
          <t>RODRIGUEZ DE MENDOZA</t>
        </is>
      </c>
      <c r="D1552" t="inlineStr">
        <is>
          <t>HUAMBO</t>
        </is>
      </c>
      <c r="E1552" t="n">
        <v>991</v>
      </c>
      <c r="F1552" s="14" t="n">
        <v>0</v>
      </c>
      <c r="G1552" s="14" t="n">
        <v>74.67</v>
      </c>
      <c r="H1552" s="14" t="n">
        <v>0</v>
      </c>
      <c r="I1552" s="14" t="n">
        <v>1.51</v>
      </c>
      <c r="J1552" s="14" t="n">
        <v>0</v>
      </c>
      <c r="K1552" s="14" t="n">
        <v>0</v>
      </c>
      <c r="L1552" s="14" t="n">
        <v>2.52</v>
      </c>
      <c r="M1552" s="14" t="n">
        <v>4.04</v>
      </c>
      <c r="N1552" s="14" t="n">
        <v>3.23</v>
      </c>
      <c r="O1552" s="14" t="n">
        <v>0.71</v>
      </c>
      <c r="P1552" s="14" t="n">
        <v>0.1</v>
      </c>
      <c r="Q1552" s="14" t="n">
        <v>0</v>
      </c>
      <c r="R1552" s="14" t="n">
        <v>0</v>
      </c>
      <c r="S1552" s="14" t="n">
        <v>0.61</v>
      </c>
      <c r="T1552" s="14" t="n">
        <v>0.2</v>
      </c>
      <c r="U1552" s="14" t="n">
        <v>2.62</v>
      </c>
      <c r="V1552" s="14" t="n">
        <v>7.67</v>
      </c>
      <c r="W1552" s="14" t="n">
        <v>1.51</v>
      </c>
      <c r="X1552" s="14" t="n">
        <v>0.1</v>
      </c>
      <c r="Y1552" s="14" t="n">
        <v>0.2</v>
      </c>
      <c r="Z1552" s="14" t="n">
        <v>0.3</v>
      </c>
      <c r="AA1552" s="14" t="n">
        <v>0</v>
      </c>
    </row>
    <row r="1553">
      <c r="A1553" t="inlineStr">
        <is>
          <t>010601</t>
        </is>
      </c>
      <c r="B1553" t="inlineStr">
        <is>
          <t>AMAZONAS</t>
        </is>
      </c>
      <c r="C1553" t="inlineStr">
        <is>
          <t>RODRIGUEZ DE MENDOZA</t>
        </is>
      </c>
      <c r="D1553" t="inlineStr">
        <is>
          <t>SAN NICOLAS</t>
        </is>
      </c>
      <c r="E1553" t="n">
        <v>2456</v>
      </c>
      <c r="F1553" s="14" t="n">
        <v>0</v>
      </c>
      <c r="G1553" s="14" t="n">
        <v>31.15</v>
      </c>
      <c r="H1553" s="14" t="n">
        <v>0.08</v>
      </c>
      <c r="I1553" s="14" t="n">
        <v>4.97</v>
      </c>
      <c r="J1553" s="14" t="n">
        <v>0.04</v>
      </c>
      <c r="K1553" s="14" t="n">
        <v>0.16</v>
      </c>
      <c r="L1553" s="14" t="n">
        <v>10.34</v>
      </c>
      <c r="M1553" s="14" t="n">
        <v>16.78</v>
      </c>
      <c r="N1553" s="14" t="n">
        <v>5.94</v>
      </c>
      <c r="O1553" s="14" t="n">
        <v>5.21</v>
      </c>
      <c r="P1553" s="14" t="n">
        <v>0.45</v>
      </c>
      <c r="Q1553" s="14" t="n">
        <v>1.06</v>
      </c>
      <c r="R1553" s="14" t="n">
        <v>0</v>
      </c>
      <c r="S1553" s="14" t="n">
        <v>2.4</v>
      </c>
      <c r="T1553" s="14" t="n">
        <v>0.9</v>
      </c>
      <c r="U1553" s="14" t="n">
        <v>5.9</v>
      </c>
      <c r="V1553" s="14" t="n">
        <v>6.92</v>
      </c>
      <c r="W1553" s="14" t="n">
        <v>3.42</v>
      </c>
      <c r="X1553" s="14" t="n">
        <v>0.53</v>
      </c>
      <c r="Y1553" s="14" t="n">
        <v>2.04</v>
      </c>
      <c r="Z1553" s="14" t="n">
        <v>1.71</v>
      </c>
      <c r="AA1553" s="14" t="n">
        <v>0</v>
      </c>
    </row>
    <row r="1554">
      <c r="A1554" t="inlineStr">
        <is>
          <t>020904</t>
        </is>
      </c>
      <c r="B1554" t="inlineStr">
        <is>
          <t>ANCASH</t>
        </is>
      </c>
      <c r="C1554" t="inlineStr">
        <is>
          <t>CORONGO</t>
        </is>
      </c>
      <c r="D1554" t="inlineStr">
        <is>
          <t>CUSCA</t>
        </is>
      </c>
      <c r="E1554" t="n">
        <v>645</v>
      </c>
      <c r="F1554" s="14" t="n">
        <v>0</v>
      </c>
      <c r="G1554" s="14" t="n">
        <v>71.94</v>
      </c>
      <c r="H1554" s="14" t="n">
        <v>1.4</v>
      </c>
      <c r="I1554" s="14" t="n">
        <v>1.71</v>
      </c>
      <c r="J1554" s="14" t="n">
        <v>0</v>
      </c>
      <c r="K1554" s="14" t="n">
        <v>0</v>
      </c>
      <c r="L1554" s="14" t="n">
        <v>1.4</v>
      </c>
      <c r="M1554" s="14" t="n">
        <v>5.74</v>
      </c>
      <c r="N1554" s="14" t="n">
        <v>1.4</v>
      </c>
      <c r="O1554" s="14" t="n">
        <v>1.71</v>
      </c>
      <c r="P1554" s="14" t="n">
        <v>0</v>
      </c>
      <c r="Q1554" s="14" t="n">
        <v>0</v>
      </c>
      <c r="R1554" s="14" t="n">
        <v>0</v>
      </c>
      <c r="S1554" s="14" t="n">
        <v>0.47</v>
      </c>
      <c r="T1554" s="14" t="n">
        <v>0.16</v>
      </c>
      <c r="U1554" s="14" t="n">
        <v>2.64</v>
      </c>
      <c r="V1554" s="14" t="n">
        <v>8.84</v>
      </c>
      <c r="W1554" s="14" t="n">
        <v>1.71</v>
      </c>
      <c r="X1554" s="14" t="n">
        <v>0.16</v>
      </c>
      <c r="Y1554" s="14" t="n">
        <v>0.31</v>
      </c>
      <c r="Z1554" s="14" t="n">
        <v>0.47</v>
      </c>
      <c r="AA1554" s="14" t="n">
        <v>0</v>
      </c>
    </row>
    <row r="1555">
      <c r="A1555" t="inlineStr">
        <is>
          <t>040207</t>
        </is>
      </c>
      <c r="B1555" t="inlineStr">
        <is>
          <t>AREQUIPA</t>
        </is>
      </c>
      <c r="C1555" t="inlineStr">
        <is>
          <t>CAMANA</t>
        </is>
      </c>
      <c r="D1555" t="inlineStr">
        <is>
          <t>QUILCA</t>
        </is>
      </c>
      <c r="E1555" t="n">
        <v>447</v>
      </c>
      <c r="F1555" s="14" t="n">
        <v>0</v>
      </c>
      <c r="G1555" s="14" t="n">
        <v>51.45</v>
      </c>
      <c r="H1555" s="14" t="n">
        <v>0.89</v>
      </c>
      <c r="I1555" s="14" t="n">
        <v>2.24</v>
      </c>
      <c r="J1555" s="14" t="n">
        <v>0</v>
      </c>
      <c r="K1555" s="14" t="n">
        <v>0.45</v>
      </c>
      <c r="L1555" s="14" t="n">
        <v>8.949999999999999</v>
      </c>
      <c r="M1555" s="14" t="n">
        <v>12.3</v>
      </c>
      <c r="N1555" s="14" t="n">
        <v>3.36</v>
      </c>
      <c r="O1555" s="14" t="n">
        <v>7.83</v>
      </c>
      <c r="P1555" s="14" t="n">
        <v>0.22</v>
      </c>
      <c r="Q1555" s="14" t="n">
        <v>0</v>
      </c>
      <c r="R1555" s="14" t="n">
        <v>0</v>
      </c>
      <c r="S1555" s="14" t="n">
        <v>0.67</v>
      </c>
      <c r="T1555" s="14" t="n">
        <v>1.57</v>
      </c>
      <c r="U1555" s="14" t="n">
        <v>5.82</v>
      </c>
      <c r="V1555" s="14" t="n">
        <v>2.01</v>
      </c>
      <c r="W1555" s="14" t="n">
        <v>1.12</v>
      </c>
      <c r="X1555" s="14" t="n">
        <v>0</v>
      </c>
      <c r="Y1555" s="14" t="n">
        <v>0.45</v>
      </c>
      <c r="Z1555" s="14" t="n">
        <v>0.67</v>
      </c>
      <c r="AA1555" s="14" t="n">
        <v>0</v>
      </c>
    </row>
    <row r="1556">
      <c r="A1556" t="inlineStr">
        <is>
          <t>090606</t>
        </is>
      </c>
      <c r="B1556" t="inlineStr">
        <is>
          <t>HUANCAVELICA</t>
        </is>
      </c>
      <c r="C1556" t="inlineStr">
        <is>
          <t>HUAYTARA</t>
        </is>
      </c>
      <c r="D1556" t="inlineStr">
        <is>
          <t>OCOYO</t>
        </is>
      </c>
      <c r="E1556" t="n">
        <v>351</v>
      </c>
      <c r="F1556" s="14" t="n">
        <v>0</v>
      </c>
      <c r="G1556" s="14" t="n">
        <v>33.33</v>
      </c>
      <c r="H1556" s="14" t="n">
        <v>30.2</v>
      </c>
      <c r="I1556" s="14" t="n">
        <v>0.57</v>
      </c>
      <c r="J1556" s="14" t="n">
        <v>0</v>
      </c>
      <c r="K1556" s="14" t="n">
        <v>0</v>
      </c>
      <c r="L1556" s="14" t="n">
        <v>11.4</v>
      </c>
      <c r="M1556" s="14" t="n">
        <v>3.42</v>
      </c>
      <c r="N1556" s="14" t="n">
        <v>2.85</v>
      </c>
      <c r="O1556" s="14" t="n">
        <v>6.27</v>
      </c>
      <c r="P1556" s="14" t="n">
        <v>0</v>
      </c>
      <c r="Q1556" s="14" t="n">
        <v>0</v>
      </c>
      <c r="R1556" s="14" t="n">
        <v>0</v>
      </c>
      <c r="S1556" s="14" t="n">
        <v>2.56</v>
      </c>
      <c r="T1556" s="14" t="n">
        <v>3.99</v>
      </c>
      <c r="U1556" s="14" t="n">
        <v>0.57</v>
      </c>
      <c r="V1556" s="14" t="n">
        <v>3.13</v>
      </c>
      <c r="W1556" s="14" t="n">
        <v>1.42</v>
      </c>
      <c r="X1556" s="14" t="n">
        <v>0</v>
      </c>
      <c r="Y1556" s="14" t="n">
        <v>0</v>
      </c>
      <c r="Z1556" s="14" t="n">
        <v>0.28</v>
      </c>
      <c r="AA1556" s="14" t="n">
        <v>0</v>
      </c>
    </row>
    <row r="1557">
      <c r="A1557" t="inlineStr">
        <is>
          <t>061113</t>
        </is>
      </c>
      <c r="B1557" t="inlineStr">
        <is>
          <t>CAJAMARCA</t>
        </is>
      </c>
      <c r="C1557" t="inlineStr">
        <is>
          <t>SAN MIGUEL</t>
        </is>
      </c>
      <c r="D1557" t="inlineStr">
        <is>
          <t>UNION AGUA BLANCA</t>
        </is>
      </c>
      <c r="E1557" t="n">
        <v>905</v>
      </c>
      <c r="F1557" s="14" t="n">
        <v>0</v>
      </c>
      <c r="G1557" s="14" t="n">
        <v>83.2</v>
      </c>
      <c r="H1557" s="14" t="n">
        <v>0</v>
      </c>
      <c r="I1557" s="14" t="n">
        <v>1.22</v>
      </c>
      <c r="J1557" s="14" t="n">
        <v>0</v>
      </c>
      <c r="K1557" s="14" t="n">
        <v>0</v>
      </c>
      <c r="L1557" s="14" t="n">
        <v>1.66</v>
      </c>
      <c r="M1557" s="14" t="n">
        <v>3.2</v>
      </c>
      <c r="N1557" s="14" t="n">
        <v>1.22</v>
      </c>
      <c r="O1557" s="14" t="n">
        <v>2.21</v>
      </c>
      <c r="P1557" s="14" t="n">
        <v>0</v>
      </c>
      <c r="Q1557" s="14" t="n">
        <v>0</v>
      </c>
      <c r="R1557" s="14" t="n">
        <v>0</v>
      </c>
      <c r="S1557" s="14" t="n">
        <v>0.33</v>
      </c>
      <c r="T1557" s="14" t="n">
        <v>0.22</v>
      </c>
      <c r="U1557" s="14" t="n">
        <v>1.22</v>
      </c>
      <c r="V1557" s="14" t="n">
        <v>3.31</v>
      </c>
      <c r="W1557" s="14" t="n">
        <v>0.99</v>
      </c>
      <c r="X1557" s="14" t="n">
        <v>0</v>
      </c>
      <c r="Y1557" s="14" t="n">
        <v>0.66</v>
      </c>
      <c r="Z1557" s="14" t="n">
        <v>0.55</v>
      </c>
      <c r="AA1557" s="14" t="n">
        <v>0</v>
      </c>
    </row>
    <row r="1558">
      <c r="A1558" t="inlineStr">
        <is>
          <t>040602</t>
        </is>
      </c>
      <c r="B1558" t="inlineStr">
        <is>
          <t>AREQUIPA</t>
        </is>
      </c>
      <c r="C1558" t="inlineStr">
        <is>
          <t>CONDESUYOS</t>
        </is>
      </c>
      <c r="D1558" t="inlineStr">
        <is>
          <t>ANDARAY</t>
        </is>
      </c>
      <c r="E1558" t="n">
        <v>491</v>
      </c>
      <c r="F1558" s="14" t="n">
        <v>0</v>
      </c>
      <c r="G1558" s="14" t="n">
        <v>29.74</v>
      </c>
      <c r="H1558" s="14" t="n">
        <v>47.86</v>
      </c>
      <c r="I1558" s="14" t="n">
        <v>3.67</v>
      </c>
      <c r="J1558" s="14" t="n">
        <v>0</v>
      </c>
      <c r="K1558" s="14" t="n">
        <v>0</v>
      </c>
      <c r="L1558" s="14" t="n">
        <v>2.44</v>
      </c>
      <c r="M1558" s="14" t="n">
        <v>2.44</v>
      </c>
      <c r="N1558" s="14" t="n">
        <v>1.43</v>
      </c>
      <c r="O1558" s="14" t="n">
        <v>3.46</v>
      </c>
      <c r="P1558" s="14" t="n">
        <v>0</v>
      </c>
      <c r="Q1558" s="14" t="n">
        <v>0</v>
      </c>
      <c r="R1558" s="14" t="n">
        <v>0</v>
      </c>
      <c r="S1558" s="14" t="n">
        <v>0.41</v>
      </c>
      <c r="T1558" s="14" t="n">
        <v>1.43</v>
      </c>
      <c r="U1558" s="14" t="n">
        <v>4.89</v>
      </c>
      <c r="V1558" s="14" t="n">
        <v>1.43</v>
      </c>
      <c r="W1558" s="14" t="n">
        <v>0.41</v>
      </c>
      <c r="X1558" s="14" t="n">
        <v>0</v>
      </c>
      <c r="Y1558" s="14" t="n">
        <v>0</v>
      </c>
      <c r="Z1558" s="14" t="n">
        <v>0.41</v>
      </c>
      <c r="AA1558" s="14" t="n">
        <v>0</v>
      </c>
    </row>
    <row r="1559">
      <c r="A1559" t="inlineStr">
        <is>
          <t>040603</t>
        </is>
      </c>
      <c r="B1559" t="inlineStr">
        <is>
          <t>AREQUIPA</t>
        </is>
      </c>
      <c r="C1559" t="inlineStr">
        <is>
          <t>CONDESUYOS</t>
        </is>
      </c>
      <c r="D1559" t="inlineStr">
        <is>
          <t>CAYARANI</t>
        </is>
      </c>
      <c r="E1559" t="n">
        <v>1618</v>
      </c>
      <c r="F1559" s="14" t="n">
        <v>0</v>
      </c>
      <c r="G1559" s="14" t="n">
        <v>32.88</v>
      </c>
      <c r="H1559" s="14" t="n">
        <v>43.33</v>
      </c>
      <c r="I1559" s="14" t="n">
        <v>2.1</v>
      </c>
      <c r="J1559" s="14" t="n">
        <v>0.06</v>
      </c>
      <c r="K1559" s="14" t="n">
        <v>0</v>
      </c>
      <c r="L1559" s="14" t="n">
        <v>5.44</v>
      </c>
      <c r="M1559" s="14" t="n">
        <v>3.89</v>
      </c>
      <c r="N1559" s="14" t="n">
        <v>2.72</v>
      </c>
      <c r="O1559" s="14" t="n">
        <v>1.98</v>
      </c>
      <c r="P1559" s="14" t="n">
        <v>0</v>
      </c>
      <c r="Q1559" s="14" t="n">
        <v>0</v>
      </c>
      <c r="R1559" s="14" t="n">
        <v>0</v>
      </c>
      <c r="S1559" s="14" t="n">
        <v>1.24</v>
      </c>
      <c r="T1559" s="14" t="n">
        <v>0.5600000000000001</v>
      </c>
      <c r="U1559" s="14" t="n">
        <v>2.66</v>
      </c>
      <c r="V1559" s="14" t="n">
        <v>2.35</v>
      </c>
      <c r="W1559" s="14" t="n">
        <v>0.31</v>
      </c>
      <c r="X1559" s="14" t="n">
        <v>0.06</v>
      </c>
      <c r="Y1559" s="14" t="n">
        <v>0.43</v>
      </c>
      <c r="Z1559" s="14" t="n">
        <v>0</v>
      </c>
      <c r="AA1559" s="14" t="n">
        <v>0</v>
      </c>
    </row>
    <row r="1560">
      <c r="A1560" t="inlineStr">
        <is>
          <t>040517</t>
        </is>
      </c>
      <c r="B1560" t="inlineStr">
        <is>
          <t>AREQUIPA</t>
        </is>
      </c>
      <c r="C1560" t="inlineStr">
        <is>
          <t>CAYLLOMA</t>
        </is>
      </c>
      <c r="D1560" t="inlineStr">
        <is>
          <t>TISCO</t>
        </is>
      </c>
      <c r="E1560" t="n">
        <v>782</v>
      </c>
      <c r="F1560" s="14" t="n">
        <v>0</v>
      </c>
      <c r="G1560" s="14" t="n">
        <v>57.8</v>
      </c>
      <c r="H1560" s="14" t="n">
        <v>0.51</v>
      </c>
      <c r="I1560" s="14" t="n">
        <v>4.99</v>
      </c>
      <c r="J1560" s="14" t="n">
        <v>0.13</v>
      </c>
      <c r="K1560" s="14" t="n">
        <v>0</v>
      </c>
      <c r="L1560" s="14" t="n">
        <v>17.77</v>
      </c>
      <c r="M1560" s="14" t="n">
        <v>4.22</v>
      </c>
      <c r="N1560" s="14" t="n">
        <v>2.56</v>
      </c>
      <c r="O1560" s="14" t="n">
        <v>1.66</v>
      </c>
      <c r="P1560" s="14" t="n">
        <v>0</v>
      </c>
      <c r="Q1560" s="14" t="n">
        <v>0</v>
      </c>
      <c r="R1560" s="14" t="n">
        <v>0</v>
      </c>
      <c r="S1560" s="14" t="n">
        <v>1.53</v>
      </c>
      <c r="T1560" s="14" t="n">
        <v>0.77</v>
      </c>
      <c r="U1560" s="14" t="n">
        <v>3.45</v>
      </c>
      <c r="V1560" s="14" t="n">
        <v>1.41</v>
      </c>
      <c r="W1560" s="14" t="n">
        <v>1.28</v>
      </c>
      <c r="X1560" s="14" t="n">
        <v>0</v>
      </c>
      <c r="Y1560" s="14" t="n">
        <v>1.66</v>
      </c>
      <c r="Z1560" s="14" t="n">
        <v>0.26</v>
      </c>
      <c r="AA1560" s="14" t="n">
        <v>0</v>
      </c>
    </row>
    <row r="1561">
      <c r="A1561" t="inlineStr">
        <is>
          <t>030203</t>
        </is>
      </c>
      <c r="B1561" t="inlineStr">
        <is>
          <t>APURIMAC</t>
        </is>
      </c>
      <c r="C1561" t="inlineStr">
        <is>
          <t>ANDAHUAYLAS</t>
        </is>
      </c>
      <c r="D1561" t="inlineStr">
        <is>
          <t>CHIARA</t>
        </is>
      </c>
      <c r="E1561" t="n">
        <v>293</v>
      </c>
      <c r="F1561" s="14" t="n">
        <v>0</v>
      </c>
      <c r="G1561" s="14" t="n">
        <v>82.94</v>
      </c>
      <c r="H1561" s="14" t="n">
        <v>4.1</v>
      </c>
      <c r="I1561" s="14" t="n">
        <v>0</v>
      </c>
      <c r="J1561" s="14" t="n">
        <v>0</v>
      </c>
      <c r="K1561" s="14" t="n">
        <v>0</v>
      </c>
      <c r="L1561" s="14" t="n">
        <v>3.75</v>
      </c>
      <c r="M1561" s="14" t="n">
        <v>3.07</v>
      </c>
      <c r="N1561" s="14" t="n">
        <v>1.37</v>
      </c>
      <c r="O1561" s="14" t="n">
        <v>0.34</v>
      </c>
      <c r="P1561" s="14" t="n">
        <v>0</v>
      </c>
      <c r="Q1561" s="14" t="n">
        <v>0</v>
      </c>
      <c r="R1561" s="14" t="n">
        <v>0</v>
      </c>
      <c r="S1561" s="14" t="n">
        <v>0.34</v>
      </c>
      <c r="T1561" s="14" t="n">
        <v>0.34</v>
      </c>
      <c r="U1561" s="14" t="n">
        <v>0.34</v>
      </c>
      <c r="V1561" s="14" t="n">
        <v>1.71</v>
      </c>
      <c r="W1561" s="14" t="n">
        <v>0.68</v>
      </c>
      <c r="X1561" s="14" t="n">
        <v>0</v>
      </c>
      <c r="Y1561" s="14" t="n">
        <v>0</v>
      </c>
      <c r="Z1561" s="14" t="n">
        <v>1.02</v>
      </c>
      <c r="AA1561" s="14" t="n">
        <v>0</v>
      </c>
    </row>
    <row r="1562">
      <c r="A1562" t="inlineStr">
        <is>
          <t>051001</t>
        </is>
      </c>
      <c r="B1562" t="inlineStr">
        <is>
          <t>AYACUCHO</t>
        </is>
      </c>
      <c r="C1562" t="inlineStr">
        <is>
          <t>VICTOR FAJARDO</t>
        </is>
      </c>
      <c r="D1562" t="inlineStr">
        <is>
          <t>HUANCAPI</t>
        </is>
      </c>
      <c r="E1562" t="n">
        <v>831</v>
      </c>
      <c r="F1562" s="14" t="n">
        <v>0</v>
      </c>
      <c r="G1562" s="14" t="n">
        <v>42.72</v>
      </c>
      <c r="H1562" s="14" t="n">
        <v>0</v>
      </c>
      <c r="I1562" s="14" t="n">
        <v>0.96</v>
      </c>
      <c r="J1562" s="14" t="n">
        <v>0</v>
      </c>
      <c r="K1562" s="14" t="n">
        <v>0</v>
      </c>
      <c r="L1562" s="14" t="n">
        <v>5.05</v>
      </c>
      <c r="M1562" s="14" t="n">
        <v>10.11</v>
      </c>
      <c r="N1562" s="14" t="n">
        <v>2.17</v>
      </c>
      <c r="O1562" s="14" t="n">
        <v>3.25</v>
      </c>
      <c r="P1562" s="14" t="n">
        <v>0.48</v>
      </c>
      <c r="Q1562" s="14" t="n">
        <v>0.48</v>
      </c>
      <c r="R1562" s="14" t="n">
        <v>0</v>
      </c>
      <c r="S1562" s="14" t="n">
        <v>3.49</v>
      </c>
      <c r="T1562" s="14" t="n">
        <v>0.6</v>
      </c>
      <c r="U1562" s="14" t="n">
        <v>9.75</v>
      </c>
      <c r="V1562" s="14" t="n">
        <v>13.24</v>
      </c>
      <c r="W1562" s="14" t="n">
        <v>5.05</v>
      </c>
      <c r="X1562" s="14" t="n">
        <v>0</v>
      </c>
      <c r="Y1562" s="14" t="n">
        <v>1.81</v>
      </c>
      <c r="Z1562" s="14" t="n">
        <v>0.84</v>
      </c>
      <c r="AA1562" s="14" t="n">
        <v>0</v>
      </c>
    </row>
    <row r="1563">
      <c r="A1563" t="inlineStr">
        <is>
          <t>010311</t>
        </is>
      </c>
      <c r="B1563" t="inlineStr">
        <is>
          <t>AMAZONAS</t>
        </is>
      </c>
      <c r="C1563" t="inlineStr">
        <is>
          <t>BONGARA</t>
        </is>
      </c>
      <c r="D1563" t="inlineStr">
        <is>
          <t>VALERA</t>
        </is>
      </c>
      <c r="E1563" t="n">
        <v>411</v>
      </c>
      <c r="F1563" s="14" t="n">
        <v>0</v>
      </c>
      <c r="G1563" s="14" t="n">
        <v>53.53</v>
      </c>
      <c r="H1563" s="14" t="n">
        <v>0</v>
      </c>
      <c r="I1563" s="14" t="n">
        <v>1.95</v>
      </c>
      <c r="J1563" s="14" t="n">
        <v>0</v>
      </c>
      <c r="K1563" s="14" t="n">
        <v>0</v>
      </c>
      <c r="L1563" s="14" t="n">
        <v>6.08</v>
      </c>
      <c r="M1563" s="14" t="n">
        <v>3.41</v>
      </c>
      <c r="N1563" s="14" t="n">
        <v>7.79</v>
      </c>
      <c r="O1563" s="14" t="n">
        <v>9.25</v>
      </c>
      <c r="P1563" s="14" t="n">
        <v>0</v>
      </c>
      <c r="Q1563" s="14" t="n">
        <v>0</v>
      </c>
      <c r="R1563" s="14" t="n">
        <v>0</v>
      </c>
      <c r="S1563" s="14" t="n">
        <v>0.73</v>
      </c>
      <c r="T1563" s="14" t="n">
        <v>8.52</v>
      </c>
      <c r="U1563" s="14" t="n">
        <v>4.87</v>
      </c>
      <c r="V1563" s="14" t="n">
        <v>0.49</v>
      </c>
      <c r="W1563" s="14" t="n">
        <v>1.46</v>
      </c>
      <c r="X1563" s="14" t="n">
        <v>0.24</v>
      </c>
      <c r="Y1563" s="14" t="n">
        <v>0.24</v>
      </c>
      <c r="Z1563" s="14" t="n">
        <v>1.46</v>
      </c>
      <c r="AA1563" s="14" t="n">
        <v>0</v>
      </c>
    </row>
    <row r="1564">
      <c r="A1564" t="inlineStr">
        <is>
          <t>061302</t>
        </is>
      </c>
      <c r="B1564" t="inlineStr">
        <is>
          <t>CAJAMARCA</t>
        </is>
      </c>
      <c r="C1564" t="inlineStr">
        <is>
          <t>SANTA CRUZ</t>
        </is>
      </c>
      <c r="D1564" t="inlineStr">
        <is>
          <t>ANDABAMBA</t>
        </is>
      </c>
      <c r="E1564" t="n">
        <v>430</v>
      </c>
      <c r="F1564" s="14" t="n">
        <v>0</v>
      </c>
      <c r="G1564" s="14" t="n">
        <v>79.3</v>
      </c>
      <c r="H1564" s="14" t="n">
        <v>0</v>
      </c>
      <c r="I1564" s="14" t="n">
        <v>1.16</v>
      </c>
      <c r="J1564" s="14" t="n">
        <v>0</v>
      </c>
      <c r="K1564" s="14" t="n">
        <v>0</v>
      </c>
      <c r="L1564" s="14" t="n">
        <v>0.47</v>
      </c>
      <c r="M1564" s="14" t="n">
        <v>1.86</v>
      </c>
      <c r="N1564" s="14" t="n">
        <v>0.7</v>
      </c>
      <c r="O1564" s="14" t="n">
        <v>1.63</v>
      </c>
      <c r="P1564" s="14" t="n">
        <v>0</v>
      </c>
      <c r="Q1564" s="14" t="n">
        <v>0</v>
      </c>
      <c r="R1564" s="14" t="n">
        <v>0</v>
      </c>
      <c r="S1564" s="14" t="n">
        <v>0.7</v>
      </c>
      <c r="T1564" s="14" t="n">
        <v>0</v>
      </c>
      <c r="U1564" s="14" t="n">
        <v>4.88</v>
      </c>
      <c r="V1564" s="14" t="n">
        <v>6.51</v>
      </c>
      <c r="W1564" s="14" t="n">
        <v>1.86</v>
      </c>
      <c r="X1564" s="14" t="n">
        <v>0</v>
      </c>
      <c r="Y1564" s="14" t="n">
        <v>0.7</v>
      </c>
      <c r="Z1564" s="14" t="n">
        <v>0.23</v>
      </c>
      <c r="AA1564" s="14" t="n">
        <v>0</v>
      </c>
    </row>
    <row r="1565">
      <c r="A1565" t="inlineStr">
        <is>
          <t>030612</t>
        </is>
      </c>
      <c r="B1565" t="inlineStr">
        <is>
          <t>APURIMAC</t>
        </is>
      </c>
      <c r="C1565" t="inlineStr">
        <is>
          <t>CHINCHEROS</t>
        </is>
      </c>
      <c r="D1565" t="inlineStr">
        <is>
          <t>AHUAYRO</t>
        </is>
      </c>
      <c r="E1565" t="n">
        <v>0</v>
      </c>
      <c r="F1565" s="14" t="n">
        <v>0</v>
      </c>
      <c r="G1565" s="14" t="n">
        <v>75.36</v>
      </c>
      <c r="H1565" s="14" t="n">
        <v>0</v>
      </c>
      <c r="I1565" s="14" t="n">
        <v>0.9</v>
      </c>
      <c r="J1565" s="14" t="n">
        <v>0</v>
      </c>
      <c r="K1565" s="14" t="n">
        <v>0</v>
      </c>
      <c r="L1565" s="14" t="n">
        <v>3.86</v>
      </c>
      <c r="M1565" s="14" t="n">
        <v>5.11</v>
      </c>
      <c r="N1565" s="14" t="n">
        <v>1.6</v>
      </c>
      <c r="O1565" s="14" t="n">
        <v>1.48</v>
      </c>
      <c r="P1565" s="14" t="n">
        <v>0</v>
      </c>
      <c r="Q1565" s="14" t="n">
        <v>0</v>
      </c>
      <c r="R1565" s="14" t="n">
        <v>0</v>
      </c>
      <c r="S1565" s="14" t="n">
        <v>1.08</v>
      </c>
      <c r="T1565" s="14" t="n">
        <v>0.21</v>
      </c>
      <c r="U1565" s="14" t="n">
        <v>2.69</v>
      </c>
      <c r="V1565" s="14" t="n">
        <v>4.68</v>
      </c>
      <c r="W1565" s="14" t="n">
        <v>1.98</v>
      </c>
      <c r="X1565" s="14" t="n">
        <v>0</v>
      </c>
      <c r="Y1565" s="14" t="n">
        <v>0.8</v>
      </c>
      <c r="Z1565" s="14" t="n">
        <v>0.26</v>
      </c>
      <c r="AA1565" s="14" t="n">
        <v>0</v>
      </c>
    </row>
    <row r="1566">
      <c r="A1566" t="inlineStr">
        <is>
          <t>021204</t>
        </is>
      </c>
      <c r="B1566" t="inlineStr">
        <is>
          <t>ANCASH</t>
        </is>
      </c>
      <c r="C1566" t="inlineStr">
        <is>
          <t>HUAYLAS</t>
        </is>
      </c>
      <c r="D1566" t="inlineStr">
        <is>
          <t>HUAYLAS</t>
        </is>
      </c>
      <c r="E1566" t="n">
        <v>535</v>
      </c>
      <c r="F1566" s="14" t="n">
        <v>0</v>
      </c>
      <c r="G1566" s="14" t="n">
        <v>74.02</v>
      </c>
      <c r="H1566" s="14" t="n">
        <v>0.5600000000000001</v>
      </c>
      <c r="I1566" s="14" t="n">
        <v>2.06</v>
      </c>
      <c r="J1566" s="14" t="n">
        <v>0</v>
      </c>
      <c r="K1566" s="14" t="n">
        <v>0</v>
      </c>
      <c r="L1566" s="14" t="n">
        <v>4.49</v>
      </c>
      <c r="M1566" s="14" t="n">
        <v>2.8</v>
      </c>
      <c r="N1566" s="14" t="n">
        <v>1.68</v>
      </c>
      <c r="O1566" s="14" t="n">
        <v>1.5</v>
      </c>
      <c r="P1566" s="14" t="n">
        <v>0</v>
      </c>
      <c r="Q1566" s="14" t="n">
        <v>0</v>
      </c>
      <c r="R1566" s="14" t="n">
        <v>0</v>
      </c>
      <c r="S1566" s="14" t="n">
        <v>0.37</v>
      </c>
      <c r="T1566" s="14" t="n">
        <v>1.12</v>
      </c>
      <c r="U1566" s="14" t="n">
        <v>2.99</v>
      </c>
      <c r="V1566" s="14" t="n">
        <v>5.23</v>
      </c>
      <c r="W1566" s="14" t="n">
        <v>1.5</v>
      </c>
      <c r="X1566" s="14" t="n">
        <v>0</v>
      </c>
      <c r="Y1566" s="14" t="n">
        <v>0.5600000000000001</v>
      </c>
      <c r="Z1566" s="14" t="n">
        <v>1.12</v>
      </c>
      <c r="AA1566" s="14" t="n">
        <v>0</v>
      </c>
    </row>
    <row r="1567">
      <c r="A1567" t="inlineStr">
        <is>
          <t>051005</t>
        </is>
      </c>
      <c r="B1567" t="inlineStr">
        <is>
          <t>AYACUCHO</t>
        </is>
      </c>
      <c r="C1567" t="inlineStr">
        <is>
          <t>VICTOR FAJARDO</t>
        </is>
      </c>
      <c r="D1567" t="inlineStr">
        <is>
          <t>CANARIA</t>
        </is>
      </c>
      <c r="E1567" t="n">
        <v>1685</v>
      </c>
      <c r="F1567" s="14" t="n">
        <v>0</v>
      </c>
      <c r="G1567" s="14" t="n">
        <v>29.79</v>
      </c>
      <c r="H1567" s="14" t="n">
        <v>28.07</v>
      </c>
      <c r="I1567" s="14" t="n">
        <v>2.73</v>
      </c>
      <c r="J1567" s="14" t="n">
        <v>0</v>
      </c>
      <c r="K1567" s="14" t="n">
        <v>0</v>
      </c>
      <c r="L1567" s="14" t="n">
        <v>10.15</v>
      </c>
      <c r="M1567" s="14" t="n">
        <v>7.89</v>
      </c>
      <c r="N1567" s="14" t="n">
        <v>4.81</v>
      </c>
      <c r="O1567" s="14" t="n">
        <v>2.55</v>
      </c>
      <c r="P1567" s="14" t="n">
        <v>0</v>
      </c>
      <c r="Q1567" s="14" t="n">
        <v>0.06</v>
      </c>
      <c r="R1567" s="14" t="n">
        <v>0</v>
      </c>
      <c r="S1567" s="14" t="n">
        <v>2.97</v>
      </c>
      <c r="T1567" s="14" t="n">
        <v>1.66</v>
      </c>
      <c r="U1567" s="14" t="n">
        <v>1.84</v>
      </c>
      <c r="V1567" s="14" t="n">
        <v>4.45</v>
      </c>
      <c r="W1567" s="14" t="n">
        <v>1.07</v>
      </c>
      <c r="X1567" s="14" t="n">
        <v>0</v>
      </c>
      <c r="Y1567" s="14" t="n">
        <v>1.48</v>
      </c>
      <c r="Z1567" s="14" t="n">
        <v>0.47</v>
      </c>
      <c r="AA1567" s="14" t="n">
        <v>0</v>
      </c>
    </row>
    <row r="1568">
      <c r="A1568" t="inlineStr">
        <is>
          <t>021015</t>
        </is>
      </c>
      <c r="B1568" t="inlineStr">
        <is>
          <t>ANCASH</t>
        </is>
      </c>
      <c r="C1568" t="inlineStr">
        <is>
          <t>HUARI</t>
        </is>
      </c>
      <c r="D1568" t="inlineStr">
        <is>
          <t>SAN PEDRO DE CHANA</t>
        </is>
      </c>
      <c r="E1568" t="n">
        <v>548</v>
      </c>
      <c r="F1568" s="14" t="n">
        <v>0</v>
      </c>
      <c r="G1568" s="14" t="n">
        <v>65.69</v>
      </c>
      <c r="H1568" s="14" t="n">
        <v>0</v>
      </c>
      <c r="I1568" s="14" t="n">
        <v>1.64</v>
      </c>
      <c r="J1568" s="14" t="n">
        <v>0</v>
      </c>
      <c r="K1568" s="14" t="n">
        <v>0.18</v>
      </c>
      <c r="L1568" s="14" t="n">
        <v>7.85</v>
      </c>
      <c r="M1568" s="14" t="n">
        <v>4.38</v>
      </c>
      <c r="N1568" s="14" t="n">
        <v>2.19</v>
      </c>
      <c r="O1568" s="14" t="n">
        <v>2.74</v>
      </c>
      <c r="P1568" s="14" t="n">
        <v>0</v>
      </c>
      <c r="Q1568" s="14" t="n">
        <v>0</v>
      </c>
      <c r="R1568" s="14" t="n">
        <v>0</v>
      </c>
      <c r="S1568" s="14" t="n">
        <v>0.91</v>
      </c>
      <c r="T1568" s="14" t="n">
        <v>0.36</v>
      </c>
      <c r="U1568" s="14" t="n">
        <v>3.83</v>
      </c>
      <c r="V1568" s="14" t="n">
        <v>7.48</v>
      </c>
      <c r="W1568" s="14" t="n">
        <v>1.46</v>
      </c>
      <c r="X1568" s="14" t="n">
        <v>0</v>
      </c>
      <c r="Y1568" s="14" t="n">
        <v>1.28</v>
      </c>
      <c r="Z1568" s="14" t="n">
        <v>0</v>
      </c>
      <c r="AA1568" s="14" t="n">
        <v>0</v>
      </c>
    </row>
    <row r="1569">
      <c r="A1569" t="inlineStr">
        <is>
          <t>080501</t>
        </is>
      </c>
      <c r="B1569" t="inlineStr">
        <is>
          <t>CUSCO</t>
        </is>
      </c>
      <c r="C1569" t="inlineStr">
        <is>
          <t>CANAS</t>
        </is>
      </c>
      <c r="D1569" t="inlineStr">
        <is>
          <t>YANAOCA</t>
        </is>
      </c>
      <c r="E1569" t="n">
        <v>1751</v>
      </c>
      <c r="F1569" s="14" t="n">
        <v>0</v>
      </c>
      <c r="G1569" s="14" t="n">
        <v>52.88</v>
      </c>
      <c r="H1569" s="14" t="n">
        <v>0.74</v>
      </c>
      <c r="I1569" s="14" t="n">
        <v>1.2</v>
      </c>
      <c r="J1569" s="14" t="n">
        <v>0</v>
      </c>
      <c r="K1569" s="14" t="n">
        <v>0.06</v>
      </c>
      <c r="L1569" s="14" t="n">
        <v>6.4</v>
      </c>
      <c r="M1569" s="14" t="n">
        <v>12.68</v>
      </c>
      <c r="N1569" s="14" t="n">
        <v>1.77</v>
      </c>
      <c r="O1569" s="14" t="n">
        <v>3.2</v>
      </c>
      <c r="P1569" s="14" t="n">
        <v>0.17</v>
      </c>
      <c r="Q1569" s="14" t="n">
        <v>0.17</v>
      </c>
      <c r="R1569" s="14" t="n">
        <v>0</v>
      </c>
      <c r="S1569" s="14" t="n">
        <v>3.31</v>
      </c>
      <c r="T1569" s="14" t="n">
        <v>0.91</v>
      </c>
      <c r="U1569" s="14" t="n">
        <v>5.03</v>
      </c>
      <c r="V1569" s="14" t="n">
        <v>7.65</v>
      </c>
      <c r="W1569" s="14" t="n">
        <v>1.88</v>
      </c>
      <c r="X1569" s="14" t="n">
        <v>0.29</v>
      </c>
      <c r="Y1569" s="14" t="n">
        <v>1.48</v>
      </c>
      <c r="Z1569" s="14" t="n">
        <v>0.17</v>
      </c>
      <c r="AA1569" s="14" t="n">
        <v>0</v>
      </c>
    </row>
    <row r="1570">
      <c r="A1570" t="inlineStr">
        <is>
          <t>010501</t>
        </is>
      </c>
      <c r="B1570" t="inlineStr">
        <is>
          <t>AMAZONAS</t>
        </is>
      </c>
      <c r="C1570" t="inlineStr">
        <is>
          <t>LUYA</t>
        </is>
      </c>
      <c r="D1570" t="inlineStr">
        <is>
          <t>LAMUD</t>
        </is>
      </c>
      <c r="E1570" t="n">
        <v>818</v>
      </c>
      <c r="F1570" s="14" t="n">
        <v>0</v>
      </c>
      <c r="G1570" s="14" t="n">
        <v>38.75</v>
      </c>
      <c r="H1570" s="14" t="n">
        <v>0.37</v>
      </c>
      <c r="I1570" s="14" t="n">
        <v>2.08</v>
      </c>
      <c r="J1570" s="14" t="n">
        <v>0</v>
      </c>
      <c r="K1570" s="14" t="n">
        <v>0.37</v>
      </c>
      <c r="L1570" s="14" t="n">
        <v>3.91</v>
      </c>
      <c r="M1570" s="14" t="n">
        <v>10.02</v>
      </c>
      <c r="N1570" s="14" t="n">
        <v>1.22</v>
      </c>
      <c r="O1570" s="14" t="n">
        <v>6.11</v>
      </c>
      <c r="P1570" s="14" t="n">
        <v>0.12</v>
      </c>
      <c r="Q1570" s="14" t="n">
        <v>0.61</v>
      </c>
      <c r="R1570" s="14" t="n">
        <v>0</v>
      </c>
      <c r="S1570" s="14" t="n">
        <v>1.1</v>
      </c>
      <c r="T1570" s="14" t="n">
        <v>0.98</v>
      </c>
      <c r="U1570" s="14" t="n">
        <v>11.25</v>
      </c>
      <c r="V1570" s="14" t="n">
        <v>15.04</v>
      </c>
      <c r="W1570" s="14" t="n">
        <v>4.16</v>
      </c>
      <c r="X1570" s="14" t="n">
        <v>0.37</v>
      </c>
      <c r="Y1570" s="14" t="n">
        <v>0.61</v>
      </c>
      <c r="Z1570" s="14" t="n">
        <v>2.93</v>
      </c>
      <c r="AA1570" s="14" t="n">
        <v>0</v>
      </c>
    </row>
    <row r="1571">
      <c r="A1571" t="inlineStr">
        <is>
          <t>040606</t>
        </is>
      </c>
      <c r="B1571" t="inlineStr">
        <is>
          <t>AREQUIPA</t>
        </is>
      </c>
      <c r="C1571" t="inlineStr">
        <is>
          <t>CONDESUYOS</t>
        </is>
      </c>
      <c r="D1571" t="inlineStr">
        <is>
          <t>RIO GRANDE</t>
        </is>
      </c>
      <c r="E1571" t="n">
        <v>1722</v>
      </c>
      <c r="F1571" s="14" t="n">
        <v>0</v>
      </c>
      <c r="G1571" s="14" t="n">
        <v>20.85</v>
      </c>
      <c r="H1571" s="14" t="n">
        <v>40.94</v>
      </c>
      <c r="I1571" s="14" t="n">
        <v>3.6</v>
      </c>
      <c r="J1571" s="14" t="n">
        <v>0</v>
      </c>
      <c r="K1571" s="14" t="n">
        <v>0</v>
      </c>
      <c r="L1571" s="14" t="n">
        <v>4.36</v>
      </c>
      <c r="M1571" s="14" t="n">
        <v>9.76</v>
      </c>
      <c r="N1571" s="14" t="n">
        <v>5.57</v>
      </c>
      <c r="O1571" s="14" t="n">
        <v>5.17</v>
      </c>
      <c r="P1571" s="14" t="n">
        <v>0.35</v>
      </c>
      <c r="Q1571" s="14" t="n">
        <v>0.06</v>
      </c>
      <c r="R1571" s="14" t="n">
        <v>0</v>
      </c>
      <c r="S1571" s="14" t="n">
        <v>1.68</v>
      </c>
      <c r="T1571" s="14" t="n">
        <v>2.38</v>
      </c>
      <c r="U1571" s="14" t="n">
        <v>1.51</v>
      </c>
      <c r="V1571" s="14" t="n">
        <v>1.92</v>
      </c>
      <c r="W1571" s="14" t="n">
        <v>0.99</v>
      </c>
      <c r="X1571" s="14" t="n">
        <v>0.06</v>
      </c>
      <c r="Y1571" s="14" t="n">
        <v>0.64</v>
      </c>
      <c r="Z1571" s="14" t="n">
        <v>0.17</v>
      </c>
      <c r="AA1571" s="14" t="n">
        <v>0</v>
      </c>
    </row>
    <row r="1572">
      <c r="A1572" t="inlineStr">
        <is>
          <t>020110</t>
        </is>
      </c>
      <c r="B1572" t="inlineStr">
        <is>
          <t>ANCASH</t>
        </is>
      </c>
      <c r="C1572" t="inlineStr">
        <is>
          <t>HUARAZ</t>
        </is>
      </c>
      <c r="D1572" t="inlineStr">
        <is>
          <t>PARIACOTO</t>
        </is>
      </c>
      <c r="E1572" t="n">
        <v>1597</v>
      </c>
      <c r="F1572" s="14" t="n">
        <v>0</v>
      </c>
      <c r="G1572" s="14" t="n">
        <v>69.06999999999999</v>
      </c>
      <c r="H1572" s="14" t="n">
        <v>0.31</v>
      </c>
      <c r="I1572" s="14" t="n">
        <v>1</v>
      </c>
      <c r="J1572" s="14" t="n">
        <v>0</v>
      </c>
      <c r="K1572" s="14" t="n">
        <v>0</v>
      </c>
      <c r="L1572" s="14" t="n">
        <v>2.44</v>
      </c>
      <c r="M1572" s="14" t="n">
        <v>11.33</v>
      </c>
      <c r="N1572" s="14" t="n">
        <v>3.07</v>
      </c>
      <c r="O1572" s="14" t="n">
        <v>3.07</v>
      </c>
      <c r="P1572" s="14" t="n">
        <v>0.19</v>
      </c>
      <c r="Q1572" s="14" t="n">
        <v>0.19</v>
      </c>
      <c r="R1572" s="14" t="n">
        <v>0</v>
      </c>
      <c r="S1572" s="14" t="n">
        <v>0.75</v>
      </c>
      <c r="T1572" s="14" t="n">
        <v>0.13</v>
      </c>
      <c r="U1572" s="14" t="n">
        <v>3.19</v>
      </c>
      <c r="V1572" s="14" t="n">
        <v>3.19</v>
      </c>
      <c r="W1572" s="14" t="n">
        <v>0.8100000000000001</v>
      </c>
      <c r="X1572" s="14" t="n">
        <v>0.06</v>
      </c>
      <c r="Y1572" s="14" t="n">
        <v>0.88</v>
      </c>
      <c r="Z1572" s="14" t="n">
        <v>0.31</v>
      </c>
      <c r="AA1572" s="14" t="n">
        <v>0</v>
      </c>
    </row>
    <row r="1573">
      <c r="A1573" t="inlineStr">
        <is>
          <t>050621</t>
        </is>
      </c>
      <c r="B1573" t="inlineStr">
        <is>
          <t>AYACUCHO</t>
        </is>
      </c>
      <c r="C1573" t="inlineStr">
        <is>
          <t>LUCANAS</t>
        </is>
      </c>
      <c r="D1573" t="inlineStr">
        <is>
          <t>SANTA LUCIA</t>
        </is>
      </c>
      <c r="E1573" t="n">
        <v>693</v>
      </c>
      <c r="F1573" s="14" t="n">
        <v>0</v>
      </c>
      <c r="G1573" s="14" t="n">
        <v>39.39</v>
      </c>
      <c r="H1573" s="14" t="n">
        <v>23.52</v>
      </c>
      <c r="I1573" s="14" t="n">
        <v>2.74</v>
      </c>
      <c r="J1573" s="14" t="n">
        <v>0.29</v>
      </c>
      <c r="K1573" s="14" t="n">
        <v>0</v>
      </c>
      <c r="L1573" s="14" t="n">
        <v>3.17</v>
      </c>
      <c r="M1573" s="14" t="n">
        <v>7.79</v>
      </c>
      <c r="N1573" s="14" t="n">
        <v>1.73</v>
      </c>
      <c r="O1573" s="14" t="n">
        <v>4.62</v>
      </c>
      <c r="P1573" s="14" t="n">
        <v>0.14</v>
      </c>
      <c r="Q1573" s="14" t="n">
        <v>0</v>
      </c>
      <c r="R1573" s="14" t="n">
        <v>0</v>
      </c>
      <c r="S1573" s="14" t="n">
        <v>1.15</v>
      </c>
      <c r="T1573" s="14" t="n">
        <v>1.15</v>
      </c>
      <c r="U1573" s="14" t="n">
        <v>2.16</v>
      </c>
      <c r="V1573" s="14" t="n">
        <v>4.76</v>
      </c>
      <c r="W1573" s="14" t="n">
        <v>1.44</v>
      </c>
      <c r="X1573" s="14" t="n">
        <v>2.89</v>
      </c>
      <c r="Y1573" s="14" t="n">
        <v>2.45</v>
      </c>
      <c r="Z1573" s="14" t="n">
        <v>0.58</v>
      </c>
      <c r="AA1573" s="14" t="n">
        <v>0</v>
      </c>
    </row>
    <row r="1574">
      <c r="A1574" t="inlineStr">
        <is>
          <t>040104</t>
        </is>
      </c>
      <c r="B1574" t="inlineStr">
        <is>
          <t>AREQUIPA</t>
        </is>
      </c>
      <c r="C1574" t="inlineStr">
        <is>
          <t>AREQUIPA</t>
        </is>
      </c>
      <c r="D1574" t="inlineStr">
        <is>
          <t>CERRO COLORADO</t>
        </is>
      </c>
      <c r="E1574" t="n">
        <v>88703</v>
      </c>
      <c r="F1574" s="14" t="n">
        <v>0</v>
      </c>
      <c r="G1574" s="14" t="n">
        <v>5.05</v>
      </c>
      <c r="H1574" s="14" t="n">
        <v>1.91</v>
      </c>
      <c r="I1574" s="14" t="n">
        <v>10.32</v>
      </c>
      <c r="J1574" s="14" t="n">
        <v>0.11</v>
      </c>
      <c r="K1574" s="14" t="n">
        <v>0.34</v>
      </c>
      <c r="L1574" s="14" t="n">
        <v>11.67</v>
      </c>
      <c r="M1574" s="14" t="n">
        <v>23.17</v>
      </c>
      <c r="N1574" s="14" t="n">
        <v>12.24</v>
      </c>
      <c r="O1574" s="14" t="n">
        <v>7.57</v>
      </c>
      <c r="P1574" s="14" t="n">
        <v>0.91</v>
      </c>
      <c r="Q1574" s="14" t="n">
        <v>1.14</v>
      </c>
      <c r="R1574" s="14" t="n">
        <v>0.18</v>
      </c>
      <c r="S1574" s="14" t="n">
        <v>5.1</v>
      </c>
      <c r="T1574" s="14" t="n">
        <v>3.42</v>
      </c>
      <c r="U1574" s="14" t="n">
        <v>3.05</v>
      </c>
      <c r="V1574" s="14" t="n">
        <v>5.11</v>
      </c>
      <c r="W1574" s="14" t="n">
        <v>2.78</v>
      </c>
      <c r="X1574" s="14" t="n">
        <v>0.8100000000000001</v>
      </c>
      <c r="Y1574" s="14" t="n">
        <v>3.2</v>
      </c>
      <c r="Z1574" s="14" t="n">
        <v>1.94</v>
      </c>
      <c r="AA1574" s="14" t="n">
        <v>0</v>
      </c>
    </row>
    <row r="1575">
      <c r="A1575" t="inlineStr">
        <is>
          <t>090411</t>
        </is>
      </c>
      <c r="B1575" t="inlineStr">
        <is>
          <t>HUANCAVELICA</t>
        </is>
      </c>
      <c r="C1575" t="inlineStr">
        <is>
          <t>CASTROVIRREYNA</t>
        </is>
      </c>
      <c r="D1575" t="inlineStr">
        <is>
          <t>SANTA ANA</t>
        </is>
      </c>
      <c r="E1575" t="n">
        <v>570</v>
      </c>
      <c r="F1575" s="14" t="n">
        <v>0</v>
      </c>
      <c r="G1575" s="14" t="n">
        <v>60.53</v>
      </c>
      <c r="H1575" s="14" t="n">
        <v>10</v>
      </c>
      <c r="I1575" s="14" t="n">
        <v>0.18</v>
      </c>
      <c r="J1575" s="14" t="n">
        <v>0.18</v>
      </c>
      <c r="K1575" s="14" t="n">
        <v>0.18</v>
      </c>
      <c r="L1575" s="14" t="n">
        <v>4.91</v>
      </c>
      <c r="M1575" s="14" t="n">
        <v>8.25</v>
      </c>
      <c r="N1575" s="14" t="n">
        <v>1.58</v>
      </c>
      <c r="O1575" s="14" t="n">
        <v>1.75</v>
      </c>
      <c r="P1575" s="14" t="n">
        <v>0</v>
      </c>
      <c r="Q1575" s="14" t="n">
        <v>0</v>
      </c>
      <c r="R1575" s="14" t="n">
        <v>0</v>
      </c>
      <c r="S1575" s="14" t="n">
        <v>2.11</v>
      </c>
      <c r="T1575" s="14" t="n">
        <v>0.7</v>
      </c>
      <c r="U1575" s="14" t="n">
        <v>6.49</v>
      </c>
      <c r="V1575" s="14" t="n">
        <v>1.4</v>
      </c>
      <c r="W1575" s="14" t="n">
        <v>1.58</v>
      </c>
      <c r="X1575" s="14" t="n">
        <v>0</v>
      </c>
      <c r="Y1575" s="14" t="n">
        <v>0.18</v>
      </c>
      <c r="Z1575" s="14" t="n">
        <v>0</v>
      </c>
      <c r="AA1575" s="14" t="n">
        <v>0</v>
      </c>
    </row>
    <row r="1576">
      <c r="A1576" t="inlineStr">
        <is>
          <t>050612</t>
        </is>
      </c>
      <c r="B1576" t="inlineStr">
        <is>
          <t>AYACUCHO</t>
        </is>
      </c>
      <c r="C1576" t="inlineStr">
        <is>
          <t>LUCANAS</t>
        </is>
      </c>
      <c r="D1576" t="inlineStr">
        <is>
          <t>OCAÑA</t>
        </is>
      </c>
      <c r="E1576" t="n">
        <v>819</v>
      </c>
      <c r="F1576" s="14" t="n">
        <v>0</v>
      </c>
      <c r="G1576" s="14" t="n">
        <v>56.04</v>
      </c>
      <c r="H1576" s="14" t="n">
        <v>10.01</v>
      </c>
      <c r="I1576" s="14" t="n">
        <v>2.56</v>
      </c>
      <c r="J1576" s="14" t="n">
        <v>0</v>
      </c>
      <c r="K1576" s="14" t="n">
        <v>0</v>
      </c>
      <c r="L1576" s="14" t="n">
        <v>3.05</v>
      </c>
      <c r="M1576" s="14" t="n">
        <v>7.69</v>
      </c>
      <c r="N1576" s="14" t="n">
        <v>1.71</v>
      </c>
      <c r="O1576" s="14" t="n">
        <v>2.81</v>
      </c>
      <c r="P1576" s="14" t="n">
        <v>0.24</v>
      </c>
      <c r="Q1576" s="14" t="n">
        <v>0.24</v>
      </c>
      <c r="R1576" s="14" t="n">
        <v>0</v>
      </c>
      <c r="S1576" s="14" t="n">
        <v>2.69</v>
      </c>
      <c r="T1576" s="14" t="n">
        <v>0.12</v>
      </c>
      <c r="U1576" s="14" t="n">
        <v>2.56</v>
      </c>
      <c r="V1576" s="14" t="n">
        <v>5.74</v>
      </c>
      <c r="W1576" s="14" t="n">
        <v>2.2</v>
      </c>
      <c r="X1576" s="14" t="n">
        <v>0.24</v>
      </c>
      <c r="Y1576" s="14" t="n">
        <v>1.95</v>
      </c>
      <c r="Z1576" s="14" t="n">
        <v>0.12</v>
      </c>
      <c r="AA1576" s="14" t="n">
        <v>0</v>
      </c>
    </row>
    <row r="1577">
      <c r="A1577" t="inlineStr">
        <is>
          <t>040404</t>
        </is>
      </c>
      <c r="B1577" t="inlineStr">
        <is>
          <t>AREQUIPA</t>
        </is>
      </c>
      <c r="C1577" t="inlineStr">
        <is>
          <t>CASTILLA</t>
        </is>
      </c>
      <c r="D1577" t="inlineStr">
        <is>
          <t>CHACHAS</t>
        </is>
      </c>
      <c r="E1577" t="n">
        <v>893</v>
      </c>
      <c r="F1577" s="14" t="n">
        <v>0</v>
      </c>
      <c r="G1577" s="14" t="n">
        <v>61.48</v>
      </c>
      <c r="H1577" s="14" t="n">
        <v>12.88</v>
      </c>
      <c r="I1577" s="14" t="n">
        <v>0.34</v>
      </c>
      <c r="J1577" s="14" t="n">
        <v>0</v>
      </c>
      <c r="K1577" s="14" t="n">
        <v>0</v>
      </c>
      <c r="L1577" s="14" t="n">
        <v>6.94</v>
      </c>
      <c r="M1577" s="14" t="n">
        <v>6.61</v>
      </c>
      <c r="N1577" s="14" t="n">
        <v>2.58</v>
      </c>
      <c r="O1577" s="14" t="n">
        <v>2.58</v>
      </c>
      <c r="P1577" s="14" t="n">
        <v>0</v>
      </c>
      <c r="Q1577" s="14" t="n">
        <v>0</v>
      </c>
      <c r="R1577" s="14" t="n">
        <v>0</v>
      </c>
      <c r="S1577" s="14" t="n">
        <v>1.12</v>
      </c>
      <c r="T1577" s="14" t="n">
        <v>0.34</v>
      </c>
      <c r="U1577" s="14" t="n">
        <v>1.34</v>
      </c>
      <c r="V1577" s="14" t="n">
        <v>2.35</v>
      </c>
      <c r="W1577" s="14" t="n">
        <v>1.12</v>
      </c>
      <c r="X1577" s="14" t="n">
        <v>0</v>
      </c>
      <c r="Y1577" s="14" t="n">
        <v>0.34</v>
      </c>
      <c r="Z1577" s="14" t="n">
        <v>0</v>
      </c>
      <c r="AA1577" s="14" t="n">
        <v>0</v>
      </c>
    </row>
    <row r="1578">
      <c r="A1578" t="inlineStr">
        <is>
          <t>040410</t>
        </is>
      </c>
      <c r="B1578" t="inlineStr">
        <is>
          <t>AREQUIPA</t>
        </is>
      </c>
      <c r="C1578" t="inlineStr">
        <is>
          <t>CASTILLA</t>
        </is>
      </c>
      <c r="D1578" t="inlineStr">
        <is>
          <t>PAMPACOLCA</t>
        </is>
      </c>
      <c r="E1578" t="n">
        <v>932</v>
      </c>
      <c r="F1578" s="14" t="n">
        <v>0</v>
      </c>
      <c r="G1578" s="14" t="n">
        <v>67.92</v>
      </c>
      <c r="H1578" s="14" t="n">
        <v>0.32</v>
      </c>
      <c r="I1578" s="14" t="n">
        <v>3.86</v>
      </c>
      <c r="J1578" s="14" t="n">
        <v>0</v>
      </c>
      <c r="K1578" s="14" t="n">
        <v>0.11</v>
      </c>
      <c r="L1578" s="14" t="n">
        <v>2.25</v>
      </c>
      <c r="M1578" s="14" t="n">
        <v>8.26</v>
      </c>
      <c r="N1578" s="14" t="n">
        <v>1.39</v>
      </c>
      <c r="O1578" s="14" t="n">
        <v>3.11</v>
      </c>
      <c r="P1578" s="14" t="n">
        <v>0</v>
      </c>
      <c r="Q1578" s="14" t="n">
        <v>0.21</v>
      </c>
      <c r="R1578" s="14" t="n">
        <v>0</v>
      </c>
      <c r="S1578" s="14" t="n">
        <v>0.43</v>
      </c>
      <c r="T1578" s="14" t="n">
        <v>1.07</v>
      </c>
      <c r="U1578" s="14" t="n">
        <v>4.4</v>
      </c>
      <c r="V1578" s="14" t="n">
        <v>4.4</v>
      </c>
      <c r="W1578" s="14" t="n">
        <v>0.86</v>
      </c>
      <c r="X1578" s="14" t="n">
        <v>0.43</v>
      </c>
      <c r="Y1578" s="14" t="n">
        <v>0.75</v>
      </c>
      <c r="Z1578" s="14" t="n">
        <v>0.21</v>
      </c>
      <c r="AA1578" s="14" t="n">
        <v>0</v>
      </c>
    </row>
    <row r="1579">
      <c r="A1579" t="inlineStr">
        <is>
          <t>021210</t>
        </is>
      </c>
      <c r="B1579" t="inlineStr">
        <is>
          <t>ANCASH</t>
        </is>
      </c>
      <c r="C1579" t="inlineStr">
        <is>
          <t>HUAYLAS</t>
        </is>
      </c>
      <c r="D1579" t="inlineStr">
        <is>
          <t>YURACMARCA</t>
        </is>
      </c>
      <c r="E1579" t="n">
        <v>410</v>
      </c>
      <c r="F1579" s="14" t="n">
        <v>0</v>
      </c>
      <c r="G1579" s="14" t="n">
        <v>63.17</v>
      </c>
      <c r="H1579" s="14" t="n">
        <v>0.24</v>
      </c>
      <c r="I1579" s="14" t="n">
        <v>1.71</v>
      </c>
      <c r="J1579" s="14" t="n">
        <v>0.49</v>
      </c>
      <c r="K1579" s="14" t="n">
        <v>0.49</v>
      </c>
      <c r="L1579" s="14" t="n">
        <v>2.44</v>
      </c>
      <c r="M1579" s="14" t="n">
        <v>8.539999999999999</v>
      </c>
      <c r="N1579" s="14" t="n">
        <v>4.15</v>
      </c>
      <c r="O1579" s="14" t="n">
        <v>2.93</v>
      </c>
      <c r="P1579" s="14" t="n">
        <v>0</v>
      </c>
      <c r="Q1579" s="14" t="n">
        <v>0</v>
      </c>
      <c r="R1579" s="14" t="n">
        <v>0</v>
      </c>
      <c r="S1579" s="14" t="n">
        <v>0.73</v>
      </c>
      <c r="T1579" s="14" t="n">
        <v>0.98</v>
      </c>
      <c r="U1579" s="14" t="n">
        <v>4.39</v>
      </c>
      <c r="V1579" s="14" t="n">
        <v>5.61</v>
      </c>
      <c r="W1579" s="14" t="n">
        <v>3.66</v>
      </c>
      <c r="X1579" s="14" t="n">
        <v>0</v>
      </c>
      <c r="Y1579" s="14" t="n">
        <v>0.49</v>
      </c>
      <c r="Z1579" s="14" t="n">
        <v>0</v>
      </c>
      <c r="AA1579" s="14" t="n">
        <v>0</v>
      </c>
    </row>
    <row r="1580">
      <c r="A1580" t="inlineStr">
        <is>
          <t>050701</t>
        </is>
      </c>
      <c r="B1580" t="inlineStr">
        <is>
          <t>AYACUCHO</t>
        </is>
      </c>
      <c r="C1580" t="inlineStr">
        <is>
          <t>PARINACOCHAS</t>
        </is>
      </c>
      <c r="D1580" t="inlineStr">
        <is>
          <t>CORACORA</t>
        </is>
      </c>
      <c r="E1580" t="n">
        <v>4857</v>
      </c>
      <c r="F1580" s="14" t="n">
        <v>0</v>
      </c>
      <c r="G1580" s="14" t="n">
        <v>28.31</v>
      </c>
      <c r="H1580" s="14" t="n">
        <v>1.38</v>
      </c>
      <c r="I1580" s="14" t="n">
        <v>3.03</v>
      </c>
      <c r="J1580" s="14" t="n">
        <v>0.16</v>
      </c>
      <c r="K1580" s="14" t="n">
        <v>0.1</v>
      </c>
      <c r="L1580" s="14" t="n">
        <v>5.66</v>
      </c>
      <c r="M1580" s="14" t="n">
        <v>15.46</v>
      </c>
      <c r="N1580" s="14" t="n">
        <v>4.36</v>
      </c>
      <c r="O1580" s="14" t="n">
        <v>4.69</v>
      </c>
      <c r="P1580" s="14" t="n">
        <v>0.47</v>
      </c>
      <c r="Q1580" s="14" t="n">
        <v>0.86</v>
      </c>
      <c r="R1580" s="14" t="n">
        <v>0</v>
      </c>
      <c r="S1580" s="14" t="n">
        <v>4.32</v>
      </c>
      <c r="T1580" s="14" t="n">
        <v>0.74</v>
      </c>
      <c r="U1580" s="14" t="n">
        <v>5.6</v>
      </c>
      <c r="V1580" s="14" t="n">
        <v>17.34</v>
      </c>
      <c r="W1580" s="14" t="n">
        <v>3.97</v>
      </c>
      <c r="X1580" s="14" t="n">
        <v>0.23</v>
      </c>
      <c r="Y1580" s="14" t="n">
        <v>2.41</v>
      </c>
      <c r="Z1580" s="14" t="n">
        <v>0.89</v>
      </c>
      <c r="AA1580" s="14" t="n">
        <v>0</v>
      </c>
    </row>
    <row r="1581">
      <c r="A1581" t="inlineStr">
        <is>
          <t>050116</t>
        </is>
      </c>
      <c r="B1581" t="inlineStr">
        <is>
          <t>AYACUCHO</t>
        </is>
      </c>
      <c r="C1581" t="inlineStr">
        <is>
          <t>HUAMANGA</t>
        </is>
      </c>
      <c r="D1581" t="inlineStr">
        <is>
          <t>ANDRES AVELINO CACERES DORREGARAY</t>
        </is>
      </c>
      <c r="E1581" t="n">
        <v>12143</v>
      </c>
      <c r="F1581" s="14" t="n">
        <v>0</v>
      </c>
      <c r="G1581" s="14" t="n">
        <v>8.699999999999999</v>
      </c>
      <c r="H1581" s="14" t="n">
        <v>0.17</v>
      </c>
      <c r="I1581" s="14" t="n">
        <v>19.06</v>
      </c>
      <c r="J1581" s="14" t="n">
        <v>0.05</v>
      </c>
      <c r="K1581" s="14" t="n">
        <v>0.2</v>
      </c>
      <c r="L1581" s="14" t="n">
        <v>7.64</v>
      </c>
      <c r="M1581" s="14" t="n">
        <v>18</v>
      </c>
      <c r="N1581" s="14" t="n">
        <v>9.859999999999999</v>
      </c>
      <c r="O1581" s="14" t="n">
        <v>7.28</v>
      </c>
      <c r="P1581" s="14" t="n">
        <v>0.67</v>
      </c>
      <c r="Q1581" s="14" t="n">
        <v>0.82</v>
      </c>
      <c r="R1581" s="14" t="n">
        <v>0.05</v>
      </c>
      <c r="S1581" s="14" t="n">
        <v>5.84</v>
      </c>
      <c r="T1581" s="14" t="n">
        <v>1.78</v>
      </c>
      <c r="U1581" s="14" t="n">
        <v>5.04</v>
      </c>
      <c r="V1581" s="14" t="n">
        <v>7.11</v>
      </c>
      <c r="W1581" s="14" t="n">
        <v>2.93</v>
      </c>
      <c r="X1581" s="14" t="n">
        <v>0.79</v>
      </c>
      <c r="Y1581" s="14" t="n">
        <v>3.18</v>
      </c>
      <c r="Z1581" s="14" t="n">
        <v>0.82</v>
      </c>
      <c r="AA1581" s="14" t="n">
        <v>0</v>
      </c>
    </row>
    <row r="1582">
      <c r="A1582" t="inlineStr">
        <is>
          <t>080307</t>
        </is>
      </c>
      <c r="B1582" t="inlineStr">
        <is>
          <t>CUSCO</t>
        </is>
      </c>
      <c r="C1582" t="inlineStr">
        <is>
          <t>ANTA</t>
        </is>
      </c>
      <c r="D1582" t="inlineStr">
        <is>
          <t>MOLLEPATA</t>
        </is>
      </c>
      <c r="E1582" t="n">
        <v>1175</v>
      </c>
      <c r="F1582" s="14" t="n">
        <v>0</v>
      </c>
      <c r="G1582" s="14" t="n">
        <v>59.83</v>
      </c>
      <c r="H1582" s="14" t="n">
        <v>0.26</v>
      </c>
      <c r="I1582" s="14" t="n">
        <v>1.79</v>
      </c>
      <c r="J1582" s="14" t="n">
        <v>0</v>
      </c>
      <c r="K1582" s="14" t="n">
        <v>0</v>
      </c>
      <c r="L1582" s="14" t="n">
        <v>4.51</v>
      </c>
      <c r="M1582" s="14" t="n">
        <v>6.72</v>
      </c>
      <c r="N1582" s="14" t="n">
        <v>5.19</v>
      </c>
      <c r="O1582" s="14" t="n">
        <v>7.06</v>
      </c>
      <c r="P1582" s="14" t="n">
        <v>0.26</v>
      </c>
      <c r="Q1582" s="14" t="n">
        <v>0.34</v>
      </c>
      <c r="R1582" s="14" t="n">
        <v>0.26</v>
      </c>
      <c r="S1582" s="14" t="n">
        <v>1.7</v>
      </c>
      <c r="T1582" s="14" t="n">
        <v>3.06</v>
      </c>
      <c r="U1582" s="14" t="n">
        <v>4</v>
      </c>
      <c r="V1582" s="14" t="n">
        <v>2.21</v>
      </c>
      <c r="W1582" s="14" t="n">
        <v>1.79</v>
      </c>
      <c r="X1582" s="14" t="n">
        <v>0.17</v>
      </c>
      <c r="Y1582" s="14" t="n">
        <v>0.43</v>
      </c>
      <c r="Z1582" s="14" t="n">
        <v>0.43</v>
      </c>
      <c r="AA1582" s="14" t="n">
        <v>0</v>
      </c>
    </row>
    <row r="1583">
      <c r="A1583" t="inlineStr">
        <is>
          <t>040702</t>
        </is>
      </c>
      <c r="B1583" t="inlineStr">
        <is>
          <t>AREQUIPA</t>
        </is>
      </c>
      <c r="C1583" t="inlineStr">
        <is>
          <t>ISLAY</t>
        </is>
      </c>
      <c r="D1583" t="inlineStr">
        <is>
          <t>COCACHACRA</t>
        </is>
      </c>
      <c r="E1583" t="n">
        <v>3904</v>
      </c>
      <c r="F1583" s="14" t="n">
        <v>0</v>
      </c>
      <c r="G1583" s="14" t="n">
        <v>38.5</v>
      </c>
      <c r="H1583" s="14" t="n">
        <v>0.92</v>
      </c>
      <c r="I1583" s="14" t="n">
        <v>5.33</v>
      </c>
      <c r="J1583" s="14" t="n">
        <v>0</v>
      </c>
      <c r="K1583" s="14" t="n">
        <v>0.1</v>
      </c>
      <c r="L1583" s="14" t="n">
        <v>7.43</v>
      </c>
      <c r="M1583" s="14" t="n">
        <v>16.19</v>
      </c>
      <c r="N1583" s="14" t="n">
        <v>7.27</v>
      </c>
      <c r="O1583" s="14" t="n">
        <v>6.66</v>
      </c>
      <c r="P1583" s="14" t="n">
        <v>0.23</v>
      </c>
      <c r="Q1583" s="14" t="n">
        <v>0.95</v>
      </c>
      <c r="R1583" s="14" t="n">
        <v>0.1</v>
      </c>
      <c r="S1583" s="14" t="n">
        <v>2.05</v>
      </c>
      <c r="T1583" s="14" t="n">
        <v>2.54</v>
      </c>
      <c r="U1583" s="14" t="n">
        <v>3.33</v>
      </c>
      <c r="V1583" s="14" t="n">
        <v>3.87</v>
      </c>
      <c r="W1583" s="14" t="n">
        <v>1.43</v>
      </c>
      <c r="X1583" s="14" t="n">
        <v>0.15</v>
      </c>
      <c r="Y1583" s="14" t="n">
        <v>2.15</v>
      </c>
      <c r="Z1583" s="14" t="n">
        <v>0.79</v>
      </c>
      <c r="AA1583" s="14" t="n">
        <v>0</v>
      </c>
    </row>
    <row r="1584">
      <c r="A1584" t="inlineStr">
        <is>
          <t>010115</t>
        </is>
      </c>
      <c r="B1584" t="inlineStr">
        <is>
          <t>AMAZONAS</t>
        </is>
      </c>
      <c r="C1584" t="inlineStr">
        <is>
          <t>CHACHAPOYAS</t>
        </is>
      </c>
      <c r="D1584" t="inlineStr">
        <is>
          <t>MONTEVIDEO</t>
        </is>
      </c>
      <c r="E1584" t="n">
        <v>165</v>
      </c>
      <c r="F1584" s="14" t="n">
        <v>0</v>
      </c>
      <c r="G1584" s="14" t="n">
        <v>57.58</v>
      </c>
      <c r="H1584" s="14" t="n">
        <v>0</v>
      </c>
      <c r="I1584" s="14" t="n">
        <v>3.64</v>
      </c>
      <c r="J1584" s="14" t="n">
        <v>0</v>
      </c>
      <c r="K1584" s="14" t="n">
        <v>0</v>
      </c>
      <c r="L1584" s="14" t="n">
        <v>3.64</v>
      </c>
      <c r="M1584" s="14" t="n">
        <v>4.85</v>
      </c>
      <c r="N1584" s="14" t="n">
        <v>1.82</v>
      </c>
      <c r="O1584" s="14" t="n">
        <v>0.61</v>
      </c>
      <c r="P1584" s="14" t="n">
        <v>0</v>
      </c>
      <c r="Q1584" s="14" t="n">
        <v>0</v>
      </c>
      <c r="R1584" s="14" t="n">
        <v>0</v>
      </c>
      <c r="S1584" s="14" t="n">
        <v>7.88</v>
      </c>
      <c r="T1584" s="14" t="n">
        <v>1.21</v>
      </c>
      <c r="U1584" s="14" t="n">
        <v>4.24</v>
      </c>
      <c r="V1584" s="14" t="n">
        <v>10.91</v>
      </c>
      <c r="W1584" s="14" t="n">
        <v>1.82</v>
      </c>
      <c r="X1584" s="14" t="n">
        <v>0</v>
      </c>
      <c r="Y1584" s="14" t="n">
        <v>0.61</v>
      </c>
      <c r="Z1584" s="14" t="n">
        <v>1.21</v>
      </c>
      <c r="AA1584" s="14" t="n">
        <v>0</v>
      </c>
    </row>
    <row r="1585">
      <c r="A1585" t="inlineStr">
        <is>
          <t>061105</t>
        </is>
      </c>
      <c r="B1585" t="inlineStr">
        <is>
          <t>CAJAMARCA</t>
        </is>
      </c>
      <c r="C1585" t="inlineStr">
        <is>
          <t>SAN MIGUEL</t>
        </is>
      </c>
      <c r="D1585" t="inlineStr">
        <is>
          <t>EL PRADO</t>
        </is>
      </c>
      <c r="E1585" t="n">
        <v>399</v>
      </c>
      <c r="F1585" s="14" t="n">
        <v>0</v>
      </c>
      <c r="G1585" s="14" t="n">
        <v>77.69</v>
      </c>
      <c r="H1585" s="14" t="n">
        <v>0.25</v>
      </c>
      <c r="I1585" s="14" t="n">
        <v>1.25</v>
      </c>
      <c r="J1585" s="14" t="n">
        <v>0</v>
      </c>
      <c r="K1585" s="14" t="n">
        <v>0</v>
      </c>
      <c r="L1585" s="14" t="n">
        <v>1.75</v>
      </c>
      <c r="M1585" s="14" t="n">
        <v>5.26</v>
      </c>
      <c r="N1585" s="14" t="n">
        <v>1.25</v>
      </c>
      <c r="O1585" s="14" t="n">
        <v>1.25</v>
      </c>
      <c r="P1585" s="14" t="n">
        <v>0</v>
      </c>
      <c r="Q1585" s="14" t="n">
        <v>0</v>
      </c>
      <c r="R1585" s="14" t="n">
        <v>0</v>
      </c>
      <c r="S1585" s="14" t="n">
        <v>1</v>
      </c>
      <c r="T1585" s="14" t="n">
        <v>0</v>
      </c>
      <c r="U1585" s="14" t="n">
        <v>2.76</v>
      </c>
      <c r="V1585" s="14" t="n">
        <v>4.51</v>
      </c>
      <c r="W1585" s="14" t="n">
        <v>2.26</v>
      </c>
      <c r="X1585" s="14" t="n">
        <v>0</v>
      </c>
      <c r="Y1585" s="14" t="n">
        <v>0.5</v>
      </c>
      <c r="Z1585" s="14" t="n">
        <v>0.25</v>
      </c>
      <c r="AA1585" s="14" t="n">
        <v>0</v>
      </c>
    </row>
    <row r="1586">
      <c r="A1586" t="inlineStr">
        <is>
          <t>021505</t>
        </is>
      </c>
      <c r="B1586" t="inlineStr">
        <is>
          <t>ANCASH</t>
        </is>
      </c>
      <c r="C1586" t="inlineStr">
        <is>
          <t>PALLASCA</t>
        </is>
      </c>
      <c r="D1586" t="inlineStr">
        <is>
          <t>HUANDOVAL</t>
        </is>
      </c>
      <c r="E1586" t="n">
        <v>322</v>
      </c>
      <c r="F1586" s="14" t="n">
        <v>0</v>
      </c>
      <c r="G1586" s="14" t="n">
        <v>65.22</v>
      </c>
      <c r="H1586" s="14" t="n">
        <v>4.04</v>
      </c>
      <c r="I1586" s="14" t="n">
        <v>2.17</v>
      </c>
      <c r="J1586" s="14" t="n">
        <v>0</v>
      </c>
      <c r="K1586" s="14" t="n">
        <v>0</v>
      </c>
      <c r="L1586" s="14" t="n">
        <v>5.59</v>
      </c>
      <c r="M1586" s="14" t="n">
        <v>6.83</v>
      </c>
      <c r="N1586" s="14" t="n">
        <v>0.31</v>
      </c>
      <c r="O1586" s="14" t="n">
        <v>0.62</v>
      </c>
      <c r="P1586" s="14" t="n">
        <v>0</v>
      </c>
      <c r="Q1586" s="14" t="n">
        <v>0</v>
      </c>
      <c r="R1586" s="14" t="n">
        <v>0</v>
      </c>
      <c r="S1586" s="14" t="n">
        <v>0.62</v>
      </c>
      <c r="T1586" s="14" t="n">
        <v>0</v>
      </c>
      <c r="U1586" s="14" t="n">
        <v>4.04</v>
      </c>
      <c r="V1586" s="14" t="n">
        <v>5.28</v>
      </c>
      <c r="W1586" s="14" t="n">
        <v>1.24</v>
      </c>
      <c r="X1586" s="14" t="n">
        <v>1.55</v>
      </c>
      <c r="Y1586" s="14" t="n">
        <v>2.17</v>
      </c>
      <c r="Z1586" s="14" t="n">
        <v>0.31</v>
      </c>
      <c r="AA1586" s="14" t="n">
        <v>0</v>
      </c>
    </row>
    <row r="1587">
      <c r="A1587" t="inlineStr">
        <is>
          <t>020604</t>
        </is>
      </c>
      <c r="B1587" t="inlineStr">
        <is>
          <t>ANCASH</t>
        </is>
      </c>
      <c r="C1587" t="inlineStr">
        <is>
          <t>CARHUAZ</t>
        </is>
      </c>
      <c r="D1587" t="inlineStr">
        <is>
          <t>ANTA</t>
        </is>
      </c>
      <c r="E1587" t="n">
        <v>588</v>
      </c>
      <c r="F1587" s="14" t="n">
        <v>0</v>
      </c>
      <c r="G1587" s="14" t="n">
        <v>52.38</v>
      </c>
      <c r="H1587" s="14" t="n">
        <v>0.34</v>
      </c>
      <c r="I1587" s="14" t="n">
        <v>3.4</v>
      </c>
      <c r="J1587" s="14" t="n">
        <v>0.17</v>
      </c>
      <c r="K1587" s="14" t="n">
        <v>0.17</v>
      </c>
      <c r="L1587" s="14" t="n">
        <v>6.29</v>
      </c>
      <c r="M1587" s="14" t="n">
        <v>6.8</v>
      </c>
      <c r="N1587" s="14" t="n">
        <v>4.08</v>
      </c>
      <c r="O1587" s="14" t="n">
        <v>2.55</v>
      </c>
      <c r="P1587" s="14" t="n">
        <v>0.34</v>
      </c>
      <c r="Q1587" s="14" t="n">
        <v>0.34</v>
      </c>
      <c r="R1587" s="14" t="n">
        <v>0</v>
      </c>
      <c r="S1587" s="14" t="n">
        <v>1.87</v>
      </c>
      <c r="T1587" s="14" t="n">
        <v>2.04</v>
      </c>
      <c r="U1587" s="14" t="n">
        <v>3.57</v>
      </c>
      <c r="V1587" s="14" t="n">
        <v>6.12</v>
      </c>
      <c r="W1587" s="14" t="n">
        <v>2.55</v>
      </c>
      <c r="X1587" s="14" t="n">
        <v>0.68</v>
      </c>
      <c r="Y1587" s="14" t="n">
        <v>4.93</v>
      </c>
      <c r="Z1587" s="14" t="n">
        <v>1.36</v>
      </c>
      <c r="AA1587" s="14" t="n">
        <v>0</v>
      </c>
    </row>
    <row r="1588">
      <c r="A1588" t="inlineStr">
        <is>
          <t>060107</t>
        </is>
      </c>
      <c r="B1588" t="inlineStr">
        <is>
          <t>CAJAMARCA</t>
        </is>
      </c>
      <c r="C1588" t="inlineStr">
        <is>
          <t>CAJAMARCA</t>
        </is>
      </c>
      <c r="D1588" t="inlineStr">
        <is>
          <t>LLACANORA</t>
        </is>
      </c>
      <c r="E1588" t="n">
        <v>1391</v>
      </c>
      <c r="F1588" s="14" t="n">
        <v>0</v>
      </c>
      <c r="G1588" s="14" t="n">
        <v>43.13</v>
      </c>
      <c r="H1588" s="14" t="n">
        <v>0.29</v>
      </c>
      <c r="I1588" s="14" t="n">
        <v>7.19</v>
      </c>
      <c r="J1588" s="14" t="n">
        <v>0.07000000000000001</v>
      </c>
      <c r="K1588" s="14" t="n">
        <v>0.07000000000000001</v>
      </c>
      <c r="L1588" s="14" t="n">
        <v>13.95</v>
      </c>
      <c r="M1588" s="14" t="n">
        <v>8.99</v>
      </c>
      <c r="N1588" s="14" t="n">
        <v>10.06</v>
      </c>
      <c r="O1588" s="14" t="n">
        <v>3.74</v>
      </c>
      <c r="P1588" s="14" t="n">
        <v>0.29</v>
      </c>
      <c r="Q1588" s="14" t="n">
        <v>0.07000000000000001</v>
      </c>
      <c r="R1588" s="14" t="n">
        <v>0.07000000000000001</v>
      </c>
      <c r="S1588" s="14" t="n">
        <v>2.01</v>
      </c>
      <c r="T1588" s="14" t="n">
        <v>2.01</v>
      </c>
      <c r="U1588" s="14" t="n">
        <v>1.51</v>
      </c>
      <c r="V1588" s="14" t="n">
        <v>2.08</v>
      </c>
      <c r="W1588" s="14" t="n">
        <v>0.72</v>
      </c>
      <c r="X1588" s="14" t="n">
        <v>0.36</v>
      </c>
      <c r="Y1588" s="14" t="n">
        <v>1.22</v>
      </c>
      <c r="Z1588" s="14" t="n">
        <v>2.16</v>
      </c>
      <c r="AA1588" s="14" t="n">
        <v>0</v>
      </c>
    </row>
    <row r="1589">
      <c r="A1589" t="inlineStr">
        <is>
          <t>010602</t>
        </is>
      </c>
      <c r="B1589" t="inlineStr">
        <is>
          <t>AMAZONAS</t>
        </is>
      </c>
      <c r="C1589" t="inlineStr">
        <is>
          <t>RODRIGUEZ DE MENDOZA</t>
        </is>
      </c>
      <c r="D1589" t="inlineStr">
        <is>
          <t>CHIRIMOTO</t>
        </is>
      </c>
      <c r="E1589" t="n">
        <v>936</v>
      </c>
      <c r="F1589" s="14" t="n">
        <v>0</v>
      </c>
      <c r="G1589" s="14" t="n">
        <v>87.18000000000001</v>
      </c>
      <c r="H1589" s="14" t="n">
        <v>0</v>
      </c>
      <c r="I1589" s="14" t="n">
        <v>0.96</v>
      </c>
      <c r="J1589" s="14" t="n">
        <v>0</v>
      </c>
      <c r="K1589" s="14" t="n">
        <v>0</v>
      </c>
      <c r="L1589" s="14" t="n">
        <v>0.85</v>
      </c>
      <c r="M1589" s="14" t="n">
        <v>3.53</v>
      </c>
      <c r="N1589" s="14" t="n">
        <v>0.64</v>
      </c>
      <c r="O1589" s="14" t="n">
        <v>1.18</v>
      </c>
      <c r="P1589" s="14" t="n">
        <v>0</v>
      </c>
      <c r="Q1589" s="14" t="n">
        <v>0</v>
      </c>
      <c r="R1589" s="14" t="n">
        <v>0</v>
      </c>
      <c r="S1589" s="14" t="n">
        <v>0.32</v>
      </c>
      <c r="T1589" s="14" t="n">
        <v>0.11</v>
      </c>
      <c r="U1589" s="14" t="n">
        <v>0.43</v>
      </c>
      <c r="V1589" s="14" t="n">
        <v>3.21</v>
      </c>
      <c r="W1589" s="14" t="n">
        <v>1.5</v>
      </c>
      <c r="X1589" s="14" t="n">
        <v>0</v>
      </c>
      <c r="Y1589" s="14" t="n">
        <v>0.11</v>
      </c>
      <c r="Z1589" s="14" t="n">
        <v>0</v>
      </c>
      <c r="AA1589" s="14" t="n">
        <v>0</v>
      </c>
    </row>
    <row r="1590">
      <c r="A1590" t="inlineStr">
        <is>
          <t>040125</t>
        </is>
      </c>
      <c r="B1590" t="inlineStr">
        <is>
          <t>AREQUIPA</t>
        </is>
      </c>
      <c r="C1590" t="inlineStr">
        <is>
          <t>AREQUIPA</t>
        </is>
      </c>
      <c r="D1590" t="inlineStr">
        <is>
          <t>VITOR</t>
        </is>
      </c>
      <c r="E1590" t="n">
        <v>1836</v>
      </c>
      <c r="F1590" s="14" t="n">
        <v>0</v>
      </c>
      <c r="G1590" s="14" t="n">
        <v>49.24</v>
      </c>
      <c r="H1590" s="14" t="n">
        <v>0.82</v>
      </c>
      <c r="I1590" s="14" t="n">
        <v>7.03</v>
      </c>
      <c r="J1590" s="14" t="n">
        <v>0.05</v>
      </c>
      <c r="K1590" s="14" t="n">
        <v>0.16</v>
      </c>
      <c r="L1590" s="14" t="n">
        <v>6.43</v>
      </c>
      <c r="M1590" s="14" t="n">
        <v>12.15</v>
      </c>
      <c r="N1590" s="14" t="n">
        <v>6.81</v>
      </c>
      <c r="O1590" s="14" t="n">
        <v>3.92</v>
      </c>
      <c r="P1590" s="14" t="n">
        <v>0.38</v>
      </c>
      <c r="Q1590" s="14" t="n">
        <v>0</v>
      </c>
      <c r="R1590" s="14" t="n">
        <v>0.11</v>
      </c>
      <c r="S1590" s="14" t="n">
        <v>2.02</v>
      </c>
      <c r="T1590" s="14" t="n">
        <v>2.18</v>
      </c>
      <c r="U1590" s="14" t="n">
        <v>2.89</v>
      </c>
      <c r="V1590" s="14" t="n">
        <v>2.07</v>
      </c>
      <c r="W1590" s="14" t="n">
        <v>0.87</v>
      </c>
      <c r="X1590" s="14" t="n">
        <v>0.44</v>
      </c>
      <c r="Y1590" s="14" t="n">
        <v>1.69</v>
      </c>
      <c r="Z1590" s="14" t="n">
        <v>0.76</v>
      </c>
      <c r="AA1590" s="14" t="n">
        <v>0</v>
      </c>
    </row>
    <row r="1591">
      <c r="A1591" t="inlineStr">
        <is>
          <t>040405</t>
        </is>
      </c>
      <c r="B1591" t="inlineStr">
        <is>
          <t>AREQUIPA</t>
        </is>
      </c>
      <c r="C1591" t="inlineStr">
        <is>
          <t>CASTILLA</t>
        </is>
      </c>
      <c r="D1591" t="inlineStr">
        <is>
          <t>CHILCAYMARCA</t>
        </is>
      </c>
      <c r="E1591" t="n">
        <v>377</v>
      </c>
      <c r="F1591" s="14" t="n">
        <v>0</v>
      </c>
      <c r="G1591" s="14" t="n">
        <v>42.71</v>
      </c>
      <c r="H1591" s="14" t="n">
        <v>17.77</v>
      </c>
      <c r="I1591" s="14" t="n">
        <v>2.65</v>
      </c>
      <c r="J1591" s="14" t="n">
        <v>0</v>
      </c>
      <c r="K1591" s="14" t="n">
        <v>0.27</v>
      </c>
      <c r="L1591" s="14" t="n">
        <v>13</v>
      </c>
      <c r="M1591" s="14" t="n">
        <v>5.84</v>
      </c>
      <c r="N1591" s="14" t="n">
        <v>3.45</v>
      </c>
      <c r="O1591" s="14" t="n">
        <v>3.45</v>
      </c>
      <c r="P1591" s="14" t="n">
        <v>0</v>
      </c>
      <c r="Q1591" s="14" t="n">
        <v>0.27</v>
      </c>
      <c r="R1591" s="14" t="n">
        <v>0</v>
      </c>
      <c r="S1591" s="14" t="n">
        <v>1.86</v>
      </c>
      <c r="T1591" s="14" t="n">
        <v>2.65</v>
      </c>
      <c r="U1591" s="14" t="n">
        <v>3.18</v>
      </c>
      <c r="V1591" s="14" t="n">
        <v>0.8</v>
      </c>
      <c r="W1591" s="14" t="n">
        <v>1.06</v>
      </c>
      <c r="X1591" s="14" t="n">
        <v>0</v>
      </c>
      <c r="Y1591" s="14" t="n">
        <v>1.06</v>
      </c>
      <c r="Z1591" s="14" t="n">
        <v>0</v>
      </c>
      <c r="AA1591" s="14" t="n">
        <v>0</v>
      </c>
    </row>
    <row r="1592">
      <c r="A1592" t="inlineStr">
        <is>
          <t>050115</t>
        </is>
      </c>
      <c r="B1592" t="inlineStr">
        <is>
          <t>AYACUCHO</t>
        </is>
      </c>
      <c r="C1592" t="inlineStr">
        <is>
          <t>HUAMANGA</t>
        </is>
      </c>
      <c r="D1592" t="inlineStr">
        <is>
          <t>JESUS NAZARENO</t>
        </is>
      </c>
      <c r="E1592" t="n">
        <v>7721</v>
      </c>
      <c r="F1592" s="14" t="n">
        <v>0</v>
      </c>
      <c r="G1592" s="14" t="n">
        <v>8.369999999999999</v>
      </c>
      <c r="H1592" s="14" t="n">
        <v>0.22</v>
      </c>
      <c r="I1592" s="14" t="n">
        <v>4.57</v>
      </c>
      <c r="J1592" s="14" t="n">
        <v>0.09</v>
      </c>
      <c r="K1592" s="14" t="n">
        <v>0.13</v>
      </c>
      <c r="L1592" s="14" t="n">
        <v>7.23</v>
      </c>
      <c r="M1592" s="14" t="n">
        <v>23.83</v>
      </c>
      <c r="N1592" s="14" t="n">
        <v>11.01</v>
      </c>
      <c r="O1592" s="14" t="n">
        <v>7.67</v>
      </c>
      <c r="P1592" s="14" t="n">
        <v>1.11</v>
      </c>
      <c r="Q1592" s="14" t="n">
        <v>1.01</v>
      </c>
      <c r="R1592" s="14" t="n">
        <v>0.06</v>
      </c>
      <c r="S1592" s="14" t="n">
        <v>7.56</v>
      </c>
      <c r="T1592" s="14" t="n">
        <v>1.92</v>
      </c>
      <c r="U1592" s="14" t="n">
        <v>5.66</v>
      </c>
      <c r="V1592" s="14" t="n">
        <v>10.3</v>
      </c>
      <c r="W1592" s="14" t="n">
        <v>3.77</v>
      </c>
      <c r="X1592" s="14" t="n">
        <v>1.11</v>
      </c>
      <c r="Y1592" s="14" t="n">
        <v>3.63</v>
      </c>
      <c r="Z1592" s="14" t="n">
        <v>0.75</v>
      </c>
      <c r="AA1592" s="14" t="n">
        <v>0</v>
      </c>
    </row>
    <row r="1593">
      <c r="A1593" t="inlineStr">
        <is>
          <t>040607</t>
        </is>
      </c>
      <c r="B1593" t="inlineStr">
        <is>
          <t>AREQUIPA</t>
        </is>
      </c>
      <c r="C1593" t="inlineStr">
        <is>
          <t>CONDESUYOS</t>
        </is>
      </c>
      <c r="D1593" t="inlineStr">
        <is>
          <t>SALAMANCA</t>
        </is>
      </c>
      <c r="E1593" t="n">
        <v>243</v>
      </c>
      <c r="F1593" s="14" t="n">
        <v>0</v>
      </c>
      <c r="G1593" s="14" t="n">
        <v>86.42</v>
      </c>
      <c r="H1593" s="14" t="n">
        <v>0.41</v>
      </c>
      <c r="I1593" s="14" t="n">
        <v>0</v>
      </c>
      <c r="J1593" s="14" t="n">
        <v>0</v>
      </c>
      <c r="K1593" s="14" t="n">
        <v>0</v>
      </c>
      <c r="L1593" s="14" t="n">
        <v>2.47</v>
      </c>
      <c r="M1593" s="14" t="n">
        <v>1.23</v>
      </c>
      <c r="N1593" s="14" t="n">
        <v>0</v>
      </c>
      <c r="O1593" s="14" t="n">
        <v>0.82</v>
      </c>
      <c r="P1593" s="14" t="n">
        <v>0</v>
      </c>
      <c r="Q1593" s="14" t="n">
        <v>0.41</v>
      </c>
      <c r="R1593" s="14" t="n">
        <v>0</v>
      </c>
      <c r="S1593" s="14" t="n">
        <v>0</v>
      </c>
      <c r="T1593" s="14" t="n">
        <v>0.41</v>
      </c>
      <c r="U1593" s="14" t="n">
        <v>4.53</v>
      </c>
      <c r="V1593" s="14" t="n">
        <v>2.88</v>
      </c>
      <c r="W1593" s="14" t="n">
        <v>0</v>
      </c>
      <c r="X1593" s="14" t="n">
        <v>0</v>
      </c>
      <c r="Y1593" s="14" t="n">
        <v>0.41</v>
      </c>
      <c r="Z1593" s="14" t="n">
        <v>0</v>
      </c>
      <c r="AA1593" s="14" t="n">
        <v>0</v>
      </c>
    </row>
    <row r="1594">
      <c r="A1594" t="inlineStr">
        <is>
          <t>010102</t>
        </is>
      </c>
      <c r="B1594" t="inlineStr">
        <is>
          <t>AMAZONAS</t>
        </is>
      </c>
      <c r="C1594" t="inlineStr">
        <is>
          <t>CHACHAPOYAS</t>
        </is>
      </c>
      <c r="D1594" t="inlineStr">
        <is>
          <t>ASUNCION</t>
        </is>
      </c>
      <c r="E1594" t="n">
        <v>90</v>
      </c>
      <c r="F1594" s="14" t="n">
        <v>0</v>
      </c>
      <c r="G1594" s="14" t="n">
        <v>68.89</v>
      </c>
      <c r="H1594" s="14" t="n">
        <v>0</v>
      </c>
      <c r="I1594" s="14" t="n">
        <v>2.22</v>
      </c>
      <c r="J1594" s="14" t="n">
        <v>0</v>
      </c>
      <c r="K1594" s="14" t="n">
        <v>0</v>
      </c>
      <c r="L1594" s="14" t="n">
        <v>3.33</v>
      </c>
      <c r="M1594" s="14" t="n">
        <v>3.33</v>
      </c>
      <c r="N1594" s="14" t="n">
        <v>0</v>
      </c>
      <c r="O1594" s="14" t="n">
        <v>1.11</v>
      </c>
      <c r="P1594" s="14" t="n">
        <v>0</v>
      </c>
      <c r="Q1594" s="14" t="n">
        <v>0</v>
      </c>
      <c r="R1594" s="14" t="n">
        <v>0</v>
      </c>
      <c r="S1594" s="14" t="n">
        <v>2.22</v>
      </c>
      <c r="T1594" s="14" t="n">
        <v>0</v>
      </c>
      <c r="U1594" s="14" t="n">
        <v>7.78</v>
      </c>
      <c r="V1594" s="14" t="n">
        <v>8.890000000000001</v>
      </c>
      <c r="W1594" s="14" t="n">
        <v>1.11</v>
      </c>
      <c r="X1594" s="14" t="n">
        <v>0</v>
      </c>
      <c r="Y1594" s="14" t="n">
        <v>0</v>
      </c>
      <c r="Z1594" s="14" t="n">
        <v>1.11</v>
      </c>
      <c r="AA1594" s="14" t="n">
        <v>0</v>
      </c>
    </row>
    <row r="1595">
      <c r="A1595" t="inlineStr">
        <is>
          <t>021401</t>
        </is>
      </c>
      <c r="B1595" t="inlineStr">
        <is>
          <t>ANCASH</t>
        </is>
      </c>
      <c r="C1595" t="inlineStr">
        <is>
          <t>OCROS</t>
        </is>
      </c>
      <c r="D1595" t="inlineStr">
        <is>
          <t>OCROS</t>
        </is>
      </c>
      <c r="E1595" t="n">
        <v>510</v>
      </c>
      <c r="F1595" s="14" t="n">
        <v>0</v>
      </c>
      <c r="G1595" s="14" t="n">
        <v>51.37</v>
      </c>
      <c r="H1595" s="14" t="n">
        <v>0.2</v>
      </c>
      <c r="I1595" s="14" t="n">
        <v>1.96</v>
      </c>
      <c r="J1595" s="14" t="n">
        <v>0</v>
      </c>
      <c r="K1595" s="14" t="n">
        <v>0.59</v>
      </c>
      <c r="L1595" s="14" t="n">
        <v>9.02</v>
      </c>
      <c r="M1595" s="14" t="n">
        <v>10</v>
      </c>
      <c r="N1595" s="14" t="n">
        <v>3.92</v>
      </c>
      <c r="O1595" s="14" t="n">
        <v>2.94</v>
      </c>
      <c r="P1595" s="14" t="n">
        <v>0</v>
      </c>
      <c r="Q1595" s="14" t="n">
        <v>0.2</v>
      </c>
      <c r="R1595" s="14" t="n">
        <v>0</v>
      </c>
      <c r="S1595" s="14" t="n">
        <v>0.59</v>
      </c>
      <c r="T1595" s="14" t="n">
        <v>0.59</v>
      </c>
      <c r="U1595" s="14" t="n">
        <v>10.98</v>
      </c>
      <c r="V1595" s="14" t="n">
        <v>5.1</v>
      </c>
      <c r="W1595" s="14" t="n">
        <v>1.96</v>
      </c>
      <c r="X1595" s="14" t="n">
        <v>0</v>
      </c>
      <c r="Y1595" s="14" t="n">
        <v>0.2</v>
      </c>
      <c r="Z1595" s="14" t="n">
        <v>0.39</v>
      </c>
      <c r="AA1595" s="14" t="n">
        <v>0</v>
      </c>
    </row>
    <row r="1596">
      <c r="A1596" t="inlineStr">
        <is>
          <t>040509</t>
        </is>
      </c>
      <c r="B1596" t="inlineStr">
        <is>
          <t>AREQUIPA</t>
        </is>
      </c>
      <c r="C1596" t="inlineStr">
        <is>
          <t>CAYLLOMA</t>
        </is>
      </c>
      <c r="D1596" t="inlineStr">
        <is>
          <t>ICHUPAMPA</t>
        </is>
      </c>
      <c r="E1596" t="n">
        <v>284</v>
      </c>
      <c r="F1596" s="14" t="n">
        <v>0</v>
      </c>
      <c r="G1596" s="14" t="n">
        <v>69.01000000000001</v>
      </c>
      <c r="H1596" s="14" t="n">
        <v>0.35</v>
      </c>
      <c r="I1596" s="14" t="n">
        <v>1.06</v>
      </c>
      <c r="J1596" s="14" t="n">
        <v>0.35</v>
      </c>
      <c r="K1596" s="14" t="n">
        <v>0.35</v>
      </c>
      <c r="L1596" s="14" t="n">
        <v>3.52</v>
      </c>
      <c r="M1596" s="14" t="n">
        <v>4.58</v>
      </c>
      <c r="N1596" s="14" t="n">
        <v>2.11</v>
      </c>
      <c r="O1596" s="14" t="n">
        <v>4.93</v>
      </c>
      <c r="P1596" s="14" t="n">
        <v>0</v>
      </c>
      <c r="Q1596" s="14" t="n">
        <v>0.35</v>
      </c>
      <c r="R1596" s="14" t="n">
        <v>0</v>
      </c>
      <c r="S1596" s="14" t="n">
        <v>1.41</v>
      </c>
      <c r="T1596" s="14" t="n">
        <v>2.46</v>
      </c>
      <c r="U1596" s="14" t="n">
        <v>3.52</v>
      </c>
      <c r="V1596" s="14" t="n">
        <v>2.11</v>
      </c>
      <c r="W1596" s="14" t="n">
        <v>0.35</v>
      </c>
      <c r="X1596" s="14" t="n">
        <v>0</v>
      </c>
      <c r="Y1596" s="14" t="n">
        <v>3.17</v>
      </c>
      <c r="Z1596" s="14" t="n">
        <v>0.35</v>
      </c>
      <c r="AA1596" s="14" t="n">
        <v>0</v>
      </c>
    </row>
    <row r="1597">
      <c r="A1597" t="inlineStr">
        <is>
          <t>040510</t>
        </is>
      </c>
      <c r="B1597" t="inlineStr">
        <is>
          <t>AREQUIPA</t>
        </is>
      </c>
      <c r="C1597" t="inlineStr">
        <is>
          <t>CAYLLOMA</t>
        </is>
      </c>
      <c r="D1597" t="inlineStr">
        <is>
          <t>LARI</t>
        </is>
      </c>
      <c r="E1597" t="n">
        <v>446</v>
      </c>
      <c r="F1597" s="14" t="n">
        <v>0</v>
      </c>
      <c r="G1597" s="14" t="n">
        <v>63.68</v>
      </c>
      <c r="H1597" s="14" t="n">
        <v>0.67</v>
      </c>
      <c r="I1597" s="14" t="n">
        <v>3.59</v>
      </c>
      <c r="J1597" s="14" t="n">
        <v>0</v>
      </c>
      <c r="K1597" s="14" t="n">
        <v>0</v>
      </c>
      <c r="L1597" s="14" t="n">
        <v>15.92</v>
      </c>
      <c r="M1597" s="14" t="n">
        <v>4.48</v>
      </c>
      <c r="N1597" s="14" t="n">
        <v>1.79</v>
      </c>
      <c r="O1597" s="14" t="n">
        <v>1.79</v>
      </c>
      <c r="P1597" s="14" t="n">
        <v>0.22</v>
      </c>
      <c r="Q1597" s="14" t="n">
        <v>0.22</v>
      </c>
      <c r="R1597" s="14" t="n">
        <v>0</v>
      </c>
      <c r="S1597" s="14" t="n">
        <v>0.67</v>
      </c>
      <c r="T1597" s="14" t="n">
        <v>0</v>
      </c>
      <c r="U1597" s="14" t="n">
        <v>4.48</v>
      </c>
      <c r="V1597" s="14" t="n">
        <v>1.79</v>
      </c>
      <c r="W1597" s="14" t="n">
        <v>0.22</v>
      </c>
      <c r="X1597" s="14" t="n">
        <v>0.22</v>
      </c>
      <c r="Y1597" s="14" t="n">
        <v>0</v>
      </c>
      <c r="Z1597" s="14" t="n">
        <v>0.22</v>
      </c>
      <c r="AA1597" s="14" t="n">
        <v>0</v>
      </c>
    </row>
    <row r="1598">
      <c r="A1598" t="inlineStr">
        <is>
          <t>080206</t>
        </is>
      </c>
      <c r="B1598" t="inlineStr">
        <is>
          <t>CUSCO</t>
        </is>
      </c>
      <c r="C1598" t="inlineStr">
        <is>
          <t>ACOMAYO</t>
        </is>
      </c>
      <c r="D1598" t="inlineStr">
        <is>
          <t>RONDOCAN</t>
        </is>
      </c>
      <c r="E1598" t="n">
        <v>849</v>
      </c>
      <c r="F1598" s="14" t="n">
        <v>0</v>
      </c>
      <c r="G1598" s="14" t="n">
        <v>83.63</v>
      </c>
      <c r="H1598" s="14" t="n">
        <v>0</v>
      </c>
      <c r="I1598" s="14" t="n">
        <v>0.82</v>
      </c>
      <c r="J1598" s="14" t="n">
        <v>0</v>
      </c>
      <c r="K1598" s="14" t="n">
        <v>0</v>
      </c>
      <c r="L1598" s="14" t="n">
        <v>2.47</v>
      </c>
      <c r="M1598" s="14" t="n">
        <v>4.36</v>
      </c>
      <c r="N1598" s="14" t="n">
        <v>0.71</v>
      </c>
      <c r="O1598" s="14" t="n">
        <v>1.53</v>
      </c>
      <c r="P1598" s="14" t="n">
        <v>0</v>
      </c>
      <c r="Q1598" s="14" t="n">
        <v>0</v>
      </c>
      <c r="R1598" s="14" t="n">
        <v>0</v>
      </c>
      <c r="S1598" s="14" t="n">
        <v>0.35</v>
      </c>
      <c r="T1598" s="14" t="n">
        <v>0.59</v>
      </c>
      <c r="U1598" s="14" t="n">
        <v>0.9399999999999999</v>
      </c>
      <c r="V1598" s="14" t="n">
        <v>1.53</v>
      </c>
      <c r="W1598" s="14" t="n">
        <v>0.35</v>
      </c>
      <c r="X1598" s="14" t="n">
        <v>0</v>
      </c>
      <c r="Y1598" s="14" t="n">
        <v>1.88</v>
      </c>
      <c r="Z1598" s="14" t="n">
        <v>0.82</v>
      </c>
      <c r="AA1598" s="14" t="n">
        <v>0</v>
      </c>
    </row>
    <row r="1599">
      <c r="A1599" t="inlineStr">
        <is>
          <t>010603</t>
        </is>
      </c>
      <c r="B1599" t="inlineStr">
        <is>
          <t>AMAZONAS</t>
        </is>
      </c>
      <c r="C1599" t="inlineStr">
        <is>
          <t>RODRIGUEZ DE MENDOZA</t>
        </is>
      </c>
      <c r="D1599" t="inlineStr">
        <is>
          <t>COCHAMAL</t>
        </is>
      </c>
      <c r="E1599" t="n">
        <v>258</v>
      </c>
      <c r="F1599" s="14" t="n">
        <v>0</v>
      </c>
      <c r="G1599" s="14" t="n">
        <v>75.19</v>
      </c>
      <c r="H1599" s="14" t="n">
        <v>0</v>
      </c>
      <c r="I1599" s="14" t="n">
        <v>0.78</v>
      </c>
      <c r="J1599" s="14" t="n">
        <v>0</v>
      </c>
      <c r="K1599" s="14" t="n">
        <v>0</v>
      </c>
      <c r="L1599" s="14" t="n">
        <v>1.94</v>
      </c>
      <c r="M1599" s="14" t="n">
        <v>3.49</v>
      </c>
      <c r="N1599" s="14" t="n">
        <v>2.33</v>
      </c>
      <c r="O1599" s="14" t="n">
        <v>1.16</v>
      </c>
      <c r="P1599" s="14" t="n">
        <v>0</v>
      </c>
      <c r="Q1599" s="14" t="n">
        <v>0</v>
      </c>
      <c r="R1599" s="14" t="n">
        <v>0</v>
      </c>
      <c r="S1599" s="14" t="n">
        <v>0.39</v>
      </c>
      <c r="T1599" s="14" t="n">
        <v>0</v>
      </c>
      <c r="U1599" s="14" t="n">
        <v>5.43</v>
      </c>
      <c r="V1599" s="14" t="n">
        <v>6.59</v>
      </c>
      <c r="W1599" s="14" t="n">
        <v>1.16</v>
      </c>
      <c r="X1599" s="14" t="n">
        <v>1.16</v>
      </c>
      <c r="Y1599" s="14" t="n">
        <v>0</v>
      </c>
      <c r="Z1599" s="14" t="n">
        <v>0.39</v>
      </c>
      <c r="AA1599" s="14" t="n">
        <v>0</v>
      </c>
    </row>
    <row r="1600">
      <c r="A1600" t="inlineStr">
        <is>
          <t>021005</t>
        </is>
      </c>
      <c r="B1600" t="inlineStr">
        <is>
          <t>ANCASH</t>
        </is>
      </c>
      <c r="C1600" t="inlineStr">
        <is>
          <t>HUARI</t>
        </is>
      </c>
      <c r="D1600" t="inlineStr">
        <is>
          <t>HUACACHI</t>
        </is>
      </c>
      <c r="E1600" t="n">
        <v>447</v>
      </c>
      <c r="F1600" s="14" t="n">
        <v>0</v>
      </c>
      <c r="G1600" s="14" t="n">
        <v>64.20999999999999</v>
      </c>
      <c r="H1600" s="14" t="n">
        <v>0</v>
      </c>
      <c r="I1600" s="14" t="n">
        <v>1.12</v>
      </c>
      <c r="J1600" s="14" t="n">
        <v>0</v>
      </c>
      <c r="K1600" s="14" t="n">
        <v>0</v>
      </c>
      <c r="L1600" s="14" t="n">
        <v>4.03</v>
      </c>
      <c r="M1600" s="14" t="n">
        <v>5.59</v>
      </c>
      <c r="N1600" s="14" t="n">
        <v>0.67</v>
      </c>
      <c r="O1600" s="14" t="n">
        <v>2.01</v>
      </c>
      <c r="P1600" s="14" t="n">
        <v>0</v>
      </c>
      <c r="Q1600" s="14" t="n">
        <v>0</v>
      </c>
      <c r="R1600" s="14" t="n">
        <v>0</v>
      </c>
      <c r="S1600" s="14" t="n">
        <v>1.12</v>
      </c>
      <c r="T1600" s="14" t="n">
        <v>0.45</v>
      </c>
      <c r="U1600" s="14" t="n">
        <v>4.7</v>
      </c>
      <c r="V1600" s="14" t="n">
        <v>8.949999999999999</v>
      </c>
      <c r="W1600" s="14" t="n">
        <v>1.34</v>
      </c>
      <c r="X1600" s="14" t="n">
        <v>0</v>
      </c>
      <c r="Y1600" s="14" t="n">
        <v>4.03</v>
      </c>
      <c r="Z1600" s="14" t="n">
        <v>1.79</v>
      </c>
      <c r="AA1600" s="14" t="n">
        <v>0</v>
      </c>
    </row>
    <row r="1601">
      <c r="A1601" t="inlineStr">
        <is>
          <t>030302</t>
        </is>
      </c>
      <c r="B1601" t="inlineStr">
        <is>
          <t>APURIMAC</t>
        </is>
      </c>
      <c r="C1601" t="inlineStr">
        <is>
          <t>ANTABAMBA</t>
        </is>
      </c>
      <c r="D1601" t="inlineStr">
        <is>
          <t>EL ORO</t>
        </is>
      </c>
      <c r="E1601" t="n">
        <v>201</v>
      </c>
      <c r="F1601" s="14" t="n">
        <v>0</v>
      </c>
      <c r="G1601" s="14" t="n">
        <v>79.09999999999999</v>
      </c>
      <c r="H1601" s="14" t="n">
        <v>0.5</v>
      </c>
      <c r="I1601" s="14" t="n">
        <v>0.5</v>
      </c>
      <c r="J1601" s="14" t="n">
        <v>0.5</v>
      </c>
      <c r="K1601" s="14" t="n">
        <v>0</v>
      </c>
      <c r="L1601" s="14" t="n">
        <v>1</v>
      </c>
      <c r="M1601" s="14" t="n">
        <v>4.98</v>
      </c>
      <c r="N1601" s="14" t="n">
        <v>1</v>
      </c>
      <c r="O1601" s="14" t="n">
        <v>0</v>
      </c>
      <c r="P1601" s="14" t="n">
        <v>0</v>
      </c>
      <c r="Q1601" s="14" t="n">
        <v>0</v>
      </c>
      <c r="R1601" s="14" t="n">
        <v>0</v>
      </c>
      <c r="S1601" s="14" t="n">
        <v>0</v>
      </c>
      <c r="T1601" s="14" t="n">
        <v>0</v>
      </c>
      <c r="U1601" s="14" t="n">
        <v>4.48</v>
      </c>
      <c r="V1601" s="14" t="n">
        <v>5.97</v>
      </c>
      <c r="W1601" s="14" t="n">
        <v>1.49</v>
      </c>
      <c r="X1601" s="14" t="n">
        <v>0</v>
      </c>
      <c r="Y1601" s="14" t="n">
        <v>0.5</v>
      </c>
      <c r="Z1601" s="14" t="n">
        <v>0</v>
      </c>
      <c r="AA1601" s="14" t="n">
        <v>0</v>
      </c>
    </row>
    <row r="1602">
      <c r="A1602" t="inlineStr">
        <is>
          <t>040122</t>
        </is>
      </c>
      <c r="B1602" t="inlineStr">
        <is>
          <t>AREQUIPA</t>
        </is>
      </c>
      <c r="C1602" t="inlineStr">
        <is>
          <t>AREQUIPA</t>
        </is>
      </c>
      <c r="D1602" t="inlineStr">
        <is>
          <t>SOCABAYA</t>
        </is>
      </c>
      <c r="E1602" t="n">
        <v>35107</v>
      </c>
      <c r="F1602" s="14" t="n">
        <v>0</v>
      </c>
      <c r="G1602" s="14" t="n">
        <v>3.39</v>
      </c>
      <c r="H1602" s="14" t="n">
        <v>1.78</v>
      </c>
      <c r="I1602" s="14" t="n">
        <v>12.25</v>
      </c>
      <c r="J1602" s="14" t="n">
        <v>0.13</v>
      </c>
      <c r="K1602" s="14" t="n">
        <v>0.28</v>
      </c>
      <c r="L1602" s="14" t="n">
        <v>9.19</v>
      </c>
      <c r="M1602" s="14" t="n">
        <v>21.61</v>
      </c>
      <c r="N1602" s="14" t="n">
        <v>10.81</v>
      </c>
      <c r="O1602" s="14" t="n">
        <v>6.79</v>
      </c>
      <c r="P1602" s="14" t="n">
        <v>0.98</v>
      </c>
      <c r="Q1602" s="14" t="n">
        <v>1.24</v>
      </c>
      <c r="R1602" s="14" t="n">
        <v>0.11</v>
      </c>
      <c r="S1602" s="14" t="n">
        <v>5.43</v>
      </c>
      <c r="T1602" s="14" t="n">
        <v>3.36</v>
      </c>
      <c r="U1602" s="14" t="n">
        <v>7.05</v>
      </c>
      <c r="V1602" s="14" t="n">
        <v>7.14</v>
      </c>
      <c r="W1602" s="14" t="n">
        <v>3.49</v>
      </c>
      <c r="X1602" s="14" t="n">
        <v>0.9</v>
      </c>
      <c r="Y1602" s="14" t="n">
        <v>2.84</v>
      </c>
      <c r="Z1602" s="14" t="n">
        <v>1.23</v>
      </c>
      <c r="AA1602" s="14" t="n">
        <v>0</v>
      </c>
    </row>
    <row r="1603">
      <c r="A1603" t="inlineStr">
        <is>
          <t>061110</t>
        </is>
      </c>
      <c r="B1603" t="inlineStr">
        <is>
          <t>CAJAMARCA</t>
        </is>
      </c>
      <c r="C1603" t="inlineStr">
        <is>
          <t>SAN MIGUEL</t>
        </is>
      </c>
      <c r="D1603" t="inlineStr">
        <is>
          <t>SAN GREGORIO</t>
        </is>
      </c>
      <c r="E1603" t="n">
        <v>784</v>
      </c>
      <c r="F1603" s="14" t="n">
        <v>0</v>
      </c>
      <c r="G1603" s="14" t="n">
        <v>85.84</v>
      </c>
      <c r="H1603" s="14" t="n">
        <v>0.13</v>
      </c>
      <c r="I1603" s="14" t="n">
        <v>0.26</v>
      </c>
      <c r="J1603" s="14" t="n">
        <v>0</v>
      </c>
      <c r="K1603" s="14" t="n">
        <v>0</v>
      </c>
      <c r="L1603" s="14" t="n">
        <v>1.15</v>
      </c>
      <c r="M1603" s="14" t="n">
        <v>3.44</v>
      </c>
      <c r="N1603" s="14" t="n">
        <v>1.02</v>
      </c>
      <c r="O1603" s="14" t="n">
        <v>0</v>
      </c>
      <c r="P1603" s="14" t="n">
        <v>0.13</v>
      </c>
      <c r="Q1603" s="14" t="n">
        <v>0</v>
      </c>
      <c r="R1603" s="14" t="n">
        <v>0</v>
      </c>
      <c r="S1603" s="14" t="n">
        <v>0</v>
      </c>
      <c r="T1603" s="14" t="n">
        <v>0</v>
      </c>
      <c r="U1603" s="14" t="n">
        <v>2.68</v>
      </c>
      <c r="V1603" s="14" t="n">
        <v>3.57</v>
      </c>
      <c r="W1603" s="14" t="n">
        <v>1.66</v>
      </c>
      <c r="X1603" s="14" t="n">
        <v>0</v>
      </c>
      <c r="Y1603" s="14" t="n">
        <v>0.13</v>
      </c>
      <c r="Z1603" s="14" t="n">
        <v>0</v>
      </c>
      <c r="AA1603" s="14" t="n">
        <v>0</v>
      </c>
    </row>
    <row r="1604">
      <c r="A1604" t="inlineStr">
        <is>
          <t>090713</t>
        </is>
      </c>
      <c r="B1604" t="inlineStr">
        <is>
          <t>HUANCAVELICA</t>
        </is>
      </c>
      <c r="C1604" t="inlineStr">
        <is>
          <t>TAYACAJA</t>
        </is>
      </c>
      <c r="D1604" t="inlineStr">
        <is>
          <t>QUISHUAR</t>
        </is>
      </c>
      <c r="E1604" t="n">
        <v>288</v>
      </c>
      <c r="F1604" s="14" t="n">
        <v>0</v>
      </c>
      <c r="G1604" s="14" t="n">
        <v>89.58</v>
      </c>
      <c r="H1604" s="14" t="n">
        <v>0</v>
      </c>
      <c r="I1604" s="14" t="n">
        <v>0.35</v>
      </c>
      <c r="J1604" s="14" t="n">
        <v>0</v>
      </c>
      <c r="K1604" s="14" t="n">
        <v>0</v>
      </c>
      <c r="L1604" s="14" t="n">
        <v>1.04</v>
      </c>
      <c r="M1604" s="14" t="n">
        <v>2.08</v>
      </c>
      <c r="N1604" s="14" t="n">
        <v>1.39</v>
      </c>
      <c r="O1604" s="14" t="n">
        <v>0.35</v>
      </c>
      <c r="P1604" s="14" t="n">
        <v>0</v>
      </c>
      <c r="Q1604" s="14" t="n">
        <v>0</v>
      </c>
      <c r="R1604" s="14" t="n">
        <v>0</v>
      </c>
      <c r="S1604" s="14" t="n">
        <v>0.35</v>
      </c>
      <c r="T1604" s="14" t="n">
        <v>0</v>
      </c>
      <c r="U1604" s="14" t="n">
        <v>1.74</v>
      </c>
      <c r="V1604" s="14" t="n">
        <v>1.74</v>
      </c>
      <c r="W1604" s="14" t="n">
        <v>0.6899999999999999</v>
      </c>
      <c r="X1604" s="14" t="n">
        <v>0.35</v>
      </c>
      <c r="Y1604" s="14" t="n">
        <v>0.35</v>
      </c>
      <c r="Z1604" s="14" t="n">
        <v>0</v>
      </c>
      <c r="AA1604" s="14" t="n">
        <v>0</v>
      </c>
    </row>
    <row r="1605">
      <c r="A1605" t="inlineStr">
        <is>
          <t>030413</t>
        </is>
      </c>
      <c r="B1605" t="inlineStr">
        <is>
          <t>APURIMAC</t>
        </is>
      </c>
      <c r="C1605" t="inlineStr">
        <is>
          <t>AYMARAES</t>
        </is>
      </c>
      <c r="D1605" t="inlineStr">
        <is>
          <t>SORAYA</t>
        </is>
      </c>
      <c r="E1605" t="n">
        <v>188</v>
      </c>
      <c r="F1605" s="14" t="n">
        <v>0</v>
      </c>
      <c r="G1605" s="14" t="n">
        <v>71.81</v>
      </c>
      <c r="H1605" s="14" t="n">
        <v>0.53</v>
      </c>
      <c r="I1605" s="14" t="n">
        <v>1.06</v>
      </c>
      <c r="J1605" s="14" t="n">
        <v>0</v>
      </c>
      <c r="K1605" s="14" t="n">
        <v>0</v>
      </c>
      <c r="L1605" s="14" t="n">
        <v>9.039999999999999</v>
      </c>
      <c r="M1605" s="14" t="n">
        <v>3.19</v>
      </c>
      <c r="N1605" s="14" t="n">
        <v>1.6</v>
      </c>
      <c r="O1605" s="14" t="n">
        <v>2.13</v>
      </c>
      <c r="P1605" s="14" t="n">
        <v>0</v>
      </c>
      <c r="Q1605" s="14" t="n">
        <v>0</v>
      </c>
      <c r="R1605" s="14" t="n">
        <v>0</v>
      </c>
      <c r="S1605" s="14" t="n">
        <v>0</v>
      </c>
      <c r="T1605" s="14" t="n">
        <v>0</v>
      </c>
      <c r="U1605" s="14" t="n">
        <v>5.32</v>
      </c>
      <c r="V1605" s="14" t="n">
        <v>3.19</v>
      </c>
      <c r="W1605" s="14" t="n">
        <v>1.06</v>
      </c>
      <c r="X1605" s="14" t="n">
        <v>0</v>
      </c>
      <c r="Y1605" s="14" t="n">
        <v>0.53</v>
      </c>
      <c r="Z1605" s="14" t="n">
        <v>0.53</v>
      </c>
      <c r="AA1605" s="14" t="n">
        <v>0</v>
      </c>
    </row>
    <row r="1606">
      <c r="A1606" t="inlineStr">
        <is>
          <t>022007</t>
        </is>
      </c>
      <c r="B1606" t="inlineStr">
        <is>
          <t>ANCASH</t>
        </is>
      </c>
      <c r="C1606" t="inlineStr">
        <is>
          <t>YUNGAY</t>
        </is>
      </c>
      <c r="D1606" t="inlineStr">
        <is>
          <t>SHUPLUY</t>
        </is>
      </c>
      <c r="E1606" t="n">
        <v>438</v>
      </c>
      <c r="F1606" s="14" t="n">
        <v>0</v>
      </c>
      <c r="G1606" s="14" t="n">
        <v>87.20999999999999</v>
      </c>
      <c r="H1606" s="14" t="n">
        <v>0.23</v>
      </c>
      <c r="I1606" s="14" t="n">
        <v>0.23</v>
      </c>
      <c r="J1606" s="14" t="n">
        <v>0</v>
      </c>
      <c r="K1606" s="14" t="n">
        <v>0</v>
      </c>
      <c r="L1606" s="14" t="n">
        <v>0.68</v>
      </c>
      <c r="M1606" s="14" t="n">
        <v>1.83</v>
      </c>
      <c r="N1606" s="14" t="n">
        <v>0.91</v>
      </c>
      <c r="O1606" s="14" t="n">
        <v>0.46</v>
      </c>
      <c r="P1606" s="14" t="n">
        <v>0</v>
      </c>
      <c r="Q1606" s="14" t="n">
        <v>0</v>
      </c>
      <c r="R1606" s="14" t="n">
        <v>0</v>
      </c>
      <c r="S1606" s="14" t="n">
        <v>0.68</v>
      </c>
      <c r="T1606" s="14" t="n">
        <v>0</v>
      </c>
      <c r="U1606" s="14" t="n">
        <v>3.42</v>
      </c>
      <c r="V1606" s="14" t="n">
        <v>2.97</v>
      </c>
      <c r="W1606" s="14" t="n">
        <v>0.68</v>
      </c>
      <c r="X1606" s="14" t="n">
        <v>0.23</v>
      </c>
      <c r="Y1606" s="14" t="n">
        <v>0.23</v>
      </c>
      <c r="Z1606" s="14" t="n">
        <v>0.23</v>
      </c>
      <c r="AA1606" s="14" t="n">
        <v>0</v>
      </c>
    </row>
    <row r="1607">
      <c r="A1607" t="inlineStr">
        <is>
          <t>060604</t>
        </is>
      </c>
      <c r="B1607" t="inlineStr">
        <is>
          <t>CAJAMARCA</t>
        </is>
      </c>
      <c r="C1607" t="inlineStr">
        <is>
          <t>CUTERVO</t>
        </is>
      </c>
      <c r="D1607" t="inlineStr">
        <is>
          <t>CUJILLO</t>
        </is>
      </c>
      <c r="E1607" t="n">
        <v>814</v>
      </c>
      <c r="F1607" s="14" t="n">
        <v>0</v>
      </c>
      <c r="G1607" s="14" t="n">
        <v>87.22</v>
      </c>
      <c r="H1607" s="14" t="n">
        <v>0</v>
      </c>
      <c r="I1607" s="14" t="n">
        <v>0.12</v>
      </c>
      <c r="J1607" s="14" t="n">
        <v>0</v>
      </c>
      <c r="K1607" s="14" t="n">
        <v>0</v>
      </c>
      <c r="L1607" s="14" t="n">
        <v>1.11</v>
      </c>
      <c r="M1607" s="14" t="n">
        <v>0.74</v>
      </c>
      <c r="N1607" s="14" t="n">
        <v>0</v>
      </c>
      <c r="O1607" s="14" t="n">
        <v>0.98</v>
      </c>
      <c r="P1607" s="14" t="n">
        <v>0</v>
      </c>
      <c r="Q1607" s="14" t="n">
        <v>0</v>
      </c>
      <c r="R1607" s="14" t="n">
        <v>0</v>
      </c>
      <c r="S1607" s="14" t="n">
        <v>0.86</v>
      </c>
      <c r="T1607" s="14" t="n">
        <v>0</v>
      </c>
      <c r="U1607" s="14" t="n">
        <v>1.35</v>
      </c>
      <c r="V1607" s="14" t="n">
        <v>3.81</v>
      </c>
      <c r="W1607" s="14" t="n">
        <v>2.09</v>
      </c>
      <c r="X1607" s="14" t="n">
        <v>0</v>
      </c>
      <c r="Y1607" s="14" t="n">
        <v>0.86</v>
      </c>
      <c r="Z1607" s="14" t="n">
        <v>0.86</v>
      </c>
      <c r="AA1607" s="14" t="n">
        <v>0</v>
      </c>
    </row>
    <row r="1608">
      <c r="A1608" t="inlineStr">
        <is>
          <t>090308</t>
        </is>
      </c>
      <c r="B1608" t="inlineStr">
        <is>
          <t>HUANCAVELICA</t>
        </is>
      </c>
      <c r="C1608" t="inlineStr">
        <is>
          <t>ANGARAES</t>
        </is>
      </c>
      <c r="D1608" t="inlineStr">
        <is>
          <t>HUAYLLAY GRANDE</t>
        </is>
      </c>
      <c r="E1608" t="n">
        <v>222</v>
      </c>
      <c r="F1608" s="14" t="n">
        <v>0</v>
      </c>
      <c r="G1608" s="14" t="n">
        <v>70.72</v>
      </c>
      <c r="H1608" s="14" t="n">
        <v>1.35</v>
      </c>
      <c r="I1608" s="14" t="n">
        <v>1.8</v>
      </c>
      <c r="J1608" s="14" t="n">
        <v>0</v>
      </c>
      <c r="K1608" s="14" t="n">
        <v>6.76</v>
      </c>
      <c r="L1608" s="14" t="n">
        <v>2.7</v>
      </c>
      <c r="M1608" s="14" t="n">
        <v>4.5</v>
      </c>
      <c r="N1608" s="14" t="n">
        <v>0.9</v>
      </c>
      <c r="O1608" s="14" t="n">
        <v>0.9</v>
      </c>
      <c r="P1608" s="14" t="n">
        <v>0</v>
      </c>
      <c r="Q1608" s="14" t="n">
        <v>0</v>
      </c>
      <c r="R1608" s="14" t="n">
        <v>0</v>
      </c>
      <c r="S1608" s="14" t="n">
        <v>0</v>
      </c>
      <c r="T1608" s="14" t="n">
        <v>0.45</v>
      </c>
      <c r="U1608" s="14" t="n">
        <v>4.95</v>
      </c>
      <c r="V1608" s="14" t="n">
        <v>4.5</v>
      </c>
      <c r="W1608" s="14" t="n">
        <v>0</v>
      </c>
      <c r="X1608" s="14" t="n">
        <v>0</v>
      </c>
      <c r="Y1608" s="14" t="n">
        <v>0.45</v>
      </c>
      <c r="Z1608" s="14" t="n">
        <v>0</v>
      </c>
      <c r="AA1608" s="14" t="n">
        <v>0</v>
      </c>
    </row>
    <row r="1609">
      <c r="A1609" t="inlineStr">
        <is>
          <t>021102</t>
        </is>
      </c>
      <c r="B1609" t="inlineStr">
        <is>
          <t>ANCASH</t>
        </is>
      </c>
      <c r="C1609" t="inlineStr">
        <is>
          <t>HUARMEY</t>
        </is>
      </c>
      <c r="D1609" t="inlineStr">
        <is>
          <t>COCHAPETI</t>
        </is>
      </c>
      <c r="E1609" t="n">
        <v>280</v>
      </c>
      <c r="F1609" s="14" t="n">
        <v>0</v>
      </c>
      <c r="G1609" s="14" t="n">
        <v>91.06999999999999</v>
      </c>
      <c r="H1609" s="14" t="n">
        <v>0</v>
      </c>
      <c r="I1609" s="14" t="n">
        <v>0.36</v>
      </c>
      <c r="J1609" s="14" t="n">
        <v>0</v>
      </c>
      <c r="K1609" s="14" t="n">
        <v>0</v>
      </c>
      <c r="L1609" s="14" t="n">
        <v>0</v>
      </c>
      <c r="M1609" s="14" t="n">
        <v>0.71</v>
      </c>
      <c r="N1609" s="14" t="n">
        <v>0.71</v>
      </c>
      <c r="O1609" s="14" t="n">
        <v>0.71</v>
      </c>
      <c r="P1609" s="14" t="n">
        <v>0</v>
      </c>
      <c r="Q1609" s="14" t="n">
        <v>0</v>
      </c>
      <c r="R1609" s="14" t="n">
        <v>0</v>
      </c>
      <c r="S1609" s="14" t="n">
        <v>0</v>
      </c>
      <c r="T1609" s="14" t="n">
        <v>0</v>
      </c>
      <c r="U1609" s="14" t="n">
        <v>2.86</v>
      </c>
      <c r="V1609" s="14" t="n">
        <v>3.21</v>
      </c>
      <c r="W1609" s="14" t="n">
        <v>0.36</v>
      </c>
      <c r="X1609" s="14" t="n">
        <v>0</v>
      </c>
      <c r="Y1609" s="14" t="n">
        <v>0</v>
      </c>
      <c r="Z1609" s="14" t="n">
        <v>0</v>
      </c>
      <c r="AA1609" s="14" t="n">
        <v>0</v>
      </c>
    </row>
    <row r="1610">
      <c r="A1610" t="inlineStr">
        <is>
          <t>010512</t>
        </is>
      </c>
      <c r="B1610" t="inlineStr">
        <is>
          <t>AMAZONAS</t>
        </is>
      </c>
      <c r="C1610" t="inlineStr">
        <is>
          <t>LUYA</t>
        </is>
      </c>
      <c r="D1610" t="inlineStr">
        <is>
          <t>OCALLI</t>
        </is>
      </c>
      <c r="E1610" t="n">
        <v>1195</v>
      </c>
      <c r="F1610" s="14" t="n">
        <v>0</v>
      </c>
      <c r="G1610" s="14" t="n">
        <v>77.23999999999999</v>
      </c>
      <c r="H1610" s="14" t="n">
        <v>0</v>
      </c>
      <c r="I1610" s="14" t="n">
        <v>0.92</v>
      </c>
      <c r="J1610" s="14" t="n">
        <v>0</v>
      </c>
      <c r="K1610" s="14" t="n">
        <v>0</v>
      </c>
      <c r="L1610" s="14" t="n">
        <v>2.09</v>
      </c>
      <c r="M1610" s="14" t="n">
        <v>3.85</v>
      </c>
      <c r="N1610" s="14" t="n">
        <v>1.17</v>
      </c>
      <c r="O1610" s="14" t="n">
        <v>1.09</v>
      </c>
      <c r="P1610" s="14" t="n">
        <v>0.17</v>
      </c>
      <c r="Q1610" s="14" t="n">
        <v>0.17</v>
      </c>
      <c r="R1610" s="14" t="n">
        <v>0</v>
      </c>
      <c r="S1610" s="14" t="n">
        <v>0.42</v>
      </c>
      <c r="T1610" s="14" t="n">
        <v>0.42</v>
      </c>
      <c r="U1610" s="14" t="n">
        <v>2.26</v>
      </c>
      <c r="V1610" s="14" t="n">
        <v>7.2</v>
      </c>
      <c r="W1610" s="14" t="n">
        <v>2.51</v>
      </c>
      <c r="X1610" s="14" t="n">
        <v>0.08</v>
      </c>
      <c r="Y1610" s="14" t="n">
        <v>0.33</v>
      </c>
      <c r="Z1610" s="14" t="n">
        <v>0.08</v>
      </c>
      <c r="AA1610" s="14" t="n">
        <v>0</v>
      </c>
    </row>
    <row r="1611">
      <c r="A1611" t="inlineStr">
        <is>
          <t>030219</t>
        </is>
      </c>
      <c r="B1611" t="inlineStr">
        <is>
          <t>APURIMAC</t>
        </is>
      </c>
      <c r="C1611" t="inlineStr">
        <is>
          <t>ANDAHUAYLAS</t>
        </is>
      </c>
      <c r="D1611" t="inlineStr">
        <is>
          <t>KAQUIABAMBA</t>
        </is>
      </c>
      <c r="E1611" t="n">
        <v>636</v>
      </c>
      <c r="F1611" s="14" t="n">
        <v>0</v>
      </c>
      <c r="G1611" s="14" t="n">
        <v>86.16</v>
      </c>
      <c r="H1611" s="14" t="n">
        <v>0</v>
      </c>
      <c r="I1611" s="14" t="n">
        <v>0.63</v>
      </c>
      <c r="J1611" s="14" t="n">
        <v>0</v>
      </c>
      <c r="K1611" s="14" t="n">
        <v>0</v>
      </c>
      <c r="L1611" s="14" t="n">
        <v>2.36</v>
      </c>
      <c r="M1611" s="14" t="n">
        <v>4.56</v>
      </c>
      <c r="N1611" s="14" t="n">
        <v>0.9399999999999999</v>
      </c>
      <c r="O1611" s="14" t="n">
        <v>0</v>
      </c>
      <c r="P1611" s="14" t="n">
        <v>0</v>
      </c>
      <c r="Q1611" s="14" t="n">
        <v>0</v>
      </c>
      <c r="R1611" s="14" t="n">
        <v>0</v>
      </c>
      <c r="S1611" s="14" t="n">
        <v>0.47</v>
      </c>
      <c r="T1611" s="14" t="n">
        <v>0.16</v>
      </c>
      <c r="U1611" s="14" t="n">
        <v>2.52</v>
      </c>
      <c r="V1611" s="14" t="n">
        <v>1.26</v>
      </c>
      <c r="W1611" s="14" t="n">
        <v>0.47</v>
      </c>
      <c r="X1611" s="14" t="n">
        <v>0</v>
      </c>
      <c r="Y1611" s="14" t="n">
        <v>0.16</v>
      </c>
      <c r="Z1611" s="14" t="n">
        <v>0.31</v>
      </c>
      <c r="AA1611" s="14" t="n">
        <v>0</v>
      </c>
    </row>
    <row r="1612">
      <c r="A1612" t="inlineStr">
        <is>
          <t>040508</t>
        </is>
      </c>
      <c r="B1612" t="inlineStr">
        <is>
          <t>AREQUIPA</t>
        </is>
      </c>
      <c r="C1612" t="inlineStr">
        <is>
          <t>CAYLLOMA</t>
        </is>
      </c>
      <c r="D1612" t="inlineStr">
        <is>
          <t>HUANCA</t>
        </is>
      </c>
      <c r="E1612" t="n">
        <v>494</v>
      </c>
      <c r="F1612" s="14" t="n">
        <v>0</v>
      </c>
      <c r="G1612" s="14" t="n">
        <v>84.41</v>
      </c>
      <c r="H1612" s="14" t="n">
        <v>0.4</v>
      </c>
      <c r="I1612" s="14" t="n">
        <v>1.62</v>
      </c>
      <c r="J1612" s="14" t="n">
        <v>0</v>
      </c>
      <c r="K1612" s="14" t="n">
        <v>0</v>
      </c>
      <c r="L1612" s="14" t="n">
        <v>3.44</v>
      </c>
      <c r="M1612" s="14" t="n">
        <v>3.24</v>
      </c>
      <c r="N1612" s="14" t="n">
        <v>0.61</v>
      </c>
      <c r="O1612" s="14" t="n">
        <v>1.01</v>
      </c>
      <c r="P1612" s="14" t="n">
        <v>0</v>
      </c>
      <c r="Q1612" s="14" t="n">
        <v>0.4</v>
      </c>
      <c r="R1612" s="14" t="n">
        <v>0</v>
      </c>
      <c r="S1612" s="14" t="n">
        <v>0</v>
      </c>
      <c r="T1612" s="14" t="n">
        <v>0.2</v>
      </c>
      <c r="U1612" s="14" t="n">
        <v>3.04</v>
      </c>
      <c r="V1612" s="14" t="n">
        <v>1.01</v>
      </c>
      <c r="W1612" s="14" t="n">
        <v>0.2</v>
      </c>
      <c r="X1612" s="14" t="n">
        <v>0</v>
      </c>
      <c r="Y1612" s="14" t="n">
        <v>0.4</v>
      </c>
      <c r="Z1612" s="14" t="n">
        <v>0</v>
      </c>
      <c r="AA1612" s="14" t="n">
        <v>0</v>
      </c>
    </row>
    <row r="1613">
      <c r="A1613" t="inlineStr">
        <is>
          <t>040512</t>
        </is>
      </c>
      <c r="B1613" t="inlineStr">
        <is>
          <t>AREQUIPA</t>
        </is>
      </c>
      <c r="C1613" t="inlineStr">
        <is>
          <t>CAYLLOMA</t>
        </is>
      </c>
      <c r="D1613" t="inlineStr">
        <is>
          <t>MACA</t>
        </is>
      </c>
      <c r="E1613" t="n">
        <v>373</v>
      </c>
      <c r="F1613" s="14" t="n">
        <v>0</v>
      </c>
      <c r="G1613" s="14" t="n">
        <v>71.58</v>
      </c>
      <c r="H1613" s="14" t="n">
        <v>1.07</v>
      </c>
      <c r="I1613" s="14" t="n">
        <v>2.41</v>
      </c>
      <c r="J1613" s="14" t="n">
        <v>0</v>
      </c>
      <c r="K1613" s="14" t="n">
        <v>0</v>
      </c>
      <c r="L1613" s="14" t="n">
        <v>3.75</v>
      </c>
      <c r="M1613" s="14" t="n">
        <v>13.67</v>
      </c>
      <c r="N1613" s="14" t="n">
        <v>0.8</v>
      </c>
      <c r="O1613" s="14" t="n">
        <v>1.07</v>
      </c>
      <c r="P1613" s="14" t="n">
        <v>0</v>
      </c>
      <c r="Q1613" s="14" t="n">
        <v>0</v>
      </c>
      <c r="R1613" s="14" t="n">
        <v>0</v>
      </c>
      <c r="S1613" s="14" t="n">
        <v>0.8</v>
      </c>
      <c r="T1613" s="14" t="n">
        <v>0.54</v>
      </c>
      <c r="U1613" s="14" t="n">
        <v>1.07</v>
      </c>
      <c r="V1613" s="14" t="n">
        <v>1.88</v>
      </c>
      <c r="W1613" s="14" t="n">
        <v>1.07</v>
      </c>
      <c r="X1613" s="14" t="n">
        <v>0</v>
      </c>
      <c r="Y1613" s="14" t="n">
        <v>0.27</v>
      </c>
      <c r="Z1613" s="14" t="n">
        <v>0</v>
      </c>
      <c r="AA1613" s="14" t="n">
        <v>0</v>
      </c>
    </row>
    <row r="1614">
      <c r="A1614" t="inlineStr">
        <is>
          <t>040203</t>
        </is>
      </c>
      <c r="B1614" t="inlineStr">
        <is>
          <t>AREQUIPA</t>
        </is>
      </c>
      <c r="C1614" t="inlineStr">
        <is>
          <t>CAMANA</t>
        </is>
      </c>
      <c r="D1614" t="inlineStr">
        <is>
          <t>MARIANO NICOLAS VALCARCEL</t>
        </is>
      </c>
      <c r="E1614" t="n">
        <v>3644</v>
      </c>
      <c r="F1614" s="14" t="n">
        <v>0</v>
      </c>
      <c r="G1614" s="14" t="n">
        <v>6.12</v>
      </c>
      <c r="H1614" s="14" t="n">
        <v>51.02</v>
      </c>
      <c r="I1614" s="14" t="n">
        <v>2.5</v>
      </c>
      <c r="J1614" s="14" t="n">
        <v>0</v>
      </c>
      <c r="K1614" s="14" t="n">
        <v>0.58</v>
      </c>
      <c r="L1614" s="14" t="n">
        <v>5.16</v>
      </c>
      <c r="M1614" s="14" t="n">
        <v>16.03</v>
      </c>
      <c r="N1614" s="14" t="n">
        <v>3.68</v>
      </c>
      <c r="O1614" s="14" t="n">
        <v>7.22</v>
      </c>
      <c r="P1614" s="14" t="n">
        <v>0.47</v>
      </c>
      <c r="Q1614" s="14" t="n">
        <v>0.08</v>
      </c>
      <c r="R1614" s="14" t="n">
        <v>0</v>
      </c>
      <c r="S1614" s="14" t="n">
        <v>1.45</v>
      </c>
      <c r="T1614" s="14" t="n">
        <v>0.85</v>
      </c>
      <c r="U1614" s="14" t="n">
        <v>1.62</v>
      </c>
      <c r="V1614" s="14" t="n">
        <v>0.6</v>
      </c>
      <c r="W1614" s="14" t="n">
        <v>0.27</v>
      </c>
      <c r="X1614" s="14" t="n">
        <v>0.08</v>
      </c>
      <c r="Y1614" s="14" t="n">
        <v>1.87</v>
      </c>
      <c r="Z1614" s="14" t="n">
        <v>0.41</v>
      </c>
      <c r="AA1614" s="14" t="n">
        <v>0</v>
      </c>
    </row>
    <row r="1615">
      <c r="A1615" t="inlineStr">
        <is>
          <t>051002</t>
        </is>
      </c>
      <c r="B1615" t="inlineStr">
        <is>
          <t>AYACUCHO</t>
        </is>
      </c>
      <c r="C1615" t="inlineStr">
        <is>
          <t>VICTOR FAJARDO</t>
        </is>
      </c>
      <c r="D1615" t="inlineStr">
        <is>
          <t>ALCAMENCA</t>
        </is>
      </c>
      <c r="E1615" t="n">
        <v>425</v>
      </c>
      <c r="F1615" s="14" t="n">
        <v>0</v>
      </c>
      <c r="G1615" s="14" t="n">
        <v>76.94</v>
      </c>
      <c r="H1615" s="14" t="n">
        <v>0</v>
      </c>
      <c r="I1615" s="14" t="n">
        <v>1.88</v>
      </c>
      <c r="J1615" s="14" t="n">
        <v>0</v>
      </c>
      <c r="K1615" s="14" t="n">
        <v>0</v>
      </c>
      <c r="L1615" s="14" t="n">
        <v>2.82</v>
      </c>
      <c r="M1615" s="14" t="n">
        <v>2.35</v>
      </c>
      <c r="N1615" s="14" t="n">
        <v>0.24</v>
      </c>
      <c r="O1615" s="14" t="n">
        <v>1.18</v>
      </c>
      <c r="P1615" s="14" t="n">
        <v>0</v>
      </c>
      <c r="Q1615" s="14" t="n">
        <v>0</v>
      </c>
      <c r="R1615" s="14" t="n">
        <v>0</v>
      </c>
      <c r="S1615" s="14" t="n">
        <v>0.47</v>
      </c>
      <c r="T1615" s="14" t="n">
        <v>0.24</v>
      </c>
      <c r="U1615" s="14" t="n">
        <v>3.53</v>
      </c>
      <c r="V1615" s="14" t="n">
        <v>8.24</v>
      </c>
      <c r="W1615" s="14" t="n">
        <v>1.41</v>
      </c>
      <c r="X1615" s="14" t="n">
        <v>0</v>
      </c>
      <c r="Y1615" s="14" t="n">
        <v>0.24</v>
      </c>
      <c r="Z1615" s="14" t="n">
        <v>0.47</v>
      </c>
      <c r="AA1615" s="14" t="n">
        <v>0</v>
      </c>
    </row>
    <row r="1616">
      <c r="A1616" t="inlineStr">
        <is>
          <t>040511</t>
        </is>
      </c>
      <c r="B1616" t="inlineStr">
        <is>
          <t>AREQUIPA</t>
        </is>
      </c>
      <c r="C1616" t="inlineStr">
        <is>
          <t>CAYLLOMA</t>
        </is>
      </c>
      <c r="D1616" t="inlineStr">
        <is>
          <t>LLUTA</t>
        </is>
      </c>
      <c r="E1616" t="n">
        <v>365</v>
      </c>
      <c r="F1616" s="14" t="n">
        <v>0</v>
      </c>
      <c r="G1616" s="14" t="n">
        <v>81.09999999999999</v>
      </c>
      <c r="H1616" s="14" t="n">
        <v>0.55</v>
      </c>
      <c r="I1616" s="14" t="n">
        <v>1.37</v>
      </c>
      <c r="J1616" s="14" t="n">
        <v>0</v>
      </c>
      <c r="K1616" s="14" t="n">
        <v>0</v>
      </c>
      <c r="L1616" s="14" t="n">
        <v>4.38</v>
      </c>
      <c r="M1616" s="14" t="n">
        <v>4.11</v>
      </c>
      <c r="N1616" s="14" t="n">
        <v>0.27</v>
      </c>
      <c r="O1616" s="14" t="n">
        <v>1.37</v>
      </c>
      <c r="P1616" s="14" t="n">
        <v>0.27</v>
      </c>
      <c r="Q1616" s="14" t="n">
        <v>0</v>
      </c>
      <c r="R1616" s="14" t="n">
        <v>0</v>
      </c>
      <c r="S1616" s="14" t="n">
        <v>0.82</v>
      </c>
      <c r="T1616" s="14" t="n">
        <v>0.55</v>
      </c>
      <c r="U1616" s="14" t="n">
        <v>1.92</v>
      </c>
      <c r="V1616" s="14" t="n">
        <v>1.1</v>
      </c>
      <c r="W1616" s="14" t="n">
        <v>1.37</v>
      </c>
      <c r="X1616" s="14" t="n">
        <v>0</v>
      </c>
      <c r="Y1616" s="14" t="n">
        <v>0.55</v>
      </c>
      <c r="Z1616" s="14" t="n">
        <v>0.27</v>
      </c>
      <c r="AA1616" s="14" t="n">
        <v>0</v>
      </c>
    </row>
    <row r="1617">
      <c r="A1617" t="inlineStr">
        <is>
          <t>020108</t>
        </is>
      </c>
      <c r="B1617" t="inlineStr">
        <is>
          <t>ANCASH</t>
        </is>
      </c>
      <c r="C1617" t="inlineStr">
        <is>
          <t>HUARAZ</t>
        </is>
      </c>
      <c r="D1617" t="inlineStr">
        <is>
          <t>OLLEROS</t>
        </is>
      </c>
      <c r="E1617" t="n">
        <v>636</v>
      </c>
      <c r="F1617" s="14" t="n">
        <v>0</v>
      </c>
      <c r="G1617" s="14" t="n">
        <v>53.46</v>
      </c>
      <c r="H1617" s="14" t="n">
        <v>0.31</v>
      </c>
      <c r="I1617" s="14" t="n">
        <v>1.89</v>
      </c>
      <c r="J1617" s="14" t="n">
        <v>0</v>
      </c>
      <c r="K1617" s="14" t="n">
        <v>0.31</v>
      </c>
      <c r="L1617" s="14" t="n">
        <v>6.29</v>
      </c>
      <c r="M1617" s="14" t="n">
        <v>10.38</v>
      </c>
      <c r="N1617" s="14" t="n">
        <v>8.65</v>
      </c>
      <c r="O1617" s="14" t="n">
        <v>4.09</v>
      </c>
      <c r="P1617" s="14" t="n">
        <v>0</v>
      </c>
      <c r="Q1617" s="14" t="n">
        <v>0.16</v>
      </c>
      <c r="R1617" s="14" t="n">
        <v>0</v>
      </c>
      <c r="S1617" s="14" t="n">
        <v>2.67</v>
      </c>
      <c r="T1617" s="14" t="n">
        <v>1.1</v>
      </c>
      <c r="U1617" s="14" t="n">
        <v>2.36</v>
      </c>
      <c r="V1617" s="14" t="n">
        <v>4.56</v>
      </c>
      <c r="W1617" s="14" t="n">
        <v>0.79</v>
      </c>
      <c r="X1617" s="14" t="n">
        <v>0.31</v>
      </c>
      <c r="Y1617" s="14" t="n">
        <v>1.73</v>
      </c>
      <c r="Z1617" s="14" t="n">
        <v>0.9399999999999999</v>
      </c>
      <c r="AA1617" s="14" t="n">
        <v>0</v>
      </c>
    </row>
    <row r="1618">
      <c r="A1618" t="inlineStr">
        <is>
          <t>010104</t>
        </is>
      </c>
      <c r="B1618" t="inlineStr">
        <is>
          <t>AMAZONAS</t>
        </is>
      </c>
      <c r="C1618" t="inlineStr">
        <is>
          <t>CHACHAPOYAS</t>
        </is>
      </c>
      <c r="D1618" t="inlineStr">
        <is>
          <t>CHETO</t>
        </is>
      </c>
      <c r="E1618" t="n">
        <v>324</v>
      </c>
      <c r="F1618" s="14" t="n">
        <v>0</v>
      </c>
      <c r="G1618" s="14" t="n">
        <v>75.93000000000001</v>
      </c>
      <c r="H1618" s="14" t="n">
        <v>0</v>
      </c>
      <c r="I1618" s="14" t="n">
        <v>2.16</v>
      </c>
      <c r="J1618" s="14" t="n">
        <v>0</v>
      </c>
      <c r="K1618" s="14" t="n">
        <v>0.31</v>
      </c>
      <c r="L1618" s="14" t="n">
        <v>4.01</v>
      </c>
      <c r="M1618" s="14" t="n">
        <v>3.4</v>
      </c>
      <c r="N1618" s="14" t="n">
        <v>1.54</v>
      </c>
      <c r="O1618" s="14" t="n">
        <v>1.23</v>
      </c>
      <c r="P1618" s="14" t="n">
        <v>0</v>
      </c>
      <c r="Q1618" s="14" t="n">
        <v>0</v>
      </c>
      <c r="R1618" s="14" t="n">
        <v>0</v>
      </c>
      <c r="S1618" s="14" t="n">
        <v>0.62</v>
      </c>
      <c r="T1618" s="14" t="n">
        <v>0.93</v>
      </c>
      <c r="U1618" s="14" t="n">
        <v>1.85</v>
      </c>
      <c r="V1618" s="14" t="n">
        <v>1.85</v>
      </c>
      <c r="W1618" s="14" t="n">
        <v>0.93</v>
      </c>
      <c r="X1618" s="14" t="n">
        <v>0</v>
      </c>
      <c r="Y1618" s="14" t="n">
        <v>0.62</v>
      </c>
      <c r="Z1618" s="14" t="n">
        <v>4.63</v>
      </c>
      <c r="AA1618" s="14" t="n">
        <v>0</v>
      </c>
    </row>
    <row r="1619">
      <c r="A1619" t="inlineStr">
        <is>
          <t>040110</t>
        </is>
      </c>
      <c r="B1619" t="inlineStr">
        <is>
          <t>AREQUIPA</t>
        </is>
      </c>
      <c r="C1619" t="inlineStr">
        <is>
          <t>AREQUIPA</t>
        </is>
      </c>
      <c r="D1619" t="inlineStr">
        <is>
          <t>MIRAFLORES</t>
        </is>
      </c>
      <c r="E1619" t="n">
        <v>29167</v>
      </c>
      <c r="F1619" s="14" t="n">
        <v>0</v>
      </c>
      <c r="G1619" s="14" t="n">
        <v>1.26</v>
      </c>
      <c r="H1619" s="14" t="n">
        <v>1.36</v>
      </c>
      <c r="I1619" s="14" t="n">
        <v>10.4</v>
      </c>
      <c r="J1619" s="14" t="n">
        <v>0.13</v>
      </c>
      <c r="K1619" s="14" t="n">
        <v>0.3</v>
      </c>
      <c r="L1619" s="14" t="n">
        <v>6.86</v>
      </c>
      <c r="M1619" s="14" t="n">
        <v>24.48</v>
      </c>
      <c r="N1619" s="14" t="n">
        <v>9.34</v>
      </c>
      <c r="O1619" s="14" t="n">
        <v>6.93</v>
      </c>
      <c r="P1619" s="14" t="n">
        <v>1.38</v>
      </c>
      <c r="Q1619" s="14" t="n">
        <v>1.37</v>
      </c>
      <c r="R1619" s="14" t="n">
        <v>0.15</v>
      </c>
      <c r="S1619" s="14" t="n">
        <v>7.79</v>
      </c>
      <c r="T1619" s="14" t="n">
        <v>3.7</v>
      </c>
      <c r="U1619" s="14" t="n">
        <v>6.76</v>
      </c>
      <c r="V1619" s="14" t="n">
        <v>7.76</v>
      </c>
      <c r="W1619" s="14" t="n">
        <v>4.25</v>
      </c>
      <c r="X1619" s="14" t="n">
        <v>1.44</v>
      </c>
      <c r="Y1619" s="14" t="n">
        <v>3.35</v>
      </c>
      <c r="Z1619" s="14" t="n">
        <v>0.98</v>
      </c>
      <c r="AA1619" s="14" t="n">
        <v>0</v>
      </c>
    </row>
    <row r="1620">
      <c r="A1620" t="inlineStr">
        <is>
          <t>040306</t>
        </is>
      </c>
      <c r="B1620" t="inlineStr">
        <is>
          <t>AREQUIPA</t>
        </is>
      </c>
      <c r="C1620" t="inlineStr">
        <is>
          <t>CARAVELI</t>
        </is>
      </c>
      <c r="D1620" t="inlineStr">
        <is>
          <t>CAHUACHO</t>
        </is>
      </c>
      <c r="E1620" t="n">
        <v>267</v>
      </c>
      <c r="F1620" s="14" t="n">
        <v>0</v>
      </c>
      <c r="G1620" s="14" t="n">
        <v>72.66</v>
      </c>
      <c r="H1620" s="14" t="n">
        <v>2.62</v>
      </c>
      <c r="I1620" s="14" t="n">
        <v>0</v>
      </c>
      <c r="J1620" s="14" t="n">
        <v>0.37</v>
      </c>
      <c r="K1620" s="14" t="n">
        <v>0</v>
      </c>
      <c r="L1620" s="14" t="n">
        <v>1.87</v>
      </c>
      <c r="M1620" s="14" t="n">
        <v>11.24</v>
      </c>
      <c r="N1620" s="14" t="n">
        <v>0.37</v>
      </c>
      <c r="O1620" s="14" t="n">
        <v>0.37</v>
      </c>
      <c r="P1620" s="14" t="n">
        <v>0.37</v>
      </c>
      <c r="Q1620" s="14" t="n">
        <v>0</v>
      </c>
      <c r="R1620" s="14" t="n">
        <v>0</v>
      </c>
      <c r="S1620" s="14" t="n">
        <v>0</v>
      </c>
      <c r="T1620" s="14" t="n">
        <v>0</v>
      </c>
      <c r="U1620" s="14" t="n">
        <v>4.87</v>
      </c>
      <c r="V1620" s="14" t="n">
        <v>2.25</v>
      </c>
      <c r="W1620" s="14" t="n">
        <v>3</v>
      </c>
      <c r="X1620" s="14" t="n">
        <v>0</v>
      </c>
      <c r="Y1620" s="14" t="n">
        <v>0</v>
      </c>
      <c r="Z1620" s="14" t="n">
        <v>0</v>
      </c>
      <c r="AA1620" s="14" t="n">
        <v>0</v>
      </c>
    </row>
    <row r="1621">
      <c r="A1621" t="inlineStr">
        <is>
          <t>030211</t>
        </is>
      </c>
      <c r="B1621" t="inlineStr">
        <is>
          <t>APURIMAC</t>
        </is>
      </c>
      <c r="C1621" t="inlineStr">
        <is>
          <t>ANDAHUAYLAS</t>
        </is>
      </c>
      <c r="D1621" t="inlineStr">
        <is>
          <t>POMACOCHA</t>
        </is>
      </c>
      <c r="E1621" t="n">
        <v>237</v>
      </c>
      <c r="F1621" s="14" t="n">
        <v>0</v>
      </c>
      <c r="G1621" s="14" t="n">
        <v>63.71</v>
      </c>
      <c r="H1621" s="14" t="n">
        <v>0</v>
      </c>
      <c r="I1621" s="14" t="n">
        <v>0.84</v>
      </c>
      <c r="J1621" s="14" t="n">
        <v>0</v>
      </c>
      <c r="K1621" s="14" t="n">
        <v>0</v>
      </c>
      <c r="L1621" s="14" t="n">
        <v>15.19</v>
      </c>
      <c r="M1621" s="14" t="n">
        <v>5.91</v>
      </c>
      <c r="N1621" s="14" t="n">
        <v>0.84</v>
      </c>
      <c r="O1621" s="14" t="n">
        <v>2.11</v>
      </c>
      <c r="P1621" s="14" t="n">
        <v>0</v>
      </c>
      <c r="Q1621" s="14" t="n">
        <v>0</v>
      </c>
      <c r="R1621" s="14" t="n">
        <v>0</v>
      </c>
      <c r="S1621" s="14" t="n">
        <v>0.42</v>
      </c>
      <c r="T1621" s="14" t="n">
        <v>0.42</v>
      </c>
      <c r="U1621" s="14" t="n">
        <v>5.49</v>
      </c>
      <c r="V1621" s="14" t="n">
        <v>3.38</v>
      </c>
      <c r="W1621" s="14" t="n">
        <v>0.84</v>
      </c>
      <c r="X1621" s="14" t="n">
        <v>0</v>
      </c>
      <c r="Y1621" s="14" t="n">
        <v>0.42</v>
      </c>
      <c r="Z1621" s="14" t="n">
        <v>0.42</v>
      </c>
      <c r="AA1621" s="14" t="n">
        <v>0</v>
      </c>
    </row>
    <row r="1622">
      <c r="A1622" t="inlineStr">
        <is>
          <t>081306</t>
        </is>
      </c>
      <c r="B1622" t="inlineStr">
        <is>
          <t>CUSCO</t>
        </is>
      </c>
      <c r="C1622" t="inlineStr">
        <is>
          <t>URUBAMBA</t>
        </is>
      </c>
      <c r="D1622" t="inlineStr">
        <is>
          <t>OLLANTAYTAMBO</t>
        </is>
      </c>
      <c r="E1622" t="n">
        <v>3956</v>
      </c>
      <c r="F1622" s="14" t="n">
        <v>0</v>
      </c>
      <c r="G1622" s="14" t="n">
        <v>38.98</v>
      </c>
      <c r="H1622" s="14" t="n">
        <v>0.71</v>
      </c>
      <c r="I1622" s="14" t="n">
        <v>3.13</v>
      </c>
      <c r="J1622" s="14" t="n">
        <v>0.1</v>
      </c>
      <c r="K1622" s="14" t="n">
        <v>0.03</v>
      </c>
      <c r="L1622" s="14" t="n">
        <v>4.83</v>
      </c>
      <c r="M1622" s="14" t="n">
        <v>10.52</v>
      </c>
      <c r="N1622" s="14" t="n">
        <v>9.23</v>
      </c>
      <c r="O1622" s="14" t="n">
        <v>13.8</v>
      </c>
      <c r="P1622" s="14" t="n">
        <v>0.4</v>
      </c>
      <c r="Q1622" s="14" t="n">
        <v>0.33</v>
      </c>
      <c r="R1622" s="14" t="n">
        <v>0.05</v>
      </c>
      <c r="S1622" s="14" t="n">
        <v>2.33</v>
      </c>
      <c r="T1622" s="14" t="n">
        <v>5.41</v>
      </c>
      <c r="U1622" s="14" t="n">
        <v>5.49</v>
      </c>
      <c r="V1622" s="14" t="n">
        <v>1.16</v>
      </c>
      <c r="W1622" s="14" t="n">
        <v>1.06</v>
      </c>
      <c r="X1622" s="14" t="n">
        <v>0.71</v>
      </c>
      <c r="Y1622" s="14" t="n">
        <v>1.42</v>
      </c>
      <c r="Z1622" s="14" t="n">
        <v>0.33</v>
      </c>
      <c r="AA1622" s="14" t="n">
        <v>0</v>
      </c>
    </row>
    <row r="1623">
      <c r="A1623" t="inlineStr">
        <is>
          <t>030405</t>
        </is>
      </c>
      <c r="B1623" t="inlineStr">
        <is>
          <t>APURIMAC</t>
        </is>
      </c>
      <c r="C1623" t="inlineStr">
        <is>
          <t>AYMARAES</t>
        </is>
      </c>
      <c r="D1623" t="inlineStr">
        <is>
          <t>COLCABAMBA</t>
        </is>
      </c>
      <c r="E1623" t="n">
        <v>313</v>
      </c>
      <c r="F1623" s="14" t="n">
        <v>0</v>
      </c>
      <c r="G1623" s="14" t="n">
        <v>77.31999999999999</v>
      </c>
      <c r="H1623" s="14" t="n">
        <v>0.64</v>
      </c>
      <c r="I1623" s="14" t="n">
        <v>0.96</v>
      </c>
      <c r="J1623" s="14" t="n">
        <v>0</v>
      </c>
      <c r="K1623" s="14" t="n">
        <v>0</v>
      </c>
      <c r="L1623" s="14" t="n">
        <v>3.51</v>
      </c>
      <c r="M1623" s="14" t="n">
        <v>6.71</v>
      </c>
      <c r="N1623" s="14" t="n">
        <v>0.96</v>
      </c>
      <c r="O1623" s="14" t="n">
        <v>1.6</v>
      </c>
      <c r="P1623" s="14" t="n">
        <v>0</v>
      </c>
      <c r="Q1623" s="14" t="n">
        <v>0.32</v>
      </c>
      <c r="R1623" s="14" t="n">
        <v>0</v>
      </c>
      <c r="S1623" s="14" t="n">
        <v>0</v>
      </c>
      <c r="T1623" s="14" t="n">
        <v>0.32</v>
      </c>
      <c r="U1623" s="14" t="n">
        <v>6.07</v>
      </c>
      <c r="V1623" s="14" t="n">
        <v>1.28</v>
      </c>
      <c r="W1623" s="14" t="n">
        <v>0</v>
      </c>
      <c r="X1623" s="14" t="n">
        <v>0</v>
      </c>
      <c r="Y1623" s="14" t="n">
        <v>0.32</v>
      </c>
      <c r="Z1623" s="14" t="n">
        <v>0</v>
      </c>
      <c r="AA1623" s="14" t="n">
        <v>0</v>
      </c>
    </row>
    <row r="1624">
      <c r="A1624" t="inlineStr">
        <is>
          <t>030217</t>
        </is>
      </c>
      <c r="B1624" t="inlineStr">
        <is>
          <t>APURIMAC</t>
        </is>
      </c>
      <c r="C1624" t="inlineStr">
        <is>
          <t>ANDAHUAYLAS</t>
        </is>
      </c>
      <c r="D1624" t="inlineStr">
        <is>
          <t>TUMAY HUARACA</t>
        </is>
      </c>
      <c r="E1624" t="n">
        <v>90</v>
      </c>
      <c r="F1624" s="14" t="n">
        <v>0</v>
      </c>
      <c r="G1624" s="14" t="n">
        <v>55.56</v>
      </c>
      <c r="H1624" s="14" t="n">
        <v>0</v>
      </c>
      <c r="I1624" s="14" t="n">
        <v>2.22</v>
      </c>
      <c r="J1624" s="14" t="n">
        <v>0</v>
      </c>
      <c r="K1624" s="14" t="n">
        <v>0</v>
      </c>
      <c r="L1624" s="14" t="n">
        <v>1.11</v>
      </c>
      <c r="M1624" s="14" t="n">
        <v>5.56</v>
      </c>
      <c r="N1624" s="14" t="n">
        <v>7.78</v>
      </c>
      <c r="O1624" s="14" t="n">
        <v>0</v>
      </c>
      <c r="P1624" s="14" t="n">
        <v>0</v>
      </c>
      <c r="Q1624" s="14" t="n">
        <v>1.11</v>
      </c>
      <c r="R1624" s="14" t="n">
        <v>0</v>
      </c>
      <c r="S1624" s="14" t="n">
        <v>3.33</v>
      </c>
      <c r="T1624" s="14" t="n">
        <v>2.22</v>
      </c>
      <c r="U1624" s="14" t="n">
        <v>3.33</v>
      </c>
      <c r="V1624" s="14" t="n">
        <v>8.890000000000001</v>
      </c>
      <c r="W1624" s="14" t="n">
        <v>5.56</v>
      </c>
      <c r="X1624" s="14" t="n">
        <v>0</v>
      </c>
      <c r="Y1624" s="14" t="n">
        <v>3.33</v>
      </c>
      <c r="Z1624" s="14" t="n">
        <v>0</v>
      </c>
      <c r="AA1624" s="14" t="n">
        <v>0</v>
      </c>
    </row>
    <row r="1625">
      <c r="A1625" t="inlineStr">
        <is>
          <t>030403</t>
        </is>
      </c>
      <c r="B1625" t="inlineStr">
        <is>
          <t>APURIMAC</t>
        </is>
      </c>
      <c r="C1625" t="inlineStr">
        <is>
          <t>AYMARAES</t>
        </is>
      </c>
      <c r="D1625" t="inlineStr">
        <is>
          <t>CARAYBAMBA</t>
        </is>
      </c>
      <c r="E1625" t="n">
        <v>208</v>
      </c>
      <c r="F1625" s="14" t="n">
        <v>0</v>
      </c>
      <c r="G1625" s="14" t="n">
        <v>63.94</v>
      </c>
      <c r="H1625" s="14" t="n">
        <v>2.4</v>
      </c>
      <c r="I1625" s="14" t="n">
        <v>0</v>
      </c>
      <c r="J1625" s="14" t="n">
        <v>0</v>
      </c>
      <c r="K1625" s="14" t="n">
        <v>0</v>
      </c>
      <c r="L1625" s="14" t="n">
        <v>2.88</v>
      </c>
      <c r="M1625" s="14" t="n">
        <v>6.25</v>
      </c>
      <c r="N1625" s="14" t="n">
        <v>2.88</v>
      </c>
      <c r="O1625" s="14" t="n">
        <v>3.85</v>
      </c>
      <c r="P1625" s="14" t="n">
        <v>0</v>
      </c>
      <c r="Q1625" s="14" t="n">
        <v>0</v>
      </c>
      <c r="R1625" s="14" t="n">
        <v>0</v>
      </c>
      <c r="S1625" s="14" t="n">
        <v>0.48</v>
      </c>
      <c r="T1625" s="14" t="n">
        <v>0.96</v>
      </c>
      <c r="U1625" s="14" t="n">
        <v>3.85</v>
      </c>
      <c r="V1625" s="14" t="n">
        <v>9.619999999999999</v>
      </c>
      <c r="W1625" s="14" t="n">
        <v>1.44</v>
      </c>
      <c r="X1625" s="14" t="n">
        <v>0</v>
      </c>
      <c r="Y1625" s="14" t="n">
        <v>0</v>
      </c>
      <c r="Z1625" s="14" t="n">
        <v>1.44</v>
      </c>
      <c r="AA1625" s="14" t="n">
        <v>0</v>
      </c>
    </row>
    <row r="1626">
      <c r="A1626" t="inlineStr">
        <is>
          <t>010403</t>
        </is>
      </c>
      <c r="B1626" t="inlineStr">
        <is>
          <t>AMAZONAS</t>
        </is>
      </c>
      <c r="C1626" t="inlineStr">
        <is>
          <t>CONDORCANQUI</t>
        </is>
      </c>
      <c r="D1626" t="inlineStr">
        <is>
          <t>RIO SANTIAGO</t>
        </is>
      </c>
      <c r="E1626" t="n">
        <v>1427</v>
      </c>
      <c r="F1626" s="14" t="n">
        <v>0</v>
      </c>
      <c r="G1626" s="14" t="n">
        <v>63</v>
      </c>
      <c r="H1626" s="14" t="n">
        <v>0</v>
      </c>
      <c r="I1626" s="14" t="n">
        <v>1.68</v>
      </c>
      <c r="J1626" s="14" t="n">
        <v>0</v>
      </c>
      <c r="K1626" s="14" t="n">
        <v>0.07000000000000001</v>
      </c>
      <c r="L1626" s="14" t="n">
        <v>0.98</v>
      </c>
      <c r="M1626" s="14" t="n">
        <v>6.24</v>
      </c>
      <c r="N1626" s="14" t="n">
        <v>0.5600000000000001</v>
      </c>
      <c r="O1626" s="14" t="n">
        <v>1.61</v>
      </c>
      <c r="P1626" s="14" t="n">
        <v>0</v>
      </c>
      <c r="Q1626" s="14" t="n">
        <v>0.07000000000000001</v>
      </c>
      <c r="R1626" s="14" t="n">
        <v>0</v>
      </c>
      <c r="S1626" s="14" t="n">
        <v>2.03</v>
      </c>
      <c r="T1626" s="14" t="n">
        <v>0.14</v>
      </c>
      <c r="U1626" s="14" t="n">
        <v>3.92</v>
      </c>
      <c r="V1626" s="14" t="n">
        <v>13.95</v>
      </c>
      <c r="W1626" s="14" t="n">
        <v>3.22</v>
      </c>
      <c r="X1626" s="14" t="n">
        <v>0</v>
      </c>
      <c r="Y1626" s="14" t="n">
        <v>0.28</v>
      </c>
      <c r="Z1626" s="14" t="n">
        <v>2.24</v>
      </c>
      <c r="AA1626" s="14" t="n">
        <v>0</v>
      </c>
    </row>
    <row r="1627">
      <c r="A1627" t="inlineStr">
        <is>
          <t>061308</t>
        </is>
      </c>
      <c r="B1627" t="inlineStr">
        <is>
          <t>CAJAMARCA</t>
        </is>
      </c>
      <c r="C1627" t="inlineStr">
        <is>
          <t>SANTA CRUZ</t>
        </is>
      </c>
      <c r="D1627" t="inlineStr">
        <is>
          <t>SAUCEPAMPA</t>
        </is>
      </c>
      <c r="E1627" t="n">
        <v>519</v>
      </c>
      <c r="F1627" s="14" t="n">
        <v>0</v>
      </c>
      <c r="G1627" s="14" t="n">
        <v>88.44</v>
      </c>
      <c r="H1627" s="14" t="n">
        <v>0</v>
      </c>
      <c r="I1627" s="14" t="n">
        <v>0.96</v>
      </c>
      <c r="J1627" s="14" t="n">
        <v>0</v>
      </c>
      <c r="K1627" s="14" t="n">
        <v>0</v>
      </c>
      <c r="L1627" s="14" t="n">
        <v>1.35</v>
      </c>
      <c r="M1627" s="14" t="n">
        <v>2.12</v>
      </c>
      <c r="N1627" s="14" t="n">
        <v>1.73</v>
      </c>
      <c r="O1627" s="14" t="n">
        <v>0.19</v>
      </c>
      <c r="P1627" s="14" t="n">
        <v>0</v>
      </c>
      <c r="Q1627" s="14" t="n">
        <v>0.19</v>
      </c>
      <c r="R1627" s="14" t="n">
        <v>0</v>
      </c>
      <c r="S1627" s="14" t="n">
        <v>0.39</v>
      </c>
      <c r="T1627" s="14" t="n">
        <v>0.39</v>
      </c>
      <c r="U1627" s="14" t="n">
        <v>0.77</v>
      </c>
      <c r="V1627" s="14" t="n">
        <v>2.5</v>
      </c>
      <c r="W1627" s="14" t="n">
        <v>0.58</v>
      </c>
      <c r="X1627" s="14" t="n">
        <v>0</v>
      </c>
      <c r="Y1627" s="14" t="n">
        <v>0</v>
      </c>
      <c r="Z1627" s="14" t="n">
        <v>0.39</v>
      </c>
      <c r="AA1627" s="14" t="n">
        <v>0</v>
      </c>
    </row>
    <row r="1628">
      <c r="A1628" t="inlineStr">
        <is>
          <t>020603</t>
        </is>
      </c>
      <c r="B1628" t="inlineStr">
        <is>
          <t>ANCASH</t>
        </is>
      </c>
      <c r="C1628" t="inlineStr">
        <is>
          <t>CARHUAZ</t>
        </is>
      </c>
      <c r="D1628" t="inlineStr">
        <is>
          <t>AMASHCA</t>
        </is>
      </c>
      <c r="E1628" t="n">
        <v>379</v>
      </c>
      <c r="F1628" s="14" t="n">
        <v>0</v>
      </c>
      <c r="G1628" s="14" t="n">
        <v>87.86</v>
      </c>
      <c r="H1628" s="14" t="n">
        <v>0.26</v>
      </c>
      <c r="I1628" s="14" t="n">
        <v>0.26</v>
      </c>
      <c r="J1628" s="14" t="n">
        <v>0</v>
      </c>
      <c r="K1628" s="14" t="n">
        <v>0</v>
      </c>
      <c r="L1628" s="14" t="n">
        <v>1.58</v>
      </c>
      <c r="M1628" s="14" t="n">
        <v>0.53</v>
      </c>
      <c r="N1628" s="14" t="n">
        <v>3.17</v>
      </c>
      <c r="O1628" s="14" t="n">
        <v>0.53</v>
      </c>
      <c r="P1628" s="14" t="n">
        <v>0</v>
      </c>
      <c r="Q1628" s="14" t="n">
        <v>0</v>
      </c>
      <c r="R1628" s="14" t="n">
        <v>0</v>
      </c>
      <c r="S1628" s="14" t="n">
        <v>0.26</v>
      </c>
      <c r="T1628" s="14" t="n">
        <v>0</v>
      </c>
      <c r="U1628" s="14" t="n">
        <v>1.58</v>
      </c>
      <c r="V1628" s="14" t="n">
        <v>1.06</v>
      </c>
      <c r="W1628" s="14" t="n">
        <v>0.26</v>
      </c>
      <c r="X1628" s="14" t="n">
        <v>0.26</v>
      </c>
      <c r="Y1628" s="14" t="n">
        <v>1.85</v>
      </c>
      <c r="Z1628" s="14" t="n">
        <v>0.53</v>
      </c>
      <c r="AA1628" s="14" t="n">
        <v>0</v>
      </c>
    </row>
    <row r="1629">
      <c r="A1629" t="inlineStr">
        <is>
          <t>080309</t>
        </is>
      </c>
      <c r="B1629" t="inlineStr">
        <is>
          <t>CUSCO</t>
        </is>
      </c>
      <c r="C1629" t="inlineStr">
        <is>
          <t>ANTA</t>
        </is>
      </c>
      <c r="D1629" t="inlineStr">
        <is>
          <t>ZURITE</t>
        </is>
      </c>
      <c r="E1629" t="n">
        <v>1191</v>
      </c>
      <c r="F1629" s="14" t="n">
        <v>0</v>
      </c>
      <c r="G1629" s="14" t="n">
        <v>55.92</v>
      </c>
      <c r="H1629" s="14" t="n">
        <v>0.25</v>
      </c>
      <c r="I1629" s="14" t="n">
        <v>2.69</v>
      </c>
      <c r="J1629" s="14" t="n">
        <v>0.08</v>
      </c>
      <c r="K1629" s="14" t="n">
        <v>0</v>
      </c>
      <c r="L1629" s="14" t="n">
        <v>8.56</v>
      </c>
      <c r="M1629" s="14" t="n">
        <v>8.140000000000001</v>
      </c>
      <c r="N1629" s="14" t="n">
        <v>7.56</v>
      </c>
      <c r="O1629" s="14" t="n">
        <v>2.27</v>
      </c>
      <c r="P1629" s="14" t="n">
        <v>0</v>
      </c>
      <c r="Q1629" s="14" t="n">
        <v>0.42</v>
      </c>
      <c r="R1629" s="14" t="n">
        <v>0</v>
      </c>
      <c r="S1629" s="14" t="n">
        <v>1.68</v>
      </c>
      <c r="T1629" s="14" t="n">
        <v>1.09</v>
      </c>
      <c r="U1629" s="14" t="n">
        <v>4.95</v>
      </c>
      <c r="V1629" s="14" t="n">
        <v>3.36</v>
      </c>
      <c r="W1629" s="14" t="n">
        <v>1.43</v>
      </c>
      <c r="X1629" s="14" t="n">
        <v>0.5</v>
      </c>
      <c r="Y1629" s="14" t="n">
        <v>0.76</v>
      </c>
      <c r="Z1629" s="14" t="n">
        <v>0.34</v>
      </c>
      <c r="AA1629" s="14" t="n">
        <v>0</v>
      </c>
    </row>
    <row r="1630">
      <c r="A1630" t="inlineStr">
        <is>
          <t>080106</t>
        </is>
      </c>
      <c r="B1630" t="inlineStr">
        <is>
          <t>CUSCO</t>
        </is>
      </c>
      <c r="C1630" t="inlineStr">
        <is>
          <t>CUSCO</t>
        </is>
      </c>
      <c r="D1630" t="inlineStr">
        <is>
          <t>SANTIAGO</t>
        </is>
      </c>
      <c r="E1630" t="n">
        <v>45233</v>
      </c>
      <c r="F1630" s="14" t="n">
        <v>0</v>
      </c>
      <c r="G1630" s="14" t="n">
        <v>3.5</v>
      </c>
      <c r="H1630" s="14" t="n">
        <v>0.33</v>
      </c>
      <c r="I1630" s="14" t="n">
        <v>6.69</v>
      </c>
      <c r="J1630" s="14" t="n">
        <v>0.12</v>
      </c>
      <c r="K1630" s="14" t="n">
        <v>0.19</v>
      </c>
      <c r="L1630" s="14" t="n">
        <v>9.539999999999999</v>
      </c>
      <c r="M1630" s="14" t="n">
        <v>26.52</v>
      </c>
      <c r="N1630" s="14" t="n">
        <v>9.949999999999999</v>
      </c>
      <c r="O1630" s="14" t="n">
        <v>10.68</v>
      </c>
      <c r="P1630" s="14" t="n">
        <v>1.05</v>
      </c>
      <c r="Q1630" s="14" t="n">
        <v>1.15</v>
      </c>
      <c r="R1630" s="14" t="n">
        <v>0.17</v>
      </c>
      <c r="S1630" s="14" t="n">
        <v>5.72</v>
      </c>
      <c r="T1630" s="14" t="n">
        <v>5.33</v>
      </c>
      <c r="U1630" s="14" t="n">
        <v>4.88</v>
      </c>
      <c r="V1630" s="14" t="n">
        <v>6.19</v>
      </c>
      <c r="W1630" s="14" t="n">
        <v>2.88</v>
      </c>
      <c r="X1630" s="14" t="n">
        <v>1.35</v>
      </c>
      <c r="Y1630" s="14" t="n">
        <v>2.82</v>
      </c>
      <c r="Z1630" s="14" t="n">
        <v>0.95</v>
      </c>
      <c r="AA1630" s="14" t="n">
        <v>0</v>
      </c>
    </row>
    <row r="1631">
      <c r="A1631" t="inlineStr">
        <is>
          <t>021407</t>
        </is>
      </c>
      <c r="B1631" t="inlineStr">
        <is>
          <t>ANCASH</t>
        </is>
      </c>
      <c r="C1631" t="inlineStr">
        <is>
          <t>OCROS</t>
        </is>
      </c>
      <c r="D1631" t="inlineStr">
        <is>
          <t>LLIPA</t>
        </is>
      </c>
      <c r="E1631" t="n">
        <v>129</v>
      </c>
      <c r="F1631" s="14" t="n">
        <v>0</v>
      </c>
      <c r="G1631" s="14" t="n">
        <v>67.44</v>
      </c>
      <c r="H1631" s="14" t="n">
        <v>0</v>
      </c>
      <c r="I1631" s="14" t="n">
        <v>3.1</v>
      </c>
      <c r="J1631" s="14" t="n">
        <v>0</v>
      </c>
      <c r="K1631" s="14" t="n">
        <v>0</v>
      </c>
      <c r="L1631" s="14" t="n">
        <v>3.88</v>
      </c>
      <c r="M1631" s="14" t="n">
        <v>11.63</v>
      </c>
      <c r="N1631" s="14" t="n">
        <v>0.78</v>
      </c>
      <c r="O1631" s="14" t="n">
        <v>0.78</v>
      </c>
      <c r="P1631" s="14" t="n">
        <v>0</v>
      </c>
      <c r="Q1631" s="14" t="n">
        <v>0</v>
      </c>
      <c r="R1631" s="14" t="n">
        <v>0</v>
      </c>
      <c r="S1631" s="14" t="n">
        <v>0.78</v>
      </c>
      <c r="T1631" s="14" t="n">
        <v>0</v>
      </c>
      <c r="U1631" s="14" t="n">
        <v>3.88</v>
      </c>
      <c r="V1631" s="14" t="n">
        <v>4.65</v>
      </c>
      <c r="W1631" s="14" t="n">
        <v>0.78</v>
      </c>
      <c r="X1631" s="14" t="n">
        <v>0.78</v>
      </c>
      <c r="Y1631" s="14" t="n">
        <v>0</v>
      </c>
      <c r="Z1631" s="14" t="n">
        <v>1.55</v>
      </c>
      <c r="AA1631" s="14" t="n">
        <v>0</v>
      </c>
    </row>
    <row r="1632">
      <c r="A1632" t="inlineStr">
        <is>
          <t>040106</t>
        </is>
      </c>
      <c r="B1632" t="inlineStr">
        <is>
          <t>AREQUIPA</t>
        </is>
      </c>
      <c r="C1632" t="inlineStr">
        <is>
          <t>AREQUIPA</t>
        </is>
      </c>
      <c r="D1632" t="inlineStr">
        <is>
          <t>CHIGUATA</t>
        </is>
      </c>
      <c r="E1632" t="n">
        <v>1273</v>
      </c>
      <c r="F1632" s="14" t="n">
        <v>0</v>
      </c>
      <c r="G1632" s="14" t="n">
        <v>32.68</v>
      </c>
      <c r="H1632" s="14" t="n">
        <v>0.63</v>
      </c>
      <c r="I1632" s="14" t="n">
        <v>10.6</v>
      </c>
      <c r="J1632" s="14" t="n">
        <v>0.08</v>
      </c>
      <c r="K1632" s="14" t="n">
        <v>0.63</v>
      </c>
      <c r="L1632" s="14" t="n">
        <v>9.9</v>
      </c>
      <c r="M1632" s="14" t="n">
        <v>15.08</v>
      </c>
      <c r="N1632" s="14" t="n">
        <v>13.2</v>
      </c>
      <c r="O1632" s="14" t="n">
        <v>5.03</v>
      </c>
      <c r="P1632" s="14" t="n">
        <v>0.55</v>
      </c>
      <c r="Q1632" s="14" t="n">
        <v>0.47</v>
      </c>
      <c r="R1632" s="14" t="n">
        <v>0.16</v>
      </c>
      <c r="S1632" s="14" t="n">
        <v>2.28</v>
      </c>
      <c r="T1632" s="14" t="n">
        <v>2.12</v>
      </c>
      <c r="U1632" s="14" t="n">
        <v>2.2</v>
      </c>
      <c r="V1632" s="14" t="n">
        <v>1.73</v>
      </c>
      <c r="W1632" s="14" t="n">
        <v>0.71</v>
      </c>
      <c r="X1632" s="14" t="n">
        <v>0.08</v>
      </c>
      <c r="Y1632" s="14" t="n">
        <v>1.18</v>
      </c>
      <c r="Z1632" s="14" t="n">
        <v>0.71</v>
      </c>
      <c r="AA1632" s="14" t="n">
        <v>0</v>
      </c>
    </row>
    <row r="1633">
      <c r="A1633" t="inlineStr">
        <is>
          <t>040503</t>
        </is>
      </c>
      <c r="B1633" t="inlineStr">
        <is>
          <t>AREQUIPA</t>
        </is>
      </c>
      <c r="C1633" t="inlineStr">
        <is>
          <t>CAYLLOMA</t>
        </is>
      </c>
      <c r="D1633" t="inlineStr">
        <is>
          <t>CABANACONDE</t>
        </is>
      </c>
      <c r="E1633" t="n">
        <v>1136</v>
      </c>
      <c r="F1633" s="14" t="n">
        <v>0</v>
      </c>
      <c r="G1633" s="14" t="n">
        <v>66.81</v>
      </c>
      <c r="H1633" s="14" t="n">
        <v>0.18</v>
      </c>
      <c r="I1633" s="14" t="n">
        <v>2.99</v>
      </c>
      <c r="J1633" s="14" t="n">
        <v>0</v>
      </c>
      <c r="K1633" s="14" t="n">
        <v>0</v>
      </c>
      <c r="L1633" s="14" t="n">
        <v>3.35</v>
      </c>
      <c r="M1633" s="14" t="n">
        <v>8.890000000000001</v>
      </c>
      <c r="N1633" s="14" t="n">
        <v>2.55</v>
      </c>
      <c r="O1633" s="14" t="n">
        <v>4.67</v>
      </c>
      <c r="P1633" s="14" t="n">
        <v>0</v>
      </c>
      <c r="Q1633" s="14" t="n">
        <v>0.09</v>
      </c>
      <c r="R1633" s="14" t="n">
        <v>0</v>
      </c>
      <c r="S1633" s="14" t="n">
        <v>0.88</v>
      </c>
      <c r="T1633" s="14" t="n">
        <v>1.76</v>
      </c>
      <c r="U1633" s="14" t="n">
        <v>2.82</v>
      </c>
      <c r="V1633" s="14" t="n">
        <v>1.32</v>
      </c>
      <c r="W1633" s="14" t="n">
        <v>1.76</v>
      </c>
      <c r="X1633" s="14" t="n">
        <v>0.35</v>
      </c>
      <c r="Y1633" s="14" t="n">
        <v>1.32</v>
      </c>
      <c r="Z1633" s="14" t="n">
        <v>0.18</v>
      </c>
      <c r="AA1633" s="14" t="n">
        <v>0.09</v>
      </c>
    </row>
    <row r="1634">
      <c r="A1634" t="inlineStr">
        <is>
          <t>040518</t>
        </is>
      </c>
      <c r="B1634" t="inlineStr">
        <is>
          <t>AREQUIPA</t>
        </is>
      </c>
      <c r="C1634" t="inlineStr">
        <is>
          <t>CAYLLOMA</t>
        </is>
      </c>
      <c r="D1634" t="inlineStr">
        <is>
          <t>TUTI</t>
        </is>
      </c>
      <c r="E1634" t="n">
        <v>297</v>
      </c>
      <c r="F1634" s="14" t="n">
        <v>0</v>
      </c>
      <c r="G1634" s="14" t="n">
        <v>54.55</v>
      </c>
      <c r="H1634" s="14" t="n">
        <v>4.04</v>
      </c>
      <c r="I1634" s="14" t="n">
        <v>4.38</v>
      </c>
      <c r="J1634" s="14" t="n">
        <v>0.34</v>
      </c>
      <c r="K1634" s="14" t="n">
        <v>0</v>
      </c>
      <c r="L1634" s="14" t="n">
        <v>13.47</v>
      </c>
      <c r="M1634" s="14" t="n">
        <v>6.73</v>
      </c>
      <c r="N1634" s="14" t="n">
        <v>2.36</v>
      </c>
      <c r="O1634" s="14" t="n">
        <v>2.36</v>
      </c>
      <c r="P1634" s="14" t="n">
        <v>0</v>
      </c>
      <c r="Q1634" s="14" t="n">
        <v>0.67</v>
      </c>
      <c r="R1634" s="14" t="n">
        <v>0.34</v>
      </c>
      <c r="S1634" s="14" t="n">
        <v>0.67</v>
      </c>
      <c r="T1634" s="14" t="n">
        <v>0.34</v>
      </c>
      <c r="U1634" s="14" t="n">
        <v>7.07</v>
      </c>
      <c r="V1634" s="14" t="n">
        <v>1.01</v>
      </c>
      <c r="W1634" s="14" t="n">
        <v>1.01</v>
      </c>
      <c r="X1634" s="14" t="n">
        <v>0</v>
      </c>
      <c r="Y1634" s="14" t="n">
        <v>0.67</v>
      </c>
      <c r="Z1634" s="14" t="n">
        <v>0</v>
      </c>
      <c r="AA1634" s="14" t="n">
        <v>0</v>
      </c>
    </row>
    <row r="1635">
      <c r="A1635" t="inlineStr">
        <is>
          <t>050809</t>
        </is>
      </c>
      <c r="B1635" t="inlineStr">
        <is>
          <t>AYACUCHO</t>
        </is>
      </c>
      <c r="C1635" t="inlineStr">
        <is>
          <t>PAUCAR DEL SARA SARA</t>
        </is>
      </c>
      <c r="D1635" t="inlineStr">
        <is>
          <t>SAN JOSE DE USHUA</t>
        </is>
      </c>
      <c r="E1635" t="n">
        <v>87</v>
      </c>
      <c r="F1635" s="14" t="n">
        <v>0</v>
      </c>
      <c r="G1635" s="14" t="n">
        <v>50.57</v>
      </c>
      <c r="H1635" s="14" t="n">
        <v>0</v>
      </c>
      <c r="I1635" s="14" t="n">
        <v>1.15</v>
      </c>
      <c r="J1635" s="14" t="n">
        <v>0</v>
      </c>
      <c r="K1635" s="14" t="n">
        <v>0</v>
      </c>
      <c r="L1635" s="14" t="n">
        <v>1.15</v>
      </c>
      <c r="M1635" s="14" t="n">
        <v>9.199999999999999</v>
      </c>
      <c r="N1635" s="14" t="n">
        <v>1.15</v>
      </c>
      <c r="O1635" s="14" t="n">
        <v>3.45</v>
      </c>
      <c r="P1635" s="14" t="n">
        <v>0</v>
      </c>
      <c r="Q1635" s="14" t="n">
        <v>0</v>
      </c>
      <c r="R1635" s="14" t="n">
        <v>0</v>
      </c>
      <c r="S1635" s="14" t="n">
        <v>0</v>
      </c>
      <c r="T1635" s="14" t="n">
        <v>0</v>
      </c>
      <c r="U1635" s="14" t="n">
        <v>6.9</v>
      </c>
      <c r="V1635" s="14" t="n">
        <v>25.29</v>
      </c>
      <c r="W1635" s="14" t="n">
        <v>1.15</v>
      </c>
      <c r="X1635" s="14" t="n">
        <v>0</v>
      </c>
      <c r="Y1635" s="14" t="n">
        <v>0</v>
      </c>
      <c r="Z1635" s="14" t="n">
        <v>0</v>
      </c>
      <c r="AA1635" s="14" t="n">
        <v>0</v>
      </c>
    </row>
    <row r="1636">
      <c r="A1636" t="inlineStr">
        <is>
          <t>050610</t>
        </is>
      </c>
      <c r="B1636" t="inlineStr">
        <is>
          <t>AYACUCHO</t>
        </is>
      </c>
      <c r="C1636" t="inlineStr">
        <is>
          <t>LUCANAS</t>
        </is>
      </c>
      <c r="D1636" t="inlineStr">
        <is>
          <t>LLAUTA</t>
        </is>
      </c>
      <c r="E1636" t="n">
        <v>433</v>
      </c>
      <c r="F1636" s="14" t="n">
        <v>0</v>
      </c>
      <c r="G1636" s="14" t="n">
        <v>71.13</v>
      </c>
      <c r="H1636" s="14" t="n">
        <v>0.46</v>
      </c>
      <c r="I1636" s="14" t="n">
        <v>1.62</v>
      </c>
      <c r="J1636" s="14" t="n">
        <v>0.23</v>
      </c>
      <c r="K1636" s="14" t="n">
        <v>0</v>
      </c>
      <c r="L1636" s="14" t="n">
        <v>3.23</v>
      </c>
      <c r="M1636" s="14" t="n">
        <v>2.54</v>
      </c>
      <c r="N1636" s="14" t="n">
        <v>0.46</v>
      </c>
      <c r="O1636" s="14" t="n">
        <v>1.15</v>
      </c>
      <c r="P1636" s="14" t="n">
        <v>0.23</v>
      </c>
      <c r="Q1636" s="14" t="n">
        <v>0</v>
      </c>
      <c r="R1636" s="14" t="n">
        <v>0</v>
      </c>
      <c r="S1636" s="14" t="n">
        <v>2.77</v>
      </c>
      <c r="T1636" s="14" t="n">
        <v>0.23</v>
      </c>
      <c r="U1636" s="14" t="n">
        <v>7.62</v>
      </c>
      <c r="V1636" s="14" t="n">
        <v>4.16</v>
      </c>
      <c r="W1636" s="14" t="n">
        <v>2.08</v>
      </c>
      <c r="X1636" s="14" t="n">
        <v>0</v>
      </c>
      <c r="Y1636" s="14" t="n">
        <v>0.92</v>
      </c>
      <c r="Z1636" s="14" t="n">
        <v>1.15</v>
      </c>
      <c r="AA1636" s="14" t="n">
        <v>0</v>
      </c>
    </row>
    <row r="1637">
      <c r="A1637" t="inlineStr">
        <is>
          <t>040412</t>
        </is>
      </c>
      <c r="B1637" t="inlineStr">
        <is>
          <t>AREQUIPA</t>
        </is>
      </c>
      <c r="C1637" t="inlineStr">
        <is>
          <t>CASTILLA</t>
        </is>
      </c>
      <c r="D1637" t="inlineStr">
        <is>
          <t>UÑON</t>
        </is>
      </c>
      <c r="E1637" t="n">
        <v>134</v>
      </c>
      <c r="F1637" s="14" t="n">
        <v>0</v>
      </c>
      <c r="G1637" s="14" t="n">
        <v>48.51</v>
      </c>
      <c r="H1637" s="14" t="n">
        <v>10.45</v>
      </c>
      <c r="I1637" s="14" t="n">
        <v>0.75</v>
      </c>
      <c r="J1637" s="14" t="n">
        <v>0</v>
      </c>
      <c r="K1637" s="14" t="n">
        <v>0</v>
      </c>
      <c r="L1637" s="14" t="n">
        <v>2.24</v>
      </c>
      <c r="M1637" s="14" t="n">
        <v>11.94</v>
      </c>
      <c r="N1637" s="14" t="n">
        <v>5.97</v>
      </c>
      <c r="O1637" s="14" t="n">
        <v>2.99</v>
      </c>
      <c r="P1637" s="14" t="n">
        <v>4.48</v>
      </c>
      <c r="Q1637" s="14" t="n">
        <v>0</v>
      </c>
      <c r="R1637" s="14" t="n">
        <v>0</v>
      </c>
      <c r="S1637" s="14" t="n">
        <v>2.99</v>
      </c>
      <c r="T1637" s="14" t="n">
        <v>0.75</v>
      </c>
      <c r="U1637" s="14" t="n">
        <v>5.97</v>
      </c>
      <c r="V1637" s="14" t="n">
        <v>1.49</v>
      </c>
      <c r="W1637" s="14" t="n">
        <v>0.75</v>
      </c>
      <c r="X1637" s="14" t="n">
        <v>0</v>
      </c>
      <c r="Y1637" s="14" t="n">
        <v>0.75</v>
      </c>
      <c r="Z1637" s="14" t="n">
        <v>0</v>
      </c>
      <c r="AA1637" s="14" t="n">
        <v>0</v>
      </c>
    </row>
    <row r="1638">
      <c r="A1638" t="inlineStr">
        <is>
          <t>040414</t>
        </is>
      </c>
      <c r="B1638" t="inlineStr">
        <is>
          <t>AREQUIPA</t>
        </is>
      </c>
      <c r="C1638" t="inlineStr">
        <is>
          <t>CASTILLA</t>
        </is>
      </c>
      <c r="D1638" t="inlineStr">
        <is>
          <t>VIRACO</t>
        </is>
      </c>
      <c r="E1638" t="n">
        <v>820</v>
      </c>
      <c r="F1638" s="14" t="n">
        <v>0</v>
      </c>
      <c r="G1638" s="14" t="n">
        <v>55</v>
      </c>
      <c r="H1638" s="14" t="n">
        <v>1.1</v>
      </c>
      <c r="I1638" s="14" t="n">
        <v>4.88</v>
      </c>
      <c r="J1638" s="14" t="n">
        <v>0</v>
      </c>
      <c r="K1638" s="14" t="n">
        <v>0.12</v>
      </c>
      <c r="L1638" s="14" t="n">
        <v>10.37</v>
      </c>
      <c r="M1638" s="14" t="n">
        <v>11.95</v>
      </c>
      <c r="N1638" s="14" t="n">
        <v>2.32</v>
      </c>
      <c r="O1638" s="14" t="n">
        <v>2.56</v>
      </c>
      <c r="P1638" s="14" t="n">
        <v>0</v>
      </c>
      <c r="Q1638" s="14" t="n">
        <v>0</v>
      </c>
      <c r="R1638" s="14" t="n">
        <v>0</v>
      </c>
      <c r="S1638" s="14" t="n">
        <v>0.98</v>
      </c>
      <c r="T1638" s="14" t="n">
        <v>1.1</v>
      </c>
      <c r="U1638" s="14" t="n">
        <v>4.63</v>
      </c>
      <c r="V1638" s="14" t="n">
        <v>1.46</v>
      </c>
      <c r="W1638" s="14" t="n">
        <v>1.95</v>
      </c>
      <c r="X1638" s="14" t="n">
        <v>0</v>
      </c>
      <c r="Y1638" s="14" t="n">
        <v>1.1</v>
      </c>
      <c r="Z1638" s="14" t="n">
        <v>0.49</v>
      </c>
      <c r="AA1638" s="14" t="n">
        <v>0</v>
      </c>
    </row>
    <row r="1639">
      <c r="A1639" t="inlineStr">
        <is>
          <t>030407</t>
        </is>
      </c>
      <c r="B1639" t="inlineStr">
        <is>
          <t>APURIMAC</t>
        </is>
      </c>
      <c r="C1639" t="inlineStr">
        <is>
          <t>AYMARAES</t>
        </is>
      </c>
      <c r="D1639" t="inlineStr">
        <is>
          <t>HUAYLLO</t>
        </is>
      </c>
      <c r="E1639" t="n">
        <v>0</v>
      </c>
      <c r="F1639" s="14" t="n">
        <v>0</v>
      </c>
      <c r="G1639" s="14" t="n">
        <v>72.64</v>
      </c>
      <c r="H1639" s="14" t="n">
        <v>0.82</v>
      </c>
      <c r="I1639" s="14" t="n">
        <v>1.53</v>
      </c>
      <c r="J1639" s="14" t="n">
        <v>0</v>
      </c>
      <c r="K1639" s="14" t="n">
        <v>0</v>
      </c>
      <c r="L1639" s="14" t="n">
        <v>5.08</v>
      </c>
      <c r="M1639" s="14" t="n">
        <v>5.72</v>
      </c>
      <c r="N1639" s="14" t="n">
        <v>1.72</v>
      </c>
      <c r="O1639" s="14" t="n">
        <v>1.77</v>
      </c>
      <c r="P1639" s="14" t="n">
        <v>0</v>
      </c>
      <c r="Q1639" s="14" t="n">
        <v>0.1</v>
      </c>
      <c r="R1639" s="14" t="n">
        <v>0</v>
      </c>
      <c r="S1639" s="14" t="n">
        <v>0.44</v>
      </c>
      <c r="T1639" s="14" t="n">
        <v>0.38</v>
      </c>
      <c r="U1639" s="14" t="n">
        <v>3.36</v>
      </c>
      <c r="V1639" s="14" t="n">
        <v>4.43</v>
      </c>
      <c r="W1639" s="14" t="n">
        <v>1.46</v>
      </c>
      <c r="X1639" s="14" t="n">
        <v>0</v>
      </c>
      <c r="Y1639" s="14" t="n">
        <v>0.32</v>
      </c>
      <c r="Z1639" s="14" t="n">
        <v>0.23</v>
      </c>
      <c r="AA1639" s="14" t="n">
        <v>0</v>
      </c>
    </row>
    <row r="1640">
      <c r="A1640" t="inlineStr">
        <is>
          <t>020513</t>
        </is>
      </c>
      <c r="B1640" t="inlineStr">
        <is>
          <t>ANCASH</t>
        </is>
      </c>
      <c r="C1640" t="inlineStr">
        <is>
          <t>BOLOGNESI</t>
        </is>
      </c>
      <c r="D1640" t="inlineStr">
        <is>
          <t>PACLLON</t>
        </is>
      </c>
      <c r="E1640" t="n">
        <v>350</v>
      </c>
      <c r="F1640" s="14" t="n">
        <v>0</v>
      </c>
      <c r="G1640" s="14" t="n">
        <v>42.57</v>
      </c>
      <c r="H1640" s="14" t="n">
        <v>11.14</v>
      </c>
      <c r="I1640" s="14" t="n">
        <v>4.57</v>
      </c>
      <c r="J1640" s="14" t="n">
        <v>0.29</v>
      </c>
      <c r="K1640" s="14" t="n">
        <v>0</v>
      </c>
      <c r="L1640" s="14" t="n">
        <v>6.86</v>
      </c>
      <c r="M1640" s="14" t="n">
        <v>7.71</v>
      </c>
      <c r="N1640" s="14" t="n">
        <v>2</v>
      </c>
      <c r="O1640" s="14" t="n">
        <v>2</v>
      </c>
      <c r="P1640" s="14" t="n">
        <v>0</v>
      </c>
      <c r="Q1640" s="14" t="n">
        <v>0.29</v>
      </c>
      <c r="R1640" s="14" t="n">
        <v>0</v>
      </c>
      <c r="S1640" s="14" t="n">
        <v>2.29</v>
      </c>
      <c r="T1640" s="14" t="n">
        <v>2.57</v>
      </c>
      <c r="U1640" s="14" t="n">
        <v>7.14</v>
      </c>
      <c r="V1640" s="14" t="n">
        <v>8.859999999999999</v>
      </c>
      <c r="W1640" s="14" t="n">
        <v>0.86</v>
      </c>
      <c r="X1640" s="14" t="n">
        <v>0</v>
      </c>
      <c r="Y1640" s="14" t="n">
        <v>0.86</v>
      </c>
      <c r="Z1640" s="14" t="n">
        <v>0</v>
      </c>
      <c r="AA1640" s="14" t="n">
        <v>0</v>
      </c>
    </row>
    <row r="1641">
      <c r="A1641" t="inlineStr">
        <is>
          <t>080806</t>
        </is>
      </c>
      <c r="B1641" t="inlineStr">
        <is>
          <t>CUSCO</t>
        </is>
      </c>
      <c r="C1641" t="inlineStr">
        <is>
          <t>ESPINAR</t>
        </is>
      </c>
      <c r="D1641" t="inlineStr">
        <is>
          <t>PICHIGUA</t>
        </is>
      </c>
      <c r="E1641" t="n">
        <v>464</v>
      </c>
      <c r="F1641" s="14" t="n">
        <v>0</v>
      </c>
      <c r="G1641" s="14" t="n">
        <v>50.22</v>
      </c>
      <c r="H1641" s="14" t="n">
        <v>1.72</v>
      </c>
      <c r="I1641" s="14" t="n">
        <v>1.94</v>
      </c>
      <c r="J1641" s="14" t="n">
        <v>0</v>
      </c>
      <c r="K1641" s="14" t="n">
        <v>0.22</v>
      </c>
      <c r="L1641" s="14" t="n">
        <v>17.24</v>
      </c>
      <c r="M1641" s="14" t="n">
        <v>6.47</v>
      </c>
      <c r="N1641" s="14" t="n">
        <v>5.6</v>
      </c>
      <c r="O1641" s="14" t="n">
        <v>1.08</v>
      </c>
      <c r="P1641" s="14" t="n">
        <v>0</v>
      </c>
      <c r="Q1641" s="14" t="n">
        <v>0</v>
      </c>
      <c r="R1641" s="14" t="n">
        <v>0</v>
      </c>
      <c r="S1641" s="14" t="n">
        <v>2.16</v>
      </c>
      <c r="T1641" s="14" t="n">
        <v>1.29</v>
      </c>
      <c r="U1641" s="14" t="n">
        <v>3.45</v>
      </c>
      <c r="V1641" s="14" t="n">
        <v>4.96</v>
      </c>
      <c r="W1641" s="14" t="n">
        <v>1.08</v>
      </c>
      <c r="X1641" s="14" t="n">
        <v>0</v>
      </c>
      <c r="Y1641" s="14" t="n">
        <v>1.94</v>
      </c>
      <c r="Z1641" s="14" t="n">
        <v>0.65</v>
      </c>
      <c r="AA1641" s="14" t="n">
        <v>0</v>
      </c>
    </row>
    <row r="1642">
      <c r="A1642" t="inlineStr">
        <is>
          <t>051003</t>
        </is>
      </c>
      <c r="B1642" t="inlineStr">
        <is>
          <t>AYACUCHO</t>
        </is>
      </c>
      <c r="C1642" t="inlineStr">
        <is>
          <t>VICTOR FAJARDO</t>
        </is>
      </c>
      <c r="D1642" t="inlineStr">
        <is>
          <t>APONGO</t>
        </is>
      </c>
      <c r="E1642" t="n">
        <v>248</v>
      </c>
      <c r="F1642" s="14" t="n">
        <v>0</v>
      </c>
      <c r="G1642" s="14" t="n">
        <v>72.58</v>
      </c>
      <c r="H1642" s="14" t="n">
        <v>1.61</v>
      </c>
      <c r="I1642" s="14" t="n">
        <v>1.21</v>
      </c>
      <c r="J1642" s="14" t="n">
        <v>0</v>
      </c>
      <c r="K1642" s="14" t="n">
        <v>0</v>
      </c>
      <c r="L1642" s="14" t="n">
        <v>4.84</v>
      </c>
      <c r="M1642" s="14" t="n">
        <v>4.84</v>
      </c>
      <c r="N1642" s="14" t="n">
        <v>0.8100000000000001</v>
      </c>
      <c r="O1642" s="14" t="n">
        <v>0.4</v>
      </c>
      <c r="P1642" s="14" t="n">
        <v>0</v>
      </c>
      <c r="Q1642" s="14" t="n">
        <v>0</v>
      </c>
      <c r="R1642" s="14" t="n">
        <v>0</v>
      </c>
      <c r="S1642" s="14" t="n">
        <v>1.21</v>
      </c>
      <c r="T1642" s="14" t="n">
        <v>0</v>
      </c>
      <c r="U1642" s="14" t="n">
        <v>2.42</v>
      </c>
      <c r="V1642" s="14" t="n">
        <v>8.470000000000001</v>
      </c>
      <c r="W1642" s="14" t="n">
        <v>0.8100000000000001</v>
      </c>
      <c r="X1642" s="14" t="n">
        <v>0</v>
      </c>
      <c r="Y1642" s="14" t="n">
        <v>0.8100000000000001</v>
      </c>
      <c r="Z1642" s="14" t="n">
        <v>0</v>
      </c>
      <c r="AA1642" s="14" t="n">
        <v>0</v>
      </c>
    </row>
    <row r="1643">
      <c r="A1643" t="inlineStr">
        <is>
          <t>020205</t>
        </is>
      </c>
      <c r="B1643" t="inlineStr">
        <is>
          <t>ANCASH</t>
        </is>
      </c>
      <c r="C1643" t="inlineStr">
        <is>
          <t>AIJA</t>
        </is>
      </c>
      <c r="D1643" t="inlineStr">
        <is>
          <t>SUCCHA</t>
        </is>
      </c>
      <c r="E1643" t="n">
        <v>345</v>
      </c>
      <c r="F1643" s="14" t="n">
        <v>0</v>
      </c>
      <c r="G1643" s="14" t="n">
        <v>70.72</v>
      </c>
      <c r="H1643" s="14" t="n">
        <v>1.45</v>
      </c>
      <c r="I1643" s="14" t="n">
        <v>1.45</v>
      </c>
      <c r="J1643" s="14" t="n">
        <v>0</v>
      </c>
      <c r="K1643" s="14" t="n">
        <v>0</v>
      </c>
      <c r="L1643" s="14" t="n">
        <v>8.41</v>
      </c>
      <c r="M1643" s="14" t="n">
        <v>4.06</v>
      </c>
      <c r="N1643" s="14" t="n">
        <v>0.58</v>
      </c>
      <c r="O1643" s="14" t="n">
        <v>1.45</v>
      </c>
      <c r="P1643" s="14" t="n">
        <v>0</v>
      </c>
      <c r="Q1643" s="14" t="n">
        <v>0</v>
      </c>
      <c r="R1643" s="14" t="n">
        <v>0</v>
      </c>
      <c r="S1643" s="14" t="n">
        <v>0.58</v>
      </c>
      <c r="T1643" s="14" t="n">
        <v>0</v>
      </c>
      <c r="U1643" s="14" t="n">
        <v>3.48</v>
      </c>
      <c r="V1643" s="14" t="n">
        <v>6.38</v>
      </c>
      <c r="W1643" s="14" t="n">
        <v>0.87</v>
      </c>
      <c r="X1643" s="14" t="n">
        <v>0</v>
      </c>
      <c r="Y1643" s="14" t="n">
        <v>0.29</v>
      </c>
      <c r="Z1643" s="14" t="n">
        <v>0.29</v>
      </c>
      <c r="AA1643" s="14" t="n">
        <v>0</v>
      </c>
    </row>
    <row r="1644">
      <c r="A1644" t="inlineStr">
        <is>
          <t>060402</t>
        </is>
      </c>
      <c r="B1644" t="inlineStr">
        <is>
          <t>CAJAMARCA</t>
        </is>
      </c>
      <c r="C1644" t="inlineStr">
        <is>
          <t>CHOTA</t>
        </is>
      </c>
      <c r="D1644" t="inlineStr">
        <is>
          <t>ANGUIA</t>
        </is>
      </c>
      <c r="E1644" t="n">
        <v>891</v>
      </c>
      <c r="F1644" s="14" t="n">
        <v>0</v>
      </c>
      <c r="G1644" s="14" t="n">
        <v>85.52</v>
      </c>
      <c r="H1644" s="14" t="n">
        <v>0</v>
      </c>
      <c r="I1644" s="14" t="n">
        <v>0.67</v>
      </c>
      <c r="J1644" s="14" t="n">
        <v>0.11</v>
      </c>
      <c r="K1644" s="14" t="n">
        <v>0</v>
      </c>
      <c r="L1644" s="14" t="n">
        <v>1.12</v>
      </c>
      <c r="M1644" s="14" t="n">
        <v>1.68</v>
      </c>
      <c r="N1644" s="14" t="n">
        <v>0.45</v>
      </c>
      <c r="O1644" s="14" t="n">
        <v>0.79</v>
      </c>
      <c r="P1644" s="14" t="n">
        <v>0.45</v>
      </c>
      <c r="Q1644" s="14" t="n">
        <v>0.11</v>
      </c>
      <c r="R1644" s="14" t="n">
        <v>0</v>
      </c>
      <c r="S1644" s="14" t="n">
        <v>0.34</v>
      </c>
      <c r="T1644" s="14" t="n">
        <v>0.22</v>
      </c>
      <c r="U1644" s="14" t="n">
        <v>2.69</v>
      </c>
      <c r="V1644" s="14" t="n">
        <v>3.7</v>
      </c>
      <c r="W1644" s="14" t="n">
        <v>1.57</v>
      </c>
      <c r="X1644" s="14" t="n">
        <v>0.22</v>
      </c>
      <c r="Y1644" s="14" t="n">
        <v>0.22</v>
      </c>
      <c r="Z1644" s="14" t="n">
        <v>0.11</v>
      </c>
      <c r="AA1644" s="14" t="n">
        <v>0</v>
      </c>
    </row>
    <row r="1645">
      <c r="A1645" t="inlineStr">
        <is>
          <t>010606</t>
        </is>
      </c>
      <c r="B1645" t="inlineStr">
        <is>
          <t>AMAZONAS</t>
        </is>
      </c>
      <c r="C1645" t="inlineStr">
        <is>
          <t>RODRIGUEZ DE MENDOZA</t>
        </is>
      </c>
      <c r="D1645" t="inlineStr">
        <is>
          <t>LONGAR</t>
        </is>
      </c>
      <c r="E1645" t="n">
        <v>684</v>
      </c>
      <c r="F1645" s="14" t="n">
        <v>0</v>
      </c>
      <c r="G1645" s="14" t="n">
        <v>67.54000000000001</v>
      </c>
      <c r="H1645" s="14" t="n">
        <v>0.15</v>
      </c>
      <c r="I1645" s="14" t="n">
        <v>2.19</v>
      </c>
      <c r="J1645" s="14" t="n">
        <v>0</v>
      </c>
      <c r="K1645" s="14" t="n">
        <v>0</v>
      </c>
      <c r="L1645" s="14" t="n">
        <v>1.75</v>
      </c>
      <c r="M1645" s="14" t="n">
        <v>6.73</v>
      </c>
      <c r="N1645" s="14" t="n">
        <v>1.32</v>
      </c>
      <c r="O1645" s="14" t="n">
        <v>1.61</v>
      </c>
      <c r="P1645" s="14" t="n">
        <v>0.58</v>
      </c>
      <c r="Q1645" s="14" t="n">
        <v>0.15</v>
      </c>
      <c r="R1645" s="14" t="n">
        <v>0</v>
      </c>
      <c r="S1645" s="14" t="n">
        <v>0.73</v>
      </c>
      <c r="T1645" s="14" t="n">
        <v>0.44</v>
      </c>
      <c r="U1645" s="14" t="n">
        <v>5.12</v>
      </c>
      <c r="V1645" s="14" t="n">
        <v>5.26</v>
      </c>
      <c r="W1645" s="14" t="n">
        <v>2.34</v>
      </c>
      <c r="X1645" s="14" t="n">
        <v>0.88</v>
      </c>
      <c r="Y1645" s="14" t="n">
        <v>1.02</v>
      </c>
      <c r="Z1645" s="14" t="n">
        <v>2.19</v>
      </c>
      <c r="AA1645" s="14" t="n">
        <v>0</v>
      </c>
    </row>
    <row r="1646">
      <c r="A1646" t="inlineStr">
        <is>
          <t>010301</t>
        </is>
      </c>
      <c r="B1646" t="inlineStr">
        <is>
          <t>AMAZONAS</t>
        </is>
      </c>
      <c r="C1646" t="inlineStr">
        <is>
          <t>BONGARA</t>
        </is>
      </c>
      <c r="D1646" t="inlineStr">
        <is>
          <t>JUMBILLA</t>
        </is>
      </c>
      <c r="E1646" t="n">
        <v>623</v>
      </c>
      <c r="F1646" s="14" t="n">
        <v>0</v>
      </c>
      <c r="G1646" s="14" t="n">
        <v>48.96</v>
      </c>
      <c r="H1646" s="14" t="n">
        <v>0</v>
      </c>
      <c r="I1646" s="14" t="n">
        <v>1.61</v>
      </c>
      <c r="J1646" s="14" t="n">
        <v>0</v>
      </c>
      <c r="K1646" s="14" t="n">
        <v>0.16</v>
      </c>
      <c r="L1646" s="14" t="n">
        <v>3.21</v>
      </c>
      <c r="M1646" s="14" t="n">
        <v>11.4</v>
      </c>
      <c r="N1646" s="14" t="n">
        <v>3.53</v>
      </c>
      <c r="O1646" s="14" t="n">
        <v>2.41</v>
      </c>
      <c r="P1646" s="14" t="n">
        <v>0.32</v>
      </c>
      <c r="Q1646" s="14" t="n">
        <v>0.32</v>
      </c>
      <c r="R1646" s="14" t="n">
        <v>0</v>
      </c>
      <c r="S1646" s="14" t="n">
        <v>3.53</v>
      </c>
      <c r="T1646" s="14" t="n">
        <v>0.8</v>
      </c>
      <c r="U1646" s="14" t="n">
        <v>8.029999999999999</v>
      </c>
      <c r="V1646" s="14" t="n">
        <v>8.99</v>
      </c>
      <c r="W1646" s="14" t="n">
        <v>3.05</v>
      </c>
      <c r="X1646" s="14" t="n">
        <v>0</v>
      </c>
      <c r="Y1646" s="14" t="n">
        <v>1.28</v>
      </c>
      <c r="Z1646" s="14" t="n">
        <v>2.41</v>
      </c>
      <c r="AA1646" s="14" t="n">
        <v>0</v>
      </c>
    </row>
    <row r="1647">
      <c r="A1647" t="inlineStr">
        <is>
          <t>030713</t>
        </is>
      </c>
      <c r="B1647" t="inlineStr">
        <is>
          <t>APURIMAC</t>
        </is>
      </c>
      <c r="C1647" t="inlineStr">
        <is>
          <t>GRAU</t>
        </is>
      </c>
      <c r="D1647" t="inlineStr">
        <is>
          <t>VIRUNDO</t>
        </is>
      </c>
      <c r="E1647" t="n">
        <v>106</v>
      </c>
      <c r="F1647" s="14" t="n">
        <v>0</v>
      </c>
      <c r="G1647" s="14" t="n">
        <v>63.21</v>
      </c>
      <c r="H1647" s="14" t="n">
        <v>1.89</v>
      </c>
      <c r="I1647" s="14" t="n">
        <v>0.9399999999999999</v>
      </c>
      <c r="J1647" s="14" t="n">
        <v>0</v>
      </c>
      <c r="K1647" s="14" t="n">
        <v>0</v>
      </c>
      <c r="L1647" s="14" t="n">
        <v>4.72</v>
      </c>
      <c r="M1647" s="14" t="n">
        <v>6.6</v>
      </c>
      <c r="N1647" s="14" t="n">
        <v>1.89</v>
      </c>
      <c r="O1647" s="14" t="n">
        <v>3.77</v>
      </c>
      <c r="P1647" s="14" t="n">
        <v>0</v>
      </c>
      <c r="Q1647" s="14" t="n">
        <v>0</v>
      </c>
      <c r="R1647" s="14" t="n">
        <v>0</v>
      </c>
      <c r="S1647" s="14" t="n">
        <v>0.9399999999999999</v>
      </c>
      <c r="T1647" s="14" t="n">
        <v>0</v>
      </c>
      <c r="U1647" s="14" t="n">
        <v>4.72</v>
      </c>
      <c r="V1647" s="14" t="n">
        <v>5.66</v>
      </c>
      <c r="W1647" s="14" t="n">
        <v>3.77</v>
      </c>
      <c r="X1647" s="14" t="n">
        <v>0</v>
      </c>
      <c r="Y1647" s="14" t="n">
        <v>0.9399999999999999</v>
      </c>
      <c r="Z1647" s="14" t="n">
        <v>0.9399999999999999</v>
      </c>
      <c r="AA1647" s="14" t="n">
        <v>0</v>
      </c>
    </row>
    <row r="1648">
      <c r="A1648" t="inlineStr">
        <is>
          <t>040407</t>
        </is>
      </c>
      <c r="B1648" t="inlineStr">
        <is>
          <t>AREQUIPA</t>
        </is>
      </c>
      <c r="C1648" t="inlineStr">
        <is>
          <t>CASTILLA</t>
        </is>
      </c>
      <c r="D1648" t="inlineStr">
        <is>
          <t>HUANCARQUI</t>
        </is>
      </c>
      <c r="E1648" t="n">
        <v>719</v>
      </c>
      <c r="F1648" s="14" t="n">
        <v>0</v>
      </c>
      <c r="G1648" s="14" t="n">
        <v>39.22</v>
      </c>
      <c r="H1648" s="14" t="n">
        <v>17.11</v>
      </c>
      <c r="I1648" s="14" t="n">
        <v>2.64</v>
      </c>
      <c r="J1648" s="14" t="n">
        <v>0</v>
      </c>
      <c r="K1648" s="14" t="n">
        <v>0</v>
      </c>
      <c r="L1648" s="14" t="n">
        <v>4.59</v>
      </c>
      <c r="M1648" s="14" t="n">
        <v>9.74</v>
      </c>
      <c r="N1648" s="14" t="n">
        <v>4.45</v>
      </c>
      <c r="O1648" s="14" t="n">
        <v>3.2</v>
      </c>
      <c r="P1648" s="14" t="n">
        <v>0.28</v>
      </c>
      <c r="Q1648" s="14" t="n">
        <v>0.42</v>
      </c>
      <c r="R1648" s="14" t="n">
        <v>0</v>
      </c>
      <c r="S1648" s="14" t="n">
        <v>2.23</v>
      </c>
      <c r="T1648" s="14" t="n">
        <v>1.11</v>
      </c>
      <c r="U1648" s="14" t="n">
        <v>6.82</v>
      </c>
      <c r="V1648" s="14" t="n">
        <v>4.17</v>
      </c>
      <c r="W1648" s="14" t="n">
        <v>2.09</v>
      </c>
      <c r="X1648" s="14" t="n">
        <v>0.14</v>
      </c>
      <c r="Y1648" s="14" t="n">
        <v>0.83</v>
      </c>
      <c r="Z1648" s="14" t="n">
        <v>0.97</v>
      </c>
      <c r="AA1648" s="14" t="n">
        <v>0</v>
      </c>
    </row>
    <row r="1649">
      <c r="A1649" t="inlineStr">
        <is>
          <t>060613</t>
        </is>
      </c>
      <c r="B1649" t="inlineStr">
        <is>
          <t>CAJAMARCA</t>
        </is>
      </c>
      <c r="C1649" t="inlineStr">
        <is>
          <t>CUTERVO</t>
        </is>
      </c>
      <c r="D1649" t="inlineStr">
        <is>
          <t>SANTO TOMAS</t>
        </is>
      </c>
      <c r="E1649" t="n">
        <v>2353</v>
      </c>
      <c r="F1649" s="14" t="n">
        <v>0</v>
      </c>
      <c r="G1649" s="14" t="n">
        <v>79.81</v>
      </c>
      <c r="H1649" s="14" t="n">
        <v>0</v>
      </c>
      <c r="I1649" s="14" t="n">
        <v>1.53</v>
      </c>
      <c r="J1649" s="14" t="n">
        <v>0</v>
      </c>
      <c r="K1649" s="14" t="n">
        <v>0</v>
      </c>
      <c r="L1649" s="14" t="n">
        <v>1.57</v>
      </c>
      <c r="M1649" s="14" t="n">
        <v>3.78</v>
      </c>
      <c r="N1649" s="14" t="n">
        <v>1.4</v>
      </c>
      <c r="O1649" s="14" t="n">
        <v>0.98</v>
      </c>
      <c r="P1649" s="14" t="n">
        <v>0.08</v>
      </c>
      <c r="Q1649" s="14" t="n">
        <v>0.3</v>
      </c>
      <c r="R1649" s="14" t="n">
        <v>0.04</v>
      </c>
      <c r="S1649" s="14" t="n">
        <v>0.85</v>
      </c>
      <c r="T1649" s="14" t="n">
        <v>0.17</v>
      </c>
      <c r="U1649" s="14" t="n">
        <v>1.06</v>
      </c>
      <c r="V1649" s="14" t="n">
        <v>5.1</v>
      </c>
      <c r="W1649" s="14" t="n">
        <v>1.61</v>
      </c>
      <c r="X1649" s="14" t="n">
        <v>0</v>
      </c>
      <c r="Y1649" s="14" t="n">
        <v>1.02</v>
      </c>
      <c r="Z1649" s="14" t="n">
        <v>0.68</v>
      </c>
      <c r="AA1649" s="14" t="n">
        <v>0</v>
      </c>
    </row>
    <row r="1650">
      <c r="A1650" t="inlineStr">
        <is>
          <t>040506</t>
        </is>
      </c>
      <c r="B1650" t="inlineStr">
        <is>
          <t>AREQUIPA</t>
        </is>
      </c>
      <c r="C1650" t="inlineStr">
        <is>
          <t>CAYLLOMA</t>
        </is>
      </c>
      <c r="D1650" t="inlineStr">
        <is>
          <t>COPORAQUE</t>
        </is>
      </c>
      <c r="E1650" t="n">
        <v>470</v>
      </c>
      <c r="F1650" s="14" t="n">
        <v>0</v>
      </c>
      <c r="G1650" s="14" t="n">
        <v>45.11</v>
      </c>
      <c r="H1650" s="14" t="n">
        <v>1.28</v>
      </c>
      <c r="I1650" s="14" t="n">
        <v>2.55</v>
      </c>
      <c r="J1650" s="14" t="n">
        <v>0.21</v>
      </c>
      <c r="K1650" s="14" t="n">
        <v>0</v>
      </c>
      <c r="L1650" s="14" t="n">
        <v>10.85</v>
      </c>
      <c r="M1650" s="14" t="n">
        <v>6.81</v>
      </c>
      <c r="N1650" s="14" t="n">
        <v>4.26</v>
      </c>
      <c r="O1650" s="14" t="n">
        <v>13.19</v>
      </c>
      <c r="P1650" s="14" t="n">
        <v>0</v>
      </c>
      <c r="Q1650" s="14" t="n">
        <v>1.28</v>
      </c>
      <c r="R1650" s="14" t="n">
        <v>0</v>
      </c>
      <c r="S1650" s="14" t="n">
        <v>1.91</v>
      </c>
      <c r="T1650" s="14" t="n">
        <v>2.98</v>
      </c>
      <c r="U1650" s="14" t="n">
        <v>2.13</v>
      </c>
      <c r="V1650" s="14" t="n">
        <v>1.91</v>
      </c>
      <c r="W1650" s="14" t="n">
        <v>2.13</v>
      </c>
      <c r="X1650" s="14" t="n">
        <v>0.21</v>
      </c>
      <c r="Y1650" s="14" t="n">
        <v>2.55</v>
      </c>
      <c r="Z1650" s="14" t="n">
        <v>0.64</v>
      </c>
      <c r="AA1650" s="14" t="n">
        <v>0</v>
      </c>
    </row>
    <row r="1651">
      <c r="A1651" t="inlineStr">
        <is>
          <t>080402</t>
        </is>
      </c>
      <c r="B1651" t="inlineStr">
        <is>
          <t>CUSCO</t>
        </is>
      </c>
      <c r="C1651" t="inlineStr">
        <is>
          <t>CALCA</t>
        </is>
      </c>
      <c r="D1651" t="inlineStr">
        <is>
          <t>COYA</t>
        </is>
      </c>
      <c r="E1651" t="n">
        <v>1305</v>
      </c>
      <c r="F1651" s="14" t="n">
        <v>0</v>
      </c>
      <c r="G1651" s="14" t="n">
        <v>56.55</v>
      </c>
      <c r="H1651" s="14" t="n">
        <v>0.38</v>
      </c>
      <c r="I1651" s="14" t="n">
        <v>4.6</v>
      </c>
      <c r="J1651" s="14" t="n">
        <v>0</v>
      </c>
      <c r="K1651" s="14" t="n">
        <v>0</v>
      </c>
      <c r="L1651" s="14" t="n">
        <v>8.119999999999999</v>
      </c>
      <c r="M1651" s="14" t="n">
        <v>7.97</v>
      </c>
      <c r="N1651" s="14" t="n">
        <v>4.29</v>
      </c>
      <c r="O1651" s="14" t="n">
        <v>4.6</v>
      </c>
      <c r="P1651" s="14" t="n">
        <v>0.15</v>
      </c>
      <c r="Q1651" s="14" t="n">
        <v>0.38</v>
      </c>
      <c r="R1651" s="14" t="n">
        <v>0</v>
      </c>
      <c r="S1651" s="14" t="n">
        <v>1</v>
      </c>
      <c r="T1651" s="14" t="n">
        <v>0.61</v>
      </c>
      <c r="U1651" s="14" t="n">
        <v>4.52</v>
      </c>
      <c r="V1651" s="14" t="n">
        <v>2.84</v>
      </c>
      <c r="W1651" s="14" t="n">
        <v>1.38</v>
      </c>
      <c r="X1651" s="14" t="n">
        <v>0.31</v>
      </c>
      <c r="Y1651" s="14" t="n">
        <v>1</v>
      </c>
      <c r="Z1651" s="14" t="n">
        <v>1.3</v>
      </c>
      <c r="AA1651" s="14" t="n">
        <v>0</v>
      </c>
    </row>
    <row r="1652">
      <c r="A1652" t="inlineStr">
        <is>
          <t>040107</t>
        </is>
      </c>
      <c r="B1652" t="inlineStr">
        <is>
          <t>AREQUIPA</t>
        </is>
      </c>
      <c r="C1652" t="inlineStr">
        <is>
          <t>AREQUIPA</t>
        </is>
      </c>
      <c r="D1652" t="inlineStr">
        <is>
          <t>JACOBO HUNTER</t>
        </is>
      </c>
      <c r="E1652" t="n">
        <v>22595</v>
      </c>
      <c r="F1652" s="14" t="n">
        <v>0</v>
      </c>
      <c r="G1652" s="14" t="n">
        <v>4.7</v>
      </c>
      <c r="H1652" s="14" t="n">
        <v>2.04</v>
      </c>
      <c r="I1652" s="14" t="n">
        <v>11.13</v>
      </c>
      <c r="J1652" s="14" t="n">
        <v>0.17</v>
      </c>
      <c r="K1652" s="14" t="n">
        <v>0.23</v>
      </c>
      <c r="L1652" s="14" t="n">
        <v>8.9</v>
      </c>
      <c r="M1652" s="14" t="n">
        <v>22.35</v>
      </c>
      <c r="N1652" s="14" t="n">
        <v>11.52</v>
      </c>
      <c r="O1652" s="14" t="n">
        <v>6.68</v>
      </c>
      <c r="P1652" s="14" t="n">
        <v>0.98</v>
      </c>
      <c r="Q1652" s="14" t="n">
        <v>1.19</v>
      </c>
      <c r="R1652" s="14" t="n">
        <v>0.15</v>
      </c>
      <c r="S1652" s="14" t="n">
        <v>5.55</v>
      </c>
      <c r="T1652" s="14" t="n">
        <v>4.01</v>
      </c>
      <c r="U1652" s="14" t="n">
        <v>5</v>
      </c>
      <c r="V1652" s="14" t="n">
        <v>6.51</v>
      </c>
      <c r="W1652" s="14" t="n">
        <v>3.43</v>
      </c>
      <c r="X1652" s="14" t="n">
        <v>0.99</v>
      </c>
      <c r="Y1652" s="14" t="n">
        <v>3.35</v>
      </c>
      <c r="Z1652" s="14" t="n">
        <v>1.14</v>
      </c>
      <c r="AA1652" s="14" t="n">
        <v>0</v>
      </c>
    </row>
    <row r="1653">
      <c r="A1653" t="inlineStr">
        <is>
          <t>040504</t>
        </is>
      </c>
      <c r="B1653" t="inlineStr">
        <is>
          <t>AREQUIPA</t>
        </is>
      </c>
      <c r="C1653" t="inlineStr">
        <is>
          <t>CAYLLOMA</t>
        </is>
      </c>
      <c r="D1653" t="inlineStr">
        <is>
          <t>CALLALLI</t>
        </is>
      </c>
      <c r="E1653" t="n">
        <v>766</v>
      </c>
      <c r="F1653" s="14" t="n">
        <v>0</v>
      </c>
      <c r="G1653" s="14" t="n">
        <v>53</v>
      </c>
      <c r="H1653" s="14" t="n">
        <v>0.91</v>
      </c>
      <c r="I1653" s="14" t="n">
        <v>4.18</v>
      </c>
      <c r="J1653" s="14" t="n">
        <v>0.13</v>
      </c>
      <c r="K1653" s="14" t="n">
        <v>0</v>
      </c>
      <c r="L1653" s="14" t="n">
        <v>18.15</v>
      </c>
      <c r="M1653" s="14" t="n">
        <v>9.27</v>
      </c>
      <c r="N1653" s="14" t="n">
        <v>2.74</v>
      </c>
      <c r="O1653" s="14" t="n">
        <v>2.22</v>
      </c>
      <c r="P1653" s="14" t="n">
        <v>0.39</v>
      </c>
      <c r="Q1653" s="14" t="n">
        <v>0</v>
      </c>
      <c r="R1653" s="14" t="n">
        <v>0</v>
      </c>
      <c r="S1653" s="14" t="n">
        <v>0.91</v>
      </c>
      <c r="T1653" s="14" t="n">
        <v>2.35</v>
      </c>
      <c r="U1653" s="14" t="n">
        <v>3</v>
      </c>
      <c r="V1653" s="14" t="n">
        <v>0.91</v>
      </c>
      <c r="W1653" s="14" t="n">
        <v>0.65</v>
      </c>
      <c r="X1653" s="14" t="n">
        <v>0.13</v>
      </c>
      <c r="Y1653" s="14" t="n">
        <v>0.91</v>
      </c>
      <c r="Z1653" s="14" t="n">
        <v>0.13</v>
      </c>
      <c r="AA1653" s="14" t="n">
        <v>0</v>
      </c>
    </row>
    <row r="1654">
      <c r="A1654" t="inlineStr">
        <is>
          <t>010310</t>
        </is>
      </c>
      <c r="B1654" t="inlineStr">
        <is>
          <t>AMAZONAS</t>
        </is>
      </c>
      <c r="C1654" t="inlineStr">
        <is>
          <t>BONGARA</t>
        </is>
      </c>
      <c r="D1654" t="inlineStr">
        <is>
          <t>SHIPASBAMBA</t>
        </is>
      </c>
      <c r="E1654" t="n">
        <v>617</v>
      </c>
      <c r="F1654" s="14" t="n">
        <v>0</v>
      </c>
      <c r="G1654" s="14" t="n">
        <v>75.84999999999999</v>
      </c>
      <c r="H1654" s="14" t="n">
        <v>0.49</v>
      </c>
      <c r="I1654" s="14" t="n">
        <v>0.49</v>
      </c>
      <c r="J1654" s="14" t="n">
        <v>0</v>
      </c>
      <c r="K1654" s="14" t="n">
        <v>0</v>
      </c>
      <c r="L1654" s="14" t="n">
        <v>2.43</v>
      </c>
      <c r="M1654" s="14" t="n">
        <v>9.4</v>
      </c>
      <c r="N1654" s="14" t="n">
        <v>1.62</v>
      </c>
      <c r="O1654" s="14" t="n">
        <v>0.97</v>
      </c>
      <c r="P1654" s="14" t="n">
        <v>0</v>
      </c>
      <c r="Q1654" s="14" t="n">
        <v>0.32</v>
      </c>
      <c r="R1654" s="14" t="n">
        <v>0</v>
      </c>
      <c r="S1654" s="14" t="n">
        <v>1.13</v>
      </c>
      <c r="T1654" s="14" t="n">
        <v>0.97</v>
      </c>
      <c r="U1654" s="14" t="n">
        <v>2.11</v>
      </c>
      <c r="V1654" s="14" t="n">
        <v>1.94</v>
      </c>
      <c r="W1654" s="14" t="n">
        <v>0.8100000000000001</v>
      </c>
      <c r="X1654" s="14" t="n">
        <v>0</v>
      </c>
      <c r="Y1654" s="14" t="n">
        <v>0.8100000000000001</v>
      </c>
      <c r="Z1654" s="14" t="n">
        <v>0.65</v>
      </c>
      <c r="AA1654" s="14" t="n">
        <v>0</v>
      </c>
    </row>
    <row r="1655">
      <c r="A1655" t="inlineStr">
        <is>
          <t>030214</t>
        </is>
      </c>
      <c r="B1655" t="inlineStr">
        <is>
          <t>APURIMAC</t>
        </is>
      </c>
      <c r="C1655" t="inlineStr">
        <is>
          <t>ANDAHUAYLAS</t>
        </is>
      </c>
      <c r="D1655" t="inlineStr">
        <is>
          <t>SAN MIGUEL DE CHACCRAMPA</t>
        </is>
      </c>
      <c r="E1655" t="n">
        <v>354</v>
      </c>
      <c r="F1655" s="14" t="n">
        <v>0</v>
      </c>
      <c r="G1655" s="14" t="n">
        <v>81.92</v>
      </c>
      <c r="H1655" s="14" t="n">
        <v>0</v>
      </c>
      <c r="I1655" s="14" t="n">
        <v>0.5600000000000001</v>
      </c>
      <c r="J1655" s="14" t="n">
        <v>0</v>
      </c>
      <c r="K1655" s="14" t="n">
        <v>0</v>
      </c>
      <c r="L1655" s="14" t="n">
        <v>7.06</v>
      </c>
      <c r="M1655" s="14" t="n">
        <v>2.82</v>
      </c>
      <c r="N1655" s="14" t="n">
        <v>1.13</v>
      </c>
      <c r="O1655" s="14" t="n">
        <v>1.13</v>
      </c>
      <c r="P1655" s="14" t="n">
        <v>0</v>
      </c>
      <c r="Q1655" s="14" t="n">
        <v>0</v>
      </c>
      <c r="R1655" s="14" t="n">
        <v>0</v>
      </c>
      <c r="S1655" s="14" t="n">
        <v>0.28</v>
      </c>
      <c r="T1655" s="14" t="n">
        <v>0.28</v>
      </c>
      <c r="U1655" s="14" t="n">
        <v>0.5600000000000001</v>
      </c>
      <c r="V1655" s="14" t="n">
        <v>2.54</v>
      </c>
      <c r="W1655" s="14" t="n">
        <v>0.5600000000000001</v>
      </c>
      <c r="X1655" s="14" t="n">
        <v>0</v>
      </c>
      <c r="Y1655" s="14" t="n">
        <v>1.13</v>
      </c>
      <c r="Z1655" s="14" t="n">
        <v>0</v>
      </c>
      <c r="AA1655" s="14" t="n">
        <v>0</v>
      </c>
    </row>
    <row r="1656">
      <c r="A1656" t="inlineStr">
        <is>
          <t>021016</t>
        </is>
      </c>
      <c r="B1656" t="inlineStr">
        <is>
          <t>ANCASH</t>
        </is>
      </c>
      <c r="C1656" t="inlineStr">
        <is>
          <t>HUARI</t>
        </is>
      </c>
      <c r="D1656" t="inlineStr">
        <is>
          <t>UCO</t>
        </is>
      </c>
      <c r="E1656" t="n">
        <v>309</v>
      </c>
      <c r="F1656" s="14" t="n">
        <v>0</v>
      </c>
      <c r="G1656" s="14" t="n">
        <v>58.25</v>
      </c>
      <c r="H1656" s="14" t="n">
        <v>0</v>
      </c>
      <c r="I1656" s="14" t="n">
        <v>0.65</v>
      </c>
      <c r="J1656" s="14" t="n">
        <v>0</v>
      </c>
      <c r="K1656" s="14" t="n">
        <v>0</v>
      </c>
      <c r="L1656" s="14" t="n">
        <v>1.94</v>
      </c>
      <c r="M1656" s="14" t="n">
        <v>9.06</v>
      </c>
      <c r="N1656" s="14" t="n">
        <v>2.27</v>
      </c>
      <c r="O1656" s="14" t="n">
        <v>1.62</v>
      </c>
      <c r="P1656" s="14" t="n">
        <v>0</v>
      </c>
      <c r="Q1656" s="14" t="n">
        <v>0</v>
      </c>
      <c r="R1656" s="14" t="n">
        <v>0</v>
      </c>
      <c r="S1656" s="14" t="n">
        <v>0.97</v>
      </c>
      <c r="T1656" s="14" t="n">
        <v>0</v>
      </c>
      <c r="U1656" s="14" t="n">
        <v>12.62</v>
      </c>
      <c r="V1656" s="14" t="n">
        <v>7.44</v>
      </c>
      <c r="W1656" s="14" t="n">
        <v>2.91</v>
      </c>
      <c r="X1656" s="14" t="n">
        <v>0</v>
      </c>
      <c r="Y1656" s="14" t="n">
        <v>1.29</v>
      </c>
      <c r="Z1656" s="14" t="n">
        <v>0.97</v>
      </c>
      <c r="AA1656" s="14" t="n">
        <v>0</v>
      </c>
    </row>
    <row r="1657">
      <c r="A1657" t="inlineStr">
        <is>
          <t>021209</t>
        </is>
      </c>
      <c r="B1657" t="inlineStr">
        <is>
          <t>ANCASH</t>
        </is>
      </c>
      <c r="C1657" t="inlineStr">
        <is>
          <t>HUAYLAS</t>
        </is>
      </c>
      <c r="D1657" t="inlineStr">
        <is>
          <t>SANTO TORIBIO</t>
        </is>
      </c>
      <c r="E1657" t="n">
        <v>199</v>
      </c>
      <c r="F1657" s="14" t="n">
        <v>0</v>
      </c>
      <c r="G1657" s="14" t="n">
        <v>56.78</v>
      </c>
      <c r="H1657" s="14" t="n">
        <v>0.5</v>
      </c>
      <c r="I1657" s="14" t="n">
        <v>4.02</v>
      </c>
      <c r="J1657" s="14" t="n">
        <v>0</v>
      </c>
      <c r="K1657" s="14" t="n">
        <v>0</v>
      </c>
      <c r="L1657" s="14" t="n">
        <v>7.04</v>
      </c>
      <c r="M1657" s="14" t="n">
        <v>4.52</v>
      </c>
      <c r="N1657" s="14" t="n">
        <v>3.02</v>
      </c>
      <c r="O1657" s="14" t="n">
        <v>4.02</v>
      </c>
      <c r="P1657" s="14" t="n">
        <v>1.01</v>
      </c>
      <c r="Q1657" s="14" t="n">
        <v>0</v>
      </c>
      <c r="R1657" s="14" t="n">
        <v>0</v>
      </c>
      <c r="S1657" s="14" t="n">
        <v>1.01</v>
      </c>
      <c r="T1657" s="14" t="n">
        <v>0</v>
      </c>
      <c r="U1657" s="14" t="n">
        <v>8.539999999999999</v>
      </c>
      <c r="V1657" s="14" t="n">
        <v>4.02</v>
      </c>
      <c r="W1657" s="14" t="n">
        <v>4.02</v>
      </c>
      <c r="X1657" s="14" t="n">
        <v>0</v>
      </c>
      <c r="Y1657" s="14" t="n">
        <v>0.5</v>
      </c>
      <c r="Z1657" s="14" t="n">
        <v>1.01</v>
      </c>
      <c r="AA1657" s="14" t="n">
        <v>0</v>
      </c>
    </row>
    <row r="1658">
      <c r="A1658" t="inlineStr">
        <is>
          <t>021704</t>
        </is>
      </c>
      <c r="B1658" t="inlineStr">
        <is>
          <t>ANCASH</t>
        </is>
      </c>
      <c r="C1658" t="inlineStr">
        <is>
          <t>RECUAY</t>
        </is>
      </c>
      <c r="D1658" t="inlineStr">
        <is>
          <t>HUAYLLAPAMPA</t>
        </is>
      </c>
      <c r="E1658" t="n">
        <v>289</v>
      </c>
      <c r="F1658" s="14" t="n">
        <v>0</v>
      </c>
      <c r="G1658" s="14" t="n">
        <v>82.34999999999999</v>
      </c>
      <c r="H1658" s="14" t="n">
        <v>0</v>
      </c>
      <c r="I1658" s="14" t="n">
        <v>0.6899999999999999</v>
      </c>
      <c r="J1658" s="14" t="n">
        <v>0</v>
      </c>
      <c r="K1658" s="14" t="n">
        <v>0</v>
      </c>
      <c r="L1658" s="14" t="n">
        <v>2.08</v>
      </c>
      <c r="M1658" s="14" t="n">
        <v>9</v>
      </c>
      <c r="N1658" s="14" t="n">
        <v>2.08</v>
      </c>
      <c r="O1658" s="14" t="n">
        <v>0.35</v>
      </c>
      <c r="P1658" s="14" t="n">
        <v>0.35</v>
      </c>
      <c r="Q1658" s="14" t="n">
        <v>0</v>
      </c>
      <c r="R1658" s="14" t="n">
        <v>0</v>
      </c>
      <c r="S1658" s="14" t="n">
        <v>0</v>
      </c>
      <c r="T1658" s="14" t="n">
        <v>0.35</v>
      </c>
      <c r="U1658" s="14" t="n">
        <v>1.04</v>
      </c>
      <c r="V1658" s="14" t="n">
        <v>1.04</v>
      </c>
      <c r="W1658" s="14" t="n">
        <v>0.35</v>
      </c>
      <c r="X1658" s="14" t="n">
        <v>0</v>
      </c>
      <c r="Y1658" s="14" t="n">
        <v>0</v>
      </c>
      <c r="Z1658" s="14" t="n">
        <v>0.35</v>
      </c>
      <c r="AA1658" s="14" t="n">
        <v>0</v>
      </c>
    </row>
    <row r="1659">
      <c r="A1659" t="inlineStr">
        <is>
          <t>060503</t>
        </is>
      </c>
      <c r="B1659" t="inlineStr">
        <is>
          <t>CAJAMARCA</t>
        </is>
      </c>
      <c r="C1659" t="inlineStr">
        <is>
          <t>CONTUMAZA</t>
        </is>
      </c>
      <c r="D1659" t="inlineStr">
        <is>
          <t>CUPISNIQUE</t>
        </is>
      </c>
      <c r="E1659" t="n">
        <v>391</v>
      </c>
      <c r="F1659" s="14" t="n">
        <v>0</v>
      </c>
      <c r="G1659" s="14" t="n">
        <v>81.06999999999999</v>
      </c>
      <c r="H1659" s="14" t="n">
        <v>0</v>
      </c>
      <c r="I1659" s="14" t="n">
        <v>1.53</v>
      </c>
      <c r="J1659" s="14" t="n">
        <v>0</v>
      </c>
      <c r="K1659" s="14" t="n">
        <v>0</v>
      </c>
      <c r="L1659" s="14" t="n">
        <v>2.56</v>
      </c>
      <c r="M1659" s="14" t="n">
        <v>2.3</v>
      </c>
      <c r="N1659" s="14" t="n">
        <v>0.77</v>
      </c>
      <c r="O1659" s="14" t="n">
        <v>0.77</v>
      </c>
      <c r="P1659" s="14" t="n">
        <v>0</v>
      </c>
      <c r="Q1659" s="14" t="n">
        <v>0</v>
      </c>
      <c r="R1659" s="14" t="n">
        <v>0</v>
      </c>
      <c r="S1659" s="14" t="n">
        <v>0.26</v>
      </c>
      <c r="T1659" s="14" t="n">
        <v>0.77</v>
      </c>
      <c r="U1659" s="14" t="n">
        <v>1.79</v>
      </c>
      <c r="V1659" s="14" t="n">
        <v>6.14</v>
      </c>
      <c r="W1659" s="14" t="n">
        <v>1.28</v>
      </c>
      <c r="X1659" s="14" t="n">
        <v>0</v>
      </c>
      <c r="Y1659" s="14" t="n">
        <v>0.51</v>
      </c>
      <c r="Z1659" s="14" t="n">
        <v>0.26</v>
      </c>
      <c r="AA1659" s="14" t="n">
        <v>0</v>
      </c>
    </row>
    <row r="1660">
      <c r="A1660" t="inlineStr">
        <is>
          <t>021303</t>
        </is>
      </c>
      <c r="B1660" t="inlineStr">
        <is>
          <t>ANCASH</t>
        </is>
      </c>
      <c r="C1660" t="inlineStr">
        <is>
          <t>MARISCAL LUZURIAGA</t>
        </is>
      </c>
      <c r="D1660" t="inlineStr">
        <is>
          <t>ELEAZAR GUZMAN BARRON</t>
        </is>
      </c>
      <c r="E1660" t="n">
        <v>300</v>
      </c>
      <c r="F1660" s="14" t="n">
        <v>0</v>
      </c>
      <c r="G1660" s="14" t="n">
        <v>44.67</v>
      </c>
      <c r="H1660" s="14" t="n">
        <v>1.33</v>
      </c>
      <c r="I1660" s="14" t="n">
        <v>2</v>
      </c>
      <c r="J1660" s="14" t="n">
        <v>0</v>
      </c>
      <c r="K1660" s="14" t="n">
        <v>0</v>
      </c>
      <c r="L1660" s="14" t="n">
        <v>3.33</v>
      </c>
      <c r="M1660" s="14" t="n">
        <v>29.33</v>
      </c>
      <c r="N1660" s="14" t="n">
        <v>1.67</v>
      </c>
      <c r="O1660" s="14" t="n">
        <v>0</v>
      </c>
      <c r="P1660" s="14" t="n">
        <v>0</v>
      </c>
      <c r="Q1660" s="14" t="n">
        <v>0</v>
      </c>
      <c r="R1660" s="14" t="n">
        <v>0</v>
      </c>
      <c r="S1660" s="14" t="n">
        <v>0.33</v>
      </c>
      <c r="T1660" s="14" t="n">
        <v>0</v>
      </c>
      <c r="U1660" s="14" t="n">
        <v>5.33</v>
      </c>
      <c r="V1660" s="14" t="n">
        <v>8.33</v>
      </c>
      <c r="W1660" s="14" t="n">
        <v>2.33</v>
      </c>
      <c r="X1660" s="14" t="n">
        <v>0</v>
      </c>
      <c r="Y1660" s="14" t="n">
        <v>0.67</v>
      </c>
      <c r="Z1660" s="14" t="n">
        <v>0.67</v>
      </c>
      <c r="AA1660" s="14" t="n">
        <v>0</v>
      </c>
    </row>
    <row r="1661">
      <c r="A1661" t="inlineStr">
        <is>
          <t>010517</t>
        </is>
      </c>
      <c r="B1661" t="inlineStr">
        <is>
          <t>AMAZONAS</t>
        </is>
      </c>
      <c r="C1661" t="inlineStr">
        <is>
          <t>LUYA</t>
        </is>
      </c>
      <c r="D1661" t="inlineStr">
        <is>
          <t>SAN FRANCISCO DEL YESO</t>
        </is>
      </c>
      <c r="E1661" t="n">
        <v>214</v>
      </c>
      <c r="F1661" s="14" t="n">
        <v>0</v>
      </c>
      <c r="G1661" s="14" t="n">
        <v>77.09999999999999</v>
      </c>
      <c r="H1661" s="14" t="n">
        <v>0</v>
      </c>
      <c r="I1661" s="14" t="n">
        <v>1.87</v>
      </c>
      <c r="J1661" s="14" t="n">
        <v>0</v>
      </c>
      <c r="K1661" s="14" t="n">
        <v>0</v>
      </c>
      <c r="L1661" s="14" t="n">
        <v>3.27</v>
      </c>
      <c r="M1661" s="14" t="n">
        <v>5.14</v>
      </c>
      <c r="N1661" s="14" t="n">
        <v>1.4</v>
      </c>
      <c r="O1661" s="14" t="n">
        <v>1.87</v>
      </c>
      <c r="P1661" s="14" t="n">
        <v>0</v>
      </c>
      <c r="Q1661" s="14" t="n">
        <v>0</v>
      </c>
      <c r="R1661" s="14" t="n">
        <v>0</v>
      </c>
      <c r="S1661" s="14" t="n">
        <v>0</v>
      </c>
      <c r="T1661" s="14" t="n">
        <v>0.47</v>
      </c>
      <c r="U1661" s="14" t="n">
        <v>3.27</v>
      </c>
      <c r="V1661" s="14" t="n">
        <v>3.74</v>
      </c>
      <c r="W1661" s="14" t="n">
        <v>0.47</v>
      </c>
      <c r="X1661" s="14" t="n">
        <v>0</v>
      </c>
      <c r="Y1661" s="14" t="n">
        <v>0</v>
      </c>
      <c r="Z1661" s="14" t="n">
        <v>1.4</v>
      </c>
      <c r="AA1661" s="14" t="n">
        <v>0</v>
      </c>
    </row>
    <row r="1662">
      <c r="A1662" t="inlineStr">
        <is>
          <t>061306</t>
        </is>
      </c>
      <c r="B1662" t="inlineStr">
        <is>
          <t>CAJAMARCA</t>
        </is>
      </c>
      <c r="C1662" t="inlineStr">
        <is>
          <t>SANTA CRUZ</t>
        </is>
      </c>
      <c r="D1662" t="inlineStr">
        <is>
          <t>NINABAMBA</t>
        </is>
      </c>
      <c r="E1662" t="n">
        <v>650</v>
      </c>
      <c r="F1662" s="14" t="n">
        <v>0</v>
      </c>
      <c r="G1662" s="14" t="n">
        <v>70.15000000000001</v>
      </c>
      <c r="H1662" s="14" t="n">
        <v>0</v>
      </c>
      <c r="I1662" s="14" t="n">
        <v>1.38</v>
      </c>
      <c r="J1662" s="14" t="n">
        <v>0</v>
      </c>
      <c r="K1662" s="14" t="n">
        <v>0</v>
      </c>
      <c r="L1662" s="14" t="n">
        <v>4.31</v>
      </c>
      <c r="M1662" s="14" t="n">
        <v>2.46</v>
      </c>
      <c r="N1662" s="14" t="n">
        <v>0.31</v>
      </c>
      <c r="O1662" s="14" t="n">
        <v>0.77</v>
      </c>
      <c r="P1662" s="14" t="n">
        <v>0</v>
      </c>
      <c r="Q1662" s="14" t="n">
        <v>0.31</v>
      </c>
      <c r="R1662" s="14" t="n">
        <v>0</v>
      </c>
      <c r="S1662" s="14" t="n">
        <v>0.77</v>
      </c>
      <c r="T1662" s="14" t="n">
        <v>0.31</v>
      </c>
      <c r="U1662" s="14" t="n">
        <v>3.85</v>
      </c>
      <c r="V1662" s="14" t="n">
        <v>13.69</v>
      </c>
      <c r="W1662" s="14" t="n">
        <v>1.54</v>
      </c>
      <c r="X1662" s="14" t="n">
        <v>0</v>
      </c>
      <c r="Y1662" s="14" t="n">
        <v>0.15</v>
      </c>
      <c r="Z1662" s="14" t="n">
        <v>0</v>
      </c>
      <c r="AA1662" s="14" t="n">
        <v>0</v>
      </c>
    </row>
    <row r="1663">
      <c r="A1663" t="inlineStr">
        <is>
          <t>021905</t>
        </is>
      </c>
      <c r="B1663" t="inlineStr">
        <is>
          <t>ANCASH</t>
        </is>
      </c>
      <c r="C1663" t="inlineStr">
        <is>
          <t>SIHUAS</t>
        </is>
      </c>
      <c r="D1663" t="inlineStr">
        <is>
          <t>CHINGALPO</t>
        </is>
      </c>
      <c r="E1663" t="n">
        <v>162</v>
      </c>
      <c r="F1663" s="14" t="n">
        <v>0</v>
      </c>
      <c r="G1663" s="14" t="n">
        <v>66.67</v>
      </c>
      <c r="H1663" s="14" t="n">
        <v>0</v>
      </c>
      <c r="I1663" s="14" t="n">
        <v>0.62</v>
      </c>
      <c r="J1663" s="14" t="n">
        <v>0</v>
      </c>
      <c r="K1663" s="14" t="n">
        <v>0.62</v>
      </c>
      <c r="L1663" s="14" t="n">
        <v>1.23</v>
      </c>
      <c r="M1663" s="14" t="n">
        <v>3.09</v>
      </c>
      <c r="N1663" s="14" t="n">
        <v>2.47</v>
      </c>
      <c r="O1663" s="14" t="n">
        <v>1.23</v>
      </c>
      <c r="P1663" s="14" t="n">
        <v>0</v>
      </c>
      <c r="Q1663" s="14" t="n">
        <v>0</v>
      </c>
      <c r="R1663" s="14" t="n">
        <v>0</v>
      </c>
      <c r="S1663" s="14" t="n">
        <v>0.62</v>
      </c>
      <c r="T1663" s="14" t="n">
        <v>0</v>
      </c>
      <c r="U1663" s="14" t="n">
        <v>6.17</v>
      </c>
      <c r="V1663" s="14" t="n">
        <v>11.73</v>
      </c>
      <c r="W1663" s="14" t="n">
        <v>3.09</v>
      </c>
      <c r="X1663" s="14" t="n">
        <v>0</v>
      </c>
      <c r="Y1663" s="14" t="n">
        <v>1.23</v>
      </c>
      <c r="Z1663" s="14" t="n">
        <v>1.23</v>
      </c>
      <c r="AA1663" s="14" t="n">
        <v>0</v>
      </c>
    </row>
    <row r="1664">
      <c r="A1664" t="inlineStr">
        <is>
          <t>050604</t>
        </is>
      </c>
      <c r="B1664" t="inlineStr">
        <is>
          <t>AYACUCHO</t>
        </is>
      </c>
      <c r="C1664" t="inlineStr">
        <is>
          <t>LUCANAS</t>
        </is>
      </c>
      <c r="D1664" t="inlineStr">
        <is>
          <t>CARMEN SALCEDO</t>
        </is>
      </c>
      <c r="E1664" t="n">
        <v>909</v>
      </c>
      <c r="F1664" s="14" t="n">
        <v>0</v>
      </c>
      <c r="G1664" s="14" t="n">
        <v>62.6</v>
      </c>
      <c r="H1664" s="14" t="n">
        <v>0.22</v>
      </c>
      <c r="I1664" s="14" t="n">
        <v>1.54</v>
      </c>
      <c r="J1664" s="14" t="n">
        <v>0.11</v>
      </c>
      <c r="K1664" s="14" t="n">
        <v>0</v>
      </c>
      <c r="L1664" s="14" t="n">
        <v>3.85</v>
      </c>
      <c r="M1664" s="14" t="n">
        <v>10.12</v>
      </c>
      <c r="N1664" s="14" t="n">
        <v>3.96</v>
      </c>
      <c r="O1664" s="14" t="n">
        <v>3.41</v>
      </c>
      <c r="P1664" s="14" t="n">
        <v>0</v>
      </c>
      <c r="Q1664" s="14" t="n">
        <v>0.11</v>
      </c>
      <c r="R1664" s="14" t="n">
        <v>0</v>
      </c>
      <c r="S1664" s="14" t="n">
        <v>0.66</v>
      </c>
      <c r="T1664" s="14" t="n">
        <v>0.44</v>
      </c>
      <c r="U1664" s="14" t="n">
        <v>4.29</v>
      </c>
      <c r="V1664" s="14" t="n">
        <v>4.18</v>
      </c>
      <c r="W1664" s="14" t="n">
        <v>2.75</v>
      </c>
      <c r="X1664" s="14" t="n">
        <v>0.33</v>
      </c>
      <c r="Y1664" s="14" t="n">
        <v>1.32</v>
      </c>
      <c r="Z1664" s="14" t="n">
        <v>0.11</v>
      </c>
      <c r="AA1664" s="14" t="n">
        <v>0</v>
      </c>
    </row>
    <row r="1665">
      <c r="A1665" t="inlineStr">
        <is>
          <t>020202</t>
        </is>
      </c>
      <c r="B1665" t="inlineStr">
        <is>
          <t>ANCASH</t>
        </is>
      </c>
      <c r="C1665" t="inlineStr">
        <is>
          <t>AIJA</t>
        </is>
      </c>
      <c r="D1665" t="inlineStr">
        <is>
          <t>CORIS</t>
        </is>
      </c>
      <c r="E1665" t="n">
        <v>478</v>
      </c>
      <c r="F1665" s="14" t="n">
        <v>0</v>
      </c>
      <c r="G1665" s="14" t="n">
        <v>57.95</v>
      </c>
      <c r="H1665" s="14" t="n">
        <v>0</v>
      </c>
      <c r="I1665" s="14" t="n">
        <v>1.46</v>
      </c>
      <c r="J1665" s="14" t="n">
        <v>0</v>
      </c>
      <c r="K1665" s="14" t="n">
        <v>0</v>
      </c>
      <c r="L1665" s="14" t="n">
        <v>3.14</v>
      </c>
      <c r="M1665" s="14" t="n">
        <v>3.77</v>
      </c>
      <c r="N1665" s="14" t="n">
        <v>0.63</v>
      </c>
      <c r="O1665" s="14" t="n">
        <v>15.9</v>
      </c>
      <c r="P1665" s="14" t="n">
        <v>0</v>
      </c>
      <c r="Q1665" s="14" t="n">
        <v>0</v>
      </c>
      <c r="R1665" s="14" t="n">
        <v>0</v>
      </c>
      <c r="S1665" s="14" t="n">
        <v>1.05</v>
      </c>
      <c r="T1665" s="14" t="n">
        <v>0</v>
      </c>
      <c r="U1665" s="14" t="n">
        <v>5.02</v>
      </c>
      <c r="V1665" s="14" t="n">
        <v>8.789999999999999</v>
      </c>
      <c r="W1665" s="14" t="n">
        <v>1.46</v>
      </c>
      <c r="X1665" s="14" t="n">
        <v>0</v>
      </c>
      <c r="Y1665" s="14" t="n">
        <v>0.21</v>
      </c>
      <c r="Z1665" s="14" t="n">
        <v>0.63</v>
      </c>
      <c r="AA1665" s="14" t="n">
        <v>0</v>
      </c>
    </row>
    <row r="1666">
      <c r="A1666" t="inlineStr">
        <is>
          <t>040809</t>
        </is>
      </c>
      <c r="B1666" t="inlineStr">
        <is>
          <t>AREQUIPA</t>
        </is>
      </c>
      <c r="C1666" t="inlineStr">
        <is>
          <t>LA UNION</t>
        </is>
      </c>
      <c r="D1666" t="inlineStr">
        <is>
          <t>TAURIA</t>
        </is>
      </c>
      <c r="E1666" t="n">
        <v>129</v>
      </c>
      <c r="F1666" s="14" t="n">
        <v>0</v>
      </c>
      <c r="G1666" s="14" t="n">
        <v>79.06999999999999</v>
      </c>
      <c r="H1666" s="14" t="n">
        <v>0</v>
      </c>
      <c r="I1666" s="14" t="n">
        <v>0.78</v>
      </c>
      <c r="J1666" s="14" t="n">
        <v>0</v>
      </c>
      <c r="K1666" s="14" t="n">
        <v>0</v>
      </c>
      <c r="L1666" s="14" t="n">
        <v>3.1</v>
      </c>
      <c r="M1666" s="14" t="n">
        <v>3.1</v>
      </c>
      <c r="N1666" s="14" t="n">
        <v>0</v>
      </c>
      <c r="O1666" s="14" t="n">
        <v>1.55</v>
      </c>
      <c r="P1666" s="14" t="n">
        <v>0</v>
      </c>
      <c r="Q1666" s="14" t="n">
        <v>0</v>
      </c>
      <c r="R1666" s="14" t="n">
        <v>0</v>
      </c>
      <c r="S1666" s="14" t="n">
        <v>0.78</v>
      </c>
      <c r="T1666" s="14" t="n">
        <v>0</v>
      </c>
      <c r="U1666" s="14" t="n">
        <v>2.33</v>
      </c>
      <c r="V1666" s="14" t="n">
        <v>6.98</v>
      </c>
      <c r="W1666" s="14" t="n">
        <v>2.33</v>
      </c>
      <c r="X1666" s="14" t="n">
        <v>0</v>
      </c>
      <c r="Y1666" s="14" t="n">
        <v>0</v>
      </c>
      <c r="Z1666" s="14" t="n">
        <v>0</v>
      </c>
      <c r="AA1666" s="14" t="n">
        <v>0</v>
      </c>
    </row>
    <row r="1667">
      <c r="A1667" t="inlineStr">
        <is>
          <t>021008</t>
        </is>
      </c>
      <c r="B1667" t="inlineStr">
        <is>
          <t>ANCASH</t>
        </is>
      </c>
      <c r="C1667" t="inlineStr">
        <is>
          <t>HUARI</t>
        </is>
      </c>
      <c r="D1667" t="inlineStr">
        <is>
          <t>HUANTAR</t>
        </is>
      </c>
      <c r="E1667" t="n">
        <v>668</v>
      </c>
      <c r="F1667" s="14" t="n">
        <v>0</v>
      </c>
      <c r="G1667" s="14" t="n">
        <v>53.74</v>
      </c>
      <c r="H1667" s="14" t="n">
        <v>0.75</v>
      </c>
      <c r="I1667" s="14" t="n">
        <v>0.75</v>
      </c>
      <c r="J1667" s="14" t="n">
        <v>0</v>
      </c>
      <c r="K1667" s="14" t="n">
        <v>0</v>
      </c>
      <c r="L1667" s="14" t="n">
        <v>4.94</v>
      </c>
      <c r="M1667" s="14" t="n">
        <v>19.16</v>
      </c>
      <c r="N1667" s="14" t="n">
        <v>1.05</v>
      </c>
      <c r="O1667" s="14" t="n">
        <v>0.6</v>
      </c>
      <c r="P1667" s="14" t="n">
        <v>0</v>
      </c>
      <c r="Q1667" s="14" t="n">
        <v>0</v>
      </c>
      <c r="R1667" s="14" t="n">
        <v>0</v>
      </c>
      <c r="S1667" s="14" t="n">
        <v>0.6</v>
      </c>
      <c r="T1667" s="14" t="n">
        <v>0.15</v>
      </c>
      <c r="U1667" s="14" t="n">
        <v>9.58</v>
      </c>
      <c r="V1667" s="14" t="n">
        <v>6.74</v>
      </c>
      <c r="W1667" s="14" t="n">
        <v>0.45</v>
      </c>
      <c r="X1667" s="14" t="n">
        <v>0.15</v>
      </c>
      <c r="Y1667" s="14" t="n">
        <v>1.2</v>
      </c>
      <c r="Z1667" s="14" t="n">
        <v>0.15</v>
      </c>
      <c r="AA1667" s="14" t="n">
        <v>0</v>
      </c>
    </row>
    <row r="1668">
      <c r="A1668" t="inlineStr">
        <is>
          <t>021804</t>
        </is>
      </c>
      <c r="B1668" t="inlineStr">
        <is>
          <t>ANCASH</t>
        </is>
      </c>
      <c r="C1668" t="inlineStr">
        <is>
          <t>SANTA</t>
        </is>
      </c>
      <c r="D1668" t="inlineStr">
        <is>
          <t>MACATE</t>
        </is>
      </c>
      <c r="E1668" t="n">
        <v>856</v>
      </c>
      <c r="F1668" s="14" t="n">
        <v>0</v>
      </c>
      <c r="G1668" s="14" t="n">
        <v>74.06999999999999</v>
      </c>
      <c r="H1668" s="14" t="n">
        <v>2.57</v>
      </c>
      <c r="I1668" s="14" t="n">
        <v>1.52</v>
      </c>
      <c r="J1668" s="14" t="n">
        <v>0</v>
      </c>
      <c r="K1668" s="14" t="n">
        <v>0</v>
      </c>
      <c r="L1668" s="14" t="n">
        <v>1.99</v>
      </c>
      <c r="M1668" s="14" t="n">
        <v>8.529999999999999</v>
      </c>
      <c r="N1668" s="14" t="n">
        <v>1.52</v>
      </c>
      <c r="O1668" s="14" t="n">
        <v>2.8</v>
      </c>
      <c r="P1668" s="14" t="n">
        <v>0</v>
      </c>
      <c r="Q1668" s="14" t="n">
        <v>0</v>
      </c>
      <c r="R1668" s="14" t="n">
        <v>0</v>
      </c>
      <c r="S1668" s="14" t="n">
        <v>0.82</v>
      </c>
      <c r="T1668" s="14" t="n">
        <v>0.47</v>
      </c>
      <c r="U1668" s="14" t="n">
        <v>3.04</v>
      </c>
      <c r="V1668" s="14" t="n">
        <v>1.52</v>
      </c>
      <c r="W1668" s="14" t="n">
        <v>0.7</v>
      </c>
      <c r="X1668" s="14" t="n">
        <v>0</v>
      </c>
      <c r="Y1668" s="14" t="n">
        <v>0.35</v>
      </c>
      <c r="Z1668" s="14" t="n">
        <v>0.12</v>
      </c>
      <c r="AA1668" s="14" t="n">
        <v>0</v>
      </c>
    </row>
    <row r="1669">
      <c r="A1669" t="inlineStr">
        <is>
          <t>040808</t>
        </is>
      </c>
      <c r="B1669" t="inlineStr">
        <is>
          <t>AREQUIPA</t>
        </is>
      </c>
      <c r="C1669" t="inlineStr">
        <is>
          <t>LA UNION</t>
        </is>
      </c>
      <c r="D1669" t="inlineStr">
        <is>
          <t>SAYLA</t>
        </is>
      </c>
      <c r="E1669" t="n">
        <v>181</v>
      </c>
      <c r="F1669" s="14" t="n">
        <v>0</v>
      </c>
      <c r="G1669" s="14" t="n">
        <v>79.01000000000001</v>
      </c>
      <c r="H1669" s="14" t="n">
        <v>0.55</v>
      </c>
      <c r="I1669" s="14" t="n">
        <v>0.55</v>
      </c>
      <c r="J1669" s="14" t="n">
        <v>0</v>
      </c>
      <c r="K1669" s="14" t="n">
        <v>0</v>
      </c>
      <c r="L1669" s="14" t="n">
        <v>6.63</v>
      </c>
      <c r="M1669" s="14" t="n">
        <v>1.1</v>
      </c>
      <c r="N1669" s="14" t="n">
        <v>0</v>
      </c>
      <c r="O1669" s="14" t="n">
        <v>0</v>
      </c>
      <c r="P1669" s="14" t="n">
        <v>0</v>
      </c>
      <c r="Q1669" s="14" t="n">
        <v>0</v>
      </c>
      <c r="R1669" s="14" t="n">
        <v>0</v>
      </c>
      <c r="S1669" s="14" t="n">
        <v>2.76</v>
      </c>
      <c r="T1669" s="14" t="n">
        <v>0</v>
      </c>
      <c r="U1669" s="14" t="n">
        <v>2.21</v>
      </c>
      <c r="V1669" s="14" t="n">
        <v>4.42</v>
      </c>
      <c r="W1669" s="14" t="n">
        <v>2.21</v>
      </c>
      <c r="X1669" s="14" t="n">
        <v>0</v>
      </c>
      <c r="Y1669" s="14" t="n">
        <v>0.55</v>
      </c>
      <c r="Z1669" s="14" t="n">
        <v>0</v>
      </c>
      <c r="AA1669" s="14" t="n">
        <v>0</v>
      </c>
    </row>
    <row r="1670">
      <c r="A1670" t="inlineStr">
        <is>
          <t>080605</t>
        </is>
      </c>
      <c r="B1670" t="inlineStr">
        <is>
          <t>CUSCO</t>
        </is>
      </c>
      <c r="C1670" t="inlineStr">
        <is>
          <t>CANCHIS</t>
        </is>
      </c>
      <c r="D1670" t="inlineStr">
        <is>
          <t>PITUMARCA</t>
        </is>
      </c>
      <c r="E1670" t="n">
        <v>2721</v>
      </c>
      <c r="F1670" s="14" t="n">
        <v>0</v>
      </c>
      <c r="G1670" s="14" t="n">
        <v>73.06</v>
      </c>
      <c r="H1670" s="14" t="n">
        <v>0.18</v>
      </c>
      <c r="I1670" s="14" t="n">
        <v>4.37</v>
      </c>
      <c r="J1670" s="14" t="n">
        <v>0.04</v>
      </c>
      <c r="K1670" s="14" t="n">
        <v>0.04</v>
      </c>
      <c r="L1670" s="14" t="n">
        <v>3.64</v>
      </c>
      <c r="M1670" s="14" t="n">
        <v>5.88</v>
      </c>
      <c r="N1670" s="14" t="n">
        <v>2.72</v>
      </c>
      <c r="O1670" s="14" t="n">
        <v>2.68</v>
      </c>
      <c r="P1670" s="14" t="n">
        <v>0.15</v>
      </c>
      <c r="Q1670" s="14" t="n">
        <v>0.07000000000000001</v>
      </c>
      <c r="R1670" s="14" t="n">
        <v>0.04</v>
      </c>
      <c r="S1670" s="14" t="n">
        <v>0.77</v>
      </c>
      <c r="T1670" s="14" t="n">
        <v>0.7</v>
      </c>
      <c r="U1670" s="14" t="n">
        <v>2.21</v>
      </c>
      <c r="V1670" s="14" t="n">
        <v>1.4</v>
      </c>
      <c r="W1670" s="14" t="n">
        <v>1.21</v>
      </c>
      <c r="X1670" s="14" t="n">
        <v>0.22</v>
      </c>
      <c r="Y1670" s="14" t="n">
        <v>0.55</v>
      </c>
      <c r="Z1670" s="14" t="n">
        <v>0.07000000000000001</v>
      </c>
      <c r="AA1670" s="14" t="n">
        <v>0</v>
      </c>
    </row>
    <row r="1671">
      <c r="A1671" t="inlineStr">
        <is>
          <t>030709</t>
        </is>
      </c>
      <c r="B1671" t="inlineStr">
        <is>
          <t>APURIMAC</t>
        </is>
      </c>
      <c r="C1671" t="inlineStr">
        <is>
          <t>GRAU</t>
        </is>
      </c>
      <c r="D1671" t="inlineStr">
        <is>
          <t>SAN ANTONIO</t>
        </is>
      </c>
      <c r="E1671" t="n">
        <v>68</v>
      </c>
      <c r="F1671" s="14" t="n">
        <v>0</v>
      </c>
      <c r="G1671" s="14" t="n">
        <v>51.47</v>
      </c>
      <c r="H1671" s="14" t="n">
        <v>0</v>
      </c>
      <c r="I1671" s="14" t="n">
        <v>4.41</v>
      </c>
      <c r="J1671" s="14" t="n">
        <v>0</v>
      </c>
      <c r="K1671" s="14" t="n">
        <v>0</v>
      </c>
      <c r="L1671" s="14" t="n">
        <v>11.76</v>
      </c>
      <c r="M1671" s="14" t="n">
        <v>2.94</v>
      </c>
      <c r="N1671" s="14" t="n">
        <v>0</v>
      </c>
      <c r="O1671" s="14" t="n">
        <v>0</v>
      </c>
      <c r="P1671" s="14" t="n">
        <v>0</v>
      </c>
      <c r="Q1671" s="14" t="n">
        <v>0</v>
      </c>
      <c r="R1671" s="14" t="n">
        <v>0</v>
      </c>
      <c r="S1671" s="14" t="n">
        <v>2.94</v>
      </c>
      <c r="T1671" s="14" t="n">
        <v>0</v>
      </c>
      <c r="U1671" s="14" t="n">
        <v>7.35</v>
      </c>
      <c r="V1671" s="14" t="n">
        <v>17.65</v>
      </c>
      <c r="W1671" s="14" t="n">
        <v>0</v>
      </c>
      <c r="X1671" s="14" t="n">
        <v>0</v>
      </c>
      <c r="Y1671" s="14" t="n">
        <v>1.47</v>
      </c>
      <c r="Z1671" s="14" t="n">
        <v>0</v>
      </c>
      <c r="AA1671" s="14" t="n">
        <v>0</v>
      </c>
    </row>
    <row r="1672">
      <c r="A1672" t="inlineStr">
        <is>
          <t>060418</t>
        </is>
      </c>
      <c r="B1672" t="inlineStr">
        <is>
          <t>CAJAMARCA</t>
        </is>
      </c>
      <c r="C1672" t="inlineStr">
        <is>
          <t>CHOTA</t>
        </is>
      </c>
      <c r="D1672" t="inlineStr">
        <is>
          <t>TOCMOCHE</t>
        </is>
      </c>
      <c r="E1672" t="n">
        <v>351</v>
      </c>
      <c r="F1672" s="14" t="n">
        <v>0</v>
      </c>
      <c r="G1672" s="14" t="n">
        <v>85.47</v>
      </c>
      <c r="H1672" s="14" t="n">
        <v>0</v>
      </c>
      <c r="I1672" s="14" t="n">
        <v>0</v>
      </c>
      <c r="J1672" s="14" t="n">
        <v>0</v>
      </c>
      <c r="K1672" s="14" t="n">
        <v>0</v>
      </c>
      <c r="L1672" s="14" t="n">
        <v>0.28</v>
      </c>
      <c r="M1672" s="14" t="n">
        <v>1.99</v>
      </c>
      <c r="N1672" s="14" t="n">
        <v>0.57</v>
      </c>
      <c r="O1672" s="14" t="n">
        <v>0.85</v>
      </c>
      <c r="P1672" s="14" t="n">
        <v>0.28</v>
      </c>
      <c r="Q1672" s="14" t="n">
        <v>0</v>
      </c>
      <c r="R1672" s="14" t="n">
        <v>0</v>
      </c>
      <c r="S1672" s="14" t="n">
        <v>0.57</v>
      </c>
      <c r="T1672" s="14" t="n">
        <v>0</v>
      </c>
      <c r="U1672" s="14" t="n">
        <v>3.7</v>
      </c>
      <c r="V1672" s="14" t="n">
        <v>3.7</v>
      </c>
      <c r="W1672" s="14" t="n">
        <v>1.71</v>
      </c>
      <c r="X1672" s="14" t="n">
        <v>0</v>
      </c>
      <c r="Y1672" s="14" t="n">
        <v>0.28</v>
      </c>
      <c r="Z1672" s="14" t="n">
        <v>0.57</v>
      </c>
      <c r="AA1672" s="14" t="n">
        <v>0</v>
      </c>
    </row>
    <row r="1673">
      <c r="A1673" t="inlineStr">
        <is>
          <t>050107</t>
        </is>
      </c>
      <c r="B1673" t="inlineStr">
        <is>
          <t>AYACUCHO</t>
        </is>
      </c>
      <c r="C1673" t="inlineStr">
        <is>
          <t>HUAMANGA</t>
        </is>
      </c>
      <c r="D1673" t="inlineStr">
        <is>
          <t>PACAYCASA</t>
        </is>
      </c>
      <c r="E1673" t="n">
        <v>962</v>
      </c>
      <c r="F1673" s="14" t="n">
        <v>0</v>
      </c>
      <c r="G1673" s="14" t="n">
        <v>37.84</v>
      </c>
      <c r="H1673" s="14" t="n">
        <v>0.1</v>
      </c>
      <c r="I1673" s="14" t="n">
        <v>30.46</v>
      </c>
      <c r="J1673" s="14" t="n">
        <v>0</v>
      </c>
      <c r="K1673" s="14" t="n">
        <v>0</v>
      </c>
      <c r="L1673" s="14" t="n">
        <v>3.74</v>
      </c>
      <c r="M1673" s="14" t="n">
        <v>5.3</v>
      </c>
      <c r="N1673" s="14" t="n">
        <v>10.29</v>
      </c>
      <c r="O1673" s="14" t="n">
        <v>2.6</v>
      </c>
      <c r="P1673" s="14" t="n">
        <v>0</v>
      </c>
      <c r="Q1673" s="14" t="n">
        <v>0.31</v>
      </c>
      <c r="R1673" s="14" t="n">
        <v>0</v>
      </c>
      <c r="S1673" s="14" t="n">
        <v>1.66</v>
      </c>
      <c r="T1673" s="14" t="n">
        <v>1.04</v>
      </c>
      <c r="U1673" s="14" t="n">
        <v>3.74</v>
      </c>
      <c r="V1673" s="14" t="n">
        <v>1.14</v>
      </c>
      <c r="W1673" s="14" t="n">
        <v>0.83</v>
      </c>
      <c r="X1673" s="14" t="n">
        <v>0.1</v>
      </c>
      <c r="Y1673" s="14" t="n">
        <v>0.42</v>
      </c>
      <c r="Z1673" s="14" t="n">
        <v>0.42</v>
      </c>
      <c r="AA1673" s="14" t="n">
        <v>0</v>
      </c>
    </row>
    <row r="1674">
      <c r="A1674" t="inlineStr">
        <is>
          <t>010105</t>
        </is>
      </c>
      <c r="B1674" t="inlineStr">
        <is>
          <t>AMAZONAS</t>
        </is>
      </c>
      <c r="C1674" t="inlineStr">
        <is>
          <t>CHACHAPOYAS</t>
        </is>
      </c>
      <c r="D1674" t="inlineStr">
        <is>
          <t>CHILIQUIN</t>
        </is>
      </c>
      <c r="E1674" t="n">
        <v>309</v>
      </c>
      <c r="F1674" s="14" t="n">
        <v>0</v>
      </c>
      <c r="G1674" s="14" t="n">
        <v>87.06</v>
      </c>
      <c r="H1674" s="14" t="n">
        <v>0.32</v>
      </c>
      <c r="I1674" s="14" t="n">
        <v>1.29</v>
      </c>
      <c r="J1674" s="14" t="n">
        <v>0</v>
      </c>
      <c r="K1674" s="14" t="n">
        <v>0</v>
      </c>
      <c r="L1674" s="14" t="n">
        <v>3.24</v>
      </c>
      <c r="M1674" s="14" t="n">
        <v>1.62</v>
      </c>
      <c r="N1674" s="14" t="n">
        <v>0.97</v>
      </c>
      <c r="O1674" s="14" t="n">
        <v>0</v>
      </c>
      <c r="P1674" s="14" t="n">
        <v>0</v>
      </c>
      <c r="Q1674" s="14" t="n">
        <v>0</v>
      </c>
      <c r="R1674" s="14" t="n">
        <v>0</v>
      </c>
      <c r="S1674" s="14" t="n">
        <v>0</v>
      </c>
      <c r="T1674" s="14" t="n">
        <v>0</v>
      </c>
      <c r="U1674" s="14" t="n">
        <v>2.27</v>
      </c>
      <c r="V1674" s="14" t="n">
        <v>1.62</v>
      </c>
      <c r="W1674" s="14" t="n">
        <v>1.29</v>
      </c>
      <c r="X1674" s="14" t="n">
        <v>0</v>
      </c>
      <c r="Y1674" s="14" t="n">
        <v>0</v>
      </c>
      <c r="Z1674" s="14" t="n">
        <v>0.32</v>
      </c>
      <c r="AA1674" s="14" t="n">
        <v>0</v>
      </c>
    </row>
    <row r="1675">
      <c r="A1675" t="inlineStr">
        <is>
          <t>070106</t>
        </is>
      </c>
      <c r="B1675" t="inlineStr">
        <is>
          <t>CALLAO</t>
        </is>
      </c>
      <c r="C1675" t="inlineStr">
        <is>
          <t>CALLAO</t>
        </is>
      </c>
      <c r="D1675" t="inlineStr">
        <is>
          <t>VENTANILLA</t>
        </is>
      </c>
      <c r="E1675" t="n">
        <v>133969</v>
      </c>
      <c r="F1675" s="14" t="n">
        <v>0</v>
      </c>
      <c r="G1675" s="14" t="n">
        <v>1.96</v>
      </c>
      <c r="H1675" s="14" t="n">
        <v>0.38</v>
      </c>
      <c r="I1675" s="14" t="n">
        <v>13.51</v>
      </c>
      <c r="J1675" s="14" t="n">
        <v>0.14</v>
      </c>
      <c r="K1675" s="14" t="n">
        <v>0.59</v>
      </c>
      <c r="L1675" s="14" t="n">
        <v>10.44</v>
      </c>
      <c r="M1675" s="14" t="n">
        <v>23.44</v>
      </c>
      <c r="N1675" s="14" t="n">
        <v>13.5</v>
      </c>
      <c r="O1675" s="14" t="n">
        <v>6.42</v>
      </c>
      <c r="P1675" s="14" t="n">
        <v>0.91</v>
      </c>
      <c r="Q1675" s="14" t="n">
        <v>0.77</v>
      </c>
      <c r="R1675" s="14" t="n">
        <v>0.1</v>
      </c>
      <c r="S1675" s="14" t="n">
        <v>5.53</v>
      </c>
      <c r="T1675" s="14" t="n">
        <v>6.26</v>
      </c>
      <c r="U1675" s="14" t="n">
        <v>2.96</v>
      </c>
      <c r="V1675" s="14" t="n">
        <v>3.95</v>
      </c>
      <c r="W1675" s="14" t="n">
        <v>2.14</v>
      </c>
      <c r="X1675" s="14" t="n">
        <v>0.9</v>
      </c>
      <c r="Y1675" s="14" t="n">
        <v>4.02</v>
      </c>
      <c r="Z1675" s="14" t="n">
        <v>2.09</v>
      </c>
      <c r="AA1675" s="14" t="n">
        <v>0</v>
      </c>
    </row>
    <row r="1676">
      <c r="A1676" t="inlineStr">
        <is>
          <t>010112</t>
        </is>
      </c>
      <c r="B1676" t="inlineStr">
        <is>
          <t>AMAZONAS</t>
        </is>
      </c>
      <c r="C1676" t="inlineStr">
        <is>
          <t>CHACHAPOYAS</t>
        </is>
      </c>
      <c r="D1676" t="inlineStr">
        <is>
          <t>MAGDALENA</t>
        </is>
      </c>
      <c r="E1676" t="n">
        <v>321</v>
      </c>
      <c r="F1676" s="14" t="n">
        <v>0</v>
      </c>
      <c r="G1676" s="14" t="n">
        <v>57.01</v>
      </c>
      <c r="H1676" s="14" t="n">
        <v>0</v>
      </c>
      <c r="I1676" s="14" t="n">
        <v>2.49</v>
      </c>
      <c r="J1676" s="14" t="n">
        <v>0</v>
      </c>
      <c r="K1676" s="14" t="n">
        <v>0</v>
      </c>
      <c r="L1676" s="14" t="n">
        <v>5.92</v>
      </c>
      <c r="M1676" s="14" t="n">
        <v>9.35</v>
      </c>
      <c r="N1676" s="14" t="n">
        <v>4.67</v>
      </c>
      <c r="O1676" s="14" t="n">
        <v>2.49</v>
      </c>
      <c r="P1676" s="14" t="n">
        <v>0</v>
      </c>
      <c r="Q1676" s="14" t="n">
        <v>0</v>
      </c>
      <c r="R1676" s="14" t="n">
        <v>0</v>
      </c>
      <c r="S1676" s="14" t="n">
        <v>1.25</v>
      </c>
      <c r="T1676" s="14" t="n">
        <v>0.93</v>
      </c>
      <c r="U1676" s="14" t="n">
        <v>4.67</v>
      </c>
      <c r="V1676" s="14" t="n">
        <v>5.92</v>
      </c>
      <c r="W1676" s="14" t="n">
        <v>2.18</v>
      </c>
      <c r="X1676" s="14" t="n">
        <v>0</v>
      </c>
      <c r="Y1676" s="14" t="n">
        <v>1.25</v>
      </c>
      <c r="Z1676" s="14" t="n">
        <v>1.87</v>
      </c>
      <c r="AA1676" s="14" t="n">
        <v>0</v>
      </c>
    </row>
    <row r="1677">
      <c r="A1677" t="inlineStr">
        <is>
          <t>040601</t>
        </is>
      </c>
      <c r="B1677" t="inlineStr">
        <is>
          <t>AREQUIPA</t>
        </is>
      </c>
      <c r="C1677" t="inlineStr">
        <is>
          <t>CONDESUYOS</t>
        </is>
      </c>
      <c r="D1677" t="inlineStr">
        <is>
          <t>CHUQUIBAMBA</t>
        </is>
      </c>
      <c r="E1677" t="n">
        <v>1526</v>
      </c>
      <c r="F1677" s="14" t="n">
        <v>0</v>
      </c>
      <c r="G1677" s="14" t="n">
        <v>33.03</v>
      </c>
      <c r="H1677" s="14" t="n">
        <v>2.49</v>
      </c>
      <c r="I1677" s="14" t="n">
        <v>3.74</v>
      </c>
      <c r="J1677" s="14" t="n">
        <v>0</v>
      </c>
      <c r="K1677" s="14" t="n">
        <v>0.2</v>
      </c>
      <c r="L1677" s="14" t="n">
        <v>9.039999999999999</v>
      </c>
      <c r="M1677" s="14" t="n">
        <v>12.32</v>
      </c>
      <c r="N1677" s="14" t="n">
        <v>4.13</v>
      </c>
      <c r="O1677" s="14" t="n">
        <v>5.77</v>
      </c>
      <c r="P1677" s="14" t="n">
        <v>0.13</v>
      </c>
      <c r="Q1677" s="14" t="n">
        <v>0.85</v>
      </c>
      <c r="R1677" s="14" t="n">
        <v>0</v>
      </c>
      <c r="S1677" s="14" t="n">
        <v>4</v>
      </c>
      <c r="T1677" s="14" t="n">
        <v>1.77</v>
      </c>
      <c r="U1677" s="14" t="n">
        <v>7.73</v>
      </c>
      <c r="V1677" s="14" t="n">
        <v>8.91</v>
      </c>
      <c r="W1677" s="14" t="n">
        <v>2.42</v>
      </c>
      <c r="X1677" s="14" t="n">
        <v>0.13</v>
      </c>
      <c r="Y1677" s="14" t="n">
        <v>2.75</v>
      </c>
      <c r="Z1677" s="14" t="n">
        <v>0.59</v>
      </c>
      <c r="AA1677" s="14" t="n">
        <v>0</v>
      </c>
    </row>
    <row r="1678">
      <c r="A1678" t="inlineStr">
        <is>
          <t>021002</t>
        </is>
      </c>
      <c r="B1678" t="inlineStr">
        <is>
          <t>ANCASH</t>
        </is>
      </c>
      <c r="C1678" t="inlineStr">
        <is>
          <t>HUARI</t>
        </is>
      </c>
      <c r="D1678" t="inlineStr">
        <is>
          <t>ANRA</t>
        </is>
      </c>
      <c r="E1678" t="n">
        <v>193</v>
      </c>
      <c r="F1678" s="14" t="n">
        <v>0</v>
      </c>
      <c r="G1678" s="14" t="n">
        <v>54.4</v>
      </c>
      <c r="H1678" s="14" t="n">
        <v>0</v>
      </c>
      <c r="I1678" s="14" t="n">
        <v>1.04</v>
      </c>
      <c r="J1678" s="14" t="n">
        <v>0</v>
      </c>
      <c r="K1678" s="14" t="n">
        <v>0</v>
      </c>
      <c r="L1678" s="14" t="n">
        <v>8.289999999999999</v>
      </c>
      <c r="M1678" s="14" t="n">
        <v>5.18</v>
      </c>
      <c r="N1678" s="14" t="n">
        <v>2.07</v>
      </c>
      <c r="O1678" s="14" t="n">
        <v>1.04</v>
      </c>
      <c r="P1678" s="14" t="n">
        <v>0</v>
      </c>
      <c r="Q1678" s="14" t="n">
        <v>0.52</v>
      </c>
      <c r="R1678" s="14" t="n">
        <v>0</v>
      </c>
      <c r="S1678" s="14" t="n">
        <v>1.55</v>
      </c>
      <c r="T1678" s="14" t="n">
        <v>2.07</v>
      </c>
      <c r="U1678" s="14" t="n">
        <v>8.289999999999999</v>
      </c>
      <c r="V1678" s="14" t="n">
        <v>12.44</v>
      </c>
      <c r="W1678" s="14" t="n">
        <v>2.59</v>
      </c>
      <c r="X1678" s="14" t="n">
        <v>0</v>
      </c>
      <c r="Y1678" s="14" t="n">
        <v>0.52</v>
      </c>
      <c r="Z1678" s="14" t="n">
        <v>0</v>
      </c>
      <c r="AA1678" s="14" t="n">
        <v>0</v>
      </c>
    </row>
    <row r="1679">
      <c r="A1679" t="inlineStr">
        <is>
          <t>090723</t>
        </is>
      </c>
      <c r="B1679" t="inlineStr">
        <is>
          <t>HUANCAVELICA</t>
        </is>
      </c>
      <c r="C1679" t="inlineStr">
        <is>
          <t>TAYACAJA</t>
        </is>
      </c>
      <c r="D1679" t="inlineStr">
        <is>
          <t>SANTIAGO DE TUCUMA</t>
        </is>
      </c>
      <c r="E1679" t="n">
        <v>752</v>
      </c>
      <c r="F1679" s="14" t="n">
        <v>0</v>
      </c>
      <c r="G1679" s="14" t="n">
        <v>89.48999999999999</v>
      </c>
      <c r="H1679" s="14" t="n">
        <v>0</v>
      </c>
      <c r="I1679" s="14" t="n">
        <v>1.2</v>
      </c>
      <c r="J1679" s="14" t="n">
        <v>0</v>
      </c>
      <c r="K1679" s="14" t="n">
        <v>0</v>
      </c>
      <c r="L1679" s="14" t="n">
        <v>1.2</v>
      </c>
      <c r="M1679" s="14" t="n">
        <v>1.2</v>
      </c>
      <c r="N1679" s="14" t="n">
        <v>1.33</v>
      </c>
      <c r="O1679" s="14" t="n">
        <v>1.2</v>
      </c>
      <c r="P1679" s="14" t="n">
        <v>0</v>
      </c>
      <c r="Q1679" s="14" t="n">
        <v>0.13</v>
      </c>
      <c r="R1679" s="14" t="n">
        <v>0</v>
      </c>
      <c r="S1679" s="14" t="n">
        <v>0.53</v>
      </c>
      <c r="T1679" s="14" t="n">
        <v>0.13</v>
      </c>
      <c r="U1679" s="14" t="n">
        <v>1.2</v>
      </c>
      <c r="V1679" s="14" t="n">
        <v>0.66</v>
      </c>
      <c r="W1679" s="14" t="n">
        <v>0.27</v>
      </c>
      <c r="X1679" s="14" t="n">
        <v>0.13</v>
      </c>
      <c r="Y1679" s="14" t="n">
        <v>0.13</v>
      </c>
      <c r="Z1679" s="14" t="n">
        <v>1.2</v>
      </c>
      <c r="AA1679" s="14" t="n">
        <v>0</v>
      </c>
    </row>
    <row r="1680">
      <c r="A1680" t="inlineStr">
        <is>
          <t>021208</t>
        </is>
      </c>
      <c r="B1680" t="inlineStr">
        <is>
          <t>ANCASH</t>
        </is>
      </c>
      <c r="C1680" t="inlineStr">
        <is>
          <t>HUAYLAS</t>
        </is>
      </c>
      <c r="D1680" t="inlineStr">
        <is>
          <t>SANTA CRUZ</t>
        </is>
      </c>
      <c r="E1680" t="n">
        <v>1533</v>
      </c>
      <c r="F1680" s="14" t="n">
        <v>0</v>
      </c>
      <c r="G1680" s="14" t="n">
        <v>90.8</v>
      </c>
      <c r="H1680" s="14" t="n">
        <v>0.07000000000000001</v>
      </c>
      <c r="I1680" s="14" t="n">
        <v>0.26</v>
      </c>
      <c r="J1680" s="14" t="n">
        <v>0.33</v>
      </c>
      <c r="K1680" s="14" t="n">
        <v>0</v>
      </c>
      <c r="L1680" s="14" t="n">
        <v>0.65</v>
      </c>
      <c r="M1680" s="14" t="n">
        <v>2.67</v>
      </c>
      <c r="N1680" s="14" t="n">
        <v>0.72</v>
      </c>
      <c r="O1680" s="14" t="n">
        <v>0.52</v>
      </c>
      <c r="P1680" s="14" t="n">
        <v>0</v>
      </c>
      <c r="Q1680" s="14" t="n">
        <v>0</v>
      </c>
      <c r="R1680" s="14" t="n">
        <v>0</v>
      </c>
      <c r="S1680" s="14" t="n">
        <v>0.13</v>
      </c>
      <c r="T1680" s="14" t="n">
        <v>0.26</v>
      </c>
      <c r="U1680" s="14" t="n">
        <v>1.83</v>
      </c>
      <c r="V1680" s="14" t="n">
        <v>1.24</v>
      </c>
      <c r="W1680" s="14" t="n">
        <v>0.33</v>
      </c>
      <c r="X1680" s="14" t="n">
        <v>0.07000000000000001</v>
      </c>
      <c r="Y1680" s="14" t="n">
        <v>0.13</v>
      </c>
      <c r="Z1680" s="14" t="n">
        <v>0</v>
      </c>
      <c r="AA1680" s="14" t="n">
        <v>0</v>
      </c>
    </row>
    <row r="1681">
      <c r="A1681" t="inlineStr">
        <is>
          <t>030711</t>
        </is>
      </c>
      <c r="B1681" t="inlineStr">
        <is>
          <t>APURIMAC</t>
        </is>
      </c>
      <c r="C1681" t="inlineStr">
        <is>
          <t>GRAU</t>
        </is>
      </c>
      <c r="D1681" t="inlineStr">
        <is>
          <t>TURPAY</t>
        </is>
      </c>
      <c r="E1681" t="n">
        <v>209</v>
      </c>
      <c r="F1681" s="14" t="n">
        <v>0</v>
      </c>
      <c r="G1681" s="14" t="n">
        <v>59.81</v>
      </c>
      <c r="H1681" s="14" t="n">
        <v>0</v>
      </c>
      <c r="I1681" s="14" t="n">
        <v>2.39</v>
      </c>
      <c r="J1681" s="14" t="n">
        <v>0</v>
      </c>
      <c r="K1681" s="14" t="n">
        <v>0</v>
      </c>
      <c r="L1681" s="14" t="n">
        <v>0.48</v>
      </c>
      <c r="M1681" s="14" t="n">
        <v>6.22</v>
      </c>
      <c r="N1681" s="14" t="n">
        <v>0.96</v>
      </c>
      <c r="O1681" s="14" t="n">
        <v>3.83</v>
      </c>
      <c r="P1681" s="14" t="n">
        <v>0</v>
      </c>
      <c r="Q1681" s="14" t="n">
        <v>0</v>
      </c>
      <c r="R1681" s="14" t="n">
        <v>0</v>
      </c>
      <c r="S1681" s="14" t="n">
        <v>0</v>
      </c>
      <c r="T1681" s="14" t="n">
        <v>0.48</v>
      </c>
      <c r="U1681" s="14" t="n">
        <v>5.26</v>
      </c>
      <c r="V1681" s="14" t="n">
        <v>14.83</v>
      </c>
      <c r="W1681" s="14" t="n">
        <v>4.78</v>
      </c>
      <c r="X1681" s="14" t="n">
        <v>0</v>
      </c>
      <c r="Y1681" s="14" t="n">
        <v>0.48</v>
      </c>
      <c r="Z1681" s="14" t="n">
        <v>0.48</v>
      </c>
      <c r="AA1681" s="14" t="n">
        <v>0</v>
      </c>
    </row>
    <row r="1682">
      <c r="A1682" t="inlineStr">
        <is>
          <t>040516</t>
        </is>
      </c>
      <c r="B1682" t="inlineStr">
        <is>
          <t>AREQUIPA</t>
        </is>
      </c>
      <c r="C1682" t="inlineStr">
        <is>
          <t>CAYLLOMA</t>
        </is>
      </c>
      <c r="D1682" t="inlineStr">
        <is>
          <t>TAPAY</t>
        </is>
      </c>
      <c r="E1682" t="n">
        <v>520</v>
      </c>
      <c r="F1682" s="14" t="n">
        <v>0</v>
      </c>
      <c r="G1682" s="14" t="n">
        <v>28.46</v>
      </c>
      <c r="H1682" s="14" t="n">
        <v>16.92</v>
      </c>
      <c r="I1682" s="14" t="n">
        <v>9.81</v>
      </c>
      <c r="J1682" s="14" t="n">
        <v>0.58</v>
      </c>
      <c r="K1682" s="14" t="n">
        <v>0.77</v>
      </c>
      <c r="L1682" s="14" t="n">
        <v>15</v>
      </c>
      <c r="M1682" s="14" t="n">
        <v>3.46</v>
      </c>
      <c r="N1682" s="14" t="n">
        <v>6.73</v>
      </c>
      <c r="O1682" s="14" t="n">
        <v>2.69</v>
      </c>
      <c r="P1682" s="14" t="n">
        <v>0.19</v>
      </c>
      <c r="Q1682" s="14" t="n">
        <v>0</v>
      </c>
      <c r="R1682" s="14" t="n">
        <v>0</v>
      </c>
      <c r="S1682" s="14" t="n">
        <v>6.15</v>
      </c>
      <c r="T1682" s="14" t="n">
        <v>3.85</v>
      </c>
      <c r="U1682" s="14" t="n">
        <v>1.35</v>
      </c>
      <c r="V1682" s="14" t="n">
        <v>1.54</v>
      </c>
      <c r="W1682" s="14" t="n">
        <v>1.35</v>
      </c>
      <c r="X1682" s="14" t="n">
        <v>0</v>
      </c>
      <c r="Y1682" s="14" t="n">
        <v>1.15</v>
      </c>
      <c r="Z1682" s="14" t="n">
        <v>0</v>
      </c>
      <c r="AA1682" s="14" t="n">
        <v>0</v>
      </c>
    </row>
    <row r="1683">
      <c r="A1683" t="inlineStr">
        <is>
          <t>040513</t>
        </is>
      </c>
      <c r="B1683" t="inlineStr">
        <is>
          <t>AREQUIPA</t>
        </is>
      </c>
      <c r="C1683" t="inlineStr">
        <is>
          <t>CAYLLOMA</t>
        </is>
      </c>
      <c r="D1683" t="inlineStr">
        <is>
          <t>MADRIGAL</t>
        </is>
      </c>
      <c r="E1683" t="n">
        <v>364</v>
      </c>
      <c r="F1683" s="14" t="n">
        <v>0</v>
      </c>
      <c r="G1683" s="14" t="n">
        <v>71.7</v>
      </c>
      <c r="H1683" s="14" t="n">
        <v>1.1</v>
      </c>
      <c r="I1683" s="14" t="n">
        <v>0.55</v>
      </c>
      <c r="J1683" s="14" t="n">
        <v>0</v>
      </c>
      <c r="K1683" s="14" t="n">
        <v>0</v>
      </c>
      <c r="L1683" s="14" t="n">
        <v>10.44</v>
      </c>
      <c r="M1683" s="14" t="n">
        <v>4.4</v>
      </c>
      <c r="N1683" s="14" t="n">
        <v>0.55</v>
      </c>
      <c r="O1683" s="14" t="n">
        <v>1.92</v>
      </c>
      <c r="P1683" s="14" t="n">
        <v>0</v>
      </c>
      <c r="Q1683" s="14" t="n">
        <v>0</v>
      </c>
      <c r="R1683" s="14" t="n">
        <v>0</v>
      </c>
      <c r="S1683" s="14" t="n">
        <v>0.27</v>
      </c>
      <c r="T1683" s="14" t="n">
        <v>0.27</v>
      </c>
      <c r="U1683" s="14" t="n">
        <v>4.4</v>
      </c>
      <c r="V1683" s="14" t="n">
        <v>3.02</v>
      </c>
      <c r="W1683" s="14" t="n">
        <v>0.55</v>
      </c>
      <c r="X1683" s="14" t="n">
        <v>0</v>
      </c>
      <c r="Y1683" s="14" t="n">
        <v>0.82</v>
      </c>
      <c r="Z1683" s="14" t="n">
        <v>0</v>
      </c>
      <c r="AA1683" s="14" t="n">
        <v>0</v>
      </c>
    </row>
    <row r="1684">
      <c r="A1684" t="inlineStr">
        <is>
          <t>040408</t>
        </is>
      </c>
      <c r="B1684" t="inlineStr">
        <is>
          <t>AREQUIPA</t>
        </is>
      </c>
      <c r="C1684" t="inlineStr">
        <is>
          <t>CASTILLA</t>
        </is>
      </c>
      <c r="D1684" t="inlineStr">
        <is>
          <t>MACHAGUAY</t>
        </is>
      </c>
      <c r="E1684" t="n">
        <v>211</v>
      </c>
      <c r="F1684" s="14" t="n">
        <v>0</v>
      </c>
      <c r="G1684" s="14" t="n">
        <v>77.25</v>
      </c>
      <c r="H1684" s="14" t="n">
        <v>0</v>
      </c>
      <c r="I1684" s="14" t="n">
        <v>1.9</v>
      </c>
      <c r="J1684" s="14" t="n">
        <v>0</v>
      </c>
      <c r="K1684" s="14" t="n">
        <v>0</v>
      </c>
      <c r="L1684" s="14" t="n">
        <v>4.27</v>
      </c>
      <c r="M1684" s="14" t="n">
        <v>3.32</v>
      </c>
      <c r="N1684" s="14" t="n">
        <v>0</v>
      </c>
      <c r="O1684" s="14" t="n">
        <v>2.84</v>
      </c>
      <c r="P1684" s="14" t="n">
        <v>0.47</v>
      </c>
      <c r="Q1684" s="14" t="n">
        <v>0</v>
      </c>
      <c r="R1684" s="14" t="n">
        <v>0</v>
      </c>
      <c r="S1684" s="14" t="n">
        <v>1.42</v>
      </c>
      <c r="T1684" s="14" t="n">
        <v>0</v>
      </c>
      <c r="U1684" s="14" t="n">
        <v>5.21</v>
      </c>
      <c r="V1684" s="14" t="n">
        <v>2.37</v>
      </c>
      <c r="W1684" s="14" t="n">
        <v>0.47</v>
      </c>
      <c r="X1684" s="14" t="n">
        <v>0</v>
      </c>
      <c r="Y1684" s="14" t="n">
        <v>0.47</v>
      </c>
      <c r="Z1684" s="14" t="n">
        <v>0</v>
      </c>
      <c r="AA1684" s="14" t="n">
        <v>0</v>
      </c>
    </row>
    <row r="1685">
      <c r="A1685" t="inlineStr">
        <is>
          <t>040310</t>
        </is>
      </c>
      <c r="B1685" t="inlineStr">
        <is>
          <t>AREQUIPA</t>
        </is>
      </c>
      <c r="C1685" t="inlineStr">
        <is>
          <t>CARAVELI</t>
        </is>
      </c>
      <c r="D1685" t="inlineStr">
        <is>
          <t>JAQUI</t>
        </is>
      </c>
      <c r="E1685" t="n">
        <v>585</v>
      </c>
      <c r="F1685" s="14" t="n">
        <v>0</v>
      </c>
      <c r="G1685" s="14" t="n">
        <v>39.66</v>
      </c>
      <c r="H1685" s="14" t="n">
        <v>6.84</v>
      </c>
      <c r="I1685" s="14" t="n">
        <v>2.74</v>
      </c>
      <c r="J1685" s="14" t="n">
        <v>0</v>
      </c>
      <c r="K1685" s="14" t="n">
        <v>0.17</v>
      </c>
      <c r="L1685" s="14" t="n">
        <v>5.3</v>
      </c>
      <c r="M1685" s="14" t="n">
        <v>18.12</v>
      </c>
      <c r="N1685" s="14" t="n">
        <v>6.5</v>
      </c>
      <c r="O1685" s="14" t="n">
        <v>6.32</v>
      </c>
      <c r="P1685" s="14" t="n">
        <v>1.03</v>
      </c>
      <c r="Q1685" s="14" t="n">
        <v>0.17</v>
      </c>
      <c r="R1685" s="14" t="n">
        <v>0</v>
      </c>
      <c r="S1685" s="14" t="n">
        <v>1.37</v>
      </c>
      <c r="T1685" s="14" t="n">
        <v>1.03</v>
      </c>
      <c r="U1685" s="14" t="n">
        <v>4.79</v>
      </c>
      <c r="V1685" s="14" t="n">
        <v>3.59</v>
      </c>
      <c r="W1685" s="14" t="n">
        <v>0.85</v>
      </c>
      <c r="X1685" s="14" t="n">
        <v>0</v>
      </c>
      <c r="Y1685" s="14" t="n">
        <v>1.2</v>
      </c>
      <c r="Z1685" s="14" t="n">
        <v>0.34</v>
      </c>
      <c r="AA1685" s="14" t="n">
        <v>0</v>
      </c>
    </row>
    <row r="1686">
      <c r="A1686" t="inlineStr">
        <is>
          <t>040309</t>
        </is>
      </c>
      <c r="B1686" t="inlineStr">
        <is>
          <t>AREQUIPA</t>
        </is>
      </c>
      <c r="C1686" t="inlineStr">
        <is>
          <t>CARAVELI</t>
        </is>
      </c>
      <c r="D1686" t="inlineStr">
        <is>
          <t>HUANUHUANU</t>
        </is>
      </c>
      <c r="E1686" t="n">
        <v>1771</v>
      </c>
      <c r="F1686" s="14" t="n">
        <v>0</v>
      </c>
      <c r="G1686" s="14" t="n">
        <v>3.22</v>
      </c>
      <c r="H1686" s="14" t="n">
        <v>66.73999999999999</v>
      </c>
      <c r="I1686" s="14" t="n">
        <v>1.75</v>
      </c>
      <c r="J1686" s="14" t="n">
        <v>0</v>
      </c>
      <c r="K1686" s="14" t="n">
        <v>0</v>
      </c>
      <c r="L1686" s="14" t="n">
        <v>5.31</v>
      </c>
      <c r="M1686" s="14" t="n">
        <v>6.38</v>
      </c>
      <c r="N1686" s="14" t="n">
        <v>3.44</v>
      </c>
      <c r="O1686" s="14" t="n">
        <v>4.74</v>
      </c>
      <c r="P1686" s="14" t="n">
        <v>0.28</v>
      </c>
      <c r="Q1686" s="14" t="n">
        <v>0.17</v>
      </c>
      <c r="R1686" s="14" t="n">
        <v>0</v>
      </c>
      <c r="S1686" s="14" t="n">
        <v>1.98</v>
      </c>
      <c r="T1686" s="14" t="n">
        <v>0.85</v>
      </c>
      <c r="U1686" s="14" t="n">
        <v>1.75</v>
      </c>
      <c r="V1686" s="14" t="n">
        <v>1.36</v>
      </c>
      <c r="W1686" s="14" t="n">
        <v>1.36</v>
      </c>
      <c r="X1686" s="14" t="n">
        <v>0.11</v>
      </c>
      <c r="Y1686" s="14" t="n">
        <v>0.51</v>
      </c>
      <c r="Z1686" s="14" t="n">
        <v>0.06</v>
      </c>
      <c r="AA1686" s="14" t="n">
        <v>0</v>
      </c>
    </row>
    <row r="1687">
      <c r="A1687" t="inlineStr">
        <is>
          <t>040401</t>
        </is>
      </c>
      <c r="B1687" t="inlineStr">
        <is>
          <t>AREQUIPA</t>
        </is>
      </c>
      <c r="C1687" t="inlineStr">
        <is>
          <t>CASTILLA</t>
        </is>
      </c>
      <c r="D1687" t="inlineStr">
        <is>
          <t>APLAO</t>
        </is>
      </c>
      <c r="E1687" t="n">
        <v>3940</v>
      </c>
      <c r="F1687" s="14" t="n">
        <v>0</v>
      </c>
      <c r="G1687" s="14" t="n">
        <v>44.62</v>
      </c>
      <c r="H1687" s="14" t="n">
        <v>0.8100000000000001</v>
      </c>
      <c r="I1687" s="14" t="n">
        <v>2.34</v>
      </c>
      <c r="J1687" s="14" t="n">
        <v>0.03</v>
      </c>
      <c r="K1687" s="14" t="n">
        <v>0.38</v>
      </c>
      <c r="L1687" s="14" t="n">
        <v>4.92</v>
      </c>
      <c r="M1687" s="14" t="n">
        <v>12.94</v>
      </c>
      <c r="N1687" s="14" t="n">
        <v>5.38</v>
      </c>
      <c r="O1687" s="14" t="n">
        <v>6.35</v>
      </c>
      <c r="P1687" s="14" t="n">
        <v>0.23</v>
      </c>
      <c r="Q1687" s="14" t="n">
        <v>1.17</v>
      </c>
      <c r="R1687" s="14" t="n">
        <v>0.03</v>
      </c>
      <c r="S1687" s="14" t="n">
        <v>2.18</v>
      </c>
      <c r="T1687" s="14" t="n">
        <v>1.68</v>
      </c>
      <c r="U1687" s="14" t="n">
        <v>6.57</v>
      </c>
      <c r="V1687" s="14" t="n">
        <v>5.38</v>
      </c>
      <c r="W1687" s="14" t="n">
        <v>2.39</v>
      </c>
      <c r="X1687" s="14" t="n">
        <v>0.48</v>
      </c>
      <c r="Y1687" s="14" t="n">
        <v>1.42</v>
      </c>
      <c r="Z1687" s="14" t="n">
        <v>0.71</v>
      </c>
      <c r="AA1687" s="14" t="n">
        <v>0</v>
      </c>
    </row>
    <row r="1688">
      <c r="A1688" t="inlineStr">
        <is>
          <t>081211</t>
        </is>
      </c>
      <c r="B1688" t="inlineStr">
        <is>
          <t>CUSCO</t>
        </is>
      </c>
      <c r="C1688" t="inlineStr">
        <is>
          <t>QUISPICANCHI</t>
        </is>
      </c>
      <c r="D1688" t="inlineStr">
        <is>
          <t>OROPESA</t>
        </is>
      </c>
      <c r="E1688" t="n">
        <v>4052</v>
      </c>
      <c r="F1688" s="14" t="n">
        <v>0</v>
      </c>
      <c r="G1688" s="14" t="n">
        <v>16.56</v>
      </c>
      <c r="H1688" s="14" t="n">
        <v>0.54</v>
      </c>
      <c r="I1688" s="14" t="n">
        <v>17.89</v>
      </c>
      <c r="J1688" s="14" t="n">
        <v>0.07000000000000001</v>
      </c>
      <c r="K1688" s="14" t="n">
        <v>0.1</v>
      </c>
      <c r="L1688" s="14" t="n">
        <v>9.380000000000001</v>
      </c>
      <c r="M1688" s="14" t="n">
        <v>17.55</v>
      </c>
      <c r="N1688" s="14" t="n">
        <v>13.89</v>
      </c>
      <c r="O1688" s="14" t="n">
        <v>7.6</v>
      </c>
      <c r="P1688" s="14" t="n">
        <v>0.32</v>
      </c>
      <c r="Q1688" s="14" t="n">
        <v>0.59</v>
      </c>
      <c r="R1688" s="14" t="n">
        <v>0.15</v>
      </c>
      <c r="S1688" s="14" t="n">
        <v>2.39</v>
      </c>
      <c r="T1688" s="14" t="n">
        <v>1.83</v>
      </c>
      <c r="U1688" s="14" t="n">
        <v>4.64</v>
      </c>
      <c r="V1688" s="14" t="n">
        <v>2.91</v>
      </c>
      <c r="W1688" s="14" t="n">
        <v>0.89</v>
      </c>
      <c r="X1688" s="14" t="n">
        <v>0.9399999999999999</v>
      </c>
      <c r="Y1688" s="14" t="n">
        <v>1.38</v>
      </c>
      <c r="Z1688" s="14" t="n">
        <v>0.37</v>
      </c>
      <c r="AA1688" s="14" t="n">
        <v>0</v>
      </c>
    </row>
    <row r="1689">
      <c r="A1689" t="inlineStr">
        <is>
          <t>081305</t>
        </is>
      </c>
      <c r="B1689" t="inlineStr">
        <is>
          <t>CUSCO</t>
        </is>
      </c>
      <c r="C1689" t="inlineStr">
        <is>
          <t>URUBAMBA</t>
        </is>
      </c>
      <c r="D1689" t="inlineStr">
        <is>
          <t>MARAS</t>
        </is>
      </c>
      <c r="E1689" t="n">
        <v>2151</v>
      </c>
      <c r="F1689" s="14" t="n">
        <v>0</v>
      </c>
      <c r="G1689" s="14" t="n">
        <v>71.18000000000001</v>
      </c>
      <c r="H1689" s="14" t="n">
        <v>0.28</v>
      </c>
      <c r="I1689" s="14" t="n">
        <v>1.26</v>
      </c>
      <c r="J1689" s="14" t="n">
        <v>0</v>
      </c>
      <c r="K1689" s="14" t="n">
        <v>0</v>
      </c>
      <c r="L1689" s="14" t="n">
        <v>3.77</v>
      </c>
      <c r="M1689" s="14" t="n">
        <v>5.63</v>
      </c>
      <c r="N1689" s="14" t="n">
        <v>4.56</v>
      </c>
      <c r="O1689" s="14" t="n">
        <v>3.77</v>
      </c>
      <c r="P1689" s="14" t="n">
        <v>0</v>
      </c>
      <c r="Q1689" s="14" t="n">
        <v>0.23</v>
      </c>
      <c r="R1689" s="14" t="n">
        <v>0.05</v>
      </c>
      <c r="S1689" s="14" t="n">
        <v>0.65</v>
      </c>
      <c r="T1689" s="14" t="n">
        <v>1.02</v>
      </c>
      <c r="U1689" s="14" t="n">
        <v>4.56</v>
      </c>
      <c r="V1689" s="14" t="n">
        <v>2.14</v>
      </c>
      <c r="W1689" s="14" t="n">
        <v>0.33</v>
      </c>
      <c r="X1689" s="14" t="n">
        <v>0.14</v>
      </c>
      <c r="Y1689" s="14" t="n">
        <v>0.33</v>
      </c>
      <c r="Z1689" s="14" t="n">
        <v>0.14</v>
      </c>
      <c r="AA1689" s="14" t="n">
        <v>0</v>
      </c>
    </row>
    <row r="1690">
      <c r="A1690" t="inlineStr">
        <is>
          <t>081102</t>
        </is>
      </c>
      <c r="B1690" t="inlineStr">
        <is>
          <t>CUSCO</t>
        </is>
      </c>
      <c r="C1690" t="inlineStr">
        <is>
          <t>PAUCARTAMBO</t>
        </is>
      </c>
      <c r="D1690" t="inlineStr">
        <is>
          <t>CAICAY</t>
        </is>
      </c>
      <c r="E1690" t="n">
        <v>663</v>
      </c>
      <c r="F1690" s="14" t="n">
        <v>0</v>
      </c>
      <c r="G1690" s="14" t="n">
        <v>64.25</v>
      </c>
      <c r="H1690" s="14" t="n">
        <v>1.06</v>
      </c>
      <c r="I1690" s="14" t="n">
        <v>4.37</v>
      </c>
      <c r="J1690" s="14" t="n">
        <v>0</v>
      </c>
      <c r="K1690" s="14" t="n">
        <v>0</v>
      </c>
      <c r="L1690" s="14" t="n">
        <v>10.11</v>
      </c>
      <c r="M1690" s="14" t="n">
        <v>5.28</v>
      </c>
      <c r="N1690" s="14" t="n">
        <v>3.92</v>
      </c>
      <c r="O1690" s="14" t="n">
        <v>3.62</v>
      </c>
      <c r="P1690" s="14" t="n">
        <v>0</v>
      </c>
      <c r="Q1690" s="14" t="n">
        <v>0.15</v>
      </c>
      <c r="R1690" s="14" t="n">
        <v>0</v>
      </c>
      <c r="S1690" s="14" t="n">
        <v>1.36</v>
      </c>
      <c r="T1690" s="14" t="n">
        <v>1.06</v>
      </c>
      <c r="U1690" s="14" t="n">
        <v>1.21</v>
      </c>
      <c r="V1690" s="14" t="n">
        <v>1.06</v>
      </c>
      <c r="W1690" s="14" t="n">
        <v>0.45</v>
      </c>
      <c r="X1690" s="14" t="n">
        <v>0.15</v>
      </c>
      <c r="Y1690" s="14" t="n">
        <v>1.81</v>
      </c>
      <c r="Z1690" s="14" t="n">
        <v>0.15</v>
      </c>
      <c r="AA1690" s="14" t="n">
        <v>0</v>
      </c>
    </row>
    <row r="1691">
      <c r="A1691" t="inlineStr">
        <is>
          <t>030412</t>
        </is>
      </c>
      <c r="B1691" t="inlineStr">
        <is>
          <t>APURIMAC</t>
        </is>
      </c>
      <c r="C1691" t="inlineStr">
        <is>
          <t>AYMARAES</t>
        </is>
      </c>
      <c r="D1691" t="inlineStr">
        <is>
          <t>SAÑAYCA</t>
        </is>
      </c>
      <c r="E1691" t="n">
        <v>458</v>
      </c>
      <c r="F1691" s="14" t="n">
        <v>0</v>
      </c>
      <c r="G1691" s="14" t="n">
        <v>78.17</v>
      </c>
      <c r="H1691" s="14" t="n">
        <v>1.09</v>
      </c>
      <c r="I1691" s="14" t="n">
        <v>1.09</v>
      </c>
      <c r="J1691" s="14" t="n">
        <v>0</v>
      </c>
      <c r="K1691" s="14" t="n">
        <v>0</v>
      </c>
      <c r="L1691" s="14" t="n">
        <v>5.02</v>
      </c>
      <c r="M1691" s="14" t="n">
        <v>2.4</v>
      </c>
      <c r="N1691" s="14" t="n">
        <v>0.66</v>
      </c>
      <c r="O1691" s="14" t="n">
        <v>1.75</v>
      </c>
      <c r="P1691" s="14" t="n">
        <v>0</v>
      </c>
      <c r="Q1691" s="14" t="n">
        <v>0.22</v>
      </c>
      <c r="R1691" s="14" t="n">
        <v>0</v>
      </c>
      <c r="S1691" s="14" t="n">
        <v>0.44</v>
      </c>
      <c r="T1691" s="14" t="n">
        <v>0.44</v>
      </c>
      <c r="U1691" s="14" t="n">
        <v>1.75</v>
      </c>
      <c r="V1691" s="14" t="n">
        <v>4.59</v>
      </c>
      <c r="W1691" s="14" t="n">
        <v>1.97</v>
      </c>
      <c r="X1691" s="14" t="n">
        <v>0</v>
      </c>
      <c r="Y1691" s="14" t="n">
        <v>0.22</v>
      </c>
      <c r="Z1691" s="14" t="n">
        <v>0.22</v>
      </c>
      <c r="AA1691" s="14" t="n">
        <v>0</v>
      </c>
    </row>
    <row r="1692">
      <c r="A1692" t="inlineStr">
        <is>
          <t>021502</t>
        </is>
      </c>
      <c r="B1692" t="inlineStr">
        <is>
          <t>ANCASH</t>
        </is>
      </c>
      <c r="C1692" t="inlineStr">
        <is>
          <t>PALLASCA</t>
        </is>
      </c>
      <c r="D1692" t="inlineStr">
        <is>
          <t>BOLOGNESI</t>
        </is>
      </c>
      <c r="E1692" t="n">
        <v>244</v>
      </c>
      <c r="F1692" s="14" t="n">
        <v>0</v>
      </c>
      <c r="G1692" s="14" t="n">
        <v>74.18000000000001</v>
      </c>
      <c r="H1692" s="14" t="n">
        <v>0</v>
      </c>
      <c r="I1692" s="14" t="n">
        <v>0.82</v>
      </c>
      <c r="J1692" s="14" t="n">
        <v>0</v>
      </c>
      <c r="K1692" s="14" t="n">
        <v>0.41</v>
      </c>
      <c r="L1692" s="14" t="n">
        <v>5.74</v>
      </c>
      <c r="M1692" s="14" t="n">
        <v>3.28</v>
      </c>
      <c r="N1692" s="14" t="n">
        <v>1.64</v>
      </c>
      <c r="O1692" s="14" t="n">
        <v>1.23</v>
      </c>
      <c r="P1692" s="14" t="n">
        <v>0</v>
      </c>
      <c r="Q1692" s="14" t="n">
        <v>0</v>
      </c>
      <c r="R1692" s="14" t="n">
        <v>0</v>
      </c>
      <c r="S1692" s="14" t="n">
        <v>0.41</v>
      </c>
      <c r="T1692" s="14" t="n">
        <v>0.41</v>
      </c>
      <c r="U1692" s="14" t="n">
        <v>2.87</v>
      </c>
      <c r="V1692" s="14" t="n">
        <v>6.97</v>
      </c>
      <c r="W1692" s="14" t="n">
        <v>1.64</v>
      </c>
      <c r="X1692" s="14" t="n">
        <v>0</v>
      </c>
      <c r="Y1692" s="14" t="n">
        <v>0.41</v>
      </c>
      <c r="Z1692" s="14" t="n">
        <v>0</v>
      </c>
      <c r="AA1692" s="14" t="n">
        <v>0</v>
      </c>
    </row>
    <row r="1693">
      <c r="A1693" t="inlineStr">
        <is>
          <t>080603</t>
        </is>
      </c>
      <c r="B1693" t="inlineStr">
        <is>
          <t>CUSCO</t>
        </is>
      </c>
      <c r="C1693" t="inlineStr">
        <is>
          <t>CANCHIS</t>
        </is>
      </c>
      <c r="D1693" t="inlineStr">
        <is>
          <t>COMBAPATA</t>
        </is>
      </c>
      <c r="E1693" t="n">
        <v>1883</v>
      </c>
      <c r="F1693" s="14" t="n">
        <v>0</v>
      </c>
      <c r="G1693" s="14" t="n">
        <v>62.61</v>
      </c>
      <c r="H1693" s="14" t="n">
        <v>0.21</v>
      </c>
      <c r="I1693" s="14" t="n">
        <v>1.65</v>
      </c>
      <c r="J1693" s="14" t="n">
        <v>0.64</v>
      </c>
      <c r="K1693" s="14" t="n">
        <v>0.11</v>
      </c>
      <c r="L1693" s="14" t="n">
        <v>4.46</v>
      </c>
      <c r="M1693" s="14" t="n">
        <v>9.67</v>
      </c>
      <c r="N1693" s="14" t="n">
        <v>1.75</v>
      </c>
      <c r="O1693" s="14" t="n">
        <v>4.83</v>
      </c>
      <c r="P1693" s="14" t="n">
        <v>0.11</v>
      </c>
      <c r="Q1693" s="14" t="n">
        <v>0.32</v>
      </c>
      <c r="R1693" s="14" t="n">
        <v>0</v>
      </c>
      <c r="S1693" s="14" t="n">
        <v>0.74</v>
      </c>
      <c r="T1693" s="14" t="n">
        <v>0.48</v>
      </c>
      <c r="U1693" s="14" t="n">
        <v>4.89</v>
      </c>
      <c r="V1693" s="14" t="n">
        <v>5.79</v>
      </c>
      <c r="W1693" s="14" t="n">
        <v>0.9</v>
      </c>
      <c r="X1693" s="14" t="n">
        <v>0.05</v>
      </c>
      <c r="Y1693" s="14" t="n">
        <v>0.74</v>
      </c>
      <c r="Z1693" s="14" t="n">
        <v>0.05</v>
      </c>
      <c r="AA1693" s="14" t="n">
        <v>0</v>
      </c>
    </row>
    <row r="1694">
      <c r="A1694" t="inlineStr">
        <is>
          <t>021006</t>
        </is>
      </c>
      <c r="B1694" t="inlineStr">
        <is>
          <t>ANCASH</t>
        </is>
      </c>
      <c r="C1694" t="inlineStr">
        <is>
          <t>HUARI</t>
        </is>
      </c>
      <c r="D1694" t="inlineStr">
        <is>
          <t>HUACCHIS</t>
        </is>
      </c>
      <c r="E1694" t="n">
        <v>317</v>
      </c>
      <c r="F1694" s="14" t="n">
        <v>0</v>
      </c>
      <c r="G1694" s="14" t="n">
        <v>59.31</v>
      </c>
      <c r="H1694" s="14" t="n">
        <v>0</v>
      </c>
      <c r="I1694" s="14" t="n">
        <v>1.89</v>
      </c>
      <c r="J1694" s="14" t="n">
        <v>0</v>
      </c>
      <c r="K1694" s="14" t="n">
        <v>0</v>
      </c>
      <c r="L1694" s="14" t="n">
        <v>2.52</v>
      </c>
      <c r="M1694" s="14" t="n">
        <v>1.89</v>
      </c>
      <c r="N1694" s="14" t="n">
        <v>0.32</v>
      </c>
      <c r="O1694" s="14" t="n">
        <v>0</v>
      </c>
      <c r="P1694" s="14" t="n">
        <v>0</v>
      </c>
      <c r="Q1694" s="14" t="n">
        <v>0</v>
      </c>
      <c r="R1694" s="14" t="n">
        <v>0</v>
      </c>
      <c r="S1694" s="14" t="n">
        <v>0.63</v>
      </c>
      <c r="T1694" s="14" t="n">
        <v>0.63</v>
      </c>
      <c r="U1694" s="14" t="n">
        <v>18.61</v>
      </c>
      <c r="V1694" s="14" t="n">
        <v>8.199999999999999</v>
      </c>
      <c r="W1694" s="14" t="n">
        <v>1.26</v>
      </c>
      <c r="X1694" s="14" t="n">
        <v>0</v>
      </c>
      <c r="Y1694" s="14" t="n">
        <v>1.58</v>
      </c>
      <c r="Z1694" s="14" t="n">
        <v>3.15</v>
      </c>
      <c r="AA1694" s="14" t="n">
        <v>0</v>
      </c>
    </row>
    <row r="1695">
      <c r="A1695" t="inlineStr">
        <is>
          <t>020611</t>
        </is>
      </c>
      <c r="B1695" t="inlineStr">
        <is>
          <t>ANCASH</t>
        </is>
      </c>
      <c r="C1695" t="inlineStr">
        <is>
          <t>CARHUAZ</t>
        </is>
      </c>
      <c r="D1695" t="inlineStr">
        <is>
          <t>YUNGAR</t>
        </is>
      </c>
      <c r="E1695" t="n">
        <v>890</v>
      </c>
      <c r="F1695" s="14" t="n">
        <v>0</v>
      </c>
      <c r="G1695" s="14" t="n">
        <v>49.66</v>
      </c>
      <c r="H1695" s="14" t="n">
        <v>0.9</v>
      </c>
      <c r="I1695" s="14" t="n">
        <v>2.7</v>
      </c>
      <c r="J1695" s="14" t="n">
        <v>0</v>
      </c>
      <c r="K1695" s="14" t="n">
        <v>0.11</v>
      </c>
      <c r="L1695" s="14" t="n">
        <v>11.35</v>
      </c>
      <c r="M1695" s="14" t="n">
        <v>5.96</v>
      </c>
      <c r="N1695" s="14" t="n">
        <v>7.08</v>
      </c>
      <c r="O1695" s="14" t="n">
        <v>2.47</v>
      </c>
      <c r="P1695" s="14" t="n">
        <v>0.22</v>
      </c>
      <c r="Q1695" s="14" t="n">
        <v>0.11</v>
      </c>
      <c r="R1695" s="14" t="n">
        <v>0</v>
      </c>
      <c r="S1695" s="14" t="n">
        <v>3.15</v>
      </c>
      <c r="T1695" s="14" t="n">
        <v>2.25</v>
      </c>
      <c r="U1695" s="14" t="n">
        <v>4.16</v>
      </c>
      <c r="V1695" s="14" t="n">
        <v>5.62</v>
      </c>
      <c r="W1695" s="14" t="n">
        <v>1.12</v>
      </c>
      <c r="X1695" s="14" t="n">
        <v>0.45</v>
      </c>
      <c r="Y1695" s="14" t="n">
        <v>1.12</v>
      </c>
      <c r="Z1695" s="14" t="n">
        <v>1.57</v>
      </c>
      <c r="AA1695" s="14" t="n">
        <v>0</v>
      </c>
    </row>
    <row r="1696">
      <c r="A1696" t="inlineStr">
        <is>
          <t>030402</t>
        </is>
      </c>
      <c r="B1696" t="inlineStr">
        <is>
          <t>APURIMAC</t>
        </is>
      </c>
      <c r="C1696" t="inlineStr">
        <is>
          <t>AYMARAES</t>
        </is>
      </c>
      <c r="D1696" t="inlineStr">
        <is>
          <t>CAPAYA</t>
        </is>
      </c>
      <c r="E1696" t="n">
        <v>184</v>
      </c>
      <c r="F1696" s="14" t="n">
        <v>0</v>
      </c>
      <c r="G1696" s="14" t="n">
        <v>69.02</v>
      </c>
      <c r="H1696" s="14" t="n">
        <v>0.54</v>
      </c>
      <c r="I1696" s="14" t="n">
        <v>1.63</v>
      </c>
      <c r="J1696" s="14" t="n">
        <v>0</v>
      </c>
      <c r="K1696" s="14" t="n">
        <v>0</v>
      </c>
      <c r="L1696" s="14" t="n">
        <v>3.26</v>
      </c>
      <c r="M1696" s="14" t="n">
        <v>5.43</v>
      </c>
      <c r="N1696" s="14" t="n">
        <v>2.72</v>
      </c>
      <c r="O1696" s="14" t="n">
        <v>1.63</v>
      </c>
      <c r="P1696" s="14" t="n">
        <v>0</v>
      </c>
      <c r="Q1696" s="14" t="n">
        <v>0</v>
      </c>
      <c r="R1696" s="14" t="n">
        <v>0</v>
      </c>
      <c r="S1696" s="14" t="n">
        <v>2.17</v>
      </c>
      <c r="T1696" s="14" t="n">
        <v>0.54</v>
      </c>
      <c r="U1696" s="14" t="n">
        <v>3.26</v>
      </c>
      <c r="V1696" s="14" t="n">
        <v>5.43</v>
      </c>
      <c r="W1696" s="14" t="n">
        <v>4.35</v>
      </c>
      <c r="X1696" s="14" t="n">
        <v>0</v>
      </c>
      <c r="Y1696" s="14" t="n">
        <v>0</v>
      </c>
      <c r="Z1696" s="14" t="n">
        <v>0</v>
      </c>
      <c r="AA1696" s="14" t="n">
        <v>0</v>
      </c>
    </row>
    <row r="1697">
      <c r="A1697" t="inlineStr">
        <is>
          <t>020304</t>
        </is>
      </c>
      <c r="B1697" t="inlineStr">
        <is>
          <t>ANCASH</t>
        </is>
      </c>
      <c r="C1697" t="inlineStr">
        <is>
          <t>ANTONIO RAYMONDI</t>
        </is>
      </c>
      <c r="D1697" t="inlineStr">
        <is>
          <t>CHINGAS</t>
        </is>
      </c>
      <c r="E1697" t="n">
        <v>389</v>
      </c>
      <c r="F1697" s="14" t="n">
        <v>0</v>
      </c>
      <c r="G1697" s="14" t="n">
        <v>55.27</v>
      </c>
      <c r="H1697" s="14" t="n">
        <v>0</v>
      </c>
      <c r="I1697" s="14" t="n">
        <v>1.54</v>
      </c>
      <c r="J1697" s="14" t="n">
        <v>0</v>
      </c>
      <c r="K1697" s="14" t="n">
        <v>0</v>
      </c>
      <c r="L1697" s="14" t="n">
        <v>5.14</v>
      </c>
      <c r="M1697" s="14" t="n">
        <v>9</v>
      </c>
      <c r="N1697" s="14" t="n">
        <v>1.8</v>
      </c>
      <c r="O1697" s="14" t="n">
        <v>1.8</v>
      </c>
      <c r="P1697" s="14" t="n">
        <v>0</v>
      </c>
      <c r="Q1697" s="14" t="n">
        <v>0</v>
      </c>
      <c r="R1697" s="14" t="n">
        <v>0</v>
      </c>
      <c r="S1697" s="14" t="n">
        <v>1.03</v>
      </c>
      <c r="T1697" s="14" t="n">
        <v>0.26</v>
      </c>
      <c r="U1697" s="14" t="n">
        <v>3.6</v>
      </c>
      <c r="V1697" s="14" t="n">
        <v>15.42</v>
      </c>
      <c r="W1697" s="14" t="n">
        <v>3.08</v>
      </c>
      <c r="X1697" s="14" t="n">
        <v>0</v>
      </c>
      <c r="Y1697" s="14" t="n">
        <v>1.29</v>
      </c>
      <c r="Z1697" s="14" t="n">
        <v>0.77</v>
      </c>
      <c r="AA1697" s="14" t="n">
        <v>0</v>
      </c>
    </row>
    <row r="1698">
      <c r="A1698" t="inlineStr">
        <is>
          <t>020610</t>
        </is>
      </c>
      <c r="B1698" t="inlineStr">
        <is>
          <t>ANCASH</t>
        </is>
      </c>
      <c r="C1698" t="inlineStr">
        <is>
          <t>CARHUAZ</t>
        </is>
      </c>
      <c r="D1698" t="inlineStr">
        <is>
          <t>TINCO</t>
        </is>
      </c>
      <c r="E1698" t="n">
        <v>1135</v>
      </c>
      <c r="F1698" s="14" t="n">
        <v>0</v>
      </c>
      <c r="G1698" s="14" t="n">
        <v>54.63</v>
      </c>
      <c r="H1698" s="14" t="n">
        <v>0.35</v>
      </c>
      <c r="I1698" s="14" t="n">
        <v>3.08</v>
      </c>
      <c r="J1698" s="14" t="n">
        <v>0</v>
      </c>
      <c r="K1698" s="14" t="n">
        <v>0.09</v>
      </c>
      <c r="L1698" s="14" t="n">
        <v>3.26</v>
      </c>
      <c r="M1698" s="14" t="n">
        <v>10.4</v>
      </c>
      <c r="N1698" s="14" t="n">
        <v>7.22</v>
      </c>
      <c r="O1698" s="14" t="n">
        <v>3.44</v>
      </c>
      <c r="P1698" s="14" t="n">
        <v>0.26</v>
      </c>
      <c r="Q1698" s="14" t="n">
        <v>0.26</v>
      </c>
      <c r="R1698" s="14" t="n">
        <v>0</v>
      </c>
      <c r="S1698" s="14" t="n">
        <v>2.29</v>
      </c>
      <c r="T1698" s="14" t="n">
        <v>0.88</v>
      </c>
      <c r="U1698" s="14" t="n">
        <v>3.88</v>
      </c>
      <c r="V1698" s="14" t="n">
        <v>5.9</v>
      </c>
      <c r="W1698" s="14" t="n">
        <v>1.41</v>
      </c>
      <c r="X1698" s="14" t="n">
        <v>1.32</v>
      </c>
      <c r="Y1698" s="14" t="n">
        <v>0.97</v>
      </c>
      <c r="Z1698" s="14" t="n">
        <v>0.35</v>
      </c>
      <c r="AA1698" s="14" t="n">
        <v>0</v>
      </c>
    </row>
    <row r="1699">
      <c r="A1699" t="inlineStr">
        <is>
          <t>040706</t>
        </is>
      </c>
      <c r="B1699" t="inlineStr">
        <is>
          <t>AREQUIPA</t>
        </is>
      </c>
      <c r="C1699" t="inlineStr">
        <is>
          <t>ISLAY</t>
        </is>
      </c>
      <c r="D1699" t="inlineStr">
        <is>
          <t>PUNTA DE BOMBON</t>
        </is>
      </c>
      <c r="E1699" t="n">
        <v>3178</v>
      </c>
      <c r="F1699" s="14" t="n">
        <v>0</v>
      </c>
      <c r="G1699" s="14" t="n">
        <v>49.87</v>
      </c>
      <c r="H1699" s="14" t="n">
        <v>0.41</v>
      </c>
      <c r="I1699" s="14" t="n">
        <v>4.19</v>
      </c>
      <c r="J1699" s="14" t="n">
        <v>0.03</v>
      </c>
      <c r="K1699" s="14" t="n">
        <v>0.19</v>
      </c>
      <c r="L1699" s="14" t="n">
        <v>6.73</v>
      </c>
      <c r="M1699" s="14" t="n">
        <v>13.94</v>
      </c>
      <c r="N1699" s="14" t="n">
        <v>5.41</v>
      </c>
      <c r="O1699" s="14" t="n">
        <v>4.22</v>
      </c>
      <c r="P1699" s="14" t="n">
        <v>0.22</v>
      </c>
      <c r="Q1699" s="14" t="n">
        <v>0.66</v>
      </c>
      <c r="R1699" s="14" t="n">
        <v>0</v>
      </c>
      <c r="S1699" s="14" t="n">
        <v>1.83</v>
      </c>
      <c r="T1699" s="14" t="n">
        <v>1.67</v>
      </c>
      <c r="U1699" s="14" t="n">
        <v>3.78</v>
      </c>
      <c r="V1699" s="14" t="n">
        <v>3.49</v>
      </c>
      <c r="W1699" s="14" t="n">
        <v>1.13</v>
      </c>
      <c r="X1699" s="14" t="n">
        <v>0.19</v>
      </c>
      <c r="Y1699" s="14" t="n">
        <v>1.83</v>
      </c>
      <c r="Z1699" s="14" t="n">
        <v>0.22</v>
      </c>
      <c r="AA1699" s="14" t="n">
        <v>0</v>
      </c>
    </row>
    <row r="1700">
      <c r="A1700" t="inlineStr">
        <is>
          <t>021906</t>
        </is>
      </c>
      <c r="B1700" t="inlineStr">
        <is>
          <t>ANCASH</t>
        </is>
      </c>
      <c r="C1700" t="inlineStr">
        <is>
          <t>SIHUAS</t>
        </is>
      </c>
      <c r="D1700" t="inlineStr">
        <is>
          <t>HUAYLLABAMBA</t>
        </is>
      </c>
      <c r="E1700" t="n">
        <v>818</v>
      </c>
      <c r="F1700" s="14" t="n">
        <v>0</v>
      </c>
      <c r="G1700" s="14" t="n">
        <v>76.16</v>
      </c>
      <c r="H1700" s="14" t="n">
        <v>0.12</v>
      </c>
      <c r="I1700" s="14" t="n">
        <v>1.59</v>
      </c>
      <c r="J1700" s="14" t="n">
        <v>0</v>
      </c>
      <c r="K1700" s="14" t="n">
        <v>0</v>
      </c>
      <c r="L1700" s="14" t="n">
        <v>2.69</v>
      </c>
      <c r="M1700" s="14" t="n">
        <v>5.13</v>
      </c>
      <c r="N1700" s="14" t="n">
        <v>0.86</v>
      </c>
      <c r="O1700" s="14" t="n">
        <v>0.98</v>
      </c>
      <c r="P1700" s="14" t="n">
        <v>0</v>
      </c>
      <c r="Q1700" s="14" t="n">
        <v>0</v>
      </c>
      <c r="R1700" s="14" t="n">
        <v>0</v>
      </c>
      <c r="S1700" s="14" t="n">
        <v>0.49</v>
      </c>
      <c r="T1700" s="14" t="n">
        <v>0.49</v>
      </c>
      <c r="U1700" s="14" t="n">
        <v>1.1</v>
      </c>
      <c r="V1700" s="14" t="n">
        <v>7.82</v>
      </c>
      <c r="W1700" s="14" t="n">
        <v>1.34</v>
      </c>
      <c r="X1700" s="14" t="n">
        <v>0.12</v>
      </c>
      <c r="Y1700" s="14" t="n">
        <v>0.37</v>
      </c>
      <c r="Z1700" s="14" t="n">
        <v>0.73</v>
      </c>
      <c r="AA1700" s="14" t="n">
        <v>0</v>
      </c>
    </row>
    <row r="1701">
      <c r="A1701" t="inlineStr">
        <is>
          <t>021708</t>
        </is>
      </c>
      <c r="B1701" t="inlineStr">
        <is>
          <t>ANCASH</t>
        </is>
      </c>
      <c r="C1701" t="inlineStr">
        <is>
          <t>RECUAY</t>
        </is>
      </c>
      <c r="D1701" t="inlineStr">
        <is>
          <t>PARARIN</t>
        </is>
      </c>
      <c r="E1701" t="n">
        <v>532</v>
      </c>
      <c r="F1701" s="14" t="n">
        <v>0</v>
      </c>
      <c r="G1701" s="14" t="n">
        <v>75</v>
      </c>
      <c r="H1701" s="14" t="n">
        <v>0.19</v>
      </c>
      <c r="I1701" s="14" t="n">
        <v>2.82</v>
      </c>
      <c r="J1701" s="14" t="n">
        <v>0</v>
      </c>
      <c r="K1701" s="14" t="n">
        <v>0</v>
      </c>
      <c r="L1701" s="14" t="n">
        <v>1.5</v>
      </c>
      <c r="M1701" s="14" t="n">
        <v>5.08</v>
      </c>
      <c r="N1701" s="14" t="n">
        <v>1.88</v>
      </c>
      <c r="O1701" s="14" t="n">
        <v>3.57</v>
      </c>
      <c r="P1701" s="14" t="n">
        <v>0</v>
      </c>
      <c r="Q1701" s="14" t="n">
        <v>0.19</v>
      </c>
      <c r="R1701" s="14" t="n">
        <v>0</v>
      </c>
      <c r="S1701" s="14" t="n">
        <v>2.07</v>
      </c>
      <c r="T1701" s="14" t="n">
        <v>0.19</v>
      </c>
      <c r="U1701" s="14" t="n">
        <v>2.26</v>
      </c>
      <c r="V1701" s="14" t="n">
        <v>3.01</v>
      </c>
      <c r="W1701" s="14" t="n">
        <v>1.13</v>
      </c>
      <c r="X1701" s="14" t="n">
        <v>0.19</v>
      </c>
      <c r="Y1701" s="14" t="n">
        <v>0.38</v>
      </c>
      <c r="Z1701" s="14" t="n">
        <v>0.5600000000000001</v>
      </c>
      <c r="AA1701" s="14" t="n">
        <v>0</v>
      </c>
    </row>
    <row r="1702">
      <c r="A1702" t="inlineStr">
        <is>
          <t>010610</t>
        </is>
      </c>
      <c r="B1702" t="inlineStr">
        <is>
          <t>AMAZONAS</t>
        </is>
      </c>
      <c r="C1702" t="inlineStr">
        <is>
          <t>RODRIGUEZ DE MENDOZA</t>
        </is>
      </c>
      <c r="D1702" t="inlineStr">
        <is>
          <t>SANTA ROSA</t>
        </is>
      </c>
      <c r="E1702" t="n">
        <v>195</v>
      </c>
      <c r="F1702" s="14" t="n">
        <v>0</v>
      </c>
      <c r="G1702" s="14" t="n">
        <v>86.67</v>
      </c>
      <c r="H1702" s="14" t="n">
        <v>0</v>
      </c>
      <c r="I1702" s="14" t="n">
        <v>0.51</v>
      </c>
      <c r="J1702" s="14" t="n">
        <v>0</v>
      </c>
      <c r="K1702" s="14" t="n">
        <v>0</v>
      </c>
      <c r="L1702" s="14" t="n">
        <v>2.05</v>
      </c>
      <c r="M1702" s="14" t="n">
        <v>2.05</v>
      </c>
      <c r="N1702" s="14" t="n">
        <v>0.51</v>
      </c>
      <c r="O1702" s="14" t="n">
        <v>2.05</v>
      </c>
      <c r="P1702" s="14" t="n">
        <v>0</v>
      </c>
      <c r="Q1702" s="14" t="n">
        <v>0</v>
      </c>
      <c r="R1702" s="14" t="n">
        <v>0</v>
      </c>
      <c r="S1702" s="14" t="n">
        <v>0</v>
      </c>
      <c r="T1702" s="14" t="n">
        <v>0</v>
      </c>
      <c r="U1702" s="14" t="n">
        <v>4.1</v>
      </c>
      <c r="V1702" s="14" t="n">
        <v>0.51</v>
      </c>
      <c r="W1702" s="14" t="n">
        <v>0.51</v>
      </c>
      <c r="X1702" s="14" t="n">
        <v>0</v>
      </c>
      <c r="Y1702" s="14" t="n">
        <v>0.51</v>
      </c>
      <c r="Z1702" s="14" t="n">
        <v>0.51</v>
      </c>
      <c r="AA1702" s="14" t="n">
        <v>0</v>
      </c>
    </row>
    <row r="1703">
      <c r="A1703" t="inlineStr">
        <is>
          <t>060608</t>
        </is>
      </c>
      <c r="B1703" t="inlineStr">
        <is>
          <t>CAJAMARCA</t>
        </is>
      </c>
      <c r="C1703" t="inlineStr">
        <is>
          <t>CUTERVO</t>
        </is>
      </c>
      <c r="D1703" t="inlineStr">
        <is>
          <t>SAN ANDRES DE CUTERVO</t>
        </is>
      </c>
      <c r="E1703" t="n">
        <v>1313</v>
      </c>
      <c r="F1703" s="14" t="n">
        <v>0</v>
      </c>
      <c r="G1703" s="14" t="n">
        <v>77.23</v>
      </c>
      <c r="H1703" s="14" t="n">
        <v>0</v>
      </c>
      <c r="I1703" s="14" t="n">
        <v>0.76</v>
      </c>
      <c r="J1703" s="14" t="n">
        <v>0</v>
      </c>
      <c r="K1703" s="14" t="n">
        <v>0</v>
      </c>
      <c r="L1703" s="14" t="n">
        <v>2.51</v>
      </c>
      <c r="M1703" s="14" t="n">
        <v>3.81</v>
      </c>
      <c r="N1703" s="14" t="n">
        <v>0.99</v>
      </c>
      <c r="O1703" s="14" t="n">
        <v>0.6899999999999999</v>
      </c>
      <c r="P1703" s="14" t="n">
        <v>0.23</v>
      </c>
      <c r="Q1703" s="14" t="n">
        <v>0</v>
      </c>
      <c r="R1703" s="14" t="n">
        <v>0</v>
      </c>
      <c r="S1703" s="14" t="n">
        <v>1.52</v>
      </c>
      <c r="T1703" s="14" t="n">
        <v>0.08</v>
      </c>
      <c r="U1703" s="14" t="n">
        <v>2.59</v>
      </c>
      <c r="V1703" s="14" t="n">
        <v>7.01</v>
      </c>
      <c r="W1703" s="14" t="n">
        <v>1.52</v>
      </c>
      <c r="X1703" s="14" t="n">
        <v>0</v>
      </c>
      <c r="Y1703" s="14" t="n">
        <v>0.38</v>
      </c>
      <c r="Z1703" s="14" t="n">
        <v>0.6899999999999999</v>
      </c>
      <c r="AA1703" s="14" t="n">
        <v>0</v>
      </c>
    </row>
    <row r="1704">
      <c r="A1704" t="inlineStr">
        <is>
          <t>021408</t>
        </is>
      </c>
      <c r="B1704" t="inlineStr">
        <is>
          <t>ANCASH</t>
        </is>
      </c>
      <c r="C1704" t="inlineStr">
        <is>
          <t>OCROS</t>
        </is>
      </c>
      <c r="D1704" t="inlineStr">
        <is>
          <t>SAN CRISTOBAL DE RAJAN</t>
        </is>
      </c>
      <c r="E1704" t="n">
        <v>198</v>
      </c>
      <c r="F1704" s="14" t="n">
        <v>0</v>
      </c>
      <c r="G1704" s="14" t="n">
        <v>62.12</v>
      </c>
      <c r="H1704" s="14" t="n">
        <v>0.51</v>
      </c>
      <c r="I1704" s="14" t="n">
        <v>2.53</v>
      </c>
      <c r="J1704" s="14" t="n">
        <v>0</v>
      </c>
      <c r="K1704" s="14" t="n">
        <v>0</v>
      </c>
      <c r="L1704" s="14" t="n">
        <v>2.53</v>
      </c>
      <c r="M1704" s="14" t="n">
        <v>11.11</v>
      </c>
      <c r="N1704" s="14" t="n">
        <v>3.54</v>
      </c>
      <c r="O1704" s="14" t="n">
        <v>5.05</v>
      </c>
      <c r="P1704" s="14" t="n">
        <v>0</v>
      </c>
      <c r="Q1704" s="14" t="n">
        <v>0</v>
      </c>
      <c r="R1704" s="14" t="n">
        <v>0</v>
      </c>
      <c r="S1704" s="14" t="n">
        <v>1.01</v>
      </c>
      <c r="T1704" s="14" t="n">
        <v>1.01</v>
      </c>
      <c r="U1704" s="14" t="n">
        <v>6.57</v>
      </c>
      <c r="V1704" s="14" t="n">
        <v>2.02</v>
      </c>
      <c r="W1704" s="14" t="n">
        <v>1.01</v>
      </c>
      <c r="X1704" s="14" t="n">
        <v>0.51</v>
      </c>
      <c r="Y1704" s="14" t="n">
        <v>0.51</v>
      </c>
      <c r="Z1704" s="14" t="n">
        <v>0</v>
      </c>
      <c r="AA1704" s="14" t="n">
        <v>0</v>
      </c>
    </row>
    <row r="1705">
      <c r="A1705" t="inlineStr">
        <is>
          <t>050614</t>
        </is>
      </c>
      <c r="B1705" t="inlineStr">
        <is>
          <t>AYACUCHO</t>
        </is>
      </c>
      <c r="C1705" t="inlineStr">
        <is>
          <t>LUCANAS</t>
        </is>
      </c>
      <c r="D1705" t="inlineStr">
        <is>
          <t>SAISA</t>
        </is>
      </c>
      <c r="E1705" t="n">
        <v>399</v>
      </c>
      <c r="F1705" s="14" t="n">
        <v>0</v>
      </c>
      <c r="G1705" s="14" t="n">
        <v>38.6</v>
      </c>
      <c r="H1705" s="14" t="n">
        <v>25.56</v>
      </c>
      <c r="I1705" s="14" t="n">
        <v>7.27</v>
      </c>
      <c r="J1705" s="14" t="n">
        <v>0</v>
      </c>
      <c r="K1705" s="14" t="n">
        <v>0</v>
      </c>
      <c r="L1705" s="14" t="n">
        <v>8.77</v>
      </c>
      <c r="M1705" s="14" t="n">
        <v>5.01</v>
      </c>
      <c r="N1705" s="14" t="n">
        <v>1.75</v>
      </c>
      <c r="O1705" s="14" t="n">
        <v>1.25</v>
      </c>
      <c r="P1705" s="14" t="n">
        <v>0.25</v>
      </c>
      <c r="Q1705" s="14" t="n">
        <v>0</v>
      </c>
      <c r="R1705" s="14" t="n">
        <v>0</v>
      </c>
      <c r="S1705" s="14" t="n">
        <v>1.75</v>
      </c>
      <c r="T1705" s="14" t="n">
        <v>0.5</v>
      </c>
      <c r="U1705" s="14" t="n">
        <v>2.26</v>
      </c>
      <c r="V1705" s="14" t="n">
        <v>3.76</v>
      </c>
      <c r="W1705" s="14" t="n">
        <v>1.25</v>
      </c>
      <c r="X1705" s="14" t="n">
        <v>0</v>
      </c>
      <c r="Y1705" s="14" t="n">
        <v>0.75</v>
      </c>
      <c r="Z1705" s="14" t="n">
        <v>1.25</v>
      </c>
      <c r="AA1705" s="14" t="n">
        <v>0</v>
      </c>
    </row>
    <row r="1706">
      <c r="A1706" t="inlineStr">
        <is>
          <t>040127</t>
        </is>
      </c>
      <c r="B1706" t="inlineStr">
        <is>
          <t>AREQUIPA</t>
        </is>
      </c>
      <c r="C1706" t="inlineStr">
        <is>
          <t>AREQUIPA</t>
        </is>
      </c>
      <c r="D1706" t="inlineStr">
        <is>
          <t>YARABAMBA</t>
        </is>
      </c>
      <c r="E1706" t="n">
        <v>654</v>
      </c>
      <c r="F1706" s="14" t="n">
        <v>0</v>
      </c>
      <c r="G1706" s="14" t="n">
        <v>22.17</v>
      </c>
      <c r="H1706" s="14" t="n">
        <v>1.83</v>
      </c>
      <c r="I1706" s="14" t="n">
        <v>5.81</v>
      </c>
      <c r="J1706" s="14" t="n">
        <v>0.31</v>
      </c>
      <c r="K1706" s="14" t="n">
        <v>0.15</v>
      </c>
      <c r="L1706" s="14" t="n">
        <v>18.65</v>
      </c>
      <c r="M1706" s="14" t="n">
        <v>14.07</v>
      </c>
      <c r="N1706" s="14" t="n">
        <v>6.12</v>
      </c>
      <c r="O1706" s="14" t="n">
        <v>4.13</v>
      </c>
      <c r="P1706" s="14" t="n">
        <v>0.15</v>
      </c>
      <c r="Q1706" s="14" t="n">
        <v>0.61</v>
      </c>
      <c r="R1706" s="14" t="n">
        <v>0</v>
      </c>
      <c r="S1706" s="14" t="n">
        <v>5.35</v>
      </c>
      <c r="T1706" s="14" t="n">
        <v>2.14</v>
      </c>
      <c r="U1706" s="14" t="n">
        <v>8.720000000000001</v>
      </c>
      <c r="V1706" s="14" t="n">
        <v>4.13</v>
      </c>
      <c r="W1706" s="14" t="n">
        <v>2.91</v>
      </c>
      <c r="X1706" s="14" t="n">
        <v>0.31</v>
      </c>
      <c r="Y1706" s="14" t="n">
        <v>1.38</v>
      </c>
      <c r="Z1706" s="14" t="n">
        <v>1.07</v>
      </c>
      <c r="AA1706" s="14" t="n">
        <v>0</v>
      </c>
    </row>
    <row r="1707">
      <c r="A1707" t="inlineStr">
        <is>
          <t>081203</t>
        </is>
      </c>
      <c r="B1707" t="inlineStr">
        <is>
          <t>CUSCO</t>
        </is>
      </c>
      <c r="C1707" t="inlineStr">
        <is>
          <t>QUISPICANCHI</t>
        </is>
      </c>
      <c r="D1707" t="inlineStr">
        <is>
          <t>CAMANTI</t>
        </is>
      </c>
      <c r="E1707" t="n">
        <v>928</v>
      </c>
      <c r="F1707" s="14" t="n">
        <v>0</v>
      </c>
      <c r="G1707" s="14" t="n">
        <v>38.15</v>
      </c>
      <c r="H1707" s="14" t="n">
        <v>0.43</v>
      </c>
      <c r="I1707" s="14" t="n">
        <v>2.69</v>
      </c>
      <c r="J1707" s="14" t="n">
        <v>0.11</v>
      </c>
      <c r="K1707" s="14" t="n">
        <v>0</v>
      </c>
      <c r="L1707" s="14" t="n">
        <v>9.380000000000001</v>
      </c>
      <c r="M1707" s="14" t="n">
        <v>14.22</v>
      </c>
      <c r="N1707" s="14" t="n">
        <v>5.71</v>
      </c>
      <c r="O1707" s="14" t="n">
        <v>9.91</v>
      </c>
      <c r="P1707" s="14" t="n">
        <v>0.32</v>
      </c>
      <c r="Q1707" s="14" t="n">
        <v>0.43</v>
      </c>
      <c r="R1707" s="14" t="n">
        <v>0</v>
      </c>
      <c r="S1707" s="14" t="n">
        <v>2.59</v>
      </c>
      <c r="T1707" s="14" t="n">
        <v>0.97</v>
      </c>
      <c r="U1707" s="14" t="n">
        <v>7.54</v>
      </c>
      <c r="V1707" s="14" t="n">
        <v>3.13</v>
      </c>
      <c r="W1707" s="14" t="n">
        <v>0.65</v>
      </c>
      <c r="X1707" s="14" t="n">
        <v>0.22</v>
      </c>
      <c r="Y1707" s="14" t="n">
        <v>3.45</v>
      </c>
      <c r="Z1707" s="14" t="n">
        <v>0.11</v>
      </c>
      <c r="AA1707" s="14" t="n">
        <v>0</v>
      </c>
    </row>
    <row r="1708">
      <c r="A1708" t="inlineStr">
        <is>
          <t>040515</t>
        </is>
      </c>
      <c r="B1708" t="inlineStr">
        <is>
          <t>AREQUIPA</t>
        </is>
      </c>
      <c r="C1708" t="inlineStr">
        <is>
          <t>CAYLLOMA</t>
        </is>
      </c>
      <c r="D1708" t="inlineStr">
        <is>
          <t>SIBAYO</t>
        </is>
      </c>
      <c r="E1708" t="n">
        <v>274</v>
      </c>
      <c r="F1708" s="14" t="n">
        <v>0</v>
      </c>
      <c r="G1708" s="14" t="n">
        <v>33.94</v>
      </c>
      <c r="H1708" s="14" t="n">
        <v>3.65</v>
      </c>
      <c r="I1708" s="14" t="n">
        <v>4.38</v>
      </c>
      <c r="J1708" s="14" t="n">
        <v>0</v>
      </c>
      <c r="K1708" s="14" t="n">
        <v>0</v>
      </c>
      <c r="L1708" s="14" t="n">
        <v>11.31</v>
      </c>
      <c r="M1708" s="14" t="n">
        <v>13.5</v>
      </c>
      <c r="N1708" s="14" t="n">
        <v>5.84</v>
      </c>
      <c r="O1708" s="14" t="n">
        <v>7.66</v>
      </c>
      <c r="P1708" s="14" t="n">
        <v>0</v>
      </c>
      <c r="Q1708" s="14" t="n">
        <v>0</v>
      </c>
      <c r="R1708" s="14" t="n">
        <v>0</v>
      </c>
      <c r="S1708" s="14" t="n">
        <v>2.55</v>
      </c>
      <c r="T1708" s="14" t="n">
        <v>2.92</v>
      </c>
      <c r="U1708" s="14" t="n">
        <v>7.3</v>
      </c>
      <c r="V1708" s="14" t="n">
        <v>4.01</v>
      </c>
      <c r="W1708" s="14" t="n">
        <v>0.73</v>
      </c>
      <c r="X1708" s="14" t="n">
        <v>1.09</v>
      </c>
      <c r="Y1708" s="14" t="n">
        <v>1.09</v>
      </c>
      <c r="Z1708" s="14" t="n">
        <v>0</v>
      </c>
      <c r="AA1708" s="14" t="n">
        <v>0</v>
      </c>
    </row>
    <row r="1709">
      <c r="A1709" t="inlineStr">
        <is>
          <t>081008</t>
        </is>
      </c>
      <c r="B1709" t="inlineStr">
        <is>
          <t>CUSCO</t>
        </is>
      </c>
      <c r="C1709" t="inlineStr">
        <is>
          <t>PARURO</t>
        </is>
      </c>
      <c r="D1709" t="inlineStr">
        <is>
          <t>PILLPINTO</t>
        </is>
      </c>
      <c r="E1709" t="n">
        <v>400</v>
      </c>
      <c r="F1709" s="14" t="n">
        <v>0</v>
      </c>
      <c r="G1709" s="14" t="n">
        <v>57.25</v>
      </c>
      <c r="H1709" s="14" t="n">
        <v>0.25</v>
      </c>
      <c r="I1709" s="14" t="n">
        <v>0</v>
      </c>
      <c r="J1709" s="14" t="n">
        <v>0</v>
      </c>
      <c r="K1709" s="14" t="n">
        <v>0.25</v>
      </c>
      <c r="L1709" s="14" t="n">
        <v>8.5</v>
      </c>
      <c r="M1709" s="14" t="n">
        <v>11.5</v>
      </c>
      <c r="N1709" s="14" t="n">
        <v>4.25</v>
      </c>
      <c r="O1709" s="14" t="n">
        <v>1.75</v>
      </c>
      <c r="P1709" s="14" t="n">
        <v>0</v>
      </c>
      <c r="Q1709" s="14" t="n">
        <v>0</v>
      </c>
      <c r="R1709" s="14" t="n">
        <v>0</v>
      </c>
      <c r="S1709" s="14" t="n">
        <v>1.5</v>
      </c>
      <c r="T1709" s="14" t="n">
        <v>0.75</v>
      </c>
      <c r="U1709" s="14" t="n">
        <v>5</v>
      </c>
      <c r="V1709" s="14" t="n">
        <v>5.75</v>
      </c>
      <c r="W1709" s="14" t="n">
        <v>1.5</v>
      </c>
      <c r="X1709" s="14" t="n">
        <v>0</v>
      </c>
      <c r="Y1709" s="14" t="n">
        <v>1.25</v>
      </c>
      <c r="Z1709" s="14" t="n">
        <v>0.5</v>
      </c>
      <c r="AA1709" s="14" t="n">
        <v>0</v>
      </c>
    </row>
    <row r="1710">
      <c r="A1710" t="inlineStr">
        <is>
          <t>030210</t>
        </is>
      </c>
      <c r="B1710" t="inlineStr">
        <is>
          <t>APURIMAC</t>
        </is>
      </c>
      <c r="C1710" t="inlineStr">
        <is>
          <t>ANDAHUAYLAS</t>
        </is>
      </c>
      <c r="D1710" t="inlineStr">
        <is>
          <t>PAMPACHIRI</t>
        </is>
      </c>
      <c r="E1710" t="n">
        <v>528</v>
      </c>
      <c r="F1710" s="14" t="n">
        <v>0</v>
      </c>
      <c r="G1710" s="14" t="n">
        <v>69.13</v>
      </c>
      <c r="H1710" s="14" t="n">
        <v>0.38</v>
      </c>
      <c r="I1710" s="14" t="n">
        <v>0.57</v>
      </c>
      <c r="J1710" s="14" t="n">
        <v>0</v>
      </c>
      <c r="K1710" s="14" t="n">
        <v>0</v>
      </c>
      <c r="L1710" s="14" t="n">
        <v>4.36</v>
      </c>
      <c r="M1710" s="14" t="n">
        <v>5.3</v>
      </c>
      <c r="N1710" s="14" t="n">
        <v>0.95</v>
      </c>
      <c r="O1710" s="14" t="n">
        <v>4.17</v>
      </c>
      <c r="P1710" s="14" t="n">
        <v>0</v>
      </c>
      <c r="Q1710" s="14" t="n">
        <v>0</v>
      </c>
      <c r="R1710" s="14" t="n">
        <v>0</v>
      </c>
      <c r="S1710" s="14" t="n">
        <v>1.33</v>
      </c>
      <c r="T1710" s="14" t="n">
        <v>0.38</v>
      </c>
      <c r="U1710" s="14" t="n">
        <v>3.79</v>
      </c>
      <c r="V1710" s="14" t="n">
        <v>4.17</v>
      </c>
      <c r="W1710" s="14" t="n">
        <v>3.79</v>
      </c>
      <c r="X1710" s="14" t="n">
        <v>0</v>
      </c>
      <c r="Y1710" s="14" t="n">
        <v>1.33</v>
      </c>
      <c r="Z1710" s="14" t="n">
        <v>0.38</v>
      </c>
      <c r="AA1710" s="14" t="n">
        <v>0</v>
      </c>
    </row>
    <row r="1711">
      <c r="A1711" t="inlineStr">
        <is>
          <t>021010</t>
        </is>
      </c>
      <c r="B1711" t="inlineStr">
        <is>
          <t>ANCASH</t>
        </is>
      </c>
      <c r="C1711" t="inlineStr">
        <is>
          <t>HUARI</t>
        </is>
      </c>
      <c r="D1711" t="inlineStr">
        <is>
          <t>PAUCAS</t>
        </is>
      </c>
      <c r="E1711" t="n">
        <v>390</v>
      </c>
      <c r="F1711" s="14" t="n">
        <v>0</v>
      </c>
      <c r="G1711" s="14" t="n">
        <v>48.72</v>
      </c>
      <c r="H1711" s="14" t="n">
        <v>0.26</v>
      </c>
      <c r="I1711" s="14" t="n">
        <v>0.77</v>
      </c>
      <c r="J1711" s="14" t="n">
        <v>0</v>
      </c>
      <c r="K1711" s="14" t="n">
        <v>0.26</v>
      </c>
      <c r="L1711" s="14" t="n">
        <v>19.49</v>
      </c>
      <c r="M1711" s="14" t="n">
        <v>2.56</v>
      </c>
      <c r="N1711" s="14" t="n">
        <v>0.77</v>
      </c>
      <c r="O1711" s="14" t="n">
        <v>1.03</v>
      </c>
      <c r="P1711" s="14" t="n">
        <v>0</v>
      </c>
      <c r="Q1711" s="14" t="n">
        <v>0</v>
      </c>
      <c r="R1711" s="14" t="n">
        <v>0</v>
      </c>
      <c r="S1711" s="14" t="n">
        <v>0.26</v>
      </c>
      <c r="T1711" s="14" t="n">
        <v>0.51</v>
      </c>
      <c r="U1711" s="14" t="n">
        <v>15.13</v>
      </c>
      <c r="V1711" s="14" t="n">
        <v>8.210000000000001</v>
      </c>
      <c r="W1711" s="14" t="n">
        <v>0.51</v>
      </c>
      <c r="X1711" s="14" t="n">
        <v>0</v>
      </c>
      <c r="Y1711" s="14" t="n">
        <v>1.54</v>
      </c>
      <c r="Z1711" s="14" t="n">
        <v>0</v>
      </c>
      <c r="AA1711" s="14" t="n">
        <v>0</v>
      </c>
    </row>
    <row r="1712">
      <c r="A1712" t="inlineStr">
        <is>
          <t>021410</t>
        </is>
      </c>
      <c r="B1712" t="inlineStr">
        <is>
          <t>ANCASH</t>
        </is>
      </c>
      <c r="C1712" t="inlineStr">
        <is>
          <t>OCROS</t>
        </is>
      </c>
      <c r="D1712" t="inlineStr">
        <is>
          <t>SANTIAGO DE CHILCAS</t>
        </is>
      </c>
      <c r="E1712" t="n">
        <v>203</v>
      </c>
      <c r="F1712" s="14" t="n">
        <v>0</v>
      </c>
      <c r="G1712" s="14" t="n">
        <v>41.87</v>
      </c>
      <c r="H1712" s="14" t="n">
        <v>34.98</v>
      </c>
      <c r="I1712" s="14" t="n">
        <v>0.49</v>
      </c>
      <c r="J1712" s="14" t="n">
        <v>0</v>
      </c>
      <c r="K1712" s="14" t="n">
        <v>0</v>
      </c>
      <c r="L1712" s="14" t="n">
        <v>1.97</v>
      </c>
      <c r="M1712" s="14" t="n">
        <v>5.91</v>
      </c>
      <c r="N1712" s="14" t="n">
        <v>0.99</v>
      </c>
      <c r="O1712" s="14" t="n">
        <v>2.96</v>
      </c>
      <c r="P1712" s="14" t="n">
        <v>0</v>
      </c>
      <c r="Q1712" s="14" t="n">
        <v>0</v>
      </c>
      <c r="R1712" s="14" t="n">
        <v>0</v>
      </c>
      <c r="S1712" s="14" t="n">
        <v>1.48</v>
      </c>
      <c r="T1712" s="14" t="n">
        <v>0</v>
      </c>
      <c r="U1712" s="14" t="n">
        <v>3.45</v>
      </c>
      <c r="V1712" s="14" t="n">
        <v>4.93</v>
      </c>
      <c r="W1712" s="14" t="n">
        <v>0.49</v>
      </c>
      <c r="X1712" s="14" t="n">
        <v>0</v>
      </c>
      <c r="Y1712" s="14" t="n">
        <v>0.49</v>
      </c>
      <c r="Z1712" s="14" t="n">
        <v>0</v>
      </c>
      <c r="AA1712" s="14" t="n">
        <v>0</v>
      </c>
    </row>
    <row r="1713">
      <c r="A1713" t="inlineStr">
        <is>
          <t>050413</t>
        </is>
      </c>
      <c r="B1713" t="inlineStr">
        <is>
          <t>AYACUCHO</t>
        </is>
      </c>
      <c r="C1713" t="inlineStr">
        <is>
          <t>HUANTA</t>
        </is>
      </c>
      <c r="D1713" t="inlineStr">
        <is>
          <t>PUTIS</t>
        </is>
      </c>
      <c r="E1713" t="n">
        <v>0</v>
      </c>
      <c r="F1713" s="14" t="n">
        <v>0</v>
      </c>
      <c r="G1713" s="14" t="n">
        <v>76.01000000000001</v>
      </c>
      <c r="H1713" s="14" t="n">
        <v>0</v>
      </c>
      <c r="I1713" s="14" t="n">
        <v>1.17</v>
      </c>
      <c r="J1713" s="14" t="n">
        <v>0</v>
      </c>
      <c r="K1713" s="14" t="n">
        <v>0</v>
      </c>
      <c r="L1713" s="14" t="n">
        <v>2.3</v>
      </c>
      <c r="M1713" s="14" t="n">
        <v>7.34</v>
      </c>
      <c r="N1713" s="14" t="n">
        <v>1.92</v>
      </c>
      <c r="O1713" s="14" t="n">
        <v>2.21</v>
      </c>
      <c r="P1713" s="14" t="n">
        <v>0.1</v>
      </c>
      <c r="Q1713" s="14" t="n">
        <v>0.11</v>
      </c>
      <c r="R1713" s="14" t="n">
        <v>0</v>
      </c>
      <c r="S1713" s="14" t="n">
        <v>0.61</v>
      </c>
      <c r="T1713" s="14" t="n">
        <v>0.66</v>
      </c>
      <c r="U1713" s="14" t="n">
        <v>2.51</v>
      </c>
      <c r="V1713" s="14" t="n">
        <v>2.63</v>
      </c>
      <c r="W1713" s="14" t="n">
        <v>1.17</v>
      </c>
      <c r="X1713" s="14" t="n">
        <v>0.08</v>
      </c>
      <c r="Y1713" s="14" t="n">
        <v>0.84</v>
      </c>
      <c r="Z1713" s="14" t="n">
        <v>0.33</v>
      </c>
      <c r="AA1713" s="14" t="n">
        <v>0</v>
      </c>
    </row>
    <row r="1714">
      <c r="A1714" t="inlineStr">
        <is>
          <t>050515</t>
        </is>
      </c>
      <c r="B1714" t="inlineStr">
        <is>
          <t>AYACUCHO</t>
        </is>
      </c>
      <c r="C1714" t="inlineStr">
        <is>
          <t>LA MAR</t>
        </is>
      </c>
      <c r="D1714" t="inlineStr">
        <is>
          <t>PATIBAMBA</t>
        </is>
      </c>
      <c r="E1714" t="n">
        <v>0</v>
      </c>
      <c r="F1714" s="14" t="n">
        <v>0</v>
      </c>
      <c r="G1714" s="14" t="n">
        <v>74.94</v>
      </c>
      <c r="H1714" s="14" t="n">
        <v>0</v>
      </c>
      <c r="I1714" s="14" t="n">
        <v>1.04</v>
      </c>
      <c r="J1714" s="14" t="n">
        <v>0</v>
      </c>
      <c r="K1714" s="14" t="n">
        <v>0</v>
      </c>
      <c r="L1714" s="14" t="n">
        <v>2.95</v>
      </c>
      <c r="M1714" s="14" t="n">
        <v>8.279999999999999</v>
      </c>
      <c r="N1714" s="14" t="n">
        <v>1.08</v>
      </c>
      <c r="O1714" s="14" t="n">
        <v>2.19</v>
      </c>
      <c r="P1714" s="14" t="n">
        <v>0.07000000000000001</v>
      </c>
      <c r="Q1714" s="14" t="n">
        <v>0.06</v>
      </c>
      <c r="R1714" s="14" t="n">
        <v>0</v>
      </c>
      <c r="S1714" s="14" t="n">
        <v>0.65</v>
      </c>
      <c r="T1714" s="14" t="n">
        <v>0.33</v>
      </c>
      <c r="U1714" s="14" t="n">
        <v>2.23</v>
      </c>
      <c r="V1714" s="14" t="n">
        <v>4.07</v>
      </c>
      <c r="W1714" s="14" t="n">
        <v>0.97</v>
      </c>
      <c r="X1714" s="14" t="n">
        <v>0.02</v>
      </c>
      <c r="Y1714" s="14" t="n">
        <v>0.78</v>
      </c>
      <c r="Z1714" s="14" t="n">
        <v>0.32</v>
      </c>
      <c r="AA1714" s="14" t="n">
        <v>0</v>
      </c>
    </row>
    <row r="1715">
      <c r="A1715" t="inlineStr">
        <is>
          <t>080107</t>
        </is>
      </c>
      <c r="B1715" t="inlineStr">
        <is>
          <t>CUSCO</t>
        </is>
      </c>
      <c r="C1715" t="inlineStr">
        <is>
          <t>CUSCO</t>
        </is>
      </c>
      <c r="D1715" t="inlineStr">
        <is>
          <t>SAYLLA</t>
        </is>
      </c>
      <c r="E1715" t="n">
        <v>2056</v>
      </c>
      <c r="F1715" s="14" t="n">
        <v>0</v>
      </c>
      <c r="G1715" s="14" t="n">
        <v>10.99</v>
      </c>
      <c r="H1715" s="14" t="n">
        <v>0.19</v>
      </c>
      <c r="I1715" s="14" t="n">
        <v>7.1</v>
      </c>
      <c r="J1715" s="14" t="n">
        <v>0</v>
      </c>
      <c r="K1715" s="14" t="n">
        <v>0.19</v>
      </c>
      <c r="L1715" s="14" t="n">
        <v>16.73</v>
      </c>
      <c r="M1715" s="14" t="n">
        <v>22.42</v>
      </c>
      <c r="N1715" s="14" t="n">
        <v>13.23</v>
      </c>
      <c r="O1715" s="14" t="n">
        <v>12.16</v>
      </c>
      <c r="P1715" s="14" t="n">
        <v>0.1</v>
      </c>
      <c r="Q1715" s="14" t="n">
        <v>0.24</v>
      </c>
      <c r="R1715" s="14" t="n">
        <v>0.1</v>
      </c>
      <c r="S1715" s="14" t="n">
        <v>2.58</v>
      </c>
      <c r="T1715" s="14" t="n">
        <v>2.58</v>
      </c>
      <c r="U1715" s="14" t="n">
        <v>3.26</v>
      </c>
      <c r="V1715" s="14" t="n">
        <v>3.4</v>
      </c>
      <c r="W1715" s="14" t="n">
        <v>1.26</v>
      </c>
      <c r="X1715" s="14" t="n">
        <v>0.49</v>
      </c>
      <c r="Y1715" s="14" t="n">
        <v>2.29</v>
      </c>
      <c r="Z1715" s="14" t="n">
        <v>0.68</v>
      </c>
      <c r="AA1715" s="14" t="n">
        <v>0</v>
      </c>
    </row>
    <row r="1716">
      <c r="A1716" t="inlineStr">
        <is>
          <t>040118</t>
        </is>
      </c>
      <c r="B1716" t="inlineStr">
        <is>
          <t>AREQUIPA</t>
        </is>
      </c>
      <c r="C1716" t="inlineStr">
        <is>
          <t>AREQUIPA</t>
        </is>
      </c>
      <c r="D1716" t="inlineStr">
        <is>
          <t>SAN JUAN DE SIGUAS</t>
        </is>
      </c>
      <c r="E1716" t="n">
        <v>297</v>
      </c>
      <c r="F1716" s="14" t="n">
        <v>0</v>
      </c>
      <c r="G1716" s="14" t="n">
        <v>26.94</v>
      </c>
      <c r="H1716" s="14" t="n">
        <v>0</v>
      </c>
      <c r="I1716" s="14" t="n">
        <v>1.35</v>
      </c>
      <c r="J1716" s="14" t="n">
        <v>0.34</v>
      </c>
      <c r="K1716" s="14" t="n">
        <v>0.34</v>
      </c>
      <c r="L1716" s="14" t="n">
        <v>12.79</v>
      </c>
      <c r="M1716" s="14" t="n">
        <v>17.17</v>
      </c>
      <c r="N1716" s="14" t="n">
        <v>7.41</v>
      </c>
      <c r="O1716" s="14" t="n">
        <v>16.5</v>
      </c>
      <c r="P1716" s="14" t="n">
        <v>0</v>
      </c>
      <c r="Q1716" s="14" t="n">
        <v>0</v>
      </c>
      <c r="R1716" s="14" t="n">
        <v>0</v>
      </c>
      <c r="S1716" s="14" t="n">
        <v>1.68</v>
      </c>
      <c r="T1716" s="14" t="n">
        <v>2.69</v>
      </c>
      <c r="U1716" s="14" t="n">
        <v>8.42</v>
      </c>
      <c r="V1716" s="14" t="n">
        <v>1.35</v>
      </c>
      <c r="W1716" s="14" t="n">
        <v>1.35</v>
      </c>
      <c r="X1716" s="14" t="n">
        <v>0</v>
      </c>
      <c r="Y1716" s="14" t="n">
        <v>1.35</v>
      </c>
      <c r="Z1716" s="14" t="n">
        <v>0.34</v>
      </c>
      <c r="AA1716" s="14" t="n">
        <v>0</v>
      </c>
    </row>
    <row r="1717">
      <c r="A1717" t="inlineStr">
        <is>
          <t>040204</t>
        </is>
      </c>
      <c r="B1717" t="inlineStr">
        <is>
          <t>AREQUIPA</t>
        </is>
      </c>
      <c r="C1717" t="inlineStr">
        <is>
          <t>CAMANA</t>
        </is>
      </c>
      <c r="D1717" t="inlineStr">
        <is>
          <t>MARISCAL CACERES</t>
        </is>
      </c>
      <c r="E1717" t="n">
        <v>2626</v>
      </c>
      <c r="F1717" s="14" t="n">
        <v>0</v>
      </c>
      <c r="G1717" s="14" t="n">
        <v>47.37</v>
      </c>
      <c r="H1717" s="14" t="n">
        <v>0.95</v>
      </c>
      <c r="I1717" s="14" t="n">
        <v>9.33</v>
      </c>
      <c r="J1717" s="14" t="n">
        <v>0.04</v>
      </c>
      <c r="K1717" s="14" t="n">
        <v>0.08</v>
      </c>
      <c r="L1717" s="14" t="n">
        <v>5.37</v>
      </c>
      <c r="M1717" s="14" t="n">
        <v>11.65</v>
      </c>
      <c r="N1717" s="14" t="n">
        <v>6.28</v>
      </c>
      <c r="O1717" s="14" t="n">
        <v>4.49</v>
      </c>
      <c r="P1717" s="14" t="n">
        <v>0.19</v>
      </c>
      <c r="Q1717" s="14" t="n">
        <v>0.42</v>
      </c>
      <c r="R1717" s="14" t="n">
        <v>0.04</v>
      </c>
      <c r="S1717" s="14" t="n">
        <v>2.06</v>
      </c>
      <c r="T1717" s="14" t="n">
        <v>1.29</v>
      </c>
      <c r="U1717" s="14" t="n">
        <v>3.58</v>
      </c>
      <c r="V1717" s="14" t="n">
        <v>2.97</v>
      </c>
      <c r="W1717" s="14" t="n">
        <v>1.1</v>
      </c>
      <c r="X1717" s="14" t="n">
        <v>0.23</v>
      </c>
      <c r="Y1717" s="14" t="n">
        <v>1.75</v>
      </c>
      <c r="Z1717" s="14" t="n">
        <v>0.8</v>
      </c>
      <c r="AA1717" s="14" t="n">
        <v>0</v>
      </c>
    </row>
    <row r="1718">
      <c r="A1718" t="inlineStr">
        <is>
          <t>010113</t>
        </is>
      </c>
      <c r="B1718" t="inlineStr">
        <is>
          <t>AMAZONAS</t>
        </is>
      </c>
      <c r="C1718" t="inlineStr">
        <is>
          <t>CHACHAPOYAS</t>
        </is>
      </c>
      <c r="D1718" t="inlineStr">
        <is>
          <t>MARISCAL CASTILLA</t>
        </is>
      </c>
      <c r="E1718" t="n">
        <v>464</v>
      </c>
      <c r="F1718" s="14" t="n">
        <v>0</v>
      </c>
      <c r="G1718" s="14" t="n">
        <v>47.63</v>
      </c>
      <c r="H1718" s="14" t="n">
        <v>0</v>
      </c>
      <c r="I1718" s="14" t="n">
        <v>3.23</v>
      </c>
      <c r="J1718" s="14" t="n">
        <v>0.22</v>
      </c>
      <c r="K1718" s="14" t="n">
        <v>0</v>
      </c>
      <c r="L1718" s="14" t="n">
        <v>3.45</v>
      </c>
      <c r="M1718" s="14" t="n">
        <v>11.21</v>
      </c>
      <c r="N1718" s="14" t="n">
        <v>4.96</v>
      </c>
      <c r="O1718" s="14" t="n">
        <v>5.82</v>
      </c>
      <c r="P1718" s="14" t="n">
        <v>0</v>
      </c>
      <c r="Q1718" s="14" t="n">
        <v>0.22</v>
      </c>
      <c r="R1718" s="14" t="n">
        <v>0</v>
      </c>
      <c r="S1718" s="14" t="n">
        <v>1.08</v>
      </c>
      <c r="T1718" s="14" t="n">
        <v>0.43</v>
      </c>
      <c r="U1718" s="14" t="n">
        <v>4.74</v>
      </c>
      <c r="V1718" s="14" t="n">
        <v>9.48</v>
      </c>
      <c r="W1718" s="14" t="n">
        <v>2.16</v>
      </c>
      <c r="X1718" s="14" t="n">
        <v>0</v>
      </c>
      <c r="Y1718" s="14" t="n">
        <v>0.86</v>
      </c>
      <c r="Z1718" s="14" t="n">
        <v>4.53</v>
      </c>
      <c r="AA1718" s="14" t="n">
        <v>0</v>
      </c>
    </row>
    <row r="1719">
      <c r="A1719" t="inlineStr">
        <is>
          <t>021705</t>
        </is>
      </c>
      <c r="B1719" t="inlineStr">
        <is>
          <t>ANCASH</t>
        </is>
      </c>
      <c r="C1719" t="inlineStr">
        <is>
          <t>RECUAY</t>
        </is>
      </c>
      <c r="D1719" t="inlineStr">
        <is>
          <t>LLACLLIN</t>
        </is>
      </c>
      <c r="E1719" t="n">
        <v>323</v>
      </c>
      <c r="F1719" s="14" t="n">
        <v>0</v>
      </c>
      <c r="G1719" s="14" t="n">
        <v>47.99</v>
      </c>
      <c r="H1719" s="14" t="n">
        <v>3.1</v>
      </c>
      <c r="I1719" s="14" t="n">
        <v>0.62</v>
      </c>
      <c r="J1719" s="14" t="n">
        <v>0</v>
      </c>
      <c r="K1719" s="14" t="n">
        <v>0</v>
      </c>
      <c r="L1719" s="14" t="n">
        <v>5.88</v>
      </c>
      <c r="M1719" s="14" t="n">
        <v>15.79</v>
      </c>
      <c r="N1719" s="14" t="n">
        <v>3.1</v>
      </c>
      <c r="O1719" s="14" t="n">
        <v>2.48</v>
      </c>
      <c r="P1719" s="14" t="n">
        <v>0</v>
      </c>
      <c r="Q1719" s="14" t="n">
        <v>0</v>
      </c>
      <c r="R1719" s="14" t="n">
        <v>0</v>
      </c>
      <c r="S1719" s="14" t="n">
        <v>3.72</v>
      </c>
      <c r="T1719" s="14" t="n">
        <v>0</v>
      </c>
      <c r="U1719" s="14" t="n">
        <v>6.19</v>
      </c>
      <c r="V1719" s="14" t="n">
        <v>8.050000000000001</v>
      </c>
      <c r="W1719" s="14" t="n">
        <v>1.86</v>
      </c>
      <c r="X1719" s="14" t="n">
        <v>0</v>
      </c>
      <c r="Y1719" s="14" t="n">
        <v>0.93</v>
      </c>
      <c r="Z1719" s="14" t="n">
        <v>0.31</v>
      </c>
      <c r="AA1719" s="14" t="n">
        <v>0</v>
      </c>
    </row>
    <row r="1720">
      <c r="A1720" t="inlineStr">
        <is>
          <t>020505</t>
        </is>
      </c>
      <c r="B1720" t="inlineStr">
        <is>
          <t>ANCASH</t>
        </is>
      </c>
      <c r="C1720" t="inlineStr">
        <is>
          <t>BOLOGNESI</t>
        </is>
      </c>
      <c r="D1720" t="inlineStr">
        <is>
          <t>CAJACAY</t>
        </is>
      </c>
      <c r="E1720" t="n">
        <v>734</v>
      </c>
      <c r="F1720" s="14" t="n">
        <v>0</v>
      </c>
      <c r="G1720" s="14" t="n">
        <v>56.81</v>
      </c>
      <c r="H1720" s="14" t="n">
        <v>0.27</v>
      </c>
      <c r="I1720" s="14" t="n">
        <v>1.91</v>
      </c>
      <c r="J1720" s="14" t="n">
        <v>0</v>
      </c>
      <c r="K1720" s="14" t="n">
        <v>0.41</v>
      </c>
      <c r="L1720" s="14" t="n">
        <v>15.12</v>
      </c>
      <c r="M1720" s="14" t="n">
        <v>5.99</v>
      </c>
      <c r="N1720" s="14" t="n">
        <v>4.09</v>
      </c>
      <c r="O1720" s="14" t="n">
        <v>3.95</v>
      </c>
      <c r="P1720" s="14" t="n">
        <v>0.14</v>
      </c>
      <c r="Q1720" s="14" t="n">
        <v>0</v>
      </c>
      <c r="R1720" s="14" t="n">
        <v>0</v>
      </c>
      <c r="S1720" s="14" t="n">
        <v>1.63</v>
      </c>
      <c r="T1720" s="14" t="n">
        <v>1.09</v>
      </c>
      <c r="U1720" s="14" t="n">
        <v>2.04</v>
      </c>
      <c r="V1720" s="14" t="n">
        <v>2.72</v>
      </c>
      <c r="W1720" s="14" t="n">
        <v>1.23</v>
      </c>
      <c r="X1720" s="14" t="n">
        <v>0.14</v>
      </c>
      <c r="Y1720" s="14" t="n">
        <v>1.23</v>
      </c>
      <c r="Z1720" s="14" t="n">
        <v>1.23</v>
      </c>
      <c r="AA1720" s="14" t="n">
        <v>0</v>
      </c>
    </row>
    <row r="1721">
      <c r="A1721" t="inlineStr">
        <is>
          <t>090107</t>
        </is>
      </c>
      <c r="B1721" t="inlineStr">
        <is>
          <t>HUANCAVELICA</t>
        </is>
      </c>
      <c r="C1721" t="inlineStr">
        <is>
          <t>HUANCAVELICA</t>
        </is>
      </c>
      <c r="D1721" t="inlineStr">
        <is>
          <t>HUAYLLAHUARA</t>
        </is>
      </c>
      <c r="E1721" t="n">
        <v>123</v>
      </c>
      <c r="F1721" s="14" t="n">
        <v>0</v>
      </c>
      <c r="G1721" s="14" t="n">
        <v>65.84999999999999</v>
      </c>
      <c r="H1721" s="14" t="n">
        <v>0</v>
      </c>
      <c r="I1721" s="14" t="n">
        <v>1.63</v>
      </c>
      <c r="J1721" s="14" t="n">
        <v>0</v>
      </c>
      <c r="K1721" s="14" t="n">
        <v>0</v>
      </c>
      <c r="L1721" s="14" t="n">
        <v>7.32</v>
      </c>
      <c r="M1721" s="14" t="n">
        <v>7.32</v>
      </c>
      <c r="N1721" s="14" t="n">
        <v>0</v>
      </c>
      <c r="O1721" s="14" t="n">
        <v>1.63</v>
      </c>
      <c r="P1721" s="14" t="n">
        <v>0</v>
      </c>
      <c r="Q1721" s="14" t="n">
        <v>0</v>
      </c>
      <c r="R1721" s="14" t="n">
        <v>0</v>
      </c>
      <c r="S1721" s="14" t="n">
        <v>1.63</v>
      </c>
      <c r="T1721" s="14" t="n">
        <v>0.8100000000000001</v>
      </c>
      <c r="U1721" s="14" t="n">
        <v>5.69</v>
      </c>
      <c r="V1721" s="14" t="n">
        <v>4.88</v>
      </c>
      <c r="W1721" s="14" t="n">
        <v>2.44</v>
      </c>
      <c r="X1721" s="14" t="n">
        <v>0</v>
      </c>
      <c r="Y1721" s="14" t="n">
        <v>0.8100000000000001</v>
      </c>
      <c r="Z1721" s="14" t="n">
        <v>0</v>
      </c>
      <c r="AA1721" s="14" t="n">
        <v>0</v>
      </c>
    </row>
    <row r="1722">
      <c r="A1722" t="inlineStr">
        <is>
          <t>020605</t>
        </is>
      </c>
      <c r="B1722" t="inlineStr">
        <is>
          <t>ANCASH</t>
        </is>
      </c>
      <c r="C1722" t="inlineStr">
        <is>
          <t>CARHUAZ</t>
        </is>
      </c>
      <c r="D1722" t="inlineStr">
        <is>
          <t>ATAQUERO</t>
        </is>
      </c>
      <c r="E1722" t="n">
        <v>677</v>
      </c>
      <c r="F1722" s="14" t="n">
        <v>0</v>
      </c>
      <c r="G1722" s="14" t="n">
        <v>90.40000000000001</v>
      </c>
      <c r="H1722" s="14" t="n">
        <v>0</v>
      </c>
      <c r="I1722" s="14" t="n">
        <v>1.03</v>
      </c>
      <c r="J1722" s="14" t="n">
        <v>0</v>
      </c>
      <c r="K1722" s="14" t="n">
        <v>0</v>
      </c>
      <c r="L1722" s="14" t="n">
        <v>0.89</v>
      </c>
      <c r="M1722" s="14" t="n">
        <v>2.07</v>
      </c>
      <c r="N1722" s="14" t="n">
        <v>1.03</v>
      </c>
      <c r="O1722" s="14" t="n">
        <v>0.15</v>
      </c>
      <c r="P1722" s="14" t="n">
        <v>0.15</v>
      </c>
      <c r="Q1722" s="14" t="n">
        <v>0.15</v>
      </c>
      <c r="R1722" s="14" t="n">
        <v>0</v>
      </c>
      <c r="S1722" s="14" t="n">
        <v>0.44</v>
      </c>
      <c r="T1722" s="14" t="n">
        <v>0.15</v>
      </c>
      <c r="U1722" s="14" t="n">
        <v>0.74</v>
      </c>
      <c r="V1722" s="14" t="n">
        <v>1.18</v>
      </c>
      <c r="W1722" s="14" t="n">
        <v>0.44</v>
      </c>
      <c r="X1722" s="14" t="n">
        <v>0.44</v>
      </c>
      <c r="Y1722" s="14" t="n">
        <v>0.3</v>
      </c>
      <c r="Z1722" s="14" t="n">
        <v>0.44</v>
      </c>
      <c r="AA1722" s="14" t="n">
        <v>0</v>
      </c>
    </row>
    <row r="1723">
      <c r="A1723" t="inlineStr">
        <is>
          <t>021802</t>
        </is>
      </c>
      <c r="B1723" t="inlineStr">
        <is>
          <t>ANCASH</t>
        </is>
      </c>
      <c r="C1723" t="inlineStr">
        <is>
          <t>SANTA</t>
        </is>
      </c>
      <c r="D1723" t="inlineStr">
        <is>
          <t>CACERES DEL PERU</t>
        </is>
      </c>
      <c r="E1723" t="n">
        <v>1423</v>
      </c>
      <c r="F1723" s="14" t="n">
        <v>0</v>
      </c>
      <c r="G1723" s="14" t="n">
        <v>75.76000000000001</v>
      </c>
      <c r="H1723" s="14" t="n">
        <v>2.32</v>
      </c>
      <c r="I1723" s="14" t="n">
        <v>2.04</v>
      </c>
      <c r="J1723" s="14" t="n">
        <v>0.07000000000000001</v>
      </c>
      <c r="K1723" s="14" t="n">
        <v>0.07000000000000001</v>
      </c>
      <c r="L1723" s="14" t="n">
        <v>1.19</v>
      </c>
      <c r="M1723" s="14" t="n">
        <v>4.99</v>
      </c>
      <c r="N1723" s="14" t="n">
        <v>1.41</v>
      </c>
      <c r="O1723" s="14" t="n">
        <v>3.16</v>
      </c>
      <c r="P1723" s="14" t="n">
        <v>0.28</v>
      </c>
      <c r="Q1723" s="14" t="n">
        <v>0</v>
      </c>
      <c r="R1723" s="14" t="n">
        <v>0</v>
      </c>
      <c r="S1723" s="14" t="n">
        <v>0.35</v>
      </c>
      <c r="T1723" s="14" t="n">
        <v>0.35</v>
      </c>
      <c r="U1723" s="14" t="n">
        <v>3.37</v>
      </c>
      <c r="V1723" s="14" t="n">
        <v>2.25</v>
      </c>
      <c r="W1723" s="14" t="n">
        <v>1.12</v>
      </c>
      <c r="X1723" s="14" t="n">
        <v>0.07000000000000001</v>
      </c>
      <c r="Y1723" s="14" t="n">
        <v>0.5600000000000001</v>
      </c>
      <c r="Z1723" s="14" t="n">
        <v>0.63</v>
      </c>
      <c r="AA1723" s="14" t="n">
        <v>0</v>
      </c>
    </row>
    <row r="1724">
      <c r="A1724" t="inlineStr">
        <is>
          <t>020901</t>
        </is>
      </c>
      <c r="B1724" t="inlineStr">
        <is>
          <t>ANCASH</t>
        </is>
      </c>
      <c r="C1724" t="inlineStr">
        <is>
          <t>CORONGO</t>
        </is>
      </c>
      <c r="D1724" t="inlineStr">
        <is>
          <t>CORONGO</t>
        </is>
      </c>
      <c r="E1724" t="n">
        <v>577</v>
      </c>
      <c r="F1724" s="14" t="n">
        <v>0</v>
      </c>
      <c r="G1724" s="14" t="n">
        <v>43.5</v>
      </c>
      <c r="H1724" s="14" t="n">
        <v>0.52</v>
      </c>
      <c r="I1724" s="14" t="n">
        <v>3.81</v>
      </c>
      <c r="J1724" s="14" t="n">
        <v>0</v>
      </c>
      <c r="K1724" s="14" t="n">
        <v>0.17</v>
      </c>
      <c r="L1724" s="14" t="n">
        <v>10.4</v>
      </c>
      <c r="M1724" s="14" t="n">
        <v>6.41</v>
      </c>
      <c r="N1724" s="14" t="n">
        <v>1.39</v>
      </c>
      <c r="O1724" s="14" t="n">
        <v>2.6</v>
      </c>
      <c r="P1724" s="14" t="n">
        <v>0.17</v>
      </c>
      <c r="Q1724" s="14" t="n">
        <v>0.52</v>
      </c>
      <c r="R1724" s="14" t="n">
        <v>0</v>
      </c>
      <c r="S1724" s="14" t="n">
        <v>0.35</v>
      </c>
      <c r="T1724" s="14" t="n">
        <v>1.73</v>
      </c>
      <c r="U1724" s="14" t="n">
        <v>10.92</v>
      </c>
      <c r="V1724" s="14" t="n">
        <v>13</v>
      </c>
      <c r="W1724" s="14" t="n">
        <v>2.43</v>
      </c>
      <c r="X1724" s="14" t="n">
        <v>0.17</v>
      </c>
      <c r="Y1724" s="14" t="n">
        <v>1.39</v>
      </c>
      <c r="Z1724" s="14" t="n">
        <v>0.52</v>
      </c>
      <c r="AA1724" s="14" t="n">
        <v>0</v>
      </c>
    </row>
    <row r="1725">
      <c r="A1725" t="inlineStr">
        <is>
          <t>040312</t>
        </is>
      </c>
      <c r="B1725" t="inlineStr">
        <is>
          <t>AREQUIPA</t>
        </is>
      </c>
      <c r="C1725" t="inlineStr">
        <is>
          <t>CARAVELI</t>
        </is>
      </c>
      <c r="D1725" t="inlineStr">
        <is>
          <t>QUICACHA</t>
        </is>
      </c>
      <c r="E1725" t="n">
        <v>755</v>
      </c>
      <c r="F1725" s="14" t="n">
        <v>0</v>
      </c>
      <c r="G1725" s="14" t="n">
        <v>55.5</v>
      </c>
      <c r="H1725" s="14" t="n">
        <v>12.45</v>
      </c>
      <c r="I1725" s="14" t="n">
        <v>0.79</v>
      </c>
      <c r="J1725" s="14" t="n">
        <v>0</v>
      </c>
      <c r="K1725" s="14" t="n">
        <v>0.26</v>
      </c>
      <c r="L1725" s="14" t="n">
        <v>5.96</v>
      </c>
      <c r="M1725" s="14" t="n">
        <v>6.62</v>
      </c>
      <c r="N1725" s="14" t="n">
        <v>3.97</v>
      </c>
      <c r="O1725" s="14" t="n">
        <v>3.05</v>
      </c>
      <c r="P1725" s="14" t="n">
        <v>0</v>
      </c>
      <c r="Q1725" s="14" t="n">
        <v>0</v>
      </c>
      <c r="R1725" s="14" t="n">
        <v>0</v>
      </c>
      <c r="S1725" s="14" t="n">
        <v>1.85</v>
      </c>
      <c r="T1725" s="14" t="n">
        <v>0.4</v>
      </c>
      <c r="U1725" s="14" t="n">
        <v>2.65</v>
      </c>
      <c r="V1725" s="14" t="n">
        <v>4.24</v>
      </c>
      <c r="W1725" s="14" t="n">
        <v>0.53</v>
      </c>
      <c r="X1725" s="14" t="n">
        <v>0.13</v>
      </c>
      <c r="Y1725" s="14" t="n">
        <v>0.66</v>
      </c>
      <c r="Z1725" s="14" t="n">
        <v>0.93</v>
      </c>
      <c r="AA1725" s="14" t="n">
        <v>0</v>
      </c>
    </row>
    <row r="1726">
      <c r="A1726" t="inlineStr">
        <is>
          <t>040301</t>
        </is>
      </c>
      <c r="B1726" t="inlineStr">
        <is>
          <t>AREQUIPA</t>
        </is>
      </c>
      <c r="C1726" t="inlineStr">
        <is>
          <t>CARAVELI</t>
        </is>
      </c>
      <c r="D1726" t="inlineStr">
        <is>
          <t>CARAVELI</t>
        </is>
      </c>
      <c r="E1726" t="n">
        <v>1781</v>
      </c>
      <c r="F1726" s="14" t="n">
        <v>0</v>
      </c>
      <c r="G1726" s="14" t="n">
        <v>18.36</v>
      </c>
      <c r="H1726" s="14" t="n">
        <v>29.65</v>
      </c>
      <c r="I1726" s="14" t="n">
        <v>2.64</v>
      </c>
      <c r="J1726" s="14" t="n">
        <v>0.11</v>
      </c>
      <c r="K1726" s="14" t="n">
        <v>0.34</v>
      </c>
      <c r="L1726" s="14" t="n">
        <v>8.529999999999999</v>
      </c>
      <c r="M1726" s="14" t="n">
        <v>10.95</v>
      </c>
      <c r="N1726" s="14" t="n">
        <v>6.06</v>
      </c>
      <c r="O1726" s="14" t="n">
        <v>7.07</v>
      </c>
      <c r="P1726" s="14" t="n">
        <v>0.11</v>
      </c>
      <c r="Q1726" s="14" t="n">
        <v>0.17</v>
      </c>
      <c r="R1726" s="14" t="n">
        <v>0</v>
      </c>
      <c r="S1726" s="14" t="n">
        <v>0.95</v>
      </c>
      <c r="T1726" s="14" t="n">
        <v>2.02</v>
      </c>
      <c r="U1726" s="14" t="n">
        <v>5.39</v>
      </c>
      <c r="V1726" s="14" t="n">
        <v>4.1</v>
      </c>
      <c r="W1726" s="14" t="n">
        <v>1.07</v>
      </c>
      <c r="X1726" s="14" t="n">
        <v>0.39</v>
      </c>
      <c r="Y1726" s="14" t="n">
        <v>1.12</v>
      </c>
      <c r="Z1726" s="14" t="n">
        <v>0.95</v>
      </c>
      <c r="AA1726" s="14" t="n">
        <v>0</v>
      </c>
    </row>
    <row r="1727">
      <c r="A1727" t="inlineStr">
        <is>
          <t>040502</t>
        </is>
      </c>
      <c r="B1727" t="inlineStr">
        <is>
          <t>AREQUIPA</t>
        </is>
      </c>
      <c r="C1727" t="inlineStr">
        <is>
          <t>CAYLLOMA</t>
        </is>
      </c>
      <c r="D1727" t="inlineStr">
        <is>
          <t>ACHOMA</t>
        </is>
      </c>
      <c r="E1727" t="n">
        <v>441</v>
      </c>
      <c r="F1727" s="14" t="n">
        <v>0</v>
      </c>
      <c r="G1727" s="14" t="n">
        <v>79.81999999999999</v>
      </c>
      <c r="H1727" s="14" t="n">
        <v>0</v>
      </c>
      <c r="I1727" s="14" t="n">
        <v>1.81</v>
      </c>
      <c r="J1727" s="14" t="n">
        <v>0</v>
      </c>
      <c r="K1727" s="14" t="n">
        <v>0</v>
      </c>
      <c r="L1727" s="14" t="n">
        <v>5.67</v>
      </c>
      <c r="M1727" s="14" t="n">
        <v>4.76</v>
      </c>
      <c r="N1727" s="14" t="n">
        <v>0.68</v>
      </c>
      <c r="O1727" s="14" t="n">
        <v>2.04</v>
      </c>
      <c r="P1727" s="14" t="n">
        <v>0</v>
      </c>
      <c r="Q1727" s="14" t="n">
        <v>0</v>
      </c>
      <c r="R1727" s="14" t="n">
        <v>0</v>
      </c>
      <c r="S1727" s="14" t="n">
        <v>0.45</v>
      </c>
      <c r="T1727" s="14" t="n">
        <v>1.36</v>
      </c>
      <c r="U1727" s="14" t="n">
        <v>1.13</v>
      </c>
      <c r="V1727" s="14" t="n">
        <v>0.91</v>
      </c>
      <c r="W1727" s="14" t="n">
        <v>0.68</v>
      </c>
      <c r="X1727" s="14" t="n">
        <v>0</v>
      </c>
      <c r="Y1727" s="14" t="n">
        <v>0.23</v>
      </c>
      <c r="Z1727" s="14" t="n">
        <v>0.45</v>
      </c>
      <c r="AA1727" s="14" t="n">
        <v>0</v>
      </c>
    </row>
    <row r="1728">
      <c r="A1728" t="inlineStr">
        <is>
          <t>080914</t>
        </is>
      </c>
      <c r="B1728" t="inlineStr">
        <is>
          <t>CUSCO</t>
        </is>
      </c>
      <c r="C1728" t="inlineStr">
        <is>
          <t>LA CONVENCION</t>
        </is>
      </c>
      <c r="D1728" t="inlineStr">
        <is>
          <t>MEGANTONI</t>
        </is>
      </c>
      <c r="E1728" t="n">
        <v>3345</v>
      </c>
      <c r="F1728" s="14" t="n">
        <v>0</v>
      </c>
      <c r="G1728" s="14" t="n">
        <v>29.15</v>
      </c>
      <c r="H1728" s="14" t="n">
        <v>3.98</v>
      </c>
      <c r="I1728" s="14" t="n">
        <v>6.04</v>
      </c>
      <c r="J1728" s="14" t="n">
        <v>0.12</v>
      </c>
      <c r="K1728" s="14" t="n">
        <v>0.75</v>
      </c>
      <c r="L1728" s="14" t="n">
        <v>24.99</v>
      </c>
      <c r="M1728" s="14" t="n">
        <v>5.5</v>
      </c>
      <c r="N1728" s="14" t="n">
        <v>3.59</v>
      </c>
      <c r="O1728" s="14" t="n">
        <v>4.42</v>
      </c>
      <c r="P1728" s="14" t="n">
        <v>0.03</v>
      </c>
      <c r="Q1728" s="14" t="n">
        <v>0</v>
      </c>
      <c r="R1728" s="14" t="n">
        <v>0</v>
      </c>
      <c r="S1728" s="14" t="n">
        <v>4.57</v>
      </c>
      <c r="T1728" s="14" t="n">
        <v>2.72</v>
      </c>
      <c r="U1728" s="14" t="n">
        <v>9.27</v>
      </c>
      <c r="V1728" s="14" t="n">
        <v>2.24</v>
      </c>
      <c r="W1728" s="14" t="n">
        <v>1.29</v>
      </c>
      <c r="X1728" s="14" t="n">
        <v>0.27</v>
      </c>
      <c r="Y1728" s="14" t="n">
        <v>0.96</v>
      </c>
      <c r="Z1728" s="14" t="n">
        <v>0.12</v>
      </c>
      <c r="AA1728" s="14" t="n">
        <v>0</v>
      </c>
    </row>
    <row r="1729">
      <c r="A1729" t="inlineStr">
        <is>
          <t>040116</t>
        </is>
      </c>
      <c r="B1729" t="inlineStr">
        <is>
          <t>AREQUIPA</t>
        </is>
      </c>
      <c r="C1729" t="inlineStr">
        <is>
          <t>AREQUIPA</t>
        </is>
      </c>
      <c r="D1729" t="inlineStr">
        <is>
          <t>SABANDIA</t>
        </is>
      </c>
      <c r="E1729" t="n">
        <v>2012</v>
      </c>
      <c r="F1729" s="14" t="n">
        <v>0</v>
      </c>
      <c r="G1729" s="14" t="n">
        <v>10.34</v>
      </c>
      <c r="H1729" s="14" t="n">
        <v>2.04</v>
      </c>
      <c r="I1729" s="14" t="n">
        <v>9.289999999999999</v>
      </c>
      <c r="J1729" s="14" t="n">
        <v>0.2</v>
      </c>
      <c r="K1729" s="14" t="n">
        <v>0.4</v>
      </c>
      <c r="L1729" s="14" t="n">
        <v>13.62</v>
      </c>
      <c r="M1729" s="14" t="n">
        <v>17.79</v>
      </c>
      <c r="N1729" s="14" t="n">
        <v>11.08</v>
      </c>
      <c r="O1729" s="14" t="n">
        <v>7.65</v>
      </c>
      <c r="P1729" s="14" t="n">
        <v>0.25</v>
      </c>
      <c r="Q1729" s="14" t="n">
        <v>0.84</v>
      </c>
      <c r="R1729" s="14" t="n">
        <v>0.05</v>
      </c>
      <c r="S1729" s="14" t="n">
        <v>4.42</v>
      </c>
      <c r="T1729" s="14" t="n">
        <v>3.38</v>
      </c>
      <c r="U1729" s="14" t="n">
        <v>5.27</v>
      </c>
      <c r="V1729" s="14" t="n">
        <v>4.27</v>
      </c>
      <c r="W1729" s="14" t="n">
        <v>3.33</v>
      </c>
      <c r="X1729" s="14" t="n">
        <v>0.7</v>
      </c>
      <c r="Y1729" s="14" t="n">
        <v>2.49</v>
      </c>
      <c r="Z1729" s="14" t="n">
        <v>2.58</v>
      </c>
      <c r="AA1729" s="14" t="n">
        <v>0</v>
      </c>
    </row>
    <row r="1730">
      <c r="A1730" t="inlineStr">
        <is>
          <t>030205</t>
        </is>
      </c>
      <c r="B1730" t="inlineStr">
        <is>
          <t>APURIMAC</t>
        </is>
      </c>
      <c r="C1730" t="inlineStr">
        <is>
          <t>ANDAHUAYLAS</t>
        </is>
      </c>
      <c r="D1730" t="inlineStr">
        <is>
          <t>HUANCARAY</t>
        </is>
      </c>
      <c r="E1730" t="n">
        <v>1064</v>
      </c>
      <c r="F1730" s="14" t="n">
        <v>0</v>
      </c>
      <c r="G1730" s="14" t="n">
        <v>83.83</v>
      </c>
      <c r="H1730" s="14" t="n">
        <v>0</v>
      </c>
      <c r="I1730" s="14" t="n">
        <v>1.03</v>
      </c>
      <c r="J1730" s="14" t="n">
        <v>0</v>
      </c>
      <c r="K1730" s="14" t="n">
        <v>0</v>
      </c>
      <c r="L1730" s="14" t="n">
        <v>2.07</v>
      </c>
      <c r="M1730" s="14" t="n">
        <v>5.17</v>
      </c>
      <c r="N1730" s="14" t="n">
        <v>1.22</v>
      </c>
      <c r="O1730" s="14" t="n">
        <v>1.13</v>
      </c>
      <c r="P1730" s="14" t="n">
        <v>0</v>
      </c>
      <c r="Q1730" s="14" t="n">
        <v>0.09</v>
      </c>
      <c r="R1730" s="14" t="n">
        <v>0.09</v>
      </c>
      <c r="S1730" s="14" t="n">
        <v>0.85</v>
      </c>
      <c r="T1730" s="14" t="n">
        <v>0.28</v>
      </c>
      <c r="U1730" s="14" t="n">
        <v>0.5600000000000001</v>
      </c>
      <c r="V1730" s="14" t="n">
        <v>2.16</v>
      </c>
      <c r="W1730" s="14" t="n">
        <v>0.85</v>
      </c>
      <c r="X1730" s="14" t="n">
        <v>0.09</v>
      </c>
      <c r="Y1730" s="14" t="n">
        <v>0.5600000000000001</v>
      </c>
      <c r="Z1730" s="14" t="n">
        <v>0</v>
      </c>
      <c r="AA1730" s="14" t="n">
        <v>0</v>
      </c>
    </row>
    <row r="1731">
      <c r="A1731" t="inlineStr">
        <is>
          <t>020906</t>
        </is>
      </c>
      <c r="B1731" t="inlineStr">
        <is>
          <t>ANCASH</t>
        </is>
      </c>
      <c r="C1731" t="inlineStr">
        <is>
          <t>CORONGO</t>
        </is>
      </c>
      <c r="D1731" t="inlineStr">
        <is>
          <t>YANAC</t>
        </is>
      </c>
      <c r="E1731" t="n">
        <v>150</v>
      </c>
      <c r="F1731" s="14" t="n">
        <v>0</v>
      </c>
      <c r="G1731" s="14" t="n">
        <v>66.67</v>
      </c>
      <c r="H1731" s="14" t="n">
        <v>0</v>
      </c>
      <c r="I1731" s="14" t="n">
        <v>0</v>
      </c>
      <c r="J1731" s="14" t="n">
        <v>0</v>
      </c>
      <c r="K1731" s="14" t="n">
        <v>0</v>
      </c>
      <c r="L1731" s="14" t="n">
        <v>12.67</v>
      </c>
      <c r="M1731" s="14" t="n">
        <v>2.67</v>
      </c>
      <c r="N1731" s="14" t="n">
        <v>0</v>
      </c>
      <c r="O1731" s="14" t="n">
        <v>1.33</v>
      </c>
      <c r="P1731" s="14" t="n">
        <v>0</v>
      </c>
      <c r="Q1731" s="14" t="n">
        <v>0</v>
      </c>
      <c r="R1731" s="14" t="n">
        <v>0</v>
      </c>
      <c r="S1731" s="14" t="n">
        <v>2</v>
      </c>
      <c r="T1731" s="14" t="n">
        <v>0</v>
      </c>
      <c r="U1731" s="14" t="n">
        <v>6.67</v>
      </c>
      <c r="V1731" s="14" t="n">
        <v>5.33</v>
      </c>
      <c r="W1731" s="14" t="n">
        <v>2</v>
      </c>
      <c r="X1731" s="14" t="n">
        <v>0</v>
      </c>
      <c r="Y1731" s="14" t="n">
        <v>0</v>
      </c>
      <c r="Z1731" s="14" t="n">
        <v>0.67</v>
      </c>
      <c r="AA1731" s="14" t="n">
        <v>0</v>
      </c>
    </row>
    <row r="1732">
      <c r="A1732" t="inlineStr">
        <is>
          <t>021801</t>
        </is>
      </c>
      <c r="B1732" t="inlineStr">
        <is>
          <t>ANCASH</t>
        </is>
      </c>
      <c r="C1732" t="inlineStr">
        <is>
          <t>SANTA</t>
        </is>
      </c>
      <c r="D1732" t="inlineStr">
        <is>
          <t>CHIMBOTE</t>
        </is>
      </c>
      <c r="E1732" t="n">
        <v>82424</v>
      </c>
      <c r="F1732" s="14" t="n">
        <v>1.355</v>
      </c>
      <c r="G1732" s="14" t="n">
        <v>12.73</v>
      </c>
      <c r="H1732" s="14" t="n">
        <v>0.24</v>
      </c>
      <c r="I1732" s="14" t="n">
        <v>9.25</v>
      </c>
      <c r="J1732" s="14" t="n">
        <v>0.19</v>
      </c>
      <c r="K1732" s="14" t="n">
        <v>0.37</v>
      </c>
      <c r="L1732" s="14" t="n">
        <v>7.98</v>
      </c>
      <c r="M1732" s="14" t="n">
        <v>23.84</v>
      </c>
      <c r="N1732" s="14" t="n">
        <v>9.5</v>
      </c>
      <c r="O1732" s="14" t="n">
        <v>8.33</v>
      </c>
      <c r="P1732" s="14" t="n">
        <v>0.78</v>
      </c>
      <c r="Q1732" s="14" t="n">
        <v>0.97</v>
      </c>
      <c r="R1732" s="14" t="n">
        <v>0.07000000000000001</v>
      </c>
      <c r="S1732" s="14" t="n">
        <v>4.57</v>
      </c>
      <c r="T1732" s="14" t="n">
        <v>3.52</v>
      </c>
      <c r="U1732" s="14" t="n">
        <v>3.9</v>
      </c>
      <c r="V1732" s="14" t="n">
        <v>5.54</v>
      </c>
      <c r="W1732" s="14" t="n">
        <v>3.18</v>
      </c>
      <c r="X1732" s="14" t="n">
        <v>1.07</v>
      </c>
      <c r="Y1732" s="14" t="n">
        <v>2.74</v>
      </c>
      <c r="Z1732" s="14" t="n">
        <v>1.22</v>
      </c>
      <c r="AA1732" s="14" t="n">
        <v>0</v>
      </c>
    </row>
    <row r="1733">
      <c r="A1733" t="inlineStr">
        <is>
          <t>020511</t>
        </is>
      </c>
      <c r="B1733" t="inlineStr">
        <is>
          <t>ANCASH</t>
        </is>
      </c>
      <c r="C1733" t="inlineStr">
        <is>
          <t>BOLOGNESI</t>
        </is>
      </c>
      <c r="D1733" t="inlineStr">
        <is>
          <t>LA PRIMAVERA</t>
        </is>
      </c>
      <c r="E1733" t="n">
        <v>126</v>
      </c>
      <c r="F1733" s="14" t="n">
        <v>0</v>
      </c>
      <c r="G1733" s="14" t="n">
        <v>66.67</v>
      </c>
      <c r="H1733" s="14" t="n">
        <v>0</v>
      </c>
      <c r="I1733" s="14" t="n">
        <v>3.17</v>
      </c>
      <c r="J1733" s="14" t="n">
        <v>0</v>
      </c>
      <c r="K1733" s="14" t="n">
        <v>0</v>
      </c>
      <c r="L1733" s="14" t="n">
        <v>0.79</v>
      </c>
      <c r="M1733" s="14" t="n">
        <v>11.9</v>
      </c>
      <c r="N1733" s="14" t="n">
        <v>3.97</v>
      </c>
      <c r="O1733" s="14" t="n">
        <v>3.17</v>
      </c>
      <c r="P1733" s="14" t="n">
        <v>0</v>
      </c>
      <c r="Q1733" s="14" t="n">
        <v>0</v>
      </c>
      <c r="R1733" s="14" t="n">
        <v>0</v>
      </c>
      <c r="S1733" s="14" t="n">
        <v>0.79</v>
      </c>
      <c r="T1733" s="14" t="n">
        <v>0.79</v>
      </c>
      <c r="U1733" s="14" t="n">
        <v>2.38</v>
      </c>
      <c r="V1733" s="14" t="n">
        <v>3.17</v>
      </c>
      <c r="W1733" s="14" t="n">
        <v>0</v>
      </c>
      <c r="X1733" s="14" t="n">
        <v>0.79</v>
      </c>
      <c r="Y1733" s="14" t="n">
        <v>1.59</v>
      </c>
      <c r="Z1733" s="14" t="n">
        <v>0.79</v>
      </c>
      <c r="AA1733" s="14" t="n">
        <v>0</v>
      </c>
    </row>
    <row r="1734">
      <c r="A1734" t="inlineStr">
        <is>
          <t>060416</t>
        </is>
      </c>
      <c r="B1734" t="inlineStr">
        <is>
          <t>CAJAMARCA</t>
        </is>
      </c>
      <c r="C1734" t="inlineStr">
        <is>
          <t>CHOTA</t>
        </is>
      </c>
      <c r="D1734" t="inlineStr">
        <is>
          <t>SAN JUAN DE LICUPIS</t>
        </is>
      </c>
      <c r="E1734" t="n">
        <v>327</v>
      </c>
      <c r="F1734" s="14" t="n">
        <v>0</v>
      </c>
      <c r="G1734" s="14" t="n">
        <v>78.90000000000001</v>
      </c>
      <c r="H1734" s="14" t="n">
        <v>0</v>
      </c>
      <c r="I1734" s="14" t="n">
        <v>1.83</v>
      </c>
      <c r="J1734" s="14" t="n">
        <v>0</v>
      </c>
      <c r="K1734" s="14" t="n">
        <v>0</v>
      </c>
      <c r="L1734" s="14" t="n">
        <v>0.61</v>
      </c>
      <c r="M1734" s="14" t="n">
        <v>3.06</v>
      </c>
      <c r="N1734" s="14" t="n">
        <v>2.75</v>
      </c>
      <c r="O1734" s="14" t="n">
        <v>0.31</v>
      </c>
      <c r="P1734" s="14" t="n">
        <v>0</v>
      </c>
      <c r="Q1734" s="14" t="n">
        <v>0</v>
      </c>
      <c r="R1734" s="14" t="n">
        <v>0</v>
      </c>
      <c r="S1734" s="14" t="n">
        <v>1.22</v>
      </c>
      <c r="T1734" s="14" t="n">
        <v>0.61</v>
      </c>
      <c r="U1734" s="14" t="n">
        <v>1.83</v>
      </c>
      <c r="V1734" s="14" t="n">
        <v>6.42</v>
      </c>
      <c r="W1734" s="14" t="n">
        <v>0.61</v>
      </c>
      <c r="X1734" s="14" t="n">
        <v>0</v>
      </c>
      <c r="Y1734" s="14" t="n">
        <v>0.61</v>
      </c>
      <c r="Z1734" s="14" t="n">
        <v>1.22</v>
      </c>
      <c r="AA1734" s="14" t="n">
        <v>0</v>
      </c>
    </row>
    <row r="1735">
      <c r="A1735" t="inlineStr">
        <is>
          <t>081004</t>
        </is>
      </c>
      <c r="B1735" t="inlineStr">
        <is>
          <t>CUSCO</t>
        </is>
      </c>
      <c r="C1735" t="inlineStr">
        <is>
          <t>PARURO</t>
        </is>
      </c>
      <c r="D1735" t="inlineStr">
        <is>
          <t>COLCHA</t>
        </is>
      </c>
      <c r="E1735" t="n">
        <v>319</v>
      </c>
      <c r="F1735" s="14" t="n">
        <v>0</v>
      </c>
      <c r="G1735" s="14" t="n">
        <v>84.33</v>
      </c>
      <c r="H1735" s="14" t="n">
        <v>0</v>
      </c>
      <c r="I1735" s="14" t="n">
        <v>0.63</v>
      </c>
      <c r="J1735" s="14" t="n">
        <v>0</v>
      </c>
      <c r="K1735" s="14" t="n">
        <v>0</v>
      </c>
      <c r="L1735" s="14" t="n">
        <v>1.88</v>
      </c>
      <c r="M1735" s="14" t="n">
        <v>4.08</v>
      </c>
      <c r="N1735" s="14" t="n">
        <v>0.9399999999999999</v>
      </c>
      <c r="O1735" s="14" t="n">
        <v>0</v>
      </c>
      <c r="P1735" s="14" t="n">
        <v>0</v>
      </c>
      <c r="Q1735" s="14" t="n">
        <v>0.31</v>
      </c>
      <c r="R1735" s="14" t="n">
        <v>0</v>
      </c>
      <c r="S1735" s="14" t="n">
        <v>0.31</v>
      </c>
      <c r="T1735" s="14" t="n">
        <v>0</v>
      </c>
      <c r="U1735" s="14" t="n">
        <v>3.76</v>
      </c>
      <c r="V1735" s="14" t="n">
        <v>1.88</v>
      </c>
      <c r="W1735" s="14" t="n">
        <v>0.31</v>
      </c>
      <c r="X1735" s="14" t="n">
        <v>0.31</v>
      </c>
      <c r="Y1735" s="14" t="n">
        <v>0.9399999999999999</v>
      </c>
      <c r="Z1735" s="14" t="n">
        <v>0.31</v>
      </c>
      <c r="AA1735" s="14" t="n">
        <v>0</v>
      </c>
    </row>
    <row r="1736">
      <c r="A1736" t="inlineStr">
        <is>
          <t>020502</t>
        </is>
      </c>
      <c r="B1736" t="inlineStr">
        <is>
          <t>ANCASH</t>
        </is>
      </c>
      <c r="C1736" t="inlineStr">
        <is>
          <t>BOLOGNESI</t>
        </is>
      </c>
      <c r="D1736" t="inlineStr">
        <is>
          <t>ABELARDO PARDO LEZAMETA</t>
        </is>
      </c>
      <c r="E1736" t="n">
        <v>85</v>
      </c>
      <c r="F1736" s="14" t="n">
        <v>0</v>
      </c>
      <c r="G1736" s="14" t="n">
        <v>62.35</v>
      </c>
      <c r="H1736" s="14" t="n">
        <v>0</v>
      </c>
      <c r="I1736" s="14" t="n">
        <v>2.35</v>
      </c>
      <c r="J1736" s="14" t="n">
        <v>0</v>
      </c>
      <c r="K1736" s="14" t="n">
        <v>0</v>
      </c>
      <c r="L1736" s="14" t="n">
        <v>2.35</v>
      </c>
      <c r="M1736" s="14" t="n">
        <v>1.18</v>
      </c>
      <c r="N1736" s="14" t="n">
        <v>3.53</v>
      </c>
      <c r="O1736" s="14" t="n">
        <v>2.35</v>
      </c>
      <c r="P1736" s="14" t="n">
        <v>0</v>
      </c>
      <c r="Q1736" s="14" t="n">
        <v>0</v>
      </c>
      <c r="R1736" s="14" t="n">
        <v>0</v>
      </c>
      <c r="S1736" s="14" t="n">
        <v>1.18</v>
      </c>
      <c r="T1736" s="14" t="n">
        <v>0</v>
      </c>
      <c r="U1736" s="14" t="n">
        <v>5.88</v>
      </c>
      <c r="V1736" s="14" t="n">
        <v>14.12</v>
      </c>
      <c r="W1736" s="14" t="n">
        <v>2.35</v>
      </c>
      <c r="X1736" s="14" t="n">
        <v>1.18</v>
      </c>
      <c r="Y1736" s="14" t="n">
        <v>1.18</v>
      </c>
      <c r="Z1736" s="14" t="n">
        <v>0</v>
      </c>
      <c r="AA1736" s="14" t="n">
        <v>0</v>
      </c>
    </row>
    <row r="1737">
      <c r="A1737" t="inlineStr">
        <is>
          <t>021409</t>
        </is>
      </c>
      <c r="B1737" t="inlineStr">
        <is>
          <t>ANCASH</t>
        </is>
      </c>
      <c r="C1737" t="inlineStr">
        <is>
          <t>OCROS</t>
        </is>
      </c>
      <c r="D1737" t="inlineStr">
        <is>
          <t>SAN PEDRO</t>
        </is>
      </c>
      <c r="E1737" t="n">
        <v>290</v>
      </c>
      <c r="F1737" s="14" t="n">
        <v>0</v>
      </c>
      <c r="G1737" s="14" t="n">
        <v>68.62</v>
      </c>
      <c r="H1737" s="14" t="n">
        <v>0.34</v>
      </c>
      <c r="I1737" s="14" t="n">
        <v>2.41</v>
      </c>
      <c r="J1737" s="14" t="n">
        <v>0</v>
      </c>
      <c r="K1737" s="14" t="n">
        <v>0</v>
      </c>
      <c r="L1737" s="14" t="n">
        <v>4.48</v>
      </c>
      <c r="M1737" s="14" t="n">
        <v>5.86</v>
      </c>
      <c r="N1737" s="14" t="n">
        <v>3.1</v>
      </c>
      <c r="O1737" s="14" t="n">
        <v>2.07</v>
      </c>
      <c r="P1737" s="14" t="n">
        <v>0</v>
      </c>
      <c r="Q1737" s="14" t="n">
        <v>0</v>
      </c>
      <c r="R1737" s="14" t="n">
        <v>0</v>
      </c>
      <c r="S1737" s="14" t="n">
        <v>1.38</v>
      </c>
      <c r="T1737" s="14" t="n">
        <v>1.72</v>
      </c>
      <c r="U1737" s="14" t="n">
        <v>4.48</v>
      </c>
      <c r="V1737" s="14" t="n">
        <v>4.14</v>
      </c>
      <c r="W1737" s="14" t="n">
        <v>1.38</v>
      </c>
      <c r="X1737" s="14" t="n">
        <v>0</v>
      </c>
      <c r="Y1737" s="14" t="n">
        <v>0</v>
      </c>
      <c r="Z1737" s="14" t="n">
        <v>0</v>
      </c>
      <c r="AA1737" s="14" t="n">
        <v>0</v>
      </c>
    </row>
    <row r="1738">
      <c r="A1738" t="inlineStr">
        <is>
          <t>040113</t>
        </is>
      </c>
      <c r="B1738" t="inlineStr">
        <is>
          <t>AREQUIPA</t>
        </is>
      </c>
      <c r="C1738" t="inlineStr">
        <is>
          <t>AREQUIPA</t>
        </is>
      </c>
      <c r="D1738" t="inlineStr">
        <is>
          <t>POCSI</t>
        </is>
      </c>
      <c r="E1738" t="n">
        <v>290</v>
      </c>
      <c r="F1738" s="14" t="n">
        <v>0</v>
      </c>
      <c r="G1738" s="14" t="n">
        <v>76.90000000000001</v>
      </c>
      <c r="H1738" s="14" t="n">
        <v>0.34</v>
      </c>
      <c r="I1738" s="14" t="n">
        <v>1.38</v>
      </c>
      <c r="J1738" s="14" t="n">
        <v>0</v>
      </c>
      <c r="K1738" s="14" t="n">
        <v>0</v>
      </c>
      <c r="L1738" s="14" t="n">
        <v>3.79</v>
      </c>
      <c r="M1738" s="14" t="n">
        <v>5.17</v>
      </c>
      <c r="N1738" s="14" t="n">
        <v>2.41</v>
      </c>
      <c r="O1738" s="14" t="n">
        <v>0.6899999999999999</v>
      </c>
      <c r="P1738" s="14" t="n">
        <v>0</v>
      </c>
      <c r="Q1738" s="14" t="n">
        <v>0</v>
      </c>
      <c r="R1738" s="14" t="n">
        <v>0</v>
      </c>
      <c r="S1738" s="14" t="n">
        <v>1.03</v>
      </c>
      <c r="T1738" s="14" t="n">
        <v>0</v>
      </c>
      <c r="U1738" s="14" t="n">
        <v>5.17</v>
      </c>
      <c r="V1738" s="14" t="n">
        <v>2.07</v>
      </c>
      <c r="W1738" s="14" t="n">
        <v>0.6899999999999999</v>
      </c>
      <c r="X1738" s="14" t="n">
        <v>0</v>
      </c>
      <c r="Y1738" s="14" t="n">
        <v>0.34</v>
      </c>
      <c r="Z1738" s="14" t="n">
        <v>0</v>
      </c>
      <c r="AA1738" s="14" t="n">
        <v>0</v>
      </c>
    </row>
    <row r="1739">
      <c r="A1739" t="inlineStr">
        <is>
          <t>030213</t>
        </is>
      </c>
      <c r="B1739" t="inlineStr">
        <is>
          <t>APURIMAC</t>
        </is>
      </c>
      <c r="C1739" t="inlineStr">
        <is>
          <t>ANDAHUAYLAS</t>
        </is>
      </c>
      <c r="D1739" t="inlineStr">
        <is>
          <t>SAN JERONIMO</t>
        </is>
      </c>
      <c r="E1739" t="n">
        <v>7375</v>
      </c>
      <c r="F1739" s="14" t="n">
        <v>0</v>
      </c>
      <c r="G1739" s="14" t="n">
        <v>45.69</v>
      </c>
      <c r="H1739" s="14" t="n">
        <v>0.23</v>
      </c>
      <c r="I1739" s="14" t="n">
        <v>2.39</v>
      </c>
      <c r="J1739" s="14" t="n">
        <v>0.04</v>
      </c>
      <c r="K1739" s="14" t="n">
        <v>0.01</v>
      </c>
      <c r="L1739" s="14" t="n">
        <v>4.47</v>
      </c>
      <c r="M1739" s="14" t="n">
        <v>11.59</v>
      </c>
      <c r="N1739" s="14" t="n">
        <v>4.66</v>
      </c>
      <c r="O1739" s="14" t="n">
        <v>3.69</v>
      </c>
      <c r="P1739" s="14" t="n">
        <v>0.43</v>
      </c>
      <c r="Q1739" s="14" t="n">
        <v>0.9399999999999999</v>
      </c>
      <c r="R1739" s="14" t="n">
        <v>0.01</v>
      </c>
      <c r="S1739" s="14" t="n">
        <v>2.67</v>
      </c>
      <c r="T1739" s="14" t="n">
        <v>0.88</v>
      </c>
      <c r="U1739" s="14" t="n">
        <v>4.03</v>
      </c>
      <c r="V1739" s="14" t="n">
        <v>11.53</v>
      </c>
      <c r="W1739" s="14" t="n">
        <v>3.97</v>
      </c>
      <c r="X1739" s="14" t="n">
        <v>0.49</v>
      </c>
      <c r="Y1739" s="14" t="n">
        <v>1.32</v>
      </c>
      <c r="Z1739" s="14" t="n">
        <v>0.95</v>
      </c>
      <c r="AA1739" s="14" t="n">
        <v>0</v>
      </c>
    </row>
    <row r="1740">
      <c r="A1740" t="inlineStr">
        <is>
          <t>040302</t>
        </is>
      </c>
      <c r="B1740" t="inlineStr">
        <is>
          <t>AREQUIPA</t>
        </is>
      </c>
      <c r="C1740" t="inlineStr">
        <is>
          <t>CARAVELI</t>
        </is>
      </c>
      <c r="D1740" t="inlineStr">
        <is>
          <t>ACARI</t>
        </is>
      </c>
      <c r="E1740" t="n">
        <v>2484</v>
      </c>
      <c r="F1740" s="14" t="n">
        <v>0</v>
      </c>
      <c r="G1740" s="14" t="n">
        <v>30.88</v>
      </c>
      <c r="H1740" s="14" t="n">
        <v>19.36</v>
      </c>
      <c r="I1740" s="14" t="n">
        <v>3.9</v>
      </c>
      <c r="J1740" s="14" t="n">
        <v>0.04</v>
      </c>
      <c r="K1740" s="14" t="n">
        <v>0.08</v>
      </c>
      <c r="L1740" s="14" t="n">
        <v>4.51</v>
      </c>
      <c r="M1740" s="14" t="n">
        <v>14.9</v>
      </c>
      <c r="N1740" s="14" t="n">
        <v>5.39</v>
      </c>
      <c r="O1740" s="14" t="n">
        <v>6.04</v>
      </c>
      <c r="P1740" s="14" t="n">
        <v>0.2</v>
      </c>
      <c r="Q1740" s="14" t="n">
        <v>0.44</v>
      </c>
      <c r="R1740" s="14" t="n">
        <v>0</v>
      </c>
      <c r="S1740" s="14" t="n">
        <v>2.05</v>
      </c>
      <c r="T1740" s="14" t="n">
        <v>1.93</v>
      </c>
      <c r="U1740" s="14" t="n">
        <v>2.01</v>
      </c>
      <c r="V1740" s="14" t="n">
        <v>4.95</v>
      </c>
      <c r="W1740" s="14" t="n">
        <v>1.01</v>
      </c>
      <c r="X1740" s="14" t="n">
        <v>0.44</v>
      </c>
      <c r="Y1740" s="14" t="n">
        <v>1.49</v>
      </c>
      <c r="Z1740" s="14" t="n">
        <v>0.36</v>
      </c>
      <c r="AA1740" s="14" t="n">
        <v>0</v>
      </c>
    </row>
    <row r="1741">
      <c r="A1741" t="inlineStr">
        <is>
          <t>040115</t>
        </is>
      </c>
      <c r="B1741" t="inlineStr">
        <is>
          <t>AREQUIPA</t>
        </is>
      </c>
      <c r="C1741" t="inlineStr">
        <is>
          <t>AREQUIPA</t>
        </is>
      </c>
      <c r="D1741" t="inlineStr">
        <is>
          <t>QUEQUEÑA</t>
        </is>
      </c>
      <c r="E1741" t="n">
        <v>2434</v>
      </c>
      <c r="F1741" s="14" t="n">
        <v>0</v>
      </c>
      <c r="G1741" s="14" t="n">
        <v>10.52</v>
      </c>
      <c r="H1741" s="14" t="n">
        <v>0.99</v>
      </c>
      <c r="I1741" s="14" t="n">
        <v>10.44</v>
      </c>
      <c r="J1741" s="14" t="n">
        <v>0.16</v>
      </c>
      <c r="K1741" s="14" t="n">
        <v>0.12</v>
      </c>
      <c r="L1741" s="14" t="n">
        <v>16.8</v>
      </c>
      <c r="M1741" s="14" t="n">
        <v>20.71</v>
      </c>
      <c r="N1741" s="14" t="n">
        <v>11.38</v>
      </c>
      <c r="O1741" s="14" t="n">
        <v>8.380000000000001</v>
      </c>
      <c r="P1741" s="14" t="n">
        <v>0.16</v>
      </c>
      <c r="Q1741" s="14" t="n">
        <v>0.45</v>
      </c>
      <c r="R1741" s="14" t="n">
        <v>0.04</v>
      </c>
      <c r="S1741" s="14" t="n">
        <v>2.47</v>
      </c>
      <c r="T1741" s="14" t="n">
        <v>3.33</v>
      </c>
      <c r="U1741" s="14" t="n">
        <v>3.9</v>
      </c>
      <c r="V1741" s="14" t="n">
        <v>3.33</v>
      </c>
      <c r="W1741" s="14" t="n">
        <v>1.31</v>
      </c>
      <c r="X1741" s="14" t="n">
        <v>0.25</v>
      </c>
      <c r="Y1741" s="14" t="n">
        <v>3.16</v>
      </c>
      <c r="Z1741" s="14" t="n">
        <v>2.1</v>
      </c>
      <c r="AA1741" s="14" t="n">
        <v>0</v>
      </c>
    </row>
    <row r="1742">
      <c r="A1742" t="inlineStr">
        <is>
          <t>040305</t>
        </is>
      </c>
      <c r="B1742" t="inlineStr">
        <is>
          <t>AREQUIPA</t>
        </is>
      </c>
      <c r="C1742" t="inlineStr">
        <is>
          <t>CARAVELI</t>
        </is>
      </c>
      <c r="D1742" t="inlineStr">
        <is>
          <t>BELLA UNION</t>
        </is>
      </c>
      <c r="E1742" t="n">
        <v>1567</v>
      </c>
      <c r="F1742" s="14" t="n">
        <v>0</v>
      </c>
      <c r="G1742" s="14" t="n">
        <v>39.57</v>
      </c>
      <c r="H1742" s="14" t="n">
        <v>18.25</v>
      </c>
      <c r="I1742" s="14" t="n">
        <v>3.13</v>
      </c>
      <c r="J1742" s="14" t="n">
        <v>0.13</v>
      </c>
      <c r="K1742" s="14" t="n">
        <v>0.19</v>
      </c>
      <c r="L1742" s="14" t="n">
        <v>10.21</v>
      </c>
      <c r="M1742" s="14" t="n">
        <v>8.74</v>
      </c>
      <c r="N1742" s="14" t="n">
        <v>3</v>
      </c>
      <c r="O1742" s="14" t="n">
        <v>3.96</v>
      </c>
      <c r="P1742" s="14" t="n">
        <v>0.19</v>
      </c>
      <c r="Q1742" s="14" t="n">
        <v>0.26</v>
      </c>
      <c r="R1742" s="14" t="n">
        <v>0</v>
      </c>
      <c r="S1742" s="14" t="n">
        <v>2.3</v>
      </c>
      <c r="T1742" s="14" t="n">
        <v>1.66</v>
      </c>
      <c r="U1742" s="14" t="n">
        <v>3.13</v>
      </c>
      <c r="V1742" s="14" t="n">
        <v>2.62</v>
      </c>
      <c r="W1742" s="14" t="n">
        <v>0.7</v>
      </c>
      <c r="X1742" s="14" t="n">
        <v>0</v>
      </c>
      <c r="Y1742" s="14" t="n">
        <v>1.34</v>
      </c>
      <c r="Z1742" s="14" t="n">
        <v>0.64</v>
      </c>
      <c r="AA1742" s="14" t="n">
        <v>0</v>
      </c>
    </row>
    <row r="1743">
      <c r="A1743" t="inlineStr">
        <is>
          <t>080302</t>
        </is>
      </c>
      <c r="B1743" t="inlineStr">
        <is>
          <t>CUSCO</t>
        </is>
      </c>
      <c r="C1743" t="inlineStr">
        <is>
          <t>ANTA</t>
        </is>
      </c>
      <c r="D1743" t="inlineStr">
        <is>
          <t>ANCAHUASI</t>
        </is>
      </c>
      <c r="E1743" t="n">
        <v>2050</v>
      </c>
      <c r="F1743" s="14" t="n">
        <v>0</v>
      </c>
      <c r="G1743" s="14" t="n">
        <v>64.09999999999999</v>
      </c>
      <c r="H1743" s="14" t="n">
        <v>0.29</v>
      </c>
      <c r="I1743" s="14" t="n">
        <v>3.61</v>
      </c>
      <c r="J1743" s="14" t="n">
        <v>0</v>
      </c>
      <c r="K1743" s="14" t="n">
        <v>0.05</v>
      </c>
      <c r="L1743" s="14" t="n">
        <v>5.41</v>
      </c>
      <c r="M1743" s="14" t="n">
        <v>10.24</v>
      </c>
      <c r="N1743" s="14" t="n">
        <v>5.51</v>
      </c>
      <c r="O1743" s="14" t="n">
        <v>3.66</v>
      </c>
      <c r="P1743" s="14" t="n">
        <v>0</v>
      </c>
      <c r="Q1743" s="14" t="n">
        <v>0.05</v>
      </c>
      <c r="R1743" s="14" t="n">
        <v>0</v>
      </c>
      <c r="S1743" s="14" t="n">
        <v>0.93</v>
      </c>
      <c r="T1743" s="14" t="n">
        <v>0.73</v>
      </c>
      <c r="U1743" s="14" t="n">
        <v>2.39</v>
      </c>
      <c r="V1743" s="14" t="n">
        <v>1.02</v>
      </c>
      <c r="W1743" s="14" t="n">
        <v>0.68</v>
      </c>
      <c r="X1743" s="14" t="n">
        <v>0.15</v>
      </c>
      <c r="Y1743" s="14" t="n">
        <v>0.98</v>
      </c>
      <c r="Z1743" s="14" t="n">
        <v>0.2</v>
      </c>
      <c r="AA1743" s="14" t="n">
        <v>0</v>
      </c>
    </row>
    <row r="1744">
      <c r="A1744" t="inlineStr">
        <is>
          <t>010302</t>
        </is>
      </c>
      <c r="B1744" t="inlineStr">
        <is>
          <t>AMAZONAS</t>
        </is>
      </c>
      <c r="C1744" t="inlineStr">
        <is>
          <t>BONGARA</t>
        </is>
      </c>
      <c r="D1744" t="inlineStr">
        <is>
          <t>CHISQUILLA</t>
        </is>
      </c>
      <c r="E1744" t="n">
        <v>139</v>
      </c>
      <c r="F1744" s="14" t="n">
        <v>0</v>
      </c>
      <c r="G1744" s="14" t="n">
        <v>80.58</v>
      </c>
      <c r="H1744" s="14" t="n">
        <v>0</v>
      </c>
      <c r="I1744" s="14" t="n">
        <v>1.44</v>
      </c>
      <c r="J1744" s="14" t="n">
        <v>0</v>
      </c>
      <c r="K1744" s="14" t="n">
        <v>0</v>
      </c>
      <c r="L1744" s="14" t="n">
        <v>3.6</v>
      </c>
      <c r="M1744" s="14" t="n">
        <v>2.16</v>
      </c>
      <c r="N1744" s="14" t="n">
        <v>1.44</v>
      </c>
      <c r="O1744" s="14" t="n">
        <v>2.88</v>
      </c>
      <c r="P1744" s="14" t="n">
        <v>0</v>
      </c>
      <c r="Q1744" s="14" t="n">
        <v>0</v>
      </c>
      <c r="R1744" s="14" t="n">
        <v>0</v>
      </c>
      <c r="S1744" s="14" t="n">
        <v>1.44</v>
      </c>
      <c r="T1744" s="14" t="n">
        <v>0.72</v>
      </c>
      <c r="U1744" s="14" t="n">
        <v>3.6</v>
      </c>
      <c r="V1744" s="14" t="n">
        <v>1.44</v>
      </c>
      <c r="W1744" s="14" t="n">
        <v>0.72</v>
      </c>
      <c r="X1744" s="14" t="n">
        <v>0</v>
      </c>
      <c r="Y1744" s="14" t="n">
        <v>0</v>
      </c>
      <c r="Z1744" s="14" t="n">
        <v>0</v>
      </c>
      <c r="AA1744" s="14" t="n">
        <v>0</v>
      </c>
    </row>
    <row r="1745">
      <c r="A1745" t="inlineStr">
        <is>
          <t>021903</t>
        </is>
      </c>
      <c r="B1745" t="inlineStr">
        <is>
          <t>ANCASH</t>
        </is>
      </c>
      <c r="C1745" t="inlineStr">
        <is>
          <t>SIHUAS</t>
        </is>
      </c>
      <c r="D1745" t="inlineStr">
        <is>
          <t>ALFONSO UGARTE</t>
        </is>
      </c>
      <c r="E1745" t="n">
        <v>92</v>
      </c>
      <c r="F1745" s="14" t="n">
        <v>0</v>
      </c>
      <c r="G1745" s="14" t="n">
        <v>51.09</v>
      </c>
      <c r="H1745" s="14" t="n">
        <v>0</v>
      </c>
      <c r="I1745" s="14" t="n">
        <v>0</v>
      </c>
      <c r="J1745" s="14" t="n">
        <v>0</v>
      </c>
      <c r="K1745" s="14" t="n">
        <v>0</v>
      </c>
      <c r="L1745" s="14" t="n">
        <v>3.26</v>
      </c>
      <c r="M1745" s="14" t="n">
        <v>4.35</v>
      </c>
      <c r="N1745" s="14" t="n">
        <v>2.17</v>
      </c>
      <c r="O1745" s="14" t="n">
        <v>1.09</v>
      </c>
      <c r="P1745" s="14" t="n">
        <v>0</v>
      </c>
      <c r="Q1745" s="14" t="n">
        <v>0</v>
      </c>
      <c r="R1745" s="14" t="n">
        <v>0</v>
      </c>
      <c r="S1745" s="14" t="n">
        <v>3.26</v>
      </c>
      <c r="T1745" s="14" t="n">
        <v>1.09</v>
      </c>
      <c r="U1745" s="14" t="n">
        <v>7.61</v>
      </c>
      <c r="V1745" s="14" t="n">
        <v>23.91</v>
      </c>
      <c r="W1745" s="14" t="n">
        <v>2.17</v>
      </c>
      <c r="X1745" s="14" t="n">
        <v>0</v>
      </c>
      <c r="Y1745" s="14" t="n">
        <v>0</v>
      </c>
      <c r="Z1745" s="14" t="n">
        <v>0</v>
      </c>
      <c r="AA1745" s="14" t="n">
        <v>0</v>
      </c>
    </row>
    <row r="1746">
      <c r="A1746" t="inlineStr">
        <is>
          <t>061310</t>
        </is>
      </c>
      <c r="B1746" t="inlineStr">
        <is>
          <t>CAJAMARCA</t>
        </is>
      </c>
      <c r="C1746" t="inlineStr">
        <is>
          <t>SANTA CRUZ</t>
        </is>
      </c>
      <c r="D1746" t="inlineStr">
        <is>
          <t>UTICYACU</t>
        </is>
      </c>
      <c r="E1746" t="n">
        <v>377</v>
      </c>
      <c r="F1746" s="14" t="n">
        <v>0</v>
      </c>
      <c r="G1746" s="14" t="n">
        <v>87.27</v>
      </c>
      <c r="H1746" s="14" t="n">
        <v>0</v>
      </c>
      <c r="I1746" s="14" t="n">
        <v>0.53</v>
      </c>
      <c r="J1746" s="14" t="n">
        <v>0</v>
      </c>
      <c r="K1746" s="14" t="n">
        <v>0</v>
      </c>
      <c r="L1746" s="14" t="n">
        <v>0</v>
      </c>
      <c r="M1746" s="14" t="n">
        <v>1.06</v>
      </c>
      <c r="N1746" s="14" t="n">
        <v>0.27</v>
      </c>
      <c r="O1746" s="14" t="n">
        <v>0</v>
      </c>
      <c r="P1746" s="14" t="n">
        <v>0</v>
      </c>
      <c r="Q1746" s="14" t="n">
        <v>0</v>
      </c>
      <c r="R1746" s="14" t="n">
        <v>0</v>
      </c>
      <c r="S1746" s="14" t="n">
        <v>0.53</v>
      </c>
      <c r="T1746" s="14" t="n">
        <v>0</v>
      </c>
      <c r="U1746" s="14" t="n">
        <v>2.65</v>
      </c>
      <c r="V1746" s="14" t="n">
        <v>5.84</v>
      </c>
      <c r="W1746" s="14" t="n">
        <v>0.8</v>
      </c>
      <c r="X1746" s="14" t="n">
        <v>0</v>
      </c>
      <c r="Y1746" s="14" t="n">
        <v>0</v>
      </c>
      <c r="Z1746" s="14" t="n">
        <v>1.06</v>
      </c>
      <c r="AA1746" s="14" t="n">
        <v>0</v>
      </c>
    </row>
    <row r="1747">
      <c r="A1747" t="inlineStr">
        <is>
          <t>090104</t>
        </is>
      </c>
      <c r="B1747" t="inlineStr">
        <is>
          <t>HUANCAVELICA</t>
        </is>
      </c>
      <c r="C1747" t="inlineStr">
        <is>
          <t>HUANCAVELICA</t>
        </is>
      </c>
      <c r="D1747" t="inlineStr">
        <is>
          <t>CONAYCA</t>
        </is>
      </c>
      <c r="E1747" t="n">
        <v>390</v>
      </c>
      <c r="F1747" s="14" t="n">
        <v>0</v>
      </c>
      <c r="G1747" s="14" t="n">
        <v>66.92</v>
      </c>
      <c r="H1747" s="14" t="n">
        <v>0.26</v>
      </c>
      <c r="I1747" s="14" t="n">
        <v>0.77</v>
      </c>
      <c r="J1747" s="14" t="n">
        <v>0</v>
      </c>
      <c r="K1747" s="14" t="n">
        <v>0</v>
      </c>
      <c r="L1747" s="14" t="n">
        <v>6.41</v>
      </c>
      <c r="M1747" s="14" t="n">
        <v>12.56</v>
      </c>
      <c r="N1747" s="14" t="n">
        <v>1.28</v>
      </c>
      <c r="O1747" s="14" t="n">
        <v>0.51</v>
      </c>
      <c r="P1747" s="14" t="n">
        <v>0</v>
      </c>
      <c r="Q1747" s="14" t="n">
        <v>0</v>
      </c>
      <c r="R1747" s="14" t="n">
        <v>0</v>
      </c>
      <c r="S1747" s="14" t="n">
        <v>0.51</v>
      </c>
      <c r="T1747" s="14" t="n">
        <v>0</v>
      </c>
      <c r="U1747" s="14" t="n">
        <v>2.05</v>
      </c>
      <c r="V1747" s="14" t="n">
        <v>5.64</v>
      </c>
      <c r="W1747" s="14" t="n">
        <v>1.54</v>
      </c>
      <c r="X1747" s="14" t="n">
        <v>0.26</v>
      </c>
      <c r="Y1747" s="14" t="n">
        <v>0.51</v>
      </c>
      <c r="Z1747" s="14" t="n">
        <v>0.77</v>
      </c>
      <c r="AA1747" s="14" t="n">
        <v>0</v>
      </c>
    </row>
    <row r="1748">
      <c r="A1748" t="inlineStr">
        <is>
          <t>050905</t>
        </is>
      </c>
      <c r="B1748" t="inlineStr">
        <is>
          <t>AYACUCHO</t>
        </is>
      </c>
      <c r="C1748" t="inlineStr">
        <is>
          <t>SUCRE</t>
        </is>
      </c>
      <c r="D1748" t="inlineStr">
        <is>
          <t>HUACAÑA</t>
        </is>
      </c>
      <c r="E1748" t="n">
        <v>122</v>
      </c>
      <c r="F1748" s="14" t="n">
        <v>0</v>
      </c>
      <c r="G1748" s="14" t="n">
        <v>57.38</v>
      </c>
      <c r="H1748" s="14" t="n">
        <v>0</v>
      </c>
      <c r="I1748" s="14" t="n">
        <v>1.64</v>
      </c>
      <c r="J1748" s="14" t="n">
        <v>0</v>
      </c>
      <c r="K1748" s="14" t="n">
        <v>0</v>
      </c>
      <c r="L1748" s="14" t="n">
        <v>4.92</v>
      </c>
      <c r="M1748" s="14" t="n">
        <v>6.56</v>
      </c>
      <c r="N1748" s="14" t="n">
        <v>0</v>
      </c>
      <c r="O1748" s="14" t="n">
        <v>4.1</v>
      </c>
      <c r="P1748" s="14" t="n">
        <v>0.82</v>
      </c>
      <c r="Q1748" s="14" t="n">
        <v>0</v>
      </c>
      <c r="R1748" s="14" t="n">
        <v>0</v>
      </c>
      <c r="S1748" s="14" t="n">
        <v>0</v>
      </c>
      <c r="T1748" s="14" t="n">
        <v>0.82</v>
      </c>
      <c r="U1748" s="14" t="n">
        <v>8.199999999999999</v>
      </c>
      <c r="V1748" s="14" t="n">
        <v>12.3</v>
      </c>
      <c r="W1748" s="14" t="n">
        <v>1.64</v>
      </c>
      <c r="X1748" s="14" t="n">
        <v>0</v>
      </c>
      <c r="Y1748" s="14" t="n">
        <v>1.64</v>
      </c>
      <c r="Z1748" s="14" t="n">
        <v>0</v>
      </c>
      <c r="AA1748" s="14" t="n">
        <v>0</v>
      </c>
    </row>
    <row r="1749">
      <c r="A1749" t="inlineStr">
        <is>
          <t>081302</t>
        </is>
      </c>
      <c r="B1749" t="inlineStr">
        <is>
          <t>CUSCO</t>
        </is>
      </c>
      <c r="C1749" t="inlineStr">
        <is>
          <t>URUBAMBA</t>
        </is>
      </c>
      <c r="D1749" t="inlineStr">
        <is>
          <t>CHINCHERO</t>
        </is>
      </c>
      <c r="E1749" t="n">
        <v>3864</v>
      </c>
      <c r="F1749" s="14" t="n">
        <v>0</v>
      </c>
      <c r="G1749" s="14" t="n">
        <v>44.46</v>
      </c>
      <c r="H1749" s="14" t="n">
        <v>0.18</v>
      </c>
      <c r="I1749" s="14" t="n">
        <v>11.57</v>
      </c>
      <c r="J1749" s="14" t="n">
        <v>0.08</v>
      </c>
      <c r="K1749" s="14" t="n">
        <v>0.05</v>
      </c>
      <c r="L1749" s="14" t="n">
        <v>10.58</v>
      </c>
      <c r="M1749" s="14" t="n">
        <v>11.67</v>
      </c>
      <c r="N1749" s="14" t="n">
        <v>6.96</v>
      </c>
      <c r="O1749" s="14" t="n">
        <v>3.8</v>
      </c>
      <c r="P1749" s="14" t="n">
        <v>0.13</v>
      </c>
      <c r="Q1749" s="14" t="n">
        <v>0.26</v>
      </c>
      <c r="R1749" s="14" t="n">
        <v>0.03</v>
      </c>
      <c r="S1749" s="14" t="n">
        <v>1.79</v>
      </c>
      <c r="T1749" s="14" t="n">
        <v>2.38</v>
      </c>
      <c r="U1749" s="14" t="n">
        <v>1.92</v>
      </c>
      <c r="V1749" s="14" t="n">
        <v>1.58</v>
      </c>
      <c r="W1749" s="14" t="n">
        <v>0.6</v>
      </c>
      <c r="X1749" s="14" t="n">
        <v>0.54</v>
      </c>
      <c r="Y1749" s="14" t="n">
        <v>1.09</v>
      </c>
      <c r="Z1749" s="14" t="n">
        <v>0.34</v>
      </c>
      <c r="AA1749" s="14" t="n">
        <v>0</v>
      </c>
    </row>
    <row r="1750">
      <c r="A1750" t="inlineStr">
        <is>
          <t>051103</t>
        </is>
      </c>
      <c r="B1750" t="inlineStr">
        <is>
          <t>AYACUCHO</t>
        </is>
      </c>
      <c r="C1750" t="inlineStr">
        <is>
          <t>VILCAS HUAMAN</t>
        </is>
      </c>
      <c r="D1750" t="inlineStr">
        <is>
          <t>CARHUANCA</t>
        </is>
      </c>
      <c r="E1750" t="n">
        <v>206</v>
      </c>
      <c r="F1750" s="14" t="n">
        <v>0</v>
      </c>
      <c r="G1750" s="14" t="n">
        <v>47.57</v>
      </c>
      <c r="H1750" s="14" t="n">
        <v>0</v>
      </c>
      <c r="I1750" s="14" t="n">
        <v>1.94</v>
      </c>
      <c r="J1750" s="14" t="n">
        <v>0</v>
      </c>
      <c r="K1750" s="14" t="n">
        <v>0</v>
      </c>
      <c r="L1750" s="14" t="n">
        <v>1.94</v>
      </c>
      <c r="M1750" s="14" t="n">
        <v>6.8</v>
      </c>
      <c r="N1750" s="14" t="n">
        <v>0.49</v>
      </c>
      <c r="O1750" s="14" t="n">
        <v>2.43</v>
      </c>
      <c r="P1750" s="14" t="n">
        <v>0</v>
      </c>
      <c r="Q1750" s="14" t="n">
        <v>0</v>
      </c>
      <c r="R1750" s="14" t="n">
        <v>0</v>
      </c>
      <c r="S1750" s="14" t="n">
        <v>2.43</v>
      </c>
      <c r="T1750" s="14" t="n">
        <v>0</v>
      </c>
      <c r="U1750" s="14" t="n">
        <v>23.79</v>
      </c>
      <c r="V1750" s="14" t="n">
        <v>8.74</v>
      </c>
      <c r="W1750" s="14" t="n">
        <v>1.46</v>
      </c>
      <c r="X1750" s="14" t="n">
        <v>0</v>
      </c>
      <c r="Y1750" s="14" t="n">
        <v>2.43</v>
      </c>
      <c r="Z1750" s="14" t="n">
        <v>0</v>
      </c>
      <c r="AA1750" s="14" t="n">
        <v>0</v>
      </c>
    </row>
    <row r="1751">
      <c r="A1751" t="inlineStr">
        <is>
          <t>021013</t>
        </is>
      </c>
      <c r="B1751" t="inlineStr">
        <is>
          <t>ANCASH</t>
        </is>
      </c>
      <c r="C1751" t="inlineStr">
        <is>
          <t>HUARI</t>
        </is>
      </c>
      <c r="D1751" t="inlineStr">
        <is>
          <t>RAPAYAN</t>
        </is>
      </c>
      <c r="E1751" t="n">
        <v>405</v>
      </c>
      <c r="F1751" s="14" t="n">
        <v>0</v>
      </c>
      <c r="G1751" s="14" t="n">
        <v>77.28</v>
      </c>
      <c r="H1751" s="14" t="n">
        <v>0</v>
      </c>
      <c r="I1751" s="14" t="n">
        <v>0.49</v>
      </c>
      <c r="J1751" s="14" t="n">
        <v>0</v>
      </c>
      <c r="K1751" s="14" t="n">
        <v>0</v>
      </c>
      <c r="L1751" s="14" t="n">
        <v>1.48</v>
      </c>
      <c r="M1751" s="14" t="n">
        <v>4.44</v>
      </c>
      <c r="N1751" s="14" t="n">
        <v>0.25</v>
      </c>
      <c r="O1751" s="14" t="n">
        <v>0.25</v>
      </c>
      <c r="P1751" s="14" t="n">
        <v>0</v>
      </c>
      <c r="Q1751" s="14" t="n">
        <v>0</v>
      </c>
      <c r="R1751" s="14" t="n">
        <v>0</v>
      </c>
      <c r="S1751" s="14" t="n">
        <v>0.74</v>
      </c>
      <c r="T1751" s="14" t="n">
        <v>0.25</v>
      </c>
      <c r="U1751" s="14" t="n">
        <v>2.72</v>
      </c>
      <c r="V1751" s="14" t="n">
        <v>7.9</v>
      </c>
      <c r="W1751" s="14" t="n">
        <v>1.98</v>
      </c>
      <c r="X1751" s="14" t="n">
        <v>0</v>
      </c>
      <c r="Y1751" s="14" t="n">
        <v>1.73</v>
      </c>
      <c r="Z1751" s="14" t="n">
        <v>0.49</v>
      </c>
      <c r="AA1751" s="14" t="n">
        <v>0</v>
      </c>
    </row>
    <row r="1752">
      <c r="A1752" t="inlineStr">
        <is>
          <t>022002</t>
        </is>
      </c>
      <c r="B1752" t="inlineStr">
        <is>
          <t>ANCASH</t>
        </is>
      </c>
      <c r="C1752" t="inlineStr">
        <is>
          <t>YUNGAY</t>
        </is>
      </c>
      <c r="D1752" t="inlineStr">
        <is>
          <t>CASCAPARA</t>
        </is>
      </c>
      <c r="E1752" t="n">
        <v>524</v>
      </c>
      <c r="F1752" s="14" t="n">
        <v>0</v>
      </c>
      <c r="G1752" s="14" t="n">
        <v>87.20999999999999</v>
      </c>
      <c r="H1752" s="14" t="n">
        <v>2.29</v>
      </c>
      <c r="I1752" s="14" t="n">
        <v>0.38</v>
      </c>
      <c r="J1752" s="14" t="n">
        <v>0</v>
      </c>
      <c r="K1752" s="14" t="n">
        <v>0</v>
      </c>
      <c r="L1752" s="14" t="n">
        <v>0.57</v>
      </c>
      <c r="M1752" s="14" t="n">
        <v>2.67</v>
      </c>
      <c r="N1752" s="14" t="n">
        <v>0.38</v>
      </c>
      <c r="O1752" s="14" t="n">
        <v>1.53</v>
      </c>
      <c r="P1752" s="14" t="n">
        <v>0</v>
      </c>
      <c r="Q1752" s="14" t="n">
        <v>0</v>
      </c>
      <c r="R1752" s="14" t="n">
        <v>0</v>
      </c>
      <c r="S1752" s="14" t="n">
        <v>0</v>
      </c>
      <c r="T1752" s="14" t="n">
        <v>0.38</v>
      </c>
      <c r="U1752" s="14" t="n">
        <v>1.91</v>
      </c>
      <c r="V1752" s="14" t="n">
        <v>0.76</v>
      </c>
      <c r="W1752" s="14" t="n">
        <v>0.57</v>
      </c>
      <c r="X1752" s="14" t="n">
        <v>0</v>
      </c>
      <c r="Y1752" s="14" t="n">
        <v>0</v>
      </c>
      <c r="Z1752" s="14" t="n">
        <v>1.34</v>
      </c>
      <c r="AA1752" s="14" t="n">
        <v>0</v>
      </c>
    </row>
    <row r="1753">
      <c r="A1753" t="inlineStr">
        <is>
          <t>080506</t>
        </is>
      </c>
      <c r="B1753" t="inlineStr">
        <is>
          <t>CUSCO</t>
        </is>
      </c>
      <c r="C1753" t="inlineStr">
        <is>
          <t>CANAS</t>
        </is>
      </c>
      <c r="D1753" t="inlineStr">
        <is>
          <t>PAMPAMARCA</t>
        </is>
      </c>
      <c r="E1753" t="n">
        <v>653</v>
      </c>
      <c r="F1753" s="14" t="n">
        <v>0</v>
      </c>
      <c r="G1753" s="14" t="n">
        <v>78.87</v>
      </c>
      <c r="H1753" s="14" t="n">
        <v>0.15</v>
      </c>
      <c r="I1753" s="14" t="n">
        <v>0.31</v>
      </c>
      <c r="J1753" s="14" t="n">
        <v>0.15</v>
      </c>
      <c r="K1753" s="14" t="n">
        <v>0</v>
      </c>
      <c r="L1753" s="14" t="n">
        <v>2.3</v>
      </c>
      <c r="M1753" s="14" t="n">
        <v>3.83</v>
      </c>
      <c r="N1753" s="14" t="n">
        <v>2.6</v>
      </c>
      <c r="O1753" s="14" t="n">
        <v>1.38</v>
      </c>
      <c r="P1753" s="14" t="n">
        <v>0</v>
      </c>
      <c r="Q1753" s="14" t="n">
        <v>0</v>
      </c>
      <c r="R1753" s="14" t="n">
        <v>0</v>
      </c>
      <c r="S1753" s="14" t="n">
        <v>1.38</v>
      </c>
      <c r="T1753" s="14" t="n">
        <v>0.31</v>
      </c>
      <c r="U1753" s="14" t="n">
        <v>3.83</v>
      </c>
      <c r="V1753" s="14" t="n">
        <v>3.98</v>
      </c>
      <c r="W1753" s="14" t="n">
        <v>0.46</v>
      </c>
      <c r="X1753" s="14" t="n">
        <v>0</v>
      </c>
      <c r="Y1753" s="14" t="n">
        <v>0.31</v>
      </c>
      <c r="Z1753" s="14" t="n">
        <v>0.15</v>
      </c>
      <c r="AA1753" s="14" t="n">
        <v>0</v>
      </c>
    </row>
    <row r="1754">
      <c r="A1754" t="inlineStr">
        <is>
          <t>040202</t>
        </is>
      </c>
      <c r="B1754" t="inlineStr">
        <is>
          <t>AREQUIPA</t>
        </is>
      </c>
      <c r="C1754" t="inlineStr">
        <is>
          <t>CAMANA</t>
        </is>
      </c>
      <c r="D1754" t="inlineStr">
        <is>
          <t>JOSE MARIA QUIMPER</t>
        </is>
      </c>
      <c r="E1754" t="n">
        <v>1953</v>
      </c>
      <c r="F1754" s="14" t="n">
        <v>0</v>
      </c>
      <c r="G1754" s="14" t="n">
        <v>29.7</v>
      </c>
      <c r="H1754" s="14" t="n">
        <v>2.15</v>
      </c>
      <c r="I1754" s="14" t="n">
        <v>3.02</v>
      </c>
      <c r="J1754" s="14" t="n">
        <v>0.1</v>
      </c>
      <c r="K1754" s="14" t="n">
        <v>0.05</v>
      </c>
      <c r="L1754" s="14" t="n">
        <v>7.89</v>
      </c>
      <c r="M1754" s="14" t="n">
        <v>18.48</v>
      </c>
      <c r="N1754" s="14" t="n">
        <v>10.29</v>
      </c>
      <c r="O1754" s="14" t="n">
        <v>7.07</v>
      </c>
      <c r="P1754" s="14" t="n">
        <v>0.31</v>
      </c>
      <c r="Q1754" s="14" t="n">
        <v>1.38</v>
      </c>
      <c r="R1754" s="14" t="n">
        <v>0</v>
      </c>
      <c r="S1754" s="14" t="n">
        <v>2.46</v>
      </c>
      <c r="T1754" s="14" t="n">
        <v>2.15</v>
      </c>
      <c r="U1754" s="14" t="n">
        <v>3.48</v>
      </c>
      <c r="V1754" s="14" t="n">
        <v>5.43</v>
      </c>
      <c r="W1754" s="14" t="n">
        <v>2.05</v>
      </c>
      <c r="X1754" s="14" t="n">
        <v>0.92</v>
      </c>
      <c r="Y1754" s="14" t="n">
        <v>1.95</v>
      </c>
      <c r="Z1754" s="14" t="n">
        <v>1.13</v>
      </c>
      <c r="AA1754" s="14" t="n">
        <v>0</v>
      </c>
    </row>
    <row r="1755">
      <c r="A1755" t="inlineStr">
        <is>
          <t>010117</t>
        </is>
      </c>
      <c r="B1755" t="inlineStr">
        <is>
          <t>AMAZONAS</t>
        </is>
      </c>
      <c r="C1755" t="inlineStr">
        <is>
          <t>CHACHAPOYAS</t>
        </is>
      </c>
      <c r="D1755" t="inlineStr">
        <is>
          <t>QUINJALCA</t>
        </is>
      </c>
      <c r="E1755" t="n">
        <v>318</v>
      </c>
      <c r="F1755" s="14" t="n">
        <v>0</v>
      </c>
      <c r="G1755" s="14" t="n">
        <v>77.36</v>
      </c>
      <c r="H1755" s="14" t="n">
        <v>0</v>
      </c>
      <c r="I1755" s="14" t="n">
        <v>1.89</v>
      </c>
      <c r="J1755" s="14" t="n">
        <v>0</v>
      </c>
      <c r="K1755" s="14" t="n">
        <v>0</v>
      </c>
      <c r="L1755" s="14" t="n">
        <v>0.9399999999999999</v>
      </c>
      <c r="M1755" s="14" t="n">
        <v>1.26</v>
      </c>
      <c r="N1755" s="14" t="n">
        <v>0</v>
      </c>
      <c r="O1755" s="14" t="n">
        <v>0</v>
      </c>
      <c r="P1755" s="14" t="n">
        <v>0</v>
      </c>
      <c r="Q1755" s="14" t="n">
        <v>0</v>
      </c>
      <c r="R1755" s="14" t="n">
        <v>0</v>
      </c>
      <c r="S1755" s="14" t="n">
        <v>0.31</v>
      </c>
      <c r="T1755" s="14" t="n">
        <v>0.63</v>
      </c>
      <c r="U1755" s="14" t="n">
        <v>0</v>
      </c>
      <c r="V1755" s="14" t="n">
        <v>0.31</v>
      </c>
      <c r="W1755" s="14" t="n">
        <v>0</v>
      </c>
      <c r="X1755" s="14" t="n">
        <v>0</v>
      </c>
      <c r="Y1755" s="14" t="n">
        <v>16.98</v>
      </c>
      <c r="Z1755" s="14" t="n">
        <v>0.31</v>
      </c>
      <c r="AA1755" s="14" t="n">
        <v>0</v>
      </c>
    </row>
    <row r="1756">
      <c r="A1756" t="inlineStr">
        <is>
          <t>080303</t>
        </is>
      </c>
      <c r="B1756" t="inlineStr">
        <is>
          <t>CUSCO</t>
        </is>
      </c>
      <c r="C1756" t="inlineStr">
        <is>
          <t>ANTA</t>
        </is>
      </c>
      <c r="D1756" t="inlineStr">
        <is>
          <t>CACHIMAYO</t>
        </is>
      </c>
      <c r="E1756" t="n">
        <v>1073</v>
      </c>
      <c r="F1756" s="14" t="n">
        <v>0</v>
      </c>
      <c r="G1756" s="14" t="n">
        <v>25.26</v>
      </c>
      <c r="H1756" s="14" t="n">
        <v>0.37</v>
      </c>
      <c r="I1756" s="14" t="n">
        <v>7.74</v>
      </c>
      <c r="J1756" s="14" t="n">
        <v>0.28</v>
      </c>
      <c r="K1756" s="14" t="n">
        <v>0.19</v>
      </c>
      <c r="L1756" s="14" t="n">
        <v>11.74</v>
      </c>
      <c r="M1756" s="14" t="n">
        <v>15.1</v>
      </c>
      <c r="N1756" s="14" t="n">
        <v>10.72</v>
      </c>
      <c r="O1756" s="14" t="n">
        <v>8.109999999999999</v>
      </c>
      <c r="P1756" s="14" t="n">
        <v>0.5600000000000001</v>
      </c>
      <c r="Q1756" s="14" t="n">
        <v>1.03</v>
      </c>
      <c r="R1756" s="14" t="n">
        <v>0.28</v>
      </c>
      <c r="S1756" s="14" t="n">
        <v>2.7</v>
      </c>
      <c r="T1756" s="14" t="n">
        <v>4.75</v>
      </c>
      <c r="U1756" s="14" t="n">
        <v>4.19</v>
      </c>
      <c r="V1756" s="14" t="n">
        <v>3.17</v>
      </c>
      <c r="W1756" s="14" t="n">
        <v>1.21</v>
      </c>
      <c r="X1756" s="14" t="n">
        <v>0.65</v>
      </c>
      <c r="Y1756" s="14" t="n">
        <v>1.3</v>
      </c>
      <c r="Z1756" s="14" t="n">
        <v>0.65</v>
      </c>
      <c r="AA1756" s="14" t="n">
        <v>0</v>
      </c>
    </row>
    <row r="1757">
      <c r="A1757" t="inlineStr">
        <is>
          <t>020506</t>
        </is>
      </c>
      <c r="B1757" t="inlineStr">
        <is>
          <t>ANCASH</t>
        </is>
      </c>
      <c r="C1757" t="inlineStr">
        <is>
          <t>BOLOGNESI</t>
        </is>
      </c>
      <c r="D1757" t="inlineStr">
        <is>
          <t>CANIS</t>
        </is>
      </c>
      <c r="E1757" t="n">
        <v>116</v>
      </c>
      <c r="F1757" s="14" t="n">
        <v>0</v>
      </c>
      <c r="G1757" s="14" t="n">
        <v>64.66</v>
      </c>
      <c r="H1757" s="14" t="n">
        <v>0</v>
      </c>
      <c r="I1757" s="14" t="n">
        <v>0</v>
      </c>
      <c r="J1757" s="14" t="n">
        <v>0</v>
      </c>
      <c r="K1757" s="14" t="n">
        <v>0</v>
      </c>
      <c r="L1757" s="14" t="n">
        <v>6.9</v>
      </c>
      <c r="M1757" s="14" t="n">
        <v>9.48</v>
      </c>
      <c r="N1757" s="14" t="n">
        <v>5.17</v>
      </c>
      <c r="O1757" s="14" t="n">
        <v>1.72</v>
      </c>
      <c r="P1757" s="14" t="n">
        <v>0</v>
      </c>
      <c r="Q1757" s="14" t="n">
        <v>0</v>
      </c>
      <c r="R1757" s="14" t="n">
        <v>0</v>
      </c>
      <c r="S1757" s="14" t="n">
        <v>1.72</v>
      </c>
      <c r="T1757" s="14" t="n">
        <v>0</v>
      </c>
      <c r="U1757" s="14" t="n">
        <v>4.31</v>
      </c>
      <c r="V1757" s="14" t="n">
        <v>2.59</v>
      </c>
      <c r="W1757" s="14" t="n">
        <v>3.45</v>
      </c>
      <c r="X1757" s="14" t="n">
        <v>0</v>
      </c>
      <c r="Y1757" s="14" t="n">
        <v>0</v>
      </c>
      <c r="Z1757" s="14" t="n">
        <v>0</v>
      </c>
      <c r="AA1757" s="14" t="n">
        <v>0</v>
      </c>
    </row>
    <row r="1758">
      <c r="A1758" t="inlineStr">
        <is>
          <t>040308</t>
        </is>
      </c>
      <c r="B1758" t="inlineStr">
        <is>
          <t>AREQUIPA</t>
        </is>
      </c>
      <c r="C1758" t="inlineStr">
        <is>
          <t>CARAVELI</t>
        </is>
      </c>
      <c r="D1758" t="inlineStr">
        <is>
          <t>CHAPARRA</t>
        </is>
      </c>
      <c r="E1758" t="n">
        <v>1990</v>
      </c>
      <c r="F1758" s="14" t="n">
        <v>0</v>
      </c>
      <c r="G1758" s="14" t="n">
        <v>14.47</v>
      </c>
      <c r="H1758" s="14" t="n">
        <v>53.87</v>
      </c>
      <c r="I1758" s="14" t="n">
        <v>2.16</v>
      </c>
      <c r="J1758" s="14" t="n">
        <v>0</v>
      </c>
      <c r="K1758" s="14" t="n">
        <v>0.1</v>
      </c>
      <c r="L1758" s="14" t="n">
        <v>4.32</v>
      </c>
      <c r="M1758" s="14" t="n">
        <v>7.94</v>
      </c>
      <c r="N1758" s="14" t="n">
        <v>3.37</v>
      </c>
      <c r="O1758" s="14" t="n">
        <v>5.63</v>
      </c>
      <c r="P1758" s="14" t="n">
        <v>0.05</v>
      </c>
      <c r="Q1758" s="14" t="n">
        <v>0</v>
      </c>
      <c r="R1758" s="14" t="n">
        <v>0</v>
      </c>
      <c r="S1758" s="14" t="n">
        <v>0.65</v>
      </c>
      <c r="T1758" s="14" t="n">
        <v>1.81</v>
      </c>
      <c r="U1758" s="14" t="n">
        <v>2.11</v>
      </c>
      <c r="V1758" s="14" t="n">
        <v>1.91</v>
      </c>
      <c r="W1758" s="14" t="n">
        <v>0.35</v>
      </c>
      <c r="X1758" s="14" t="n">
        <v>0.05</v>
      </c>
      <c r="Y1758" s="14" t="n">
        <v>1.06</v>
      </c>
      <c r="Z1758" s="14" t="n">
        <v>0.15</v>
      </c>
      <c r="AA1758" s="14" t="n">
        <v>0</v>
      </c>
    </row>
    <row r="1759">
      <c r="A1759" t="inlineStr">
        <is>
          <t>060615</t>
        </is>
      </c>
      <c r="B1759" t="inlineStr">
        <is>
          <t>CAJAMARCA</t>
        </is>
      </c>
      <c r="C1759" t="inlineStr">
        <is>
          <t>CUTERVO</t>
        </is>
      </c>
      <c r="D1759" t="inlineStr">
        <is>
          <t>TORIBIO CASANOVA</t>
        </is>
      </c>
      <c r="E1759" t="n">
        <v>369</v>
      </c>
      <c r="F1759" s="14" t="n">
        <v>0</v>
      </c>
      <c r="G1759" s="14" t="n">
        <v>75.88</v>
      </c>
      <c r="H1759" s="14" t="n">
        <v>0</v>
      </c>
      <c r="I1759" s="14" t="n">
        <v>1.63</v>
      </c>
      <c r="J1759" s="14" t="n">
        <v>0.27</v>
      </c>
      <c r="K1759" s="14" t="n">
        <v>0</v>
      </c>
      <c r="L1759" s="14" t="n">
        <v>1.36</v>
      </c>
      <c r="M1759" s="14" t="n">
        <v>3.52</v>
      </c>
      <c r="N1759" s="14" t="n">
        <v>1.36</v>
      </c>
      <c r="O1759" s="14" t="n">
        <v>1.9</v>
      </c>
      <c r="P1759" s="14" t="n">
        <v>0</v>
      </c>
      <c r="Q1759" s="14" t="n">
        <v>0</v>
      </c>
      <c r="R1759" s="14" t="n">
        <v>0</v>
      </c>
      <c r="S1759" s="14" t="n">
        <v>1.08</v>
      </c>
      <c r="T1759" s="14" t="n">
        <v>0.27</v>
      </c>
      <c r="U1759" s="14" t="n">
        <v>3.52</v>
      </c>
      <c r="V1759" s="14" t="n">
        <v>7.05</v>
      </c>
      <c r="W1759" s="14" t="n">
        <v>2.17</v>
      </c>
      <c r="X1759" s="14" t="n">
        <v>0</v>
      </c>
      <c r="Y1759" s="14" t="n">
        <v>0</v>
      </c>
      <c r="Z1759" s="14" t="n">
        <v>0</v>
      </c>
      <c r="AA1759" s="14" t="n">
        <v>0</v>
      </c>
    </row>
    <row r="1760">
      <c r="A1760" t="inlineStr">
        <is>
          <t>050404</t>
        </is>
      </c>
      <c r="B1760" t="inlineStr">
        <is>
          <t>AYACUCHO</t>
        </is>
      </c>
      <c r="C1760" t="inlineStr">
        <is>
          <t>HUANTA</t>
        </is>
      </c>
      <c r="D1760" t="inlineStr">
        <is>
          <t>IGUAIN</t>
        </is>
      </c>
      <c r="E1760" t="n">
        <v>895</v>
      </c>
      <c r="F1760" s="14" t="n">
        <v>0</v>
      </c>
      <c r="G1760" s="14" t="n">
        <v>80.56</v>
      </c>
      <c r="H1760" s="14" t="n">
        <v>0.11</v>
      </c>
      <c r="I1760" s="14" t="n">
        <v>0.67</v>
      </c>
      <c r="J1760" s="14" t="n">
        <v>0</v>
      </c>
      <c r="K1760" s="14" t="n">
        <v>0.11</v>
      </c>
      <c r="L1760" s="14" t="n">
        <v>2.23</v>
      </c>
      <c r="M1760" s="14" t="n">
        <v>7.15</v>
      </c>
      <c r="N1760" s="14" t="n">
        <v>3.46</v>
      </c>
      <c r="O1760" s="14" t="n">
        <v>1.56</v>
      </c>
      <c r="P1760" s="14" t="n">
        <v>0</v>
      </c>
      <c r="Q1760" s="14" t="n">
        <v>0.11</v>
      </c>
      <c r="R1760" s="14" t="n">
        <v>0</v>
      </c>
      <c r="S1760" s="14" t="n">
        <v>0.45</v>
      </c>
      <c r="T1760" s="14" t="n">
        <v>0.34</v>
      </c>
      <c r="U1760" s="14" t="n">
        <v>1.34</v>
      </c>
      <c r="V1760" s="14" t="n">
        <v>0.5600000000000001</v>
      </c>
      <c r="W1760" s="14" t="n">
        <v>0.67</v>
      </c>
      <c r="X1760" s="14" t="n">
        <v>0</v>
      </c>
      <c r="Y1760" s="14" t="n">
        <v>0.45</v>
      </c>
      <c r="Z1760" s="14" t="n">
        <v>0.22</v>
      </c>
      <c r="AA1760" s="14" t="n">
        <v>0</v>
      </c>
    </row>
    <row r="1761">
      <c r="A1761" t="inlineStr">
        <is>
          <t>081009</t>
        </is>
      </c>
      <c r="B1761" t="inlineStr">
        <is>
          <t>CUSCO</t>
        </is>
      </c>
      <c r="C1761" t="inlineStr">
        <is>
          <t>PARURO</t>
        </is>
      </c>
      <c r="D1761" t="inlineStr">
        <is>
          <t>YAURISQUE</t>
        </is>
      </c>
      <c r="E1761" t="n">
        <v>593</v>
      </c>
      <c r="F1761" s="14" t="n">
        <v>0</v>
      </c>
      <c r="G1761" s="14" t="n">
        <v>65.09</v>
      </c>
      <c r="H1761" s="14" t="n">
        <v>0</v>
      </c>
      <c r="I1761" s="14" t="n">
        <v>1.69</v>
      </c>
      <c r="J1761" s="14" t="n">
        <v>0</v>
      </c>
      <c r="K1761" s="14" t="n">
        <v>0</v>
      </c>
      <c r="L1761" s="14" t="n">
        <v>8.43</v>
      </c>
      <c r="M1761" s="14" t="n">
        <v>6.75</v>
      </c>
      <c r="N1761" s="14" t="n">
        <v>4.55</v>
      </c>
      <c r="O1761" s="14" t="n">
        <v>4.89</v>
      </c>
      <c r="P1761" s="14" t="n">
        <v>0</v>
      </c>
      <c r="Q1761" s="14" t="n">
        <v>0</v>
      </c>
      <c r="R1761" s="14" t="n">
        <v>0.17</v>
      </c>
      <c r="S1761" s="14" t="n">
        <v>0.67</v>
      </c>
      <c r="T1761" s="14" t="n">
        <v>0.84</v>
      </c>
      <c r="U1761" s="14" t="n">
        <v>3.2</v>
      </c>
      <c r="V1761" s="14" t="n">
        <v>1.69</v>
      </c>
      <c r="W1761" s="14" t="n">
        <v>0.51</v>
      </c>
      <c r="X1761" s="14" t="n">
        <v>0</v>
      </c>
      <c r="Y1761" s="14" t="n">
        <v>0.84</v>
      </c>
      <c r="Z1761" s="14" t="n">
        <v>0.67</v>
      </c>
      <c r="AA1761" s="14" t="n">
        <v>0</v>
      </c>
    </row>
    <row r="1762">
      <c r="A1762" t="inlineStr">
        <is>
          <t>040102</t>
        </is>
      </c>
      <c r="B1762" t="inlineStr">
        <is>
          <t>AREQUIPA</t>
        </is>
      </c>
      <c r="C1762" t="inlineStr">
        <is>
          <t>AREQUIPA</t>
        </is>
      </c>
      <c r="D1762" t="inlineStr">
        <is>
          <t>ALTO SELVA ALEGRE</t>
        </is>
      </c>
      <c r="E1762" t="n">
        <v>40411</v>
      </c>
      <c r="F1762" s="14" t="n">
        <v>0</v>
      </c>
      <c r="G1762" s="14" t="n">
        <v>1.8</v>
      </c>
      <c r="H1762" s="14" t="n">
        <v>1.56</v>
      </c>
      <c r="I1762" s="14" t="n">
        <v>10.21</v>
      </c>
      <c r="J1762" s="14" t="n">
        <v>0.11</v>
      </c>
      <c r="K1762" s="14" t="n">
        <v>0.27</v>
      </c>
      <c r="L1762" s="14" t="n">
        <v>8.58</v>
      </c>
      <c r="M1762" s="14" t="n">
        <v>24.05</v>
      </c>
      <c r="N1762" s="14" t="n">
        <v>11.26</v>
      </c>
      <c r="O1762" s="14" t="n">
        <v>7.88</v>
      </c>
      <c r="P1762" s="14" t="n">
        <v>0.97</v>
      </c>
      <c r="Q1762" s="14" t="n">
        <v>1.35</v>
      </c>
      <c r="R1762" s="14" t="n">
        <v>0.15</v>
      </c>
      <c r="S1762" s="14" t="n">
        <v>6.16</v>
      </c>
      <c r="T1762" s="14" t="n">
        <v>4</v>
      </c>
      <c r="U1762" s="14" t="n">
        <v>4.06</v>
      </c>
      <c r="V1762" s="14" t="n">
        <v>7.44</v>
      </c>
      <c r="W1762" s="14" t="n">
        <v>3.99</v>
      </c>
      <c r="X1762" s="14" t="n">
        <v>1.17</v>
      </c>
      <c r="Y1762" s="14" t="n">
        <v>3.55</v>
      </c>
      <c r="Z1762" s="14" t="n">
        <v>1.45</v>
      </c>
      <c r="AA1762" s="14" t="n">
        <v>0</v>
      </c>
    </row>
    <row r="1763">
      <c r="A1763" t="inlineStr">
        <is>
          <t>080405</t>
        </is>
      </c>
      <c r="B1763" t="inlineStr">
        <is>
          <t>CUSCO</t>
        </is>
      </c>
      <c r="C1763" t="inlineStr">
        <is>
          <t>CALCA</t>
        </is>
      </c>
      <c r="D1763" t="inlineStr">
        <is>
          <t>PISAC</t>
        </is>
      </c>
      <c r="E1763" t="n">
        <v>3531</v>
      </c>
      <c r="F1763" s="14" t="n">
        <v>0</v>
      </c>
      <c r="G1763" s="14" t="n">
        <v>37.41</v>
      </c>
      <c r="H1763" s="14" t="n">
        <v>0.2</v>
      </c>
      <c r="I1763" s="14" t="n">
        <v>6.63</v>
      </c>
      <c r="J1763" s="14" t="n">
        <v>0</v>
      </c>
      <c r="K1763" s="14" t="n">
        <v>0</v>
      </c>
      <c r="L1763" s="14" t="n">
        <v>6.54</v>
      </c>
      <c r="M1763" s="14" t="n">
        <v>20.99</v>
      </c>
      <c r="N1763" s="14" t="n">
        <v>4.79</v>
      </c>
      <c r="O1763" s="14" t="n">
        <v>7.9</v>
      </c>
      <c r="P1763" s="14" t="n">
        <v>0.48</v>
      </c>
      <c r="Q1763" s="14" t="n">
        <v>0.45</v>
      </c>
      <c r="R1763" s="14" t="n">
        <v>0.03</v>
      </c>
      <c r="S1763" s="14" t="n">
        <v>1.56</v>
      </c>
      <c r="T1763" s="14" t="n">
        <v>2.86</v>
      </c>
      <c r="U1763" s="14" t="n">
        <v>5.27</v>
      </c>
      <c r="V1763" s="14" t="n">
        <v>2.18</v>
      </c>
      <c r="W1763" s="14" t="n">
        <v>0.96</v>
      </c>
      <c r="X1763" s="14" t="n">
        <v>0.37</v>
      </c>
      <c r="Y1763" s="14" t="n">
        <v>1.08</v>
      </c>
      <c r="Z1763" s="14" t="n">
        <v>0.31</v>
      </c>
      <c r="AA1763" s="14" t="n">
        <v>0</v>
      </c>
    </row>
    <row r="1764">
      <c r="A1764" t="inlineStr">
        <is>
          <t>061307</t>
        </is>
      </c>
      <c r="B1764" t="inlineStr">
        <is>
          <t>CAJAMARCA</t>
        </is>
      </c>
      <c r="C1764" t="inlineStr">
        <is>
          <t>SANTA CRUZ</t>
        </is>
      </c>
      <c r="D1764" t="inlineStr">
        <is>
          <t>PULAN</t>
        </is>
      </c>
      <c r="E1764" t="n">
        <v>1181</v>
      </c>
      <c r="F1764" s="14" t="n">
        <v>0</v>
      </c>
      <c r="G1764" s="14" t="n">
        <v>76.20999999999999</v>
      </c>
      <c r="H1764" s="14" t="n">
        <v>0.25</v>
      </c>
      <c r="I1764" s="14" t="n">
        <v>2.03</v>
      </c>
      <c r="J1764" s="14" t="n">
        <v>0</v>
      </c>
      <c r="K1764" s="14" t="n">
        <v>0</v>
      </c>
      <c r="L1764" s="14" t="n">
        <v>0.93</v>
      </c>
      <c r="M1764" s="14" t="n">
        <v>4.23</v>
      </c>
      <c r="N1764" s="14" t="n">
        <v>1.35</v>
      </c>
      <c r="O1764" s="14" t="n">
        <v>0.51</v>
      </c>
      <c r="P1764" s="14" t="n">
        <v>0.08</v>
      </c>
      <c r="Q1764" s="14" t="n">
        <v>0.08</v>
      </c>
      <c r="R1764" s="14" t="n">
        <v>0</v>
      </c>
      <c r="S1764" s="14" t="n">
        <v>0.59</v>
      </c>
      <c r="T1764" s="14" t="n">
        <v>3.47</v>
      </c>
      <c r="U1764" s="14" t="n">
        <v>2.2</v>
      </c>
      <c r="V1764" s="14" t="n">
        <v>5.84</v>
      </c>
      <c r="W1764" s="14" t="n">
        <v>1.52</v>
      </c>
      <c r="X1764" s="14" t="n">
        <v>0</v>
      </c>
      <c r="Y1764" s="14" t="n">
        <v>0.17</v>
      </c>
      <c r="Z1764" s="14" t="n">
        <v>0.51</v>
      </c>
      <c r="AA1764" s="14" t="n">
        <v>0</v>
      </c>
    </row>
    <row r="1765">
      <c r="A1765" t="inlineStr">
        <is>
          <t>050620</t>
        </is>
      </c>
      <c r="B1765" t="inlineStr">
        <is>
          <t>AYACUCHO</t>
        </is>
      </c>
      <c r="C1765" t="inlineStr">
        <is>
          <t>LUCANAS</t>
        </is>
      </c>
      <c r="D1765" t="inlineStr">
        <is>
          <t>SANTA ANA DE HUAYCAHUACHO</t>
        </is>
      </c>
      <c r="E1765" t="n">
        <v>417</v>
      </c>
      <c r="F1765" s="14" t="n">
        <v>0</v>
      </c>
      <c r="G1765" s="14" t="n">
        <v>68.34999999999999</v>
      </c>
      <c r="H1765" s="14" t="n">
        <v>0.24</v>
      </c>
      <c r="I1765" s="14" t="n">
        <v>1.68</v>
      </c>
      <c r="J1765" s="14" t="n">
        <v>0</v>
      </c>
      <c r="K1765" s="14" t="n">
        <v>0</v>
      </c>
      <c r="L1765" s="14" t="n">
        <v>3.6</v>
      </c>
      <c r="M1765" s="14" t="n">
        <v>8.630000000000001</v>
      </c>
      <c r="N1765" s="14" t="n">
        <v>1.44</v>
      </c>
      <c r="O1765" s="14" t="n">
        <v>3.84</v>
      </c>
      <c r="P1765" s="14" t="n">
        <v>0.24</v>
      </c>
      <c r="Q1765" s="14" t="n">
        <v>0.48</v>
      </c>
      <c r="R1765" s="14" t="n">
        <v>0</v>
      </c>
      <c r="S1765" s="14" t="n">
        <v>1.2</v>
      </c>
      <c r="T1765" s="14" t="n">
        <v>0</v>
      </c>
      <c r="U1765" s="14" t="n">
        <v>3.36</v>
      </c>
      <c r="V1765" s="14" t="n">
        <v>4.08</v>
      </c>
      <c r="W1765" s="14" t="n">
        <v>1.44</v>
      </c>
      <c r="X1765" s="14" t="n">
        <v>0</v>
      </c>
      <c r="Y1765" s="14" t="n">
        <v>0.72</v>
      </c>
      <c r="Z1765" s="14" t="n">
        <v>0.72</v>
      </c>
      <c r="AA1765" s="14" t="n">
        <v>0</v>
      </c>
    </row>
    <row r="1766">
      <c r="A1766" t="inlineStr">
        <is>
          <t>020905</t>
        </is>
      </c>
      <c r="B1766" t="inlineStr">
        <is>
          <t>ANCASH</t>
        </is>
      </c>
      <c r="C1766" t="inlineStr">
        <is>
          <t>CORONGO</t>
        </is>
      </c>
      <c r="D1766" t="inlineStr">
        <is>
          <t>LA PAMPA</t>
        </is>
      </c>
      <c r="E1766" t="n">
        <v>350</v>
      </c>
      <c r="F1766" s="14" t="n">
        <v>0</v>
      </c>
      <c r="G1766" s="14" t="n">
        <v>43.43</v>
      </c>
      <c r="H1766" s="14" t="n">
        <v>0.57</v>
      </c>
      <c r="I1766" s="14" t="n">
        <v>3.43</v>
      </c>
      <c r="J1766" s="14" t="n">
        <v>0.29</v>
      </c>
      <c r="K1766" s="14" t="n">
        <v>0</v>
      </c>
      <c r="L1766" s="14" t="n">
        <v>11.43</v>
      </c>
      <c r="M1766" s="14" t="n">
        <v>11.71</v>
      </c>
      <c r="N1766" s="14" t="n">
        <v>2.57</v>
      </c>
      <c r="O1766" s="14" t="n">
        <v>7.14</v>
      </c>
      <c r="P1766" s="14" t="n">
        <v>0</v>
      </c>
      <c r="Q1766" s="14" t="n">
        <v>0</v>
      </c>
      <c r="R1766" s="14" t="n">
        <v>0</v>
      </c>
      <c r="S1766" s="14" t="n">
        <v>0.57</v>
      </c>
      <c r="T1766" s="14" t="n">
        <v>1.43</v>
      </c>
      <c r="U1766" s="14" t="n">
        <v>3.71</v>
      </c>
      <c r="V1766" s="14" t="n">
        <v>8</v>
      </c>
      <c r="W1766" s="14" t="n">
        <v>2.29</v>
      </c>
      <c r="X1766" s="14" t="n">
        <v>0</v>
      </c>
      <c r="Y1766" s="14" t="n">
        <v>2.86</v>
      </c>
      <c r="Z1766" s="14" t="n">
        <v>0.57</v>
      </c>
      <c r="AA1766" s="14" t="n">
        <v>0</v>
      </c>
    </row>
    <row r="1767">
      <c r="A1767" t="inlineStr">
        <is>
          <t>020306</t>
        </is>
      </c>
      <c r="B1767" t="inlineStr">
        <is>
          <t>ANCASH</t>
        </is>
      </c>
      <c r="C1767" t="inlineStr">
        <is>
          <t>ANTONIO RAYMONDI</t>
        </is>
      </c>
      <c r="D1767" t="inlineStr">
        <is>
          <t>SAN JUAN DE RONTOY</t>
        </is>
      </c>
      <c r="E1767" t="n">
        <v>281</v>
      </c>
      <c r="F1767" s="14" t="n">
        <v>0</v>
      </c>
      <c r="G1767" s="14" t="n">
        <v>80.43000000000001</v>
      </c>
      <c r="H1767" s="14" t="n">
        <v>0</v>
      </c>
      <c r="I1767" s="14" t="n">
        <v>1.42</v>
      </c>
      <c r="J1767" s="14" t="n">
        <v>0</v>
      </c>
      <c r="K1767" s="14" t="n">
        <v>0</v>
      </c>
      <c r="L1767" s="14" t="n">
        <v>1.78</v>
      </c>
      <c r="M1767" s="14" t="n">
        <v>4.27</v>
      </c>
      <c r="N1767" s="14" t="n">
        <v>0.36</v>
      </c>
      <c r="O1767" s="14" t="n">
        <v>0.36</v>
      </c>
      <c r="P1767" s="14" t="n">
        <v>0</v>
      </c>
      <c r="Q1767" s="14" t="n">
        <v>0</v>
      </c>
      <c r="R1767" s="14" t="n">
        <v>0</v>
      </c>
      <c r="S1767" s="14" t="n">
        <v>0.36</v>
      </c>
      <c r="T1767" s="14" t="n">
        <v>0.36</v>
      </c>
      <c r="U1767" s="14" t="n">
        <v>3.2</v>
      </c>
      <c r="V1767" s="14" t="n">
        <v>6.41</v>
      </c>
      <c r="W1767" s="14" t="n">
        <v>1.07</v>
      </c>
      <c r="X1767" s="14" t="n">
        <v>0</v>
      </c>
      <c r="Y1767" s="14" t="n">
        <v>0</v>
      </c>
      <c r="Z1767" s="14" t="n">
        <v>0</v>
      </c>
      <c r="AA1767" s="14" t="n">
        <v>0</v>
      </c>
    </row>
    <row r="1768">
      <c r="A1768" t="inlineStr">
        <is>
          <t>081206</t>
        </is>
      </c>
      <c r="B1768" t="inlineStr">
        <is>
          <t>CUSCO</t>
        </is>
      </c>
      <c r="C1768" t="inlineStr">
        <is>
          <t>QUISPICANCHI</t>
        </is>
      </c>
      <c r="D1768" t="inlineStr">
        <is>
          <t>CUSIPATA</t>
        </is>
      </c>
      <c r="E1768" t="n">
        <v>1360</v>
      </c>
      <c r="F1768" s="14" t="n">
        <v>0</v>
      </c>
      <c r="G1768" s="14" t="n">
        <v>66.98999999999999</v>
      </c>
      <c r="H1768" s="14" t="n">
        <v>0.37</v>
      </c>
      <c r="I1768" s="14" t="n">
        <v>2.72</v>
      </c>
      <c r="J1768" s="14" t="n">
        <v>0.07000000000000001</v>
      </c>
      <c r="K1768" s="14" t="n">
        <v>0</v>
      </c>
      <c r="L1768" s="14" t="n">
        <v>5.74</v>
      </c>
      <c r="M1768" s="14" t="n">
        <v>6.25</v>
      </c>
      <c r="N1768" s="14" t="n">
        <v>4.12</v>
      </c>
      <c r="O1768" s="14" t="n">
        <v>4.41</v>
      </c>
      <c r="P1768" s="14" t="n">
        <v>0</v>
      </c>
      <c r="Q1768" s="14" t="n">
        <v>0.15</v>
      </c>
      <c r="R1768" s="14" t="n">
        <v>0</v>
      </c>
      <c r="S1768" s="14" t="n">
        <v>1.62</v>
      </c>
      <c r="T1768" s="14" t="n">
        <v>1.18</v>
      </c>
      <c r="U1768" s="14" t="n">
        <v>1.47</v>
      </c>
      <c r="V1768" s="14" t="n">
        <v>3.38</v>
      </c>
      <c r="W1768" s="14" t="n">
        <v>0.44</v>
      </c>
      <c r="X1768" s="14" t="n">
        <v>0.22</v>
      </c>
      <c r="Y1768" s="14" t="n">
        <v>0.59</v>
      </c>
      <c r="Z1768" s="14" t="n">
        <v>0.29</v>
      </c>
      <c r="AA1768" s="14" t="n">
        <v>0</v>
      </c>
    </row>
    <row r="1769">
      <c r="A1769" t="inlineStr">
        <is>
          <t>021507</t>
        </is>
      </c>
      <c r="B1769" t="inlineStr">
        <is>
          <t>ANCASH</t>
        </is>
      </c>
      <c r="C1769" t="inlineStr">
        <is>
          <t>PALLASCA</t>
        </is>
      </c>
      <c r="D1769" t="inlineStr">
        <is>
          <t>LLAPO</t>
        </is>
      </c>
      <c r="E1769" t="n">
        <v>174</v>
      </c>
      <c r="F1769" s="14" t="n">
        <v>0</v>
      </c>
      <c r="G1769" s="14" t="n">
        <v>62.64</v>
      </c>
      <c r="H1769" s="14" t="n">
        <v>0.57</v>
      </c>
      <c r="I1769" s="14" t="n">
        <v>4.02</v>
      </c>
      <c r="J1769" s="14" t="n">
        <v>0</v>
      </c>
      <c r="K1769" s="14" t="n">
        <v>0</v>
      </c>
      <c r="L1769" s="14" t="n">
        <v>3.45</v>
      </c>
      <c r="M1769" s="14" t="n">
        <v>5.75</v>
      </c>
      <c r="N1769" s="14" t="n">
        <v>0.57</v>
      </c>
      <c r="O1769" s="14" t="n">
        <v>1.72</v>
      </c>
      <c r="P1769" s="14" t="n">
        <v>0</v>
      </c>
      <c r="Q1769" s="14" t="n">
        <v>0</v>
      </c>
      <c r="R1769" s="14" t="n">
        <v>0</v>
      </c>
      <c r="S1769" s="14" t="n">
        <v>0.57</v>
      </c>
      <c r="T1769" s="14" t="n">
        <v>0</v>
      </c>
      <c r="U1769" s="14" t="n">
        <v>4.02</v>
      </c>
      <c r="V1769" s="14" t="n">
        <v>12.07</v>
      </c>
      <c r="W1769" s="14" t="n">
        <v>1.15</v>
      </c>
      <c r="X1769" s="14" t="n">
        <v>0</v>
      </c>
      <c r="Y1769" s="14" t="n">
        <v>0.57</v>
      </c>
      <c r="Z1769" s="14" t="n">
        <v>2.87</v>
      </c>
      <c r="AA1769" s="14" t="n">
        <v>0</v>
      </c>
    </row>
    <row r="1770">
      <c r="A1770" t="inlineStr">
        <is>
          <t>010111</t>
        </is>
      </c>
      <c r="B1770" t="inlineStr">
        <is>
          <t>AMAZONAS</t>
        </is>
      </c>
      <c r="C1770" t="inlineStr">
        <is>
          <t>CHACHAPOYAS</t>
        </is>
      </c>
      <c r="D1770" t="inlineStr">
        <is>
          <t>LEVANTO</t>
        </is>
      </c>
      <c r="E1770" t="n">
        <v>344</v>
      </c>
      <c r="F1770" s="14" t="n">
        <v>0</v>
      </c>
      <c r="G1770" s="14" t="n">
        <v>80.81</v>
      </c>
      <c r="H1770" s="14" t="n">
        <v>0</v>
      </c>
      <c r="I1770" s="14" t="n">
        <v>2.33</v>
      </c>
      <c r="J1770" s="14" t="n">
        <v>0</v>
      </c>
      <c r="K1770" s="14" t="n">
        <v>0</v>
      </c>
      <c r="L1770" s="14" t="n">
        <v>3.2</v>
      </c>
      <c r="M1770" s="14" t="n">
        <v>5.23</v>
      </c>
      <c r="N1770" s="14" t="n">
        <v>1.16</v>
      </c>
      <c r="O1770" s="14" t="n">
        <v>0.58</v>
      </c>
      <c r="P1770" s="14" t="n">
        <v>0</v>
      </c>
      <c r="Q1770" s="14" t="n">
        <v>0</v>
      </c>
      <c r="R1770" s="14" t="n">
        <v>0</v>
      </c>
      <c r="S1770" s="14" t="n">
        <v>1.16</v>
      </c>
      <c r="T1770" s="14" t="n">
        <v>0.29</v>
      </c>
      <c r="U1770" s="14" t="n">
        <v>2.62</v>
      </c>
      <c r="V1770" s="14" t="n">
        <v>1.74</v>
      </c>
      <c r="W1770" s="14" t="n">
        <v>0.29</v>
      </c>
      <c r="X1770" s="14" t="n">
        <v>0</v>
      </c>
      <c r="Y1770" s="14" t="n">
        <v>0.58</v>
      </c>
      <c r="Z1770" s="14" t="n">
        <v>0</v>
      </c>
      <c r="AA1770" s="14" t="n">
        <v>0</v>
      </c>
    </row>
    <row r="1771">
      <c r="A1771" t="inlineStr">
        <is>
          <t>021904</t>
        </is>
      </c>
      <c r="B1771" t="inlineStr">
        <is>
          <t>ANCASH</t>
        </is>
      </c>
      <c r="C1771" t="inlineStr">
        <is>
          <t>SIHUAS</t>
        </is>
      </c>
      <c r="D1771" t="inlineStr">
        <is>
          <t>CASHAPAMPA</t>
        </is>
      </c>
      <c r="E1771" t="n">
        <v>385</v>
      </c>
      <c r="F1771" s="14" t="n">
        <v>0</v>
      </c>
      <c r="G1771" s="14" t="n">
        <v>67.79000000000001</v>
      </c>
      <c r="H1771" s="14" t="n">
        <v>0</v>
      </c>
      <c r="I1771" s="14" t="n">
        <v>2.34</v>
      </c>
      <c r="J1771" s="14" t="n">
        <v>0</v>
      </c>
      <c r="K1771" s="14" t="n">
        <v>0</v>
      </c>
      <c r="L1771" s="14" t="n">
        <v>11.17</v>
      </c>
      <c r="M1771" s="14" t="n">
        <v>6.23</v>
      </c>
      <c r="N1771" s="14" t="n">
        <v>1.82</v>
      </c>
      <c r="O1771" s="14" t="n">
        <v>3.12</v>
      </c>
      <c r="P1771" s="14" t="n">
        <v>0</v>
      </c>
      <c r="Q1771" s="14" t="n">
        <v>0</v>
      </c>
      <c r="R1771" s="14" t="n">
        <v>0</v>
      </c>
      <c r="S1771" s="14" t="n">
        <v>0.52</v>
      </c>
      <c r="T1771" s="14" t="n">
        <v>0</v>
      </c>
      <c r="U1771" s="14" t="n">
        <v>2.6</v>
      </c>
      <c r="V1771" s="14" t="n">
        <v>3.64</v>
      </c>
      <c r="W1771" s="14" t="n">
        <v>0</v>
      </c>
      <c r="X1771" s="14" t="n">
        <v>0</v>
      </c>
      <c r="Y1771" s="14" t="n">
        <v>0.26</v>
      </c>
      <c r="Z1771" s="14" t="n">
        <v>0.52</v>
      </c>
      <c r="AA1771" s="14" t="n">
        <v>0</v>
      </c>
    </row>
    <row r="1772">
      <c r="A1772" t="inlineStr">
        <is>
          <t>040114</t>
        </is>
      </c>
      <c r="B1772" t="inlineStr">
        <is>
          <t>AREQUIPA</t>
        </is>
      </c>
      <c r="C1772" t="inlineStr">
        <is>
          <t>AREQUIPA</t>
        </is>
      </c>
      <c r="D1772" t="inlineStr">
        <is>
          <t>POLOBAYA</t>
        </is>
      </c>
      <c r="E1772" t="n">
        <v>396</v>
      </c>
      <c r="F1772" s="14" t="n">
        <v>0</v>
      </c>
      <c r="G1772" s="14" t="n">
        <v>69.95</v>
      </c>
      <c r="H1772" s="14" t="n">
        <v>2.02</v>
      </c>
      <c r="I1772" s="14" t="n">
        <v>1.77</v>
      </c>
      <c r="J1772" s="14" t="n">
        <v>0</v>
      </c>
      <c r="K1772" s="14" t="n">
        <v>0</v>
      </c>
      <c r="L1772" s="14" t="n">
        <v>3.79</v>
      </c>
      <c r="M1772" s="14" t="n">
        <v>7.32</v>
      </c>
      <c r="N1772" s="14" t="n">
        <v>2.78</v>
      </c>
      <c r="O1772" s="14" t="n">
        <v>1.77</v>
      </c>
      <c r="P1772" s="14" t="n">
        <v>0</v>
      </c>
      <c r="Q1772" s="14" t="n">
        <v>0</v>
      </c>
      <c r="R1772" s="14" t="n">
        <v>0</v>
      </c>
      <c r="S1772" s="14" t="n">
        <v>0.76</v>
      </c>
      <c r="T1772" s="14" t="n">
        <v>2.27</v>
      </c>
      <c r="U1772" s="14" t="n">
        <v>5.05</v>
      </c>
      <c r="V1772" s="14" t="n">
        <v>1.52</v>
      </c>
      <c r="W1772" s="14" t="n">
        <v>0.25</v>
      </c>
      <c r="X1772" s="14" t="n">
        <v>0</v>
      </c>
      <c r="Y1772" s="14" t="n">
        <v>0.76</v>
      </c>
      <c r="Z1772" s="14" t="n">
        <v>0</v>
      </c>
      <c r="AA1772" s="14" t="n">
        <v>0</v>
      </c>
    </row>
    <row r="1773">
      <c r="A1773" t="inlineStr">
        <is>
          <t>021406</t>
        </is>
      </c>
      <c r="B1773" t="inlineStr">
        <is>
          <t>ANCASH</t>
        </is>
      </c>
      <c r="C1773" t="inlineStr">
        <is>
          <t>OCROS</t>
        </is>
      </c>
      <c r="D1773" t="inlineStr">
        <is>
          <t>CONGAS</t>
        </is>
      </c>
      <c r="E1773" t="n">
        <v>483</v>
      </c>
      <c r="F1773" s="14" t="n">
        <v>0</v>
      </c>
      <c r="G1773" s="14" t="n">
        <v>76.19</v>
      </c>
      <c r="H1773" s="14" t="n">
        <v>0</v>
      </c>
      <c r="I1773" s="14" t="n">
        <v>2.9</v>
      </c>
      <c r="J1773" s="14" t="n">
        <v>0</v>
      </c>
      <c r="K1773" s="14" t="n">
        <v>0</v>
      </c>
      <c r="L1773" s="14" t="n">
        <v>2.28</v>
      </c>
      <c r="M1773" s="14" t="n">
        <v>5.18</v>
      </c>
      <c r="N1773" s="14" t="n">
        <v>2.28</v>
      </c>
      <c r="O1773" s="14" t="n">
        <v>1.04</v>
      </c>
      <c r="P1773" s="14" t="n">
        <v>0</v>
      </c>
      <c r="Q1773" s="14" t="n">
        <v>0</v>
      </c>
      <c r="R1773" s="14" t="n">
        <v>0</v>
      </c>
      <c r="S1773" s="14" t="n">
        <v>0.83</v>
      </c>
      <c r="T1773" s="14" t="n">
        <v>0.83</v>
      </c>
      <c r="U1773" s="14" t="n">
        <v>1.45</v>
      </c>
      <c r="V1773" s="14" t="n">
        <v>3.31</v>
      </c>
      <c r="W1773" s="14" t="n">
        <v>0.62</v>
      </c>
      <c r="X1773" s="14" t="n">
        <v>0.21</v>
      </c>
      <c r="Y1773" s="14" t="n">
        <v>1.45</v>
      </c>
      <c r="Z1773" s="14" t="n">
        <v>1.45</v>
      </c>
      <c r="AA1773" s="14" t="n">
        <v>0</v>
      </c>
    </row>
    <row r="1774">
      <c r="A1774" t="inlineStr">
        <is>
          <t>040111</t>
        </is>
      </c>
      <c r="B1774" t="inlineStr">
        <is>
          <t>AREQUIPA</t>
        </is>
      </c>
      <c r="C1774" t="inlineStr">
        <is>
          <t>AREQUIPA</t>
        </is>
      </c>
      <c r="D1774" t="inlineStr">
        <is>
          <t>MOLLEBAYA</t>
        </is>
      </c>
      <c r="E1774" t="n">
        <v>2224</v>
      </c>
      <c r="F1774" s="14" t="n">
        <v>0</v>
      </c>
      <c r="G1774" s="14" t="n">
        <v>6.65</v>
      </c>
      <c r="H1774" s="14" t="n">
        <v>1.48</v>
      </c>
      <c r="I1774" s="14" t="n">
        <v>23.52</v>
      </c>
      <c r="J1774" s="14" t="n">
        <v>0.13</v>
      </c>
      <c r="K1774" s="14" t="n">
        <v>0.58</v>
      </c>
      <c r="L1774" s="14" t="n">
        <v>13.49</v>
      </c>
      <c r="M1774" s="14" t="n">
        <v>16.68</v>
      </c>
      <c r="N1774" s="14" t="n">
        <v>11.96</v>
      </c>
      <c r="O1774" s="14" t="n">
        <v>5.98</v>
      </c>
      <c r="P1774" s="14" t="n">
        <v>0.22</v>
      </c>
      <c r="Q1774" s="14" t="n">
        <v>0.45</v>
      </c>
      <c r="R1774" s="14" t="n">
        <v>0</v>
      </c>
      <c r="S1774" s="14" t="n">
        <v>2.79</v>
      </c>
      <c r="T1774" s="14" t="n">
        <v>1.8</v>
      </c>
      <c r="U1774" s="14" t="n">
        <v>3.96</v>
      </c>
      <c r="V1774" s="14" t="n">
        <v>3.64</v>
      </c>
      <c r="W1774" s="14" t="n">
        <v>2.2</v>
      </c>
      <c r="X1774" s="14" t="n">
        <v>0.27</v>
      </c>
      <c r="Y1774" s="14" t="n">
        <v>2.25</v>
      </c>
      <c r="Z1774" s="14" t="n">
        <v>1.93</v>
      </c>
      <c r="AA1774" s="14" t="n">
        <v>0</v>
      </c>
    </row>
    <row r="1775">
      <c r="A1775" t="inlineStr">
        <is>
          <t>040313</t>
        </is>
      </c>
      <c r="B1775" t="inlineStr">
        <is>
          <t>AREQUIPA</t>
        </is>
      </c>
      <c r="C1775" t="inlineStr">
        <is>
          <t>CARAVELI</t>
        </is>
      </c>
      <c r="D1775" t="inlineStr">
        <is>
          <t>YAUCA</t>
        </is>
      </c>
      <c r="E1775" t="n">
        <v>853</v>
      </c>
      <c r="F1775" s="14" t="n">
        <v>0</v>
      </c>
      <c r="G1775" s="14" t="n">
        <v>30.95</v>
      </c>
      <c r="H1775" s="14" t="n">
        <v>1.52</v>
      </c>
      <c r="I1775" s="14" t="n">
        <v>3.05</v>
      </c>
      <c r="J1775" s="14" t="n">
        <v>0</v>
      </c>
      <c r="K1775" s="14" t="n">
        <v>0.35</v>
      </c>
      <c r="L1775" s="14" t="n">
        <v>8.91</v>
      </c>
      <c r="M1775" s="14" t="n">
        <v>22.27</v>
      </c>
      <c r="N1775" s="14" t="n">
        <v>8.789999999999999</v>
      </c>
      <c r="O1775" s="14" t="n">
        <v>6.21</v>
      </c>
      <c r="P1775" s="14" t="n">
        <v>0.35</v>
      </c>
      <c r="Q1775" s="14" t="n">
        <v>0.35</v>
      </c>
      <c r="R1775" s="14" t="n">
        <v>0.12</v>
      </c>
      <c r="S1775" s="14" t="n">
        <v>0.7</v>
      </c>
      <c r="T1775" s="14" t="n">
        <v>2.46</v>
      </c>
      <c r="U1775" s="14" t="n">
        <v>5.98</v>
      </c>
      <c r="V1775" s="14" t="n">
        <v>5.39</v>
      </c>
      <c r="W1775" s="14" t="n">
        <v>0.47</v>
      </c>
      <c r="X1775" s="14" t="n">
        <v>0</v>
      </c>
      <c r="Y1775" s="14" t="n">
        <v>1.17</v>
      </c>
      <c r="Z1775" s="14" t="n">
        <v>0.9399999999999999</v>
      </c>
      <c r="AA1775" s="14" t="n">
        <v>0</v>
      </c>
    </row>
    <row r="1776">
      <c r="A1776" t="inlineStr">
        <is>
          <t>040108</t>
        </is>
      </c>
      <c r="B1776" t="inlineStr">
        <is>
          <t>AREQUIPA</t>
        </is>
      </c>
      <c r="C1776" t="inlineStr">
        <is>
          <t>AREQUIPA</t>
        </is>
      </c>
      <c r="D1776" t="inlineStr">
        <is>
          <t>LA JOYA</t>
        </is>
      </c>
      <c r="E1776" t="n">
        <v>15269</v>
      </c>
      <c r="F1776" s="14" t="n">
        <v>0</v>
      </c>
      <c r="G1776" s="14" t="n">
        <v>47.16</v>
      </c>
      <c r="H1776" s="14" t="n">
        <v>0.67</v>
      </c>
      <c r="I1776" s="14" t="n">
        <v>4.37</v>
      </c>
      <c r="J1776" s="14" t="n">
        <v>0.03</v>
      </c>
      <c r="K1776" s="14" t="n">
        <v>0.13</v>
      </c>
      <c r="L1776" s="14" t="n">
        <v>8.140000000000001</v>
      </c>
      <c r="M1776" s="14" t="n">
        <v>15.22</v>
      </c>
      <c r="N1776" s="14" t="n">
        <v>6.54</v>
      </c>
      <c r="O1776" s="14" t="n">
        <v>4.64</v>
      </c>
      <c r="P1776" s="14" t="n">
        <v>0.26</v>
      </c>
      <c r="Q1776" s="14" t="n">
        <v>0.46</v>
      </c>
      <c r="R1776" s="14" t="n">
        <v>0.03</v>
      </c>
      <c r="S1776" s="14" t="n">
        <v>1.95</v>
      </c>
      <c r="T1776" s="14" t="n">
        <v>2.03</v>
      </c>
      <c r="U1776" s="14" t="n">
        <v>2.76</v>
      </c>
      <c r="V1776" s="14" t="n">
        <v>2.17</v>
      </c>
      <c r="W1776" s="14" t="n">
        <v>0.87</v>
      </c>
      <c r="X1776" s="14" t="n">
        <v>0.12</v>
      </c>
      <c r="Y1776" s="14" t="n">
        <v>1.81</v>
      </c>
      <c r="Z1776" s="14" t="n">
        <v>0.64</v>
      </c>
      <c r="AA1776" s="14" t="n">
        <v>0</v>
      </c>
    </row>
    <row r="1777">
      <c r="A1777" t="inlineStr">
        <is>
          <t>020801</t>
        </is>
      </c>
      <c r="B1777" t="inlineStr">
        <is>
          <t>ANCASH</t>
        </is>
      </c>
      <c r="C1777" t="inlineStr">
        <is>
          <t>CASMA</t>
        </is>
      </c>
      <c r="D1777" t="inlineStr">
        <is>
          <t>CASMA</t>
        </is>
      </c>
      <c r="E1777" t="n">
        <v>14957</v>
      </c>
      <c r="F1777" s="14" t="n">
        <v>0.722</v>
      </c>
      <c r="G1777" s="14" t="n">
        <v>27.26</v>
      </c>
      <c r="H1777" s="14" t="n">
        <v>0.37</v>
      </c>
      <c r="I1777" s="14" t="n">
        <v>5.99</v>
      </c>
      <c r="J1777" s="14" t="n">
        <v>0.07000000000000001</v>
      </c>
      <c r="K1777" s="14" t="n">
        <v>0.23</v>
      </c>
      <c r="L1777" s="14" t="n">
        <v>7.06</v>
      </c>
      <c r="M1777" s="14" t="n">
        <v>18.28</v>
      </c>
      <c r="N1777" s="14" t="n">
        <v>11.69</v>
      </c>
      <c r="O1777" s="14" t="n">
        <v>7.9</v>
      </c>
      <c r="P1777" s="14" t="n">
        <v>0.41</v>
      </c>
      <c r="Q1777" s="14" t="n">
        <v>0.72</v>
      </c>
      <c r="R1777" s="14" t="n">
        <v>0.03</v>
      </c>
      <c r="S1777" s="14" t="n">
        <v>2.72</v>
      </c>
      <c r="T1777" s="14" t="n">
        <v>2.11</v>
      </c>
      <c r="U1777" s="14" t="n">
        <v>3.99</v>
      </c>
      <c r="V1777" s="14" t="n">
        <v>5.56</v>
      </c>
      <c r="W1777" s="14" t="n">
        <v>1.54</v>
      </c>
      <c r="X1777" s="14" t="n">
        <v>0.66</v>
      </c>
      <c r="Y1777" s="14" t="n">
        <v>2.51</v>
      </c>
      <c r="Z1777" s="14" t="n">
        <v>0.89</v>
      </c>
      <c r="AA1777" s="14" t="n">
        <v>0</v>
      </c>
    </row>
    <row r="1778">
      <c r="A1778" t="inlineStr">
        <is>
          <t>080504</t>
        </is>
      </c>
      <c r="B1778" t="inlineStr">
        <is>
          <t>CUSCO</t>
        </is>
      </c>
      <c r="C1778" t="inlineStr">
        <is>
          <t>CANAS</t>
        </is>
      </c>
      <c r="D1778" t="inlineStr">
        <is>
          <t>LANGUI</t>
        </is>
      </c>
      <c r="E1778" t="n">
        <v>686</v>
      </c>
      <c r="F1778" s="14" t="n">
        <v>0</v>
      </c>
      <c r="G1778" s="14" t="n">
        <v>75.36</v>
      </c>
      <c r="H1778" s="14" t="n">
        <v>0.29</v>
      </c>
      <c r="I1778" s="14" t="n">
        <v>0.87</v>
      </c>
      <c r="J1778" s="14" t="n">
        <v>0.44</v>
      </c>
      <c r="K1778" s="14" t="n">
        <v>0</v>
      </c>
      <c r="L1778" s="14" t="n">
        <v>2.48</v>
      </c>
      <c r="M1778" s="14" t="n">
        <v>8.75</v>
      </c>
      <c r="N1778" s="14" t="n">
        <v>0.87</v>
      </c>
      <c r="O1778" s="14" t="n">
        <v>1.46</v>
      </c>
      <c r="P1778" s="14" t="n">
        <v>0</v>
      </c>
      <c r="Q1778" s="14" t="n">
        <v>0</v>
      </c>
      <c r="R1778" s="14" t="n">
        <v>0</v>
      </c>
      <c r="S1778" s="14" t="n">
        <v>0.44</v>
      </c>
      <c r="T1778" s="14" t="n">
        <v>0.29</v>
      </c>
      <c r="U1778" s="14" t="n">
        <v>4.52</v>
      </c>
      <c r="V1778" s="14" t="n">
        <v>3.64</v>
      </c>
      <c r="W1778" s="14" t="n">
        <v>0.44</v>
      </c>
      <c r="X1778" s="14" t="n">
        <v>0</v>
      </c>
      <c r="Y1778" s="14" t="n">
        <v>0.15</v>
      </c>
      <c r="Z1778" s="14" t="n">
        <v>0</v>
      </c>
      <c r="AA1778" s="14" t="n">
        <v>0</v>
      </c>
    </row>
    <row r="1779">
      <c r="A1779" t="inlineStr">
        <is>
          <t>030706</t>
        </is>
      </c>
      <c r="B1779" t="inlineStr">
        <is>
          <t>APURIMAC</t>
        </is>
      </c>
      <c r="C1779" t="inlineStr">
        <is>
          <t>GRAU</t>
        </is>
      </c>
      <c r="D1779" t="inlineStr">
        <is>
          <t>MICAELA BASTIDAS</t>
        </is>
      </c>
      <c r="E1779" t="n">
        <v>213</v>
      </c>
      <c r="F1779" s="14" t="n">
        <v>0</v>
      </c>
      <c r="G1779" s="14" t="n">
        <v>69.48</v>
      </c>
      <c r="H1779" s="14" t="n">
        <v>0.47</v>
      </c>
      <c r="I1779" s="14" t="n">
        <v>0.47</v>
      </c>
      <c r="J1779" s="14" t="n">
        <v>0</v>
      </c>
      <c r="K1779" s="14" t="n">
        <v>0</v>
      </c>
      <c r="L1779" s="14" t="n">
        <v>3.29</v>
      </c>
      <c r="M1779" s="14" t="n">
        <v>4.23</v>
      </c>
      <c r="N1779" s="14" t="n">
        <v>1.41</v>
      </c>
      <c r="O1779" s="14" t="n">
        <v>0.9399999999999999</v>
      </c>
      <c r="P1779" s="14" t="n">
        <v>0</v>
      </c>
      <c r="Q1779" s="14" t="n">
        <v>0</v>
      </c>
      <c r="R1779" s="14" t="n">
        <v>0</v>
      </c>
      <c r="S1779" s="14" t="n">
        <v>1.88</v>
      </c>
      <c r="T1779" s="14" t="n">
        <v>0</v>
      </c>
      <c r="U1779" s="14" t="n">
        <v>2.82</v>
      </c>
      <c r="V1779" s="14" t="n">
        <v>12.68</v>
      </c>
      <c r="W1779" s="14" t="n">
        <v>2.35</v>
      </c>
      <c r="X1779" s="14" t="n">
        <v>0</v>
      </c>
      <c r="Y1779" s="14" t="n">
        <v>0</v>
      </c>
      <c r="Z1779" s="14" t="n">
        <v>0</v>
      </c>
      <c r="AA1779" s="14" t="n">
        <v>0</v>
      </c>
    </row>
    <row r="1780">
      <c r="A1780" t="inlineStr">
        <is>
          <t>080204</t>
        </is>
      </c>
      <c r="B1780" t="inlineStr">
        <is>
          <t>CUSCO</t>
        </is>
      </c>
      <c r="C1780" t="inlineStr">
        <is>
          <t>ACOMAYO</t>
        </is>
      </c>
      <c r="D1780" t="inlineStr">
        <is>
          <t>MOSOC LLACTA</t>
        </is>
      </c>
      <c r="E1780" t="n">
        <v>347</v>
      </c>
      <c r="F1780" s="14" t="n">
        <v>0</v>
      </c>
      <c r="G1780" s="14" t="n">
        <v>87.31999999999999</v>
      </c>
      <c r="H1780" s="14" t="n">
        <v>0.58</v>
      </c>
      <c r="I1780" s="14" t="n">
        <v>0.29</v>
      </c>
      <c r="J1780" s="14" t="n">
        <v>0</v>
      </c>
      <c r="K1780" s="14" t="n">
        <v>0</v>
      </c>
      <c r="L1780" s="14" t="n">
        <v>0.58</v>
      </c>
      <c r="M1780" s="14" t="n">
        <v>1.44</v>
      </c>
      <c r="N1780" s="14" t="n">
        <v>0.58</v>
      </c>
      <c r="O1780" s="14" t="n">
        <v>1.15</v>
      </c>
      <c r="P1780" s="14" t="n">
        <v>0</v>
      </c>
      <c r="Q1780" s="14" t="n">
        <v>0</v>
      </c>
      <c r="R1780" s="14" t="n">
        <v>0</v>
      </c>
      <c r="S1780" s="14" t="n">
        <v>0</v>
      </c>
      <c r="T1780" s="14" t="n">
        <v>0.29</v>
      </c>
      <c r="U1780" s="14" t="n">
        <v>5.19</v>
      </c>
      <c r="V1780" s="14" t="n">
        <v>2.02</v>
      </c>
      <c r="W1780" s="14" t="n">
        <v>0.58</v>
      </c>
      <c r="X1780" s="14" t="n">
        <v>0</v>
      </c>
      <c r="Y1780" s="14" t="n">
        <v>0</v>
      </c>
      <c r="Z1780" s="14" t="n">
        <v>0</v>
      </c>
      <c r="AA1780" s="14" t="n">
        <v>0</v>
      </c>
    </row>
    <row r="1781">
      <c r="A1781" t="inlineStr">
        <is>
          <t>021707</t>
        </is>
      </c>
      <c r="B1781" t="inlineStr">
        <is>
          <t>ANCASH</t>
        </is>
      </c>
      <c r="C1781" t="inlineStr">
        <is>
          <t>RECUAY</t>
        </is>
      </c>
      <c r="D1781" t="inlineStr">
        <is>
          <t>PAMPAS CHICO</t>
        </is>
      </c>
      <c r="E1781" t="n">
        <v>396</v>
      </c>
      <c r="F1781" s="14" t="n">
        <v>0</v>
      </c>
      <c r="G1781" s="14" t="n">
        <v>59.09</v>
      </c>
      <c r="H1781" s="14" t="n">
        <v>0.25</v>
      </c>
      <c r="I1781" s="14" t="n">
        <v>2.78</v>
      </c>
      <c r="J1781" s="14" t="n">
        <v>0</v>
      </c>
      <c r="K1781" s="14" t="n">
        <v>0</v>
      </c>
      <c r="L1781" s="14" t="n">
        <v>3.03</v>
      </c>
      <c r="M1781" s="14" t="n">
        <v>10.86</v>
      </c>
      <c r="N1781" s="14" t="n">
        <v>4.8</v>
      </c>
      <c r="O1781" s="14" t="n">
        <v>6.57</v>
      </c>
      <c r="P1781" s="14" t="n">
        <v>0</v>
      </c>
      <c r="Q1781" s="14" t="n">
        <v>0</v>
      </c>
      <c r="R1781" s="14" t="n">
        <v>0</v>
      </c>
      <c r="S1781" s="14" t="n">
        <v>2.53</v>
      </c>
      <c r="T1781" s="14" t="n">
        <v>1.01</v>
      </c>
      <c r="U1781" s="14" t="n">
        <v>2.53</v>
      </c>
      <c r="V1781" s="14" t="n">
        <v>2.02</v>
      </c>
      <c r="W1781" s="14" t="n">
        <v>0.51</v>
      </c>
      <c r="X1781" s="14" t="n">
        <v>0</v>
      </c>
      <c r="Y1781" s="14" t="n">
        <v>2.53</v>
      </c>
      <c r="Z1781" s="14" t="n">
        <v>1.52</v>
      </c>
      <c r="AA1781" s="14" t="n">
        <v>0</v>
      </c>
    </row>
    <row r="1782">
      <c r="A1782" t="inlineStr">
        <is>
          <t>080607</t>
        </is>
      </c>
      <c r="B1782" t="inlineStr">
        <is>
          <t>CUSCO</t>
        </is>
      </c>
      <c r="C1782" t="inlineStr">
        <is>
          <t>CANCHIS</t>
        </is>
      </c>
      <c r="D1782" t="inlineStr">
        <is>
          <t>SAN PEDRO</t>
        </is>
      </c>
      <c r="E1782" t="n">
        <v>1128</v>
      </c>
      <c r="F1782" s="14" t="n">
        <v>0</v>
      </c>
      <c r="G1782" s="14" t="n">
        <v>50.09</v>
      </c>
      <c r="H1782" s="14" t="n">
        <v>0</v>
      </c>
      <c r="I1782" s="14" t="n">
        <v>7.8</v>
      </c>
      <c r="J1782" s="14" t="n">
        <v>0</v>
      </c>
      <c r="K1782" s="14" t="n">
        <v>0.09</v>
      </c>
      <c r="L1782" s="14" t="n">
        <v>5.59</v>
      </c>
      <c r="M1782" s="14" t="n">
        <v>9.84</v>
      </c>
      <c r="N1782" s="14" t="n">
        <v>3.63</v>
      </c>
      <c r="O1782" s="14" t="n">
        <v>5.14</v>
      </c>
      <c r="P1782" s="14" t="n">
        <v>0.35</v>
      </c>
      <c r="Q1782" s="14" t="n">
        <v>0.35</v>
      </c>
      <c r="R1782" s="14" t="n">
        <v>0</v>
      </c>
      <c r="S1782" s="14" t="n">
        <v>0.89</v>
      </c>
      <c r="T1782" s="14" t="n">
        <v>0.62</v>
      </c>
      <c r="U1782" s="14" t="n">
        <v>7.89</v>
      </c>
      <c r="V1782" s="14" t="n">
        <v>6.21</v>
      </c>
      <c r="W1782" s="14" t="n">
        <v>0.98</v>
      </c>
      <c r="X1782" s="14" t="n">
        <v>0</v>
      </c>
      <c r="Y1782" s="14" t="n">
        <v>0.44</v>
      </c>
      <c r="Z1782" s="14" t="n">
        <v>0.09</v>
      </c>
      <c r="AA1782" s="14" t="n">
        <v>0</v>
      </c>
    </row>
    <row r="1783">
      <c r="A1783" t="inlineStr">
        <is>
          <t>060408</t>
        </is>
      </c>
      <c r="B1783" t="inlineStr">
        <is>
          <t>CAJAMARCA</t>
        </is>
      </c>
      <c r="C1783" t="inlineStr">
        <is>
          <t>CHOTA</t>
        </is>
      </c>
      <c r="D1783" t="inlineStr">
        <is>
          <t>CONCHAN</t>
        </is>
      </c>
      <c r="E1783" t="n">
        <v>1559</v>
      </c>
      <c r="F1783" s="14" t="n">
        <v>0</v>
      </c>
      <c r="G1783" s="14" t="n">
        <v>86.91</v>
      </c>
      <c r="H1783" s="14" t="n">
        <v>0.26</v>
      </c>
      <c r="I1783" s="14" t="n">
        <v>0.71</v>
      </c>
      <c r="J1783" s="14" t="n">
        <v>0</v>
      </c>
      <c r="K1783" s="14" t="n">
        <v>0.13</v>
      </c>
      <c r="L1783" s="14" t="n">
        <v>1.6</v>
      </c>
      <c r="M1783" s="14" t="n">
        <v>3.08</v>
      </c>
      <c r="N1783" s="14" t="n">
        <v>0.64</v>
      </c>
      <c r="O1783" s="14" t="n">
        <v>0.58</v>
      </c>
      <c r="P1783" s="14" t="n">
        <v>0.06</v>
      </c>
      <c r="Q1783" s="14" t="n">
        <v>0</v>
      </c>
      <c r="R1783" s="14" t="n">
        <v>0</v>
      </c>
      <c r="S1783" s="14" t="n">
        <v>0.45</v>
      </c>
      <c r="T1783" s="14" t="n">
        <v>0.32</v>
      </c>
      <c r="U1783" s="14" t="n">
        <v>1.86</v>
      </c>
      <c r="V1783" s="14" t="n">
        <v>2.05</v>
      </c>
      <c r="W1783" s="14" t="n">
        <v>0.9</v>
      </c>
      <c r="X1783" s="14" t="n">
        <v>0</v>
      </c>
      <c r="Y1783" s="14" t="n">
        <v>0.19</v>
      </c>
      <c r="Z1783" s="14" t="n">
        <v>0.26</v>
      </c>
      <c r="AA1783" s="14" t="n">
        <v>0</v>
      </c>
    </row>
    <row r="1784">
      <c r="A1784" t="inlineStr">
        <is>
          <t>080805</t>
        </is>
      </c>
      <c r="B1784" t="inlineStr">
        <is>
          <t>CUSCO</t>
        </is>
      </c>
      <c r="C1784" t="inlineStr">
        <is>
          <t>ESPINAR</t>
        </is>
      </c>
      <c r="D1784" t="inlineStr">
        <is>
          <t>PALLPATA</t>
        </is>
      </c>
      <c r="E1784" t="n">
        <v>1700</v>
      </c>
      <c r="F1784" s="14" t="n">
        <v>0</v>
      </c>
      <c r="G1784" s="14" t="n">
        <v>44.29</v>
      </c>
      <c r="H1784" s="14" t="n">
        <v>1.18</v>
      </c>
      <c r="I1784" s="14" t="n">
        <v>3.41</v>
      </c>
      <c r="J1784" s="14" t="n">
        <v>0</v>
      </c>
      <c r="K1784" s="14" t="n">
        <v>0.18</v>
      </c>
      <c r="L1784" s="14" t="n">
        <v>19.76</v>
      </c>
      <c r="M1784" s="14" t="n">
        <v>11.82</v>
      </c>
      <c r="N1784" s="14" t="n">
        <v>2.53</v>
      </c>
      <c r="O1784" s="14" t="n">
        <v>3.71</v>
      </c>
      <c r="P1784" s="14" t="n">
        <v>0.24</v>
      </c>
      <c r="Q1784" s="14" t="n">
        <v>0</v>
      </c>
      <c r="R1784" s="14" t="n">
        <v>0</v>
      </c>
      <c r="S1784" s="14" t="n">
        <v>2.76</v>
      </c>
      <c r="T1784" s="14" t="n">
        <v>1.53</v>
      </c>
      <c r="U1784" s="14" t="n">
        <v>3.94</v>
      </c>
      <c r="V1784" s="14" t="n">
        <v>2.06</v>
      </c>
      <c r="W1784" s="14" t="n">
        <v>0.59</v>
      </c>
      <c r="X1784" s="14" t="n">
        <v>0.12</v>
      </c>
      <c r="Y1784" s="14" t="n">
        <v>1.76</v>
      </c>
      <c r="Z1784" s="14" t="n">
        <v>0.12</v>
      </c>
      <c r="AA1784" s="14" t="n">
        <v>0</v>
      </c>
    </row>
    <row r="1785">
      <c r="A1785" t="inlineStr">
        <is>
          <t>021809</t>
        </is>
      </c>
      <c r="B1785" t="inlineStr">
        <is>
          <t>ANCASH</t>
        </is>
      </c>
      <c r="C1785" t="inlineStr">
        <is>
          <t>SANTA</t>
        </is>
      </c>
      <c r="D1785" t="inlineStr">
        <is>
          <t>NUEVO CHIMBOTE</t>
        </is>
      </c>
      <c r="E1785" t="n">
        <v>67057</v>
      </c>
      <c r="F1785" s="14" t="n">
        <v>0.07000000000000001</v>
      </c>
      <c r="G1785" s="14" t="n">
        <v>7.51</v>
      </c>
      <c r="H1785" s="14" t="n">
        <v>0.32</v>
      </c>
      <c r="I1785" s="14" t="n">
        <v>8.5</v>
      </c>
      <c r="J1785" s="14" t="n">
        <v>0.14</v>
      </c>
      <c r="K1785" s="14" t="n">
        <v>0.42</v>
      </c>
      <c r="L1785" s="14" t="n">
        <v>9.08</v>
      </c>
      <c r="M1785" s="14" t="n">
        <v>22.33</v>
      </c>
      <c r="N1785" s="14" t="n">
        <v>11.61</v>
      </c>
      <c r="O1785" s="14" t="n">
        <v>7.63</v>
      </c>
      <c r="P1785" s="14" t="n">
        <v>1</v>
      </c>
      <c r="Q1785" s="14" t="n">
        <v>0.9399999999999999</v>
      </c>
      <c r="R1785" s="14" t="n">
        <v>0.11</v>
      </c>
      <c r="S1785" s="14" t="n">
        <v>6.5</v>
      </c>
      <c r="T1785" s="14" t="n">
        <v>3.38</v>
      </c>
      <c r="U1785" s="14" t="n">
        <v>3.76</v>
      </c>
      <c r="V1785" s="14" t="n">
        <v>7.43</v>
      </c>
      <c r="W1785" s="14" t="n">
        <v>3.72</v>
      </c>
      <c r="X1785" s="14" t="n">
        <v>0.96</v>
      </c>
      <c r="Y1785" s="14" t="n">
        <v>3.17</v>
      </c>
      <c r="Z1785" s="14" t="n">
        <v>1.49</v>
      </c>
      <c r="AA1785" s="14" t="n">
        <v>0</v>
      </c>
    </row>
    <row r="1786">
      <c r="A1786" t="inlineStr">
        <is>
          <t>021805</t>
        </is>
      </c>
      <c r="B1786" t="inlineStr">
        <is>
          <t>ANCASH</t>
        </is>
      </c>
      <c r="C1786" t="inlineStr">
        <is>
          <t>SANTA</t>
        </is>
      </c>
      <c r="D1786" t="inlineStr">
        <is>
          <t>MORO</t>
        </is>
      </c>
      <c r="E1786" t="n">
        <v>2684</v>
      </c>
      <c r="F1786" s="14" t="n">
        <v>0</v>
      </c>
      <c r="G1786" s="14" t="n">
        <v>55.33</v>
      </c>
      <c r="H1786" s="14" t="n">
        <v>0.37</v>
      </c>
      <c r="I1786" s="14" t="n">
        <v>3.5</v>
      </c>
      <c r="J1786" s="14" t="n">
        <v>0</v>
      </c>
      <c r="K1786" s="14" t="n">
        <v>0.19</v>
      </c>
      <c r="L1786" s="14" t="n">
        <v>3.95</v>
      </c>
      <c r="M1786" s="14" t="n">
        <v>11.85</v>
      </c>
      <c r="N1786" s="14" t="n">
        <v>5.92</v>
      </c>
      <c r="O1786" s="14" t="n">
        <v>5.48</v>
      </c>
      <c r="P1786" s="14" t="n">
        <v>0.15</v>
      </c>
      <c r="Q1786" s="14" t="n">
        <v>0</v>
      </c>
      <c r="R1786" s="14" t="n">
        <v>0</v>
      </c>
      <c r="S1786" s="14" t="n">
        <v>1.56</v>
      </c>
      <c r="T1786" s="14" t="n">
        <v>1.38</v>
      </c>
      <c r="U1786" s="14" t="n">
        <v>4.88</v>
      </c>
      <c r="V1786" s="14" t="n">
        <v>1.19</v>
      </c>
      <c r="W1786" s="14" t="n">
        <v>0.75</v>
      </c>
      <c r="X1786" s="14" t="n">
        <v>0.34</v>
      </c>
      <c r="Y1786" s="14" t="n">
        <v>2.05</v>
      </c>
      <c r="Z1786" s="14" t="n">
        <v>1.12</v>
      </c>
      <c r="AA1786" s="14" t="n">
        <v>0</v>
      </c>
    </row>
    <row r="1787">
      <c r="A1787" t="inlineStr">
        <is>
          <t>060702</t>
        </is>
      </c>
      <c r="B1787" t="inlineStr">
        <is>
          <t>CAJAMARCA</t>
        </is>
      </c>
      <c r="C1787" t="inlineStr">
        <is>
          <t>HUALGAYOC</t>
        </is>
      </c>
      <c r="D1787" t="inlineStr">
        <is>
          <t>CHUGUR</t>
        </is>
      </c>
      <c r="E1787" t="n">
        <v>1008</v>
      </c>
      <c r="F1787" s="14" t="n">
        <v>0</v>
      </c>
      <c r="G1787" s="14" t="n">
        <v>71.83</v>
      </c>
      <c r="H1787" s="14" t="n">
        <v>0.6899999999999999</v>
      </c>
      <c r="I1787" s="14" t="n">
        <v>1.09</v>
      </c>
      <c r="J1787" s="14" t="n">
        <v>0</v>
      </c>
      <c r="K1787" s="14" t="n">
        <v>0.1</v>
      </c>
      <c r="L1787" s="14" t="n">
        <v>1.98</v>
      </c>
      <c r="M1787" s="14" t="n">
        <v>4.37</v>
      </c>
      <c r="N1787" s="14" t="n">
        <v>1.09</v>
      </c>
      <c r="O1787" s="14" t="n">
        <v>0.5</v>
      </c>
      <c r="P1787" s="14" t="n">
        <v>0</v>
      </c>
      <c r="Q1787" s="14" t="n">
        <v>0</v>
      </c>
      <c r="R1787" s="14" t="n">
        <v>0</v>
      </c>
      <c r="S1787" s="14" t="n">
        <v>0.6899999999999999</v>
      </c>
      <c r="T1787" s="14" t="n">
        <v>0.2</v>
      </c>
      <c r="U1787" s="14" t="n">
        <v>1.79</v>
      </c>
      <c r="V1787" s="14" t="n">
        <v>3.57</v>
      </c>
      <c r="W1787" s="14" t="n">
        <v>0.99</v>
      </c>
      <c r="X1787" s="14" t="n">
        <v>0.2</v>
      </c>
      <c r="Y1787" s="14" t="n">
        <v>0.2</v>
      </c>
      <c r="Z1787" s="14" t="n">
        <v>10.71</v>
      </c>
      <c r="AA1787" s="14" t="n">
        <v>0</v>
      </c>
    </row>
    <row r="1788">
      <c r="A1788" t="inlineStr">
        <is>
          <t>010523</t>
        </is>
      </c>
      <c r="B1788" t="inlineStr">
        <is>
          <t>AMAZONAS</t>
        </is>
      </c>
      <c r="C1788" t="inlineStr">
        <is>
          <t>LUYA</t>
        </is>
      </c>
      <c r="D1788" t="inlineStr">
        <is>
          <t>TRITA</t>
        </is>
      </c>
      <c r="E1788" t="n">
        <v>475</v>
      </c>
      <c r="F1788" s="14" t="n">
        <v>0</v>
      </c>
      <c r="G1788" s="14" t="n">
        <v>79.16</v>
      </c>
      <c r="H1788" s="14" t="n">
        <v>0</v>
      </c>
      <c r="I1788" s="14" t="n">
        <v>1.26</v>
      </c>
      <c r="J1788" s="14" t="n">
        <v>0</v>
      </c>
      <c r="K1788" s="14" t="n">
        <v>0</v>
      </c>
      <c r="L1788" s="14" t="n">
        <v>2.95</v>
      </c>
      <c r="M1788" s="14" t="n">
        <v>4.42</v>
      </c>
      <c r="N1788" s="14" t="n">
        <v>1.68</v>
      </c>
      <c r="O1788" s="14" t="n">
        <v>0.63</v>
      </c>
      <c r="P1788" s="14" t="n">
        <v>0</v>
      </c>
      <c r="Q1788" s="14" t="n">
        <v>0</v>
      </c>
      <c r="R1788" s="14" t="n">
        <v>0</v>
      </c>
      <c r="S1788" s="14" t="n">
        <v>0.42</v>
      </c>
      <c r="T1788" s="14" t="n">
        <v>0.84</v>
      </c>
      <c r="U1788" s="14" t="n">
        <v>2.32</v>
      </c>
      <c r="V1788" s="14" t="n">
        <v>3.79</v>
      </c>
      <c r="W1788" s="14" t="n">
        <v>1.26</v>
      </c>
      <c r="X1788" s="14" t="n">
        <v>0</v>
      </c>
      <c r="Y1788" s="14" t="n">
        <v>0.21</v>
      </c>
      <c r="Z1788" s="14" t="n">
        <v>1.05</v>
      </c>
      <c r="AA1788" s="14" t="n">
        <v>0</v>
      </c>
    </row>
    <row r="1789">
      <c r="A1789" t="inlineStr">
        <is>
          <t>040208</t>
        </is>
      </c>
      <c r="B1789" t="inlineStr">
        <is>
          <t>AREQUIPA</t>
        </is>
      </c>
      <c r="C1789" t="inlineStr">
        <is>
          <t>CAMANA</t>
        </is>
      </c>
      <c r="D1789" t="inlineStr">
        <is>
          <t>SAMUEL PASTOR</t>
        </is>
      </c>
      <c r="E1789" t="n">
        <v>7357</v>
      </c>
      <c r="F1789" s="14" t="n">
        <v>0</v>
      </c>
      <c r="G1789" s="14" t="n">
        <v>27.92</v>
      </c>
      <c r="H1789" s="14" t="n">
        <v>0.84</v>
      </c>
      <c r="I1789" s="14" t="n">
        <v>3.62</v>
      </c>
      <c r="J1789" s="14" t="n">
        <v>0.14</v>
      </c>
      <c r="K1789" s="14" t="n">
        <v>0.26</v>
      </c>
      <c r="L1789" s="14" t="n">
        <v>11.09</v>
      </c>
      <c r="M1789" s="14" t="n">
        <v>18.81</v>
      </c>
      <c r="N1789" s="14" t="n">
        <v>9.949999999999999</v>
      </c>
      <c r="O1789" s="14" t="n">
        <v>5.99</v>
      </c>
      <c r="P1789" s="14" t="n">
        <v>0.43</v>
      </c>
      <c r="Q1789" s="14" t="n">
        <v>0.82</v>
      </c>
      <c r="R1789" s="14" t="n">
        <v>0.03</v>
      </c>
      <c r="S1789" s="14" t="n">
        <v>2.68</v>
      </c>
      <c r="T1789" s="14" t="n">
        <v>2.26</v>
      </c>
      <c r="U1789" s="14" t="n">
        <v>3.25</v>
      </c>
      <c r="V1789" s="14" t="n">
        <v>5.65</v>
      </c>
      <c r="W1789" s="14" t="n">
        <v>2.07</v>
      </c>
      <c r="X1789" s="14" t="n">
        <v>0.43</v>
      </c>
      <c r="Y1789" s="14" t="n">
        <v>2.66</v>
      </c>
      <c r="Z1789" s="14" t="n">
        <v>1.1</v>
      </c>
      <c r="AA1789" s="14" t="n">
        <v>0</v>
      </c>
    </row>
    <row r="1790">
      <c r="A1790" t="inlineStr">
        <is>
          <t>010506</t>
        </is>
      </c>
      <c r="B1790" t="inlineStr">
        <is>
          <t>AMAZONAS</t>
        </is>
      </c>
      <c r="C1790" t="inlineStr">
        <is>
          <t>LUYA</t>
        </is>
      </c>
      <c r="D1790" t="inlineStr">
        <is>
          <t>INGUILPATA</t>
        </is>
      </c>
      <c r="E1790" t="n">
        <v>175</v>
      </c>
      <c r="F1790" s="14" t="n">
        <v>0</v>
      </c>
      <c r="G1790" s="14" t="n">
        <v>74.29000000000001</v>
      </c>
      <c r="H1790" s="14" t="n">
        <v>0.57</v>
      </c>
      <c r="I1790" s="14" t="n">
        <v>3.43</v>
      </c>
      <c r="J1790" s="14" t="n">
        <v>0</v>
      </c>
      <c r="K1790" s="14" t="n">
        <v>0</v>
      </c>
      <c r="L1790" s="14" t="n">
        <v>0.57</v>
      </c>
      <c r="M1790" s="14" t="n">
        <v>4</v>
      </c>
      <c r="N1790" s="14" t="n">
        <v>4</v>
      </c>
      <c r="O1790" s="14" t="n">
        <v>0</v>
      </c>
      <c r="P1790" s="14" t="n">
        <v>0</v>
      </c>
      <c r="Q1790" s="14" t="n">
        <v>0</v>
      </c>
      <c r="R1790" s="14" t="n">
        <v>0</v>
      </c>
      <c r="S1790" s="14" t="n">
        <v>1.14</v>
      </c>
      <c r="T1790" s="14" t="n">
        <v>0.57</v>
      </c>
      <c r="U1790" s="14" t="n">
        <v>4.57</v>
      </c>
      <c r="V1790" s="14" t="n">
        <v>4</v>
      </c>
      <c r="W1790" s="14" t="n">
        <v>2.29</v>
      </c>
      <c r="X1790" s="14" t="n">
        <v>0</v>
      </c>
      <c r="Y1790" s="14" t="n">
        <v>0.57</v>
      </c>
      <c r="Z1790" s="14" t="n">
        <v>0</v>
      </c>
      <c r="AA1790" s="14" t="n">
        <v>0</v>
      </c>
    </row>
    <row r="1791">
      <c r="A1791" t="inlineStr">
        <is>
          <t>020802</t>
        </is>
      </c>
      <c r="B1791" t="inlineStr">
        <is>
          <t>ANCASH</t>
        </is>
      </c>
      <c r="C1791" t="inlineStr">
        <is>
          <t>CASMA</t>
        </is>
      </c>
      <c r="D1791" t="inlineStr">
        <is>
          <t>BUENA VISTA ALTA</t>
        </is>
      </c>
      <c r="E1791" t="n">
        <v>1798</v>
      </c>
      <c r="F1791" s="14" t="n">
        <v>0</v>
      </c>
      <c r="G1791" s="14" t="n">
        <v>76.03</v>
      </c>
      <c r="H1791" s="14" t="n">
        <v>0.78</v>
      </c>
      <c r="I1791" s="14" t="n">
        <v>1.5</v>
      </c>
      <c r="J1791" s="14" t="n">
        <v>0</v>
      </c>
      <c r="K1791" s="14" t="n">
        <v>0.11</v>
      </c>
      <c r="L1791" s="14" t="n">
        <v>2.06</v>
      </c>
      <c r="M1791" s="14" t="n">
        <v>4.34</v>
      </c>
      <c r="N1791" s="14" t="n">
        <v>4.39</v>
      </c>
      <c r="O1791" s="14" t="n">
        <v>2.28</v>
      </c>
      <c r="P1791" s="14" t="n">
        <v>0</v>
      </c>
      <c r="Q1791" s="14" t="n">
        <v>0.11</v>
      </c>
      <c r="R1791" s="14" t="n">
        <v>0</v>
      </c>
      <c r="S1791" s="14" t="n">
        <v>1</v>
      </c>
      <c r="T1791" s="14" t="n">
        <v>1.5</v>
      </c>
      <c r="U1791" s="14" t="n">
        <v>1.84</v>
      </c>
      <c r="V1791" s="14" t="n">
        <v>1.67</v>
      </c>
      <c r="W1791" s="14" t="n">
        <v>0.44</v>
      </c>
      <c r="X1791" s="14" t="n">
        <v>0.11</v>
      </c>
      <c r="Y1791" s="14" t="n">
        <v>1.61</v>
      </c>
      <c r="Z1791" s="14" t="n">
        <v>0.22</v>
      </c>
      <c r="AA1791" s="14" t="n">
        <v>0</v>
      </c>
    </row>
    <row r="1792">
      <c r="A1792" t="inlineStr">
        <is>
          <t>010608</t>
        </is>
      </c>
      <c r="B1792" t="inlineStr">
        <is>
          <t>AMAZONAS</t>
        </is>
      </c>
      <c r="C1792" t="inlineStr">
        <is>
          <t>RODRIGUEZ DE MENDOZA</t>
        </is>
      </c>
      <c r="D1792" t="inlineStr">
        <is>
          <t>MILPUC</t>
        </is>
      </c>
      <c r="E1792" t="n">
        <v>190</v>
      </c>
      <c r="F1792" s="14" t="n">
        <v>0</v>
      </c>
      <c r="G1792" s="14" t="n">
        <v>79.47</v>
      </c>
      <c r="H1792" s="14" t="n">
        <v>0</v>
      </c>
      <c r="I1792" s="14" t="n">
        <v>0.53</v>
      </c>
      <c r="J1792" s="14" t="n">
        <v>0</v>
      </c>
      <c r="K1792" s="14" t="n">
        <v>0</v>
      </c>
      <c r="L1792" s="14" t="n">
        <v>2.63</v>
      </c>
      <c r="M1792" s="14" t="n">
        <v>5.79</v>
      </c>
      <c r="N1792" s="14" t="n">
        <v>1.58</v>
      </c>
      <c r="O1792" s="14" t="n">
        <v>0.53</v>
      </c>
      <c r="P1792" s="14" t="n">
        <v>0</v>
      </c>
      <c r="Q1792" s="14" t="n">
        <v>0</v>
      </c>
      <c r="R1792" s="14" t="n">
        <v>0</v>
      </c>
      <c r="S1792" s="14" t="n">
        <v>0</v>
      </c>
      <c r="T1792" s="14" t="n">
        <v>0.53</v>
      </c>
      <c r="U1792" s="14" t="n">
        <v>5.26</v>
      </c>
      <c r="V1792" s="14" t="n">
        <v>3.16</v>
      </c>
      <c r="W1792" s="14" t="n">
        <v>0.53</v>
      </c>
      <c r="X1792" s="14" t="n">
        <v>0</v>
      </c>
      <c r="Y1792" s="14" t="n">
        <v>0</v>
      </c>
      <c r="Z1792" s="14" t="n">
        <v>0</v>
      </c>
      <c r="AA1792" s="14" t="n">
        <v>0</v>
      </c>
    </row>
    <row r="1793">
      <c r="A1793" t="inlineStr">
        <is>
          <t>010304</t>
        </is>
      </c>
      <c r="B1793" t="inlineStr">
        <is>
          <t>AMAZONAS</t>
        </is>
      </c>
      <c r="C1793" t="inlineStr">
        <is>
          <t>BONGARA</t>
        </is>
      </c>
      <c r="D1793" t="inlineStr">
        <is>
          <t>COROSHA</t>
        </is>
      </c>
      <c r="E1793" t="n">
        <v>328</v>
      </c>
      <c r="F1793" s="14" t="n">
        <v>0</v>
      </c>
      <c r="G1793" s="14" t="n">
        <v>87.8</v>
      </c>
      <c r="H1793" s="14" t="n">
        <v>0</v>
      </c>
      <c r="I1793" s="14" t="n">
        <v>0.61</v>
      </c>
      <c r="J1793" s="14" t="n">
        <v>0</v>
      </c>
      <c r="K1793" s="14" t="n">
        <v>0</v>
      </c>
      <c r="L1793" s="14" t="n">
        <v>0.61</v>
      </c>
      <c r="M1793" s="14" t="n">
        <v>1.22</v>
      </c>
      <c r="N1793" s="14" t="n">
        <v>0.3</v>
      </c>
      <c r="O1793" s="14" t="n">
        <v>0.61</v>
      </c>
      <c r="P1793" s="14" t="n">
        <v>0</v>
      </c>
      <c r="Q1793" s="14" t="n">
        <v>0</v>
      </c>
      <c r="R1793" s="14" t="n">
        <v>0</v>
      </c>
      <c r="S1793" s="14" t="n">
        <v>0.61</v>
      </c>
      <c r="T1793" s="14" t="n">
        <v>0.61</v>
      </c>
      <c r="U1793" s="14" t="n">
        <v>1.22</v>
      </c>
      <c r="V1793" s="14" t="n">
        <v>4.27</v>
      </c>
      <c r="W1793" s="14" t="n">
        <v>1.83</v>
      </c>
      <c r="X1793" s="14" t="n">
        <v>0</v>
      </c>
      <c r="Y1793" s="14" t="n">
        <v>0</v>
      </c>
      <c r="Z1793" s="14" t="n">
        <v>0.3</v>
      </c>
      <c r="AA1793" s="14" t="n">
        <v>0</v>
      </c>
    </row>
    <row r="1794">
      <c r="A1794" t="inlineStr">
        <is>
          <t>040117</t>
        </is>
      </c>
      <c r="B1794" t="inlineStr">
        <is>
          <t>AREQUIPA</t>
        </is>
      </c>
      <c r="C1794" t="inlineStr">
        <is>
          <t>AREQUIPA</t>
        </is>
      </c>
      <c r="D1794" t="inlineStr">
        <is>
          <t>SACHACA</t>
        </is>
      </c>
      <c r="E1794" t="n">
        <v>10721</v>
      </c>
      <c r="F1794" s="14" t="n">
        <v>0</v>
      </c>
      <c r="G1794" s="14" t="n">
        <v>13.8</v>
      </c>
      <c r="H1794" s="14" t="n">
        <v>2.98</v>
      </c>
      <c r="I1794" s="14" t="n">
        <v>7.7</v>
      </c>
      <c r="J1794" s="14" t="n">
        <v>0.23</v>
      </c>
      <c r="K1794" s="14" t="n">
        <v>0.35</v>
      </c>
      <c r="L1794" s="14" t="n">
        <v>8.1</v>
      </c>
      <c r="M1794" s="14" t="n">
        <v>17.62</v>
      </c>
      <c r="N1794" s="14" t="n">
        <v>9.359999999999999</v>
      </c>
      <c r="O1794" s="14" t="n">
        <v>6.3</v>
      </c>
      <c r="P1794" s="14" t="n">
        <v>0.87</v>
      </c>
      <c r="Q1794" s="14" t="n">
        <v>1.88</v>
      </c>
      <c r="R1794" s="14" t="n">
        <v>0.3</v>
      </c>
      <c r="S1794" s="14" t="n">
        <v>6.62</v>
      </c>
      <c r="T1794" s="14" t="n">
        <v>3.31</v>
      </c>
      <c r="U1794" s="14" t="n">
        <v>4.62</v>
      </c>
      <c r="V1794" s="14" t="n">
        <v>6.61</v>
      </c>
      <c r="W1794" s="14" t="n">
        <v>4.95</v>
      </c>
      <c r="X1794" s="14" t="n">
        <v>0.83</v>
      </c>
      <c r="Y1794" s="14" t="n">
        <v>2.1</v>
      </c>
      <c r="Z1794" s="14" t="n">
        <v>1.47</v>
      </c>
      <c r="AA1794" s="14" t="n">
        <v>0</v>
      </c>
    </row>
    <row r="1795">
      <c r="A1795" t="inlineStr">
        <is>
          <t>040126</t>
        </is>
      </c>
      <c r="B1795" t="inlineStr">
        <is>
          <t>AREQUIPA</t>
        </is>
      </c>
      <c r="C1795" t="inlineStr">
        <is>
          <t>AREQUIPA</t>
        </is>
      </c>
      <c r="D1795" t="inlineStr">
        <is>
          <t>YANAHUARA</t>
        </is>
      </c>
      <c r="E1795" t="n">
        <v>12431</v>
      </c>
      <c r="F1795" s="14" t="n">
        <v>0</v>
      </c>
      <c r="G1795" s="14" t="n">
        <v>3.11</v>
      </c>
      <c r="H1795" s="14" t="n">
        <v>2.54</v>
      </c>
      <c r="I1795" s="14" t="n">
        <v>6.44</v>
      </c>
      <c r="J1795" s="14" t="n">
        <v>0.26</v>
      </c>
      <c r="K1795" s="14" t="n">
        <v>0.18</v>
      </c>
      <c r="L1795" s="14" t="n">
        <v>3.85</v>
      </c>
      <c r="M1795" s="14" t="n">
        <v>16.35</v>
      </c>
      <c r="N1795" s="14" t="n">
        <v>5.54</v>
      </c>
      <c r="O1795" s="14" t="n">
        <v>5.16</v>
      </c>
      <c r="P1795" s="14" t="n">
        <v>1.9</v>
      </c>
      <c r="Q1795" s="14" t="n">
        <v>3.01</v>
      </c>
      <c r="R1795" s="14" t="n">
        <v>0.96</v>
      </c>
      <c r="S1795" s="14" t="n">
        <v>16.96</v>
      </c>
      <c r="T1795" s="14" t="n">
        <v>3.06</v>
      </c>
      <c r="U1795" s="14" t="n">
        <v>4.12</v>
      </c>
      <c r="V1795" s="14" t="n">
        <v>11.18</v>
      </c>
      <c r="W1795" s="14" t="n">
        <v>9.359999999999999</v>
      </c>
      <c r="X1795" s="14" t="n">
        <v>1.68</v>
      </c>
      <c r="Y1795" s="14" t="n">
        <v>3.11</v>
      </c>
      <c r="Z1795" s="14" t="n">
        <v>1.23</v>
      </c>
      <c r="AA1795" s="14" t="n">
        <v>0.01</v>
      </c>
    </row>
    <row r="1796">
      <c r="A1796" t="inlineStr">
        <is>
          <t>040105</t>
        </is>
      </c>
      <c r="B1796" t="inlineStr">
        <is>
          <t>AREQUIPA</t>
        </is>
      </c>
      <c r="C1796" t="inlineStr">
        <is>
          <t>AREQUIPA</t>
        </is>
      </c>
      <c r="D1796" t="inlineStr">
        <is>
          <t>CHARACATO</t>
        </is>
      </c>
      <c r="E1796" t="n">
        <v>5619</v>
      </c>
      <c r="F1796" s="14" t="n">
        <v>0</v>
      </c>
      <c r="G1796" s="14" t="n">
        <v>8.33</v>
      </c>
      <c r="H1796" s="14" t="n">
        <v>1.82</v>
      </c>
      <c r="I1796" s="14" t="n">
        <v>9.52</v>
      </c>
      <c r="J1796" s="14" t="n">
        <v>0.12</v>
      </c>
      <c r="K1796" s="14" t="n">
        <v>0.25</v>
      </c>
      <c r="L1796" s="14" t="n">
        <v>13.4</v>
      </c>
      <c r="M1796" s="14" t="n">
        <v>21.37</v>
      </c>
      <c r="N1796" s="14" t="n">
        <v>13.19</v>
      </c>
      <c r="O1796" s="14" t="n">
        <v>8.01</v>
      </c>
      <c r="P1796" s="14" t="n">
        <v>0.57</v>
      </c>
      <c r="Q1796" s="14" t="n">
        <v>0.89</v>
      </c>
      <c r="R1796" s="14" t="n">
        <v>0.09</v>
      </c>
      <c r="S1796" s="14" t="n">
        <v>3.35</v>
      </c>
      <c r="T1796" s="14" t="n">
        <v>3.04</v>
      </c>
      <c r="U1796" s="14" t="n">
        <v>4.06</v>
      </c>
      <c r="V1796" s="14" t="n">
        <v>4.34</v>
      </c>
      <c r="W1796" s="14" t="n">
        <v>2.26</v>
      </c>
      <c r="X1796" s="14" t="n">
        <v>0.41</v>
      </c>
      <c r="Y1796" s="14" t="n">
        <v>3.04</v>
      </c>
      <c r="Z1796" s="14" t="n">
        <v>1.94</v>
      </c>
      <c r="AA1796" s="14" t="n">
        <v>0</v>
      </c>
    </row>
    <row r="1797">
      <c r="A1797" t="inlineStr">
        <is>
          <t>040605</t>
        </is>
      </c>
      <c r="B1797" t="inlineStr">
        <is>
          <t>AREQUIPA</t>
        </is>
      </c>
      <c r="C1797" t="inlineStr">
        <is>
          <t>CONDESUYOS</t>
        </is>
      </c>
      <c r="D1797" t="inlineStr">
        <is>
          <t>IRAY</t>
        </is>
      </c>
      <c r="E1797" t="n">
        <v>244</v>
      </c>
      <c r="F1797" s="14" t="n">
        <v>0</v>
      </c>
      <c r="G1797" s="14" t="n">
        <v>60.25</v>
      </c>
      <c r="H1797" s="14" t="n">
        <v>0</v>
      </c>
      <c r="I1797" s="14" t="n">
        <v>4.51</v>
      </c>
      <c r="J1797" s="14" t="n">
        <v>0</v>
      </c>
      <c r="K1797" s="14" t="n">
        <v>0</v>
      </c>
      <c r="L1797" s="14" t="n">
        <v>8.199999999999999</v>
      </c>
      <c r="M1797" s="14" t="n">
        <v>7.79</v>
      </c>
      <c r="N1797" s="14" t="n">
        <v>4.92</v>
      </c>
      <c r="O1797" s="14" t="n">
        <v>0.41</v>
      </c>
      <c r="P1797" s="14" t="n">
        <v>0</v>
      </c>
      <c r="Q1797" s="14" t="n">
        <v>0</v>
      </c>
      <c r="R1797" s="14" t="n">
        <v>0</v>
      </c>
      <c r="S1797" s="14" t="n">
        <v>1.23</v>
      </c>
      <c r="T1797" s="14" t="n">
        <v>0</v>
      </c>
      <c r="U1797" s="14" t="n">
        <v>5.33</v>
      </c>
      <c r="V1797" s="14" t="n">
        <v>4.1</v>
      </c>
      <c r="W1797" s="14" t="n">
        <v>1.64</v>
      </c>
      <c r="X1797" s="14" t="n">
        <v>0</v>
      </c>
      <c r="Y1797" s="14" t="n">
        <v>0.41</v>
      </c>
      <c r="Z1797" s="14" t="n">
        <v>1.23</v>
      </c>
      <c r="AA1797" s="14" t="n">
        <v>0</v>
      </c>
    </row>
    <row r="1798">
      <c r="A1798" t="inlineStr">
        <is>
          <t>030417</t>
        </is>
      </c>
      <c r="B1798" t="inlineStr">
        <is>
          <t>APURIMAC</t>
        </is>
      </c>
      <c r="C1798" t="inlineStr">
        <is>
          <t>AYMARAES</t>
        </is>
      </c>
      <c r="D1798" t="inlineStr">
        <is>
          <t>YANACA</t>
        </is>
      </c>
      <c r="E1798" t="n">
        <v>447</v>
      </c>
      <c r="F1798" s="14" t="n">
        <v>0</v>
      </c>
      <c r="G1798" s="14" t="n">
        <v>78.52</v>
      </c>
      <c r="H1798" s="14" t="n">
        <v>0.22</v>
      </c>
      <c r="I1798" s="14" t="n">
        <v>1.57</v>
      </c>
      <c r="J1798" s="14" t="n">
        <v>0</v>
      </c>
      <c r="K1798" s="14" t="n">
        <v>0</v>
      </c>
      <c r="L1798" s="14" t="n">
        <v>3.36</v>
      </c>
      <c r="M1798" s="14" t="n">
        <v>2.68</v>
      </c>
      <c r="N1798" s="14" t="n">
        <v>1.12</v>
      </c>
      <c r="O1798" s="14" t="n">
        <v>0.67</v>
      </c>
      <c r="P1798" s="14" t="n">
        <v>0</v>
      </c>
      <c r="Q1798" s="14" t="n">
        <v>0</v>
      </c>
      <c r="R1798" s="14" t="n">
        <v>0</v>
      </c>
      <c r="S1798" s="14" t="n">
        <v>1.34</v>
      </c>
      <c r="T1798" s="14" t="n">
        <v>0</v>
      </c>
      <c r="U1798" s="14" t="n">
        <v>2.91</v>
      </c>
      <c r="V1798" s="14" t="n">
        <v>6.04</v>
      </c>
      <c r="W1798" s="14" t="n">
        <v>0.89</v>
      </c>
      <c r="X1798" s="14" t="n">
        <v>0</v>
      </c>
      <c r="Y1798" s="14" t="n">
        <v>0.67</v>
      </c>
      <c r="Z1798" s="14" t="n">
        <v>0</v>
      </c>
      <c r="AA1798" s="14" t="n">
        <v>0</v>
      </c>
    </row>
    <row r="1799">
      <c r="A1799" t="inlineStr">
        <is>
          <t>021205</t>
        </is>
      </c>
      <c r="B1799" t="inlineStr">
        <is>
          <t>ANCASH</t>
        </is>
      </c>
      <c r="C1799" t="inlineStr">
        <is>
          <t>HUAYLAS</t>
        </is>
      </c>
      <c r="D1799" t="inlineStr">
        <is>
          <t>MATO</t>
        </is>
      </c>
      <c r="E1799" t="n">
        <v>451</v>
      </c>
      <c r="F1799" s="14" t="n">
        <v>0</v>
      </c>
      <c r="G1799" s="14" t="n">
        <v>68.95999999999999</v>
      </c>
      <c r="H1799" s="14" t="n">
        <v>0.67</v>
      </c>
      <c r="I1799" s="14" t="n">
        <v>2</v>
      </c>
      <c r="J1799" s="14" t="n">
        <v>0</v>
      </c>
      <c r="K1799" s="14" t="n">
        <v>0.22</v>
      </c>
      <c r="L1799" s="14" t="n">
        <v>2.66</v>
      </c>
      <c r="M1799" s="14" t="n">
        <v>4.66</v>
      </c>
      <c r="N1799" s="14" t="n">
        <v>5.76</v>
      </c>
      <c r="O1799" s="14" t="n">
        <v>3.33</v>
      </c>
      <c r="P1799" s="14" t="n">
        <v>0</v>
      </c>
      <c r="Q1799" s="14" t="n">
        <v>0.67</v>
      </c>
      <c r="R1799" s="14" t="n">
        <v>0</v>
      </c>
      <c r="S1799" s="14" t="n">
        <v>0.89</v>
      </c>
      <c r="T1799" s="14" t="n">
        <v>0.22</v>
      </c>
      <c r="U1799" s="14" t="n">
        <v>3.33</v>
      </c>
      <c r="V1799" s="14" t="n">
        <v>3.1</v>
      </c>
      <c r="W1799" s="14" t="n">
        <v>1.55</v>
      </c>
      <c r="X1799" s="14" t="n">
        <v>0.89</v>
      </c>
      <c r="Y1799" s="14" t="n">
        <v>0.67</v>
      </c>
      <c r="Z1799" s="14" t="n">
        <v>0.44</v>
      </c>
      <c r="AA1799" s="14" t="n">
        <v>0</v>
      </c>
    </row>
    <row r="1800">
      <c r="A1800" t="inlineStr">
        <is>
          <t>030707</t>
        </is>
      </c>
      <c r="B1800" t="inlineStr">
        <is>
          <t>APURIMAC</t>
        </is>
      </c>
      <c r="C1800" t="inlineStr">
        <is>
          <t>GRAU</t>
        </is>
      </c>
      <c r="D1800" t="inlineStr">
        <is>
          <t>PATAYPAMPA</t>
        </is>
      </c>
      <c r="E1800" t="n">
        <v>202</v>
      </c>
      <c r="F1800" s="14" t="n">
        <v>0</v>
      </c>
      <c r="G1800" s="14" t="n">
        <v>87.13</v>
      </c>
      <c r="H1800" s="14" t="n">
        <v>0</v>
      </c>
      <c r="I1800" s="14" t="n">
        <v>0</v>
      </c>
      <c r="J1800" s="14" t="n">
        <v>0</v>
      </c>
      <c r="K1800" s="14" t="n">
        <v>0</v>
      </c>
      <c r="L1800" s="14" t="n">
        <v>1.49</v>
      </c>
      <c r="M1800" s="14" t="n">
        <v>1.98</v>
      </c>
      <c r="N1800" s="14" t="n">
        <v>0.5</v>
      </c>
      <c r="O1800" s="14" t="n">
        <v>0.5</v>
      </c>
      <c r="P1800" s="14" t="n">
        <v>0</v>
      </c>
      <c r="Q1800" s="14" t="n">
        <v>0</v>
      </c>
      <c r="R1800" s="14" t="n">
        <v>0</v>
      </c>
      <c r="S1800" s="14" t="n">
        <v>0</v>
      </c>
      <c r="T1800" s="14" t="n">
        <v>0</v>
      </c>
      <c r="U1800" s="14" t="n">
        <v>2.48</v>
      </c>
      <c r="V1800" s="14" t="n">
        <v>3.96</v>
      </c>
      <c r="W1800" s="14" t="n">
        <v>1.98</v>
      </c>
      <c r="X1800" s="14" t="n">
        <v>0</v>
      </c>
      <c r="Y1800" s="14" t="n">
        <v>0</v>
      </c>
      <c r="Z1800" s="14" t="n">
        <v>0</v>
      </c>
      <c r="AA1800" s="14" t="n">
        <v>0</v>
      </c>
    </row>
    <row r="1801">
      <c r="A1801" t="inlineStr">
        <is>
          <t>081207</t>
        </is>
      </c>
      <c r="B1801" t="inlineStr">
        <is>
          <t>CUSCO</t>
        </is>
      </c>
      <c r="C1801" t="inlineStr">
        <is>
          <t>QUISPICANCHI</t>
        </is>
      </c>
      <c r="D1801" t="inlineStr">
        <is>
          <t>HUARO</t>
        </is>
      </c>
      <c r="E1801" t="n">
        <v>1418</v>
      </c>
      <c r="F1801" s="14" t="n">
        <v>0</v>
      </c>
      <c r="G1801" s="14" t="n">
        <v>36.88</v>
      </c>
      <c r="H1801" s="14" t="n">
        <v>0.35</v>
      </c>
      <c r="I1801" s="14" t="n">
        <v>4.87</v>
      </c>
      <c r="J1801" s="14" t="n">
        <v>0.14</v>
      </c>
      <c r="K1801" s="14" t="n">
        <v>0.07000000000000001</v>
      </c>
      <c r="L1801" s="14" t="n">
        <v>8.460000000000001</v>
      </c>
      <c r="M1801" s="14" t="n">
        <v>12.55</v>
      </c>
      <c r="N1801" s="14" t="n">
        <v>7.12</v>
      </c>
      <c r="O1801" s="14" t="n">
        <v>5.85</v>
      </c>
      <c r="P1801" s="14" t="n">
        <v>0.28</v>
      </c>
      <c r="Q1801" s="14" t="n">
        <v>0.5600000000000001</v>
      </c>
      <c r="R1801" s="14" t="n">
        <v>0.07000000000000001</v>
      </c>
      <c r="S1801" s="14" t="n">
        <v>2.61</v>
      </c>
      <c r="T1801" s="14" t="n">
        <v>1.83</v>
      </c>
      <c r="U1801" s="14" t="n">
        <v>5.99</v>
      </c>
      <c r="V1801" s="14" t="n">
        <v>7.26</v>
      </c>
      <c r="W1801" s="14" t="n">
        <v>1.83</v>
      </c>
      <c r="X1801" s="14" t="n">
        <v>0.28</v>
      </c>
      <c r="Y1801" s="14" t="n">
        <v>2.33</v>
      </c>
      <c r="Z1801" s="14" t="n">
        <v>0.63</v>
      </c>
      <c r="AA1801" s="14" t="n">
        <v>0</v>
      </c>
    </row>
    <row r="1802">
      <c r="A1802" t="inlineStr">
        <is>
          <t>080304</t>
        </is>
      </c>
      <c r="B1802" t="inlineStr">
        <is>
          <t>CUSCO</t>
        </is>
      </c>
      <c r="C1802" t="inlineStr">
        <is>
          <t>ANTA</t>
        </is>
      </c>
      <c r="D1802" t="inlineStr">
        <is>
          <t>CHINCHAYPUJIO</t>
        </is>
      </c>
      <c r="E1802" t="n">
        <v>831</v>
      </c>
      <c r="F1802" s="14" t="n">
        <v>0</v>
      </c>
      <c r="G1802" s="14" t="n">
        <v>65.58</v>
      </c>
      <c r="H1802" s="14" t="n">
        <v>0.12</v>
      </c>
      <c r="I1802" s="14" t="n">
        <v>1.2</v>
      </c>
      <c r="J1802" s="14" t="n">
        <v>0</v>
      </c>
      <c r="K1802" s="14" t="n">
        <v>0</v>
      </c>
      <c r="L1802" s="14" t="n">
        <v>14.56</v>
      </c>
      <c r="M1802" s="14" t="n">
        <v>4.57</v>
      </c>
      <c r="N1802" s="14" t="n">
        <v>4.09</v>
      </c>
      <c r="O1802" s="14" t="n">
        <v>2.77</v>
      </c>
      <c r="P1802" s="14" t="n">
        <v>0.12</v>
      </c>
      <c r="Q1802" s="14" t="n">
        <v>0</v>
      </c>
      <c r="R1802" s="14" t="n">
        <v>0</v>
      </c>
      <c r="S1802" s="14" t="n">
        <v>0.48</v>
      </c>
      <c r="T1802" s="14" t="n">
        <v>0.48</v>
      </c>
      <c r="U1802" s="14" t="n">
        <v>3.01</v>
      </c>
      <c r="V1802" s="14" t="n">
        <v>0.6</v>
      </c>
      <c r="W1802" s="14" t="n">
        <v>0.84</v>
      </c>
      <c r="X1802" s="14" t="n">
        <v>0.96</v>
      </c>
      <c r="Y1802" s="14" t="n">
        <v>0.36</v>
      </c>
      <c r="Z1802" s="14" t="n">
        <v>0.24</v>
      </c>
      <c r="AA1802" s="14" t="n">
        <v>0</v>
      </c>
    </row>
    <row r="1803">
      <c r="A1803" t="inlineStr">
        <is>
          <t>080804</t>
        </is>
      </c>
      <c r="B1803" t="inlineStr">
        <is>
          <t>CUSCO</t>
        </is>
      </c>
      <c r="C1803" t="inlineStr">
        <is>
          <t>ESPINAR</t>
        </is>
      </c>
      <c r="D1803" t="inlineStr">
        <is>
          <t>OCORURO</t>
        </is>
      </c>
      <c r="E1803" t="n">
        <v>359</v>
      </c>
      <c r="F1803" s="14" t="n">
        <v>0</v>
      </c>
      <c r="G1803" s="14" t="n">
        <v>77.16</v>
      </c>
      <c r="H1803" s="14" t="n">
        <v>0.5600000000000001</v>
      </c>
      <c r="I1803" s="14" t="n">
        <v>0.84</v>
      </c>
      <c r="J1803" s="14" t="n">
        <v>0</v>
      </c>
      <c r="K1803" s="14" t="n">
        <v>0</v>
      </c>
      <c r="L1803" s="14" t="n">
        <v>9.470000000000001</v>
      </c>
      <c r="M1803" s="14" t="n">
        <v>3.06</v>
      </c>
      <c r="N1803" s="14" t="n">
        <v>1.95</v>
      </c>
      <c r="O1803" s="14" t="n">
        <v>3.06</v>
      </c>
      <c r="P1803" s="14" t="n">
        <v>0</v>
      </c>
      <c r="Q1803" s="14" t="n">
        <v>0</v>
      </c>
      <c r="R1803" s="14" t="n">
        <v>0</v>
      </c>
      <c r="S1803" s="14" t="n">
        <v>1.11</v>
      </c>
      <c r="T1803" s="14" t="n">
        <v>0.84</v>
      </c>
      <c r="U1803" s="14" t="n">
        <v>0.84</v>
      </c>
      <c r="V1803" s="14" t="n">
        <v>0.28</v>
      </c>
      <c r="W1803" s="14" t="n">
        <v>0</v>
      </c>
      <c r="X1803" s="14" t="n">
        <v>0</v>
      </c>
      <c r="Y1803" s="14" t="n">
        <v>0.5600000000000001</v>
      </c>
      <c r="Z1803" s="14" t="n">
        <v>0.28</v>
      </c>
      <c r="AA1803" s="14" t="n">
        <v>0</v>
      </c>
    </row>
    <row r="1804">
      <c r="A1804" t="inlineStr">
        <is>
          <t>021105</t>
        </is>
      </c>
      <c r="B1804" t="inlineStr">
        <is>
          <t>ANCASH</t>
        </is>
      </c>
      <c r="C1804" t="inlineStr">
        <is>
          <t>HUARMEY</t>
        </is>
      </c>
      <c r="D1804" t="inlineStr">
        <is>
          <t>MALVAS</t>
        </is>
      </c>
      <c r="E1804" t="n">
        <v>299</v>
      </c>
      <c r="F1804" s="14" t="n">
        <v>0</v>
      </c>
      <c r="G1804" s="14" t="n">
        <v>78.26000000000001</v>
      </c>
      <c r="H1804" s="14" t="n">
        <v>0.33</v>
      </c>
      <c r="I1804" s="14" t="n">
        <v>0.33</v>
      </c>
      <c r="J1804" s="14" t="n">
        <v>0</v>
      </c>
      <c r="K1804" s="14" t="n">
        <v>0</v>
      </c>
      <c r="L1804" s="14" t="n">
        <v>3.34</v>
      </c>
      <c r="M1804" s="14" t="n">
        <v>4.01</v>
      </c>
      <c r="N1804" s="14" t="n">
        <v>1</v>
      </c>
      <c r="O1804" s="14" t="n">
        <v>1</v>
      </c>
      <c r="P1804" s="14" t="n">
        <v>0</v>
      </c>
      <c r="Q1804" s="14" t="n">
        <v>0</v>
      </c>
      <c r="R1804" s="14" t="n">
        <v>0</v>
      </c>
      <c r="S1804" s="14" t="n">
        <v>0.67</v>
      </c>
      <c r="T1804" s="14" t="n">
        <v>0</v>
      </c>
      <c r="U1804" s="14" t="n">
        <v>3.34</v>
      </c>
      <c r="V1804" s="14" t="n">
        <v>6.02</v>
      </c>
      <c r="W1804" s="14" t="n">
        <v>1.34</v>
      </c>
      <c r="X1804" s="14" t="n">
        <v>0</v>
      </c>
      <c r="Y1804" s="14" t="n">
        <v>0.33</v>
      </c>
      <c r="Z1804" s="14" t="n">
        <v>0</v>
      </c>
      <c r="AA1804" s="14" t="n">
        <v>0</v>
      </c>
    </row>
    <row r="1805">
      <c r="A1805" t="inlineStr">
        <is>
          <t>020107</t>
        </is>
      </c>
      <c r="B1805" t="inlineStr">
        <is>
          <t>ANCASH</t>
        </is>
      </c>
      <c r="C1805" t="inlineStr">
        <is>
          <t>HUARAZ</t>
        </is>
      </c>
      <c r="D1805" t="inlineStr">
        <is>
          <t>LA LIBERTAD</t>
        </is>
      </c>
      <c r="E1805" t="n">
        <v>110</v>
      </c>
      <c r="F1805" s="14" t="n">
        <v>0</v>
      </c>
      <c r="G1805" s="14" t="n">
        <v>50.91</v>
      </c>
      <c r="H1805" s="14" t="n">
        <v>6.36</v>
      </c>
      <c r="I1805" s="14" t="n">
        <v>0.91</v>
      </c>
      <c r="J1805" s="14" t="n">
        <v>0</v>
      </c>
      <c r="K1805" s="14" t="n">
        <v>0</v>
      </c>
      <c r="L1805" s="14" t="n">
        <v>0.91</v>
      </c>
      <c r="M1805" s="14" t="n">
        <v>12.73</v>
      </c>
      <c r="N1805" s="14" t="n">
        <v>0</v>
      </c>
      <c r="O1805" s="14" t="n">
        <v>0</v>
      </c>
      <c r="P1805" s="14" t="n">
        <v>0</v>
      </c>
      <c r="Q1805" s="14" t="n">
        <v>0</v>
      </c>
      <c r="R1805" s="14" t="n">
        <v>0</v>
      </c>
      <c r="S1805" s="14" t="n">
        <v>4.55</v>
      </c>
      <c r="T1805" s="14" t="n">
        <v>7.27</v>
      </c>
      <c r="U1805" s="14" t="n">
        <v>5.45</v>
      </c>
      <c r="V1805" s="14" t="n">
        <v>2.73</v>
      </c>
      <c r="W1805" s="14" t="n">
        <v>1.82</v>
      </c>
      <c r="X1805" s="14" t="n">
        <v>0</v>
      </c>
      <c r="Y1805" s="14" t="n">
        <v>2.73</v>
      </c>
      <c r="Z1805" s="14" t="n">
        <v>3.64</v>
      </c>
      <c r="AA1805" s="14" t="n">
        <v>0</v>
      </c>
    </row>
    <row r="1806">
      <c r="A1806" t="inlineStr">
        <is>
          <t>080807</t>
        </is>
      </c>
      <c r="B1806" t="inlineStr">
        <is>
          <t>CUSCO</t>
        </is>
      </c>
      <c r="C1806" t="inlineStr">
        <is>
          <t>ESPINAR</t>
        </is>
      </c>
      <c r="D1806" t="inlineStr">
        <is>
          <t>SUYCKUTAMBO</t>
        </is>
      </c>
      <c r="E1806" t="n">
        <v>648</v>
      </c>
      <c r="F1806" s="14" t="n">
        <v>0</v>
      </c>
      <c r="G1806" s="14" t="n">
        <v>73.15000000000001</v>
      </c>
      <c r="H1806" s="14" t="n">
        <v>4.48</v>
      </c>
      <c r="I1806" s="14" t="n">
        <v>0.77</v>
      </c>
      <c r="J1806" s="14" t="n">
        <v>0</v>
      </c>
      <c r="K1806" s="14" t="n">
        <v>0</v>
      </c>
      <c r="L1806" s="14" t="n">
        <v>6.79</v>
      </c>
      <c r="M1806" s="14" t="n">
        <v>3.4</v>
      </c>
      <c r="N1806" s="14" t="n">
        <v>1.85</v>
      </c>
      <c r="O1806" s="14" t="n">
        <v>2.78</v>
      </c>
      <c r="P1806" s="14" t="n">
        <v>0</v>
      </c>
      <c r="Q1806" s="14" t="n">
        <v>0</v>
      </c>
      <c r="R1806" s="14" t="n">
        <v>0</v>
      </c>
      <c r="S1806" s="14" t="n">
        <v>0.77</v>
      </c>
      <c r="T1806" s="14" t="n">
        <v>0.31</v>
      </c>
      <c r="U1806" s="14" t="n">
        <v>3.09</v>
      </c>
      <c r="V1806" s="14" t="n">
        <v>0.93</v>
      </c>
      <c r="W1806" s="14" t="n">
        <v>0.62</v>
      </c>
      <c r="X1806" s="14" t="n">
        <v>0</v>
      </c>
      <c r="Y1806" s="14" t="n">
        <v>1.08</v>
      </c>
      <c r="Z1806" s="14" t="n">
        <v>0</v>
      </c>
      <c r="AA1806" s="14" t="n">
        <v>0</v>
      </c>
    </row>
    <row r="1807">
      <c r="A1807" t="inlineStr">
        <is>
          <t>040123</t>
        </is>
      </c>
      <c r="B1807" t="inlineStr">
        <is>
          <t>AREQUIPA</t>
        </is>
      </c>
      <c r="C1807" t="inlineStr">
        <is>
          <t>AREQUIPA</t>
        </is>
      </c>
      <c r="D1807" t="inlineStr">
        <is>
          <t>TIABAYA</t>
        </is>
      </c>
      <c r="E1807" t="n">
        <v>6889</v>
      </c>
      <c r="F1807" s="14" t="n">
        <v>0</v>
      </c>
      <c r="G1807" s="14" t="n">
        <v>20.42</v>
      </c>
      <c r="H1807" s="14" t="n">
        <v>2.79</v>
      </c>
      <c r="I1807" s="14" t="n">
        <v>8.74</v>
      </c>
      <c r="J1807" s="14" t="n">
        <v>0.1</v>
      </c>
      <c r="K1807" s="14" t="n">
        <v>0.19</v>
      </c>
      <c r="L1807" s="14" t="n">
        <v>10.38</v>
      </c>
      <c r="M1807" s="14" t="n">
        <v>19.09</v>
      </c>
      <c r="N1807" s="14" t="n">
        <v>9.15</v>
      </c>
      <c r="O1807" s="14" t="n">
        <v>5.14</v>
      </c>
      <c r="P1807" s="14" t="n">
        <v>0.48</v>
      </c>
      <c r="Q1807" s="14" t="n">
        <v>0.67</v>
      </c>
      <c r="R1807" s="14" t="n">
        <v>0.09</v>
      </c>
      <c r="S1807" s="14" t="n">
        <v>4.47</v>
      </c>
      <c r="T1807" s="14" t="n">
        <v>3.41</v>
      </c>
      <c r="U1807" s="14" t="n">
        <v>4.04</v>
      </c>
      <c r="V1807" s="14" t="n">
        <v>4.21</v>
      </c>
      <c r="W1807" s="14" t="n">
        <v>2.42</v>
      </c>
      <c r="X1807" s="14" t="n">
        <v>0.49</v>
      </c>
      <c r="Y1807" s="14" t="n">
        <v>2.69</v>
      </c>
      <c r="Z1807" s="14" t="n">
        <v>1.05</v>
      </c>
      <c r="AA1807" s="14" t="n">
        <v>0</v>
      </c>
    </row>
    <row r="1808">
      <c r="A1808" t="inlineStr">
        <is>
          <t>021404</t>
        </is>
      </c>
      <c r="B1808" t="inlineStr">
        <is>
          <t>ANCASH</t>
        </is>
      </c>
      <c r="C1808" t="inlineStr">
        <is>
          <t>OCROS</t>
        </is>
      </c>
      <c r="D1808" t="inlineStr">
        <is>
          <t>CARHUAPAMPA</t>
        </is>
      </c>
      <c r="E1808" t="n">
        <v>251</v>
      </c>
      <c r="F1808" s="14" t="n">
        <v>0</v>
      </c>
      <c r="G1808" s="14" t="n">
        <v>70.92</v>
      </c>
      <c r="H1808" s="14" t="n">
        <v>0.4</v>
      </c>
      <c r="I1808" s="14" t="n">
        <v>1.59</v>
      </c>
      <c r="J1808" s="14" t="n">
        <v>0</v>
      </c>
      <c r="K1808" s="14" t="n">
        <v>0</v>
      </c>
      <c r="L1808" s="14" t="n">
        <v>1.2</v>
      </c>
      <c r="M1808" s="14" t="n">
        <v>12.75</v>
      </c>
      <c r="N1808" s="14" t="n">
        <v>3.98</v>
      </c>
      <c r="O1808" s="14" t="n">
        <v>1.99</v>
      </c>
      <c r="P1808" s="14" t="n">
        <v>0</v>
      </c>
      <c r="Q1808" s="14" t="n">
        <v>0</v>
      </c>
      <c r="R1808" s="14" t="n">
        <v>0</v>
      </c>
      <c r="S1808" s="14" t="n">
        <v>0.4</v>
      </c>
      <c r="T1808" s="14" t="n">
        <v>0.4</v>
      </c>
      <c r="U1808" s="14" t="n">
        <v>1.99</v>
      </c>
      <c r="V1808" s="14" t="n">
        <v>2.39</v>
      </c>
      <c r="W1808" s="14" t="n">
        <v>1.59</v>
      </c>
      <c r="X1808" s="14" t="n">
        <v>0</v>
      </c>
      <c r="Y1808" s="14" t="n">
        <v>0.4</v>
      </c>
      <c r="Z1808" s="14" t="n">
        <v>0</v>
      </c>
      <c r="AA1808" s="14" t="n">
        <v>0</v>
      </c>
    </row>
    <row r="1809">
      <c r="A1809" t="inlineStr">
        <is>
          <t>021709</t>
        </is>
      </c>
      <c r="B1809" t="inlineStr">
        <is>
          <t>ANCASH</t>
        </is>
      </c>
      <c r="C1809" t="inlineStr">
        <is>
          <t>RECUAY</t>
        </is>
      </c>
      <c r="D1809" t="inlineStr">
        <is>
          <t>TAPACOCHA</t>
        </is>
      </c>
      <c r="E1809" t="n">
        <v>96</v>
      </c>
      <c r="F1809" s="14" t="n">
        <v>0</v>
      </c>
      <c r="G1809" s="14" t="n">
        <v>65.63</v>
      </c>
      <c r="H1809" s="14" t="n">
        <v>0</v>
      </c>
      <c r="I1809" s="14" t="n">
        <v>6.25</v>
      </c>
      <c r="J1809" s="14" t="n">
        <v>0</v>
      </c>
      <c r="K1809" s="14" t="n">
        <v>0</v>
      </c>
      <c r="L1809" s="14" t="n">
        <v>2.08</v>
      </c>
      <c r="M1809" s="14" t="n">
        <v>4.17</v>
      </c>
      <c r="N1809" s="14" t="n">
        <v>4.17</v>
      </c>
      <c r="O1809" s="14" t="n">
        <v>0</v>
      </c>
      <c r="P1809" s="14" t="n">
        <v>0</v>
      </c>
      <c r="Q1809" s="14" t="n">
        <v>0</v>
      </c>
      <c r="R1809" s="14" t="n">
        <v>0</v>
      </c>
      <c r="S1809" s="14" t="n">
        <v>5.21</v>
      </c>
      <c r="T1809" s="14" t="n">
        <v>1.04</v>
      </c>
      <c r="U1809" s="14" t="n">
        <v>5.21</v>
      </c>
      <c r="V1809" s="14" t="n">
        <v>3.13</v>
      </c>
      <c r="W1809" s="14" t="n">
        <v>1.04</v>
      </c>
      <c r="X1809" s="14" t="n">
        <v>1.04</v>
      </c>
      <c r="Y1809" s="14" t="n">
        <v>1.04</v>
      </c>
      <c r="Z1809" s="14" t="n">
        <v>0</v>
      </c>
      <c r="AA1809" s="14" t="n">
        <v>0</v>
      </c>
    </row>
    <row r="1810">
      <c r="A1810" t="inlineStr">
        <is>
          <t>010108</t>
        </is>
      </c>
      <c r="B1810" t="inlineStr">
        <is>
          <t>AMAZONAS</t>
        </is>
      </c>
      <c r="C1810" t="inlineStr">
        <is>
          <t>CHACHAPOYAS</t>
        </is>
      </c>
      <c r="D1810" t="inlineStr">
        <is>
          <t>HUANCAS</t>
        </is>
      </c>
      <c r="E1810" t="n">
        <v>328</v>
      </c>
      <c r="F1810" s="14" t="n">
        <v>0</v>
      </c>
      <c r="G1810" s="14" t="n">
        <v>33.84</v>
      </c>
      <c r="H1810" s="14" t="n">
        <v>0</v>
      </c>
      <c r="I1810" s="14" t="n">
        <v>32.01</v>
      </c>
      <c r="J1810" s="14" t="n">
        <v>0</v>
      </c>
      <c r="K1810" s="14" t="n">
        <v>0</v>
      </c>
      <c r="L1810" s="14" t="n">
        <v>4.57</v>
      </c>
      <c r="M1810" s="14" t="n">
        <v>10.06</v>
      </c>
      <c r="N1810" s="14" t="n">
        <v>2.74</v>
      </c>
      <c r="O1810" s="14" t="n">
        <v>4.88</v>
      </c>
      <c r="P1810" s="14" t="n">
        <v>0</v>
      </c>
      <c r="Q1810" s="14" t="n">
        <v>0</v>
      </c>
      <c r="R1810" s="14" t="n">
        <v>0.3</v>
      </c>
      <c r="S1810" s="14" t="n">
        <v>0.61</v>
      </c>
      <c r="T1810" s="14" t="n">
        <v>1.22</v>
      </c>
      <c r="U1810" s="14" t="n">
        <v>2.44</v>
      </c>
      <c r="V1810" s="14" t="n">
        <v>0.61</v>
      </c>
      <c r="W1810" s="14" t="n">
        <v>0.3</v>
      </c>
      <c r="X1810" s="14" t="n">
        <v>0</v>
      </c>
      <c r="Y1810" s="14" t="n">
        <v>5.49</v>
      </c>
      <c r="Z1810" s="14" t="n">
        <v>0.91</v>
      </c>
      <c r="AA1810" s="14" t="n">
        <v>0</v>
      </c>
    </row>
    <row r="1811">
      <c r="A1811" t="inlineStr">
        <is>
          <t>010519</t>
        </is>
      </c>
      <c r="B1811" t="inlineStr">
        <is>
          <t>AMAZONAS</t>
        </is>
      </c>
      <c r="C1811" t="inlineStr">
        <is>
          <t>LUYA</t>
        </is>
      </c>
      <c r="D1811" t="inlineStr">
        <is>
          <t>SAN JUAN DE LOPECANCHA</t>
        </is>
      </c>
      <c r="E1811" t="n">
        <v>142</v>
      </c>
      <c r="F1811" s="14" t="n">
        <v>0</v>
      </c>
      <c r="G1811" s="14" t="n">
        <v>59.15</v>
      </c>
      <c r="H1811" s="14" t="n">
        <v>0</v>
      </c>
      <c r="I1811" s="14" t="n">
        <v>0</v>
      </c>
      <c r="J1811" s="14" t="n">
        <v>0</v>
      </c>
      <c r="K1811" s="14" t="n">
        <v>0</v>
      </c>
      <c r="L1811" s="14" t="n">
        <v>25.35</v>
      </c>
      <c r="M1811" s="14" t="n">
        <v>1.41</v>
      </c>
      <c r="N1811" s="14" t="n">
        <v>1.41</v>
      </c>
      <c r="O1811" s="14" t="n">
        <v>3.52</v>
      </c>
      <c r="P1811" s="14" t="n">
        <v>0</v>
      </c>
      <c r="Q1811" s="14" t="n">
        <v>0</v>
      </c>
      <c r="R1811" s="14" t="n">
        <v>0</v>
      </c>
      <c r="S1811" s="14" t="n">
        <v>0</v>
      </c>
      <c r="T1811" s="14" t="n">
        <v>0</v>
      </c>
      <c r="U1811" s="14" t="n">
        <v>4.93</v>
      </c>
      <c r="V1811" s="14" t="n">
        <v>3.52</v>
      </c>
      <c r="W1811" s="14" t="n">
        <v>0</v>
      </c>
      <c r="X1811" s="14" t="n">
        <v>0</v>
      </c>
      <c r="Y1811" s="14" t="n">
        <v>0</v>
      </c>
      <c r="Z1811" s="14" t="n">
        <v>0.7</v>
      </c>
      <c r="AA1811" s="14" t="n">
        <v>0</v>
      </c>
    </row>
    <row r="1812">
      <c r="A1812" t="inlineStr">
        <is>
          <t>040514</t>
        </is>
      </c>
      <c r="B1812" t="inlineStr">
        <is>
          <t>AREQUIPA</t>
        </is>
      </c>
      <c r="C1812" t="inlineStr">
        <is>
          <t>CAYLLOMA</t>
        </is>
      </c>
      <c r="D1812" t="inlineStr">
        <is>
          <t>SAN ANTONIO DE CHUCA</t>
        </is>
      </c>
      <c r="E1812" t="n">
        <v>361</v>
      </c>
      <c r="F1812" s="14" t="n">
        <v>0</v>
      </c>
      <c r="G1812" s="14" t="n">
        <v>44.6</v>
      </c>
      <c r="H1812" s="14" t="n">
        <v>0.28</v>
      </c>
      <c r="I1812" s="14" t="n">
        <v>1.39</v>
      </c>
      <c r="J1812" s="14" t="n">
        <v>0</v>
      </c>
      <c r="K1812" s="14" t="n">
        <v>0.28</v>
      </c>
      <c r="L1812" s="14" t="n">
        <v>16.07</v>
      </c>
      <c r="M1812" s="14" t="n">
        <v>11.91</v>
      </c>
      <c r="N1812" s="14" t="n">
        <v>2.49</v>
      </c>
      <c r="O1812" s="14" t="n">
        <v>7.48</v>
      </c>
      <c r="P1812" s="14" t="n">
        <v>0</v>
      </c>
      <c r="Q1812" s="14" t="n">
        <v>0.28</v>
      </c>
      <c r="R1812" s="14" t="n">
        <v>0</v>
      </c>
      <c r="S1812" s="14" t="n">
        <v>0.28</v>
      </c>
      <c r="T1812" s="14" t="n">
        <v>3.32</v>
      </c>
      <c r="U1812" s="14" t="n">
        <v>7.2</v>
      </c>
      <c r="V1812" s="14" t="n">
        <v>0.83</v>
      </c>
      <c r="W1812" s="14" t="n">
        <v>0.55</v>
      </c>
      <c r="X1812" s="14" t="n">
        <v>0</v>
      </c>
      <c r="Y1812" s="14" t="n">
        <v>2.77</v>
      </c>
      <c r="Z1812" s="14" t="n">
        <v>0.28</v>
      </c>
      <c r="AA1812" s="14" t="n">
        <v>0</v>
      </c>
    </row>
    <row r="1813">
      <c r="A1813" t="inlineStr">
        <is>
          <t>081301</t>
        </is>
      </c>
      <c r="B1813" t="inlineStr">
        <is>
          <t>CUSCO</t>
        </is>
      </c>
      <c r="C1813" t="inlineStr">
        <is>
          <t>URUBAMBA</t>
        </is>
      </c>
      <c r="D1813" t="inlineStr">
        <is>
          <t>URUBAMBA</t>
        </is>
      </c>
      <c r="E1813" t="n">
        <v>8816</v>
      </c>
      <c r="F1813" s="14" t="n">
        <v>0</v>
      </c>
      <c r="G1813" s="14" t="n">
        <v>17.28</v>
      </c>
      <c r="H1813" s="14" t="n">
        <v>0.26</v>
      </c>
      <c r="I1813" s="14" t="n">
        <v>5.05</v>
      </c>
      <c r="J1813" s="14" t="n">
        <v>0.07000000000000001</v>
      </c>
      <c r="K1813" s="14" t="n">
        <v>0.17</v>
      </c>
      <c r="L1813" s="14" t="n">
        <v>8.17</v>
      </c>
      <c r="M1813" s="14" t="n">
        <v>18.98</v>
      </c>
      <c r="N1813" s="14" t="n">
        <v>7.62</v>
      </c>
      <c r="O1813" s="14" t="n">
        <v>15.2</v>
      </c>
      <c r="P1813" s="14" t="n">
        <v>0.58</v>
      </c>
      <c r="Q1813" s="14" t="n">
        <v>1.19</v>
      </c>
      <c r="R1813" s="14" t="n">
        <v>0.08</v>
      </c>
      <c r="S1813" s="14" t="n">
        <v>2.77</v>
      </c>
      <c r="T1813" s="14" t="n">
        <v>4.03</v>
      </c>
      <c r="U1813" s="14" t="n">
        <v>4.04</v>
      </c>
      <c r="V1813" s="14" t="n">
        <v>9.27</v>
      </c>
      <c r="W1813" s="14" t="n">
        <v>1.55</v>
      </c>
      <c r="X1813" s="14" t="n">
        <v>0.82</v>
      </c>
      <c r="Y1813" s="14" t="n">
        <v>2.06</v>
      </c>
      <c r="Z1813" s="14" t="n">
        <v>0.83</v>
      </c>
      <c r="AA1813" s="14" t="n">
        <v>0</v>
      </c>
    </row>
    <row r="1814">
      <c r="A1814" t="inlineStr">
        <is>
          <t>040303</t>
        </is>
      </c>
      <c r="B1814" t="inlineStr">
        <is>
          <t>AREQUIPA</t>
        </is>
      </c>
      <c r="C1814" t="inlineStr">
        <is>
          <t>CARAVELI</t>
        </is>
      </c>
      <c r="D1814" t="inlineStr">
        <is>
          <t>ATICO</t>
        </is>
      </c>
      <c r="E1814" t="n">
        <v>2538</v>
      </c>
      <c r="F1814" s="14" t="n">
        <v>0</v>
      </c>
      <c r="G1814" s="14" t="n">
        <v>26.48</v>
      </c>
      <c r="H1814" s="14" t="n">
        <v>12.84</v>
      </c>
      <c r="I1814" s="14" t="n">
        <v>4.89</v>
      </c>
      <c r="J1814" s="14" t="n">
        <v>0.12</v>
      </c>
      <c r="K1814" s="14" t="n">
        <v>0.08</v>
      </c>
      <c r="L1814" s="14" t="n">
        <v>6.19</v>
      </c>
      <c r="M1814" s="14" t="n">
        <v>16.9</v>
      </c>
      <c r="N1814" s="14" t="n">
        <v>9.460000000000001</v>
      </c>
      <c r="O1814" s="14" t="n">
        <v>8.789999999999999</v>
      </c>
      <c r="P1814" s="14" t="n">
        <v>0.35</v>
      </c>
      <c r="Q1814" s="14" t="n">
        <v>0.39</v>
      </c>
      <c r="R1814" s="14" t="n">
        <v>0</v>
      </c>
      <c r="S1814" s="14" t="n">
        <v>1.06</v>
      </c>
      <c r="T1814" s="14" t="n">
        <v>1.81</v>
      </c>
      <c r="U1814" s="14" t="n">
        <v>3.86</v>
      </c>
      <c r="V1814" s="14" t="n">
        <v>3.39</v>
      </c>
      <c r="W1814" s="14" t="n">
        <v>0.71</v>
      </c>
      <c r="X1814" s="14" t="n">
        <v>0.55</v>
      </c>
      <c r="Y1814" s="14" t="n">
        <v>1.69</v>
      </c>
      <c r="Z1814" s="14" t="n">
        <v>0.43</v>
      </c>
      <c r="AA1814" s="14" t="n">
        <v>0</v>
      </c>
    </row>
    <row r="1815">
      <c r="A1815" t="inlineStr">
        <is>
          <t>080104</t>
        </is>
      </c>
      <c r="B1815" t="inlineStr">
        <is>
          <t>CUSCO</t>
        </is>
      </c>
      <c r="C1815" t="inlineStr">
        <is>
          <t>CUSCO</t>
        </is>
      </c>
      <c r="D1815" t="inlineStr">
        <is>
          <t>SAN JERONIMO</t>
        </is>
      </c>
      <c r="E1815" t="n">
        <v>27139</v>
      </c>
      <c r="F1815" s="14" t="n">
        <v>0</v>
      </c>
      <c r="G1815" s="14" t="n">
        <v>4.22</v>
      </c>
      <c r="H1815" s="14" t="n">
        <v>0.46</v>
      </c>
      <c r="I1815" s="14" t="n">
        <v>15.25</v>
      </c>
      <c r="J1815" s="14" t="n">
        <v>0.14</v>
      </c>
      <c r="K1815" s="14" t="n">
        <v>0.2</v>
      </c>
      <c r="L1815" s="14" t="n">
        <v>8.859999999999999</v>
      </c>
      <c r="M1815" s="14" t="n">
        <v>21.15</v>
      </c>
      <c r="N1815" s="14" t="n">
        <v>9.74</v>
      </c>
      <c r="O1815" s="14" t="n">
        <v>7.79</v>
      </c>
      <c r="P1815" s="14" t="n">
        <v>0.8100000000000001</v>
      </c>
      <c r="Q1815" s="14" t="n">
        <v>1.26</v>
      </c>
      <c r="R1815" s="14" t="n">
        <v>0.19</v>
      </c>
      <c r="S1815" s="14" t="n">
        <v>6.36</v>
      </c>
      <c r="T1815" s="14" t="n">
        <v>3.88</v>
      </c>
      <c r="U1815" s="14" t="n">
        <v>4.96</v>
      </c>
      <c r="V1815" s="14" t="n">
        <v>6.64</v>
      </c>
      <c r="W1815" s="14" t="n">
        <v>3.15</v>
      </c>
      <c r="X1815" s="14" t="n">
        <v>1.11</v>
      </c>
      <c r="Y1815" s="14" t="n">
        <v>3.08</v>
      </c>
      <c r="Z1815" s="14" t="n">
        <v>0.76</v>
      </c>
      <c r="AA1815" s="14" t="n">
        <v>0.01</v>
      </c>
    </row>
    <row r="1816">
      <c r="A1816" t="inlineStr">
        <is>
          <t>080403</t>
        </is>
      </c>
      <c r="B1816" t="inlineStr">
        <is>
          <t>CUSCO</t>
        </is>
      </c>
      <c r="C1816" t="inlineStr">
        <is>
          <t>CALCA</t>
        </is>
      </c>
      <c r="D1816" t="inlineStr">
        <is>
          <t>LAMAY</t>
        </is>
      </c>
      <c r="E1816" t="n">
        <v>1897</v>
      </c>
      <c r="F1816" s="14" t="n">
        <v>0</v>
      </c>
      <c r="G1816" s="14" t="n">
        <v>60.73</v>
      </c>
      <c r="H1816" s="14" t="n">
        <v>0.32</v>
      </c>
      <c r="I1816" s="14" t="n">
        <v>3.22</v>
      </c>
      <c r="J1816" s="14" t="n">
        <v>0</v>
      </c>
      <c r="K1816" s="14" t="n">
        <v>0.05</v>
      </c>
      <c r="L1816" s="14" t="n">
        <v>4.64</v>
      </c>
      <c r="M1816" s="14" t="n">
        <v>7.22</v>
      </c>
      <c r="N1816" s="14" t="n">
        <v>4.11</v>
      </c>
      <c r="O1816" s="14" t="n">
        <v>5.32</v>
      </c>
      <c r="P1816" s="14" t="n">
        <v>0.21</v>
      </c>
      <c r="Q1816" s="14" t="n">
        <v>0.05</v>
      </c>
      <c r="R1816" s="14" t="n">
        <v>0</v>
      </c>
      <c r="S1816" s="14" t="n">
        <v>1.21</v>
      </c>
      <c r="T1816" s="14" t="n">
        <v>1.85</v>
      </c>
      <c r="U1816" s="14" t="n">
        <v>4.11</v>
      </c>
      <c r="V1816" s="14" t="n">
        <v>2.9</v>
      </c>
      <c r="W1816" s="14" t="n">
        <v>1.79</v>
      </c>
      <c r="X1816" s="14" t="n">
        <v>0.26</v>
      </c>
      <c r="Y1816" s="14" t="n">
        <v>1.48</v>
      </c>
      <c r="Z1816" s="14" t="n">
        <v>0.53</v>
      </c>
      <c r="AA1816" s="14" t="n">
        <v>0</v>
      </c>
    </row>
    <row r="1817">
      <c r="A1817" t="inlineStr">
        <is>
          <t>080202</t>
        </is>
      </c>
      <c r="B1817" t="inlineStr">
        <is>
          <t>CUSCO</t>
        </is>
      </c>
      <c r="C1817" t="inlineStr">
        <is>
          <t>ACOMAYO</t>
        </is>
      </c>
      <c r="D1817" t="inlineStr">
        <is>
          <t>ACOPIA</t>
        </is>
      </c>
      <c r="E1817" t="n">
        <v>1041</v>
      </c>
      <c r="F1817" s="14" t="n">
        <v>0</v>
      </c>
      <c r="G1817" s="14" t="n">
        <v>80.88</v>
      </c>
      <c r="H1817" s="14" t="n">
        <v>0.1</v>
      </c>
      <c r="I1817" s="14" t="n">
        <v>1.06</v>
      </c>
      <c r="J1817" s="14" t="n">
        <v>0</v>
      </c>
      <c r="K1817" s="14" t="n">
        <v>0</v>
      </c>
      <c r="L1817" s="14" t="n">
        <v>2.4</v>
      </c>
      <c r="M1817" s="14" t="n">
        <v>5.76</v>
      </c>
      <c r="N1817" s="14" t="n">
        <v>0.86</v>
      </c>
      <c r="O1817" s="14" t="n">
        <v>0.96</v>
      </c>
      <c r="P1817" s="14" t="n">
        <v>0.1</v>
      </c>
      <c r="Q1817" s="14" t="n">
        <v>0</v>
      </c>
      <c r="R1817" s="14" t="n">
        <v>0</v>
      </c>
      <c r="S1817" s="14" t="n">
        <v>0.77</v>
      </c>
      <c r="T1817" s="14" t="n">
        <v>0.1</v>
      </c>
      <c r="U1817" s="14" t="n">
        <v>2.5</v>
      </c>
      <c r="V1817" s="14" t="n">
        <v>2.98</v>
      </c>
      <c r="W1817" s="14" t="n">
        <v>0.86</v>
      </c>
      <c r="X1817" s="14" t="n">
        <v>0.1</v>
      </c>
      <c r="Y1817" s="14" t="n">
        <v>0.38</v>
      </c>
      <c r="Z1817" s="14" t="n">
        <v>0.19</v>
      </c>
      <c r="AA1817" s="14" t="n">
        <v>0</v>
      </c>
    </row>
    <row r="1818">
      <c r="A1818" t="inlineStr">
        <is>
          <t>021104</t>
        </is>
      </c>
      <c r="B1818" t="inlineStr">
        <is>
          <t>ANCASH</t>
        </is>
      </c>
      <c r="C1818" t="inlineStr">
        <is>
          <t>HUARMEY</t>
        </is>
      </c>
      <c r="D1818" t="inlineStr">
        <is>
          <t>HUAYAN</t>
        </is>
      </c>
      <c r="E1818" t="n">
        <v>384</v>
      </c>
      <c r="F1818" s="14" t="n">
        <v>0</v>
      </c>
      <c r="G1818" s="14" t="n">
        <v>58.33</v>
      </c>
      <c r="H1818" s="14" t="n">
        <v>0.52</v>
      </c>
      <c r="I1818" s="14" t="n">
        <v>10.42</v>
      </c>
      <c r="J1818" s="14" t="n">
        <v>0</v>
      </c>
      <c r="K1818" s="14" t="n">
        <v>0</v>
      </c>
      <c r="L1818" s="14" t="n">
        <v>4.43</v>
      </c>
      <c r="M1818" s="14" t="n">
        <v>7.03</v>
      </c>
      <c r="N1818" s="14" t="n">
        <v>1.82</v>
      </c>
      <c r="O1818" s="14" t="n">
        <v>1.56</v>
      </c>
      <c r="P1818" s="14" t="n">
        <v>0</v>
      </c>
      <c r="Q1818" s="14" t="n">
        <v>0</v>
      </c>
      <c r="R1818" s="14" t="n">
        <v>0</v>
      </c>
      <c r="S1818" s="14" t="n">
        <v>0.52</v>
      </c>
      <c r="T1818" s="14" t="n">
        <v>0</v>
      </c>
      <c r="U1818" s="14" t="n">
        <v>7.55</v>
      </c>
      <c r="V1818" s="14" t="n">
        <v>6.77</v>
      </c>
      <c r="W1818" s="14" t="n">
        <v>0.52</v>
      </c>
      <c r="X1818" s="14" t="n">
        <v>0</v>
      </c>
      <c r="Y1818" s="14" t="n">
        <v>0.26</v>
      </c>
      <c r="Z1818" s="14" t="n">
        <v>0.26</v>
      </c>
      <c r="AA1818" s="14" t="n">
        <v>0</v>
      </c>
    </row>
    <row r="1819">
      <c r="A1819" t="inlineStr">
        <is>
          <t>020907</t>
        </is>
      </c>
      <c r="B1819" t="inlineStr">
        <is>
          <t>ANCASH</t>
        </is>
      </c>
      <c r="C1819" t="inlineStr">
        <is>
          <t>CORONGO</t>
        </is>
      </c>
      <c r="D1819" t="inlineStr">
        <is>
          <t>YUPAN</t>
        </is>
      </c>
      <c r="E1819" t="n">
        <v>240</v>
      </c>
      <c r="F1819" s="14" t="n">
        <v>0</v>
      </c>
      <c r="G1819" s="14" t="n">
        <v>32.5</v>
      </c>
      <c r="H1819" s="14" t="n">
        <v>0</v>
      </c>
      <c r="I1819" s="14" t="n">
        <v>7.92</v>
      </c>
      <c r="J1819" s="14" t="n">
        <v>0</v>
      </c>
      <c r="K1819" s="14" t="n">
        <v>0</v>
      </c>
      <c r="L1819" s="14" t="n">
        <v>7.08</v>
      </c>
      <c r="M1819" s="14" t="n">
        <v>12.08</v>
      </c>
      <c r="N1819" s="14" t="n">
        <v>7.92</v>
      </c>
      <c r="O1819" s="14" t="n">
        <v>3.75</v>
      </c>
      <c r="P1819" s="14" t="n">
        <v>0.83</v>
      </c>
      <c r="Q1819" s="14" t="n">
        <v>0.83</v>
      </c>
      <c r="R1819" s="14" t="n">
        <v>0.42</v>
      </c>
      <c r="S1819" s="14" t="n">
        <v>5.42</v>
      </c>
      <c r="T1819" s="14" t="n">
        <v>2.5</v>
      </c>
      <c r="U1819" s="14" t="n">
        <v>5</v>
      </c>
      <c r="V1819" s="14" t="n">
        <v>5.83</v>
      </c>
      <c r="W1819" s="14" t="n">
        <v>2.08</v>
      </c>
      <c r="X1819" s="14" t="n">
        <v>1.67</v>
      </c>
      <c r="Y1819" s="14" t="n">
        <v>2.92</v>
      </c>
      <c r="Z1819" s="14" t="n">
        <v>1.25</v>
      </c>
      <c r="AA1819" s="14" t="n">
        <v>0</v>
      </c>
    </row>
    <row r="1820">
      <c r="A1820" t="inlineStr">
        <is>
          <t>010516</t>
        </is>
      </c>
      <c r="B1820" t="inlineStr">
        <is>
          <t>AMAZONAS</t>
        </is>
      </c>
      <c r="C1820" t="inlineStr">
        <is>
          <t>LUYA</t>
        </is>
      </c>
      <c r="D1820" t="inlineStr">
        <is>
          <t>SAN CRISTOBAL</t>
        </is>
      </c>
      <c r="E1820" t="n">
        <v>119</v>
      </c>
      <c r="F1820" s="14" t="n">
        <v>0</v>
      </c>
      <c r="G1820" s="14" t="n">
        <v>69.75</v>
      </c>
      <c r="H1820" s="14" t="n">
        <v>0</v>
      </c>
      <c r="I1820" s="14" t="n">
        <v>0.84</v>
      </c>
      <c r="J1820" s="14" t="n">
        <v>0</v>
      </c>
      <c r="K1820" s="14" t="n">
        <v>0</v>
      </c>
      <c r="L1820" s="14" t="n">
        <v>5.04</v>
      </c>
      <c r="M1820" s="14" t="n">
        <v>6.72</v>
      </c>
      <c r="N1820" s="14" t="n">
        <v>1.68</v>
      </c>
      <c r="O1820" s="14" t="n">
        <v>0.84</v>
      </c>
      <c r="P1820" s="14" t="n">
        <v>0</v>
      </c>
      <c r="Q1820" s="14" t="n">
        <v>0</v>
      </c>
      <c r="R1820" s="14" t="n">
        <v>0</v>
      </c>
      <c r="S1820" s="14" t="n">
        <v>0.84</v>
      </c>
      <c r="T1820" s="14" t="n">
        <v>0.84</v>
      </c>
      <c r="U1820" s="14" t="n">
        <v>5.88</v>
      </c>
      <c r="V1820" s="14" t="n">
        <v>1.68</v>
      </c>
      <c r="W1820" s="14" t="n">
        <v>2.52</v>
      </c>
      <c r="X1820" s="14" t="n">
        <v>0</v>
      </c>
      <c r="Y1820" s="14" t="n">
        <v>0.84</v>
      </c>
      <c r="Z1820" s="14" t="n">
        <v>2.52</v>
      </c>
      <c r="AA1820" s="14" t="n">
        <v>0</v>
      </c>
    </row>
    <row r="1821">
      <c r="A1821" t="inlineStr">
        <is>
          <t>020804</t>
        </is>
      </c>
      <c r="B1821" t="inlineStr">
        <is>
          <t>ANCASH</t>
        </is>
      </c>
      <c r="C1821" t="inlineStr">
        <is>
          <t>CASMA</t>
        </is>
      </c>
      <c r="D1821" t="inlineStr">
        <is>
          <t>YAUTAN</t>
        </is>
      </c>
      <c r="E1821" t="n">
        <v>2965</v>
      </c>
      <c r="F1821" s="14" t="n">
        <v>0</v>
      </c>
      <c r="G1821" s="14" t="n">
        <v>69.65000000000001</v>
      </c>
      <c r="H1821" s="14" t="n">
        <v>0.07000000000000001</v>
      </c>
      <c r="I1821" s="14" t="n">
        <v>1.89</v>
      </c>
      <c r="J1821" s="14" t="n">
        <v>0.03</v>
      </c>
      <c r="K1821" s="14" t="n">
        <v>0.1</v>
      </c>
      <c r="L1821" s="14" t="n">
        <v>2.6</v>
      </c>
      <c r="M1821" s="14" t="n">
        <v>7.66</v>
      </c>
      <c r="N1821" s="14" t="n">
        <v>5.63</v>
      </c>
      <c r="O1821" s="14" t="n">
        <v>3.74</v>
      </c>
      <c r="P1821" s="14" t="n">
        <v>0.03</v>
      </c>
      <c r="Q1821" s="14" t="n">
        <v>0.13</v>
      </c>
      <c r="R1821" s="14" t="n">
        <v>0</v>
      </c>
      <c r="S1821" s="14" t="n">
        <v>0.54</v>
      </c>
      <c r="T1821" s="14" t="n">
        <v>0.34</v>
      </c>
      <c r="U1821" s="14" t="n">
        <v>2.87</v>
      </c>
      <c r="V1821" s="14" t="n">
        <v>2.9</v>
      </c>
      <c r="W1821" s="14" t="n">
        <v>0.64</v>
      </c>
      <c r="X1821" s="14" t="n">
        <v>0.13</v>
      </c>
      <c r="Y1821" s="14" t="n">
        <v>0.84</v>
      </c>
      <c r="Z1821" s="14" t="n">
        <v>0.2</v>
      </c>
      <c r="AA1821" s="14" t="n">
        <v>0</v>
      </c>
    </row>
    <row r="1822">
      <c r="A1822" t="inlineStr">
        <is>
          <t>020503</t>
        </is>
      </c>
      <c r="B1822" t="inlineStr">
        <is>
          <t>ANCASH</t>
        </is>
      </c>
      <c r="C1822" t="inlineStr">
        <is>
          <t>BOLOGNESI</t>
        </is>
      </c>
      <c r="D1822" t="inlineStr">
        <is>
          <t>ANTONIO RAYMONDI</t>
        </is>
      </c>
      <c r="E1822" t="n">
        <v>397</v>
      </c>
      <c r="F1822" s="14" t="n">
        <v>0</v>
      </c>
      <c r="G1822" s="14" t="n">
        <v>73.05</v>
      </c>
      <c r="H1822" s="14" t="n">
        <v>0</v>
      </c>
      <c r="I1822" s="14" t="n">
        <v>1.76</v>
      </c>
      <c r="J1822" s="14" t="n">
        <v>0</v>
      </c>
      <c r="K1822" s="14" t="n">
        <v>0</v>
      </c>
      <c r="L1822" s="14" t="n">
        <v>3.53</v>
      </c>
      <c r="M1822" s="14" t="n">
        <v>3.78</v>
      </c>
      <c r="N1822" s="14" t="n">
        <v>2.27</v>
      </c>
      <c r="O1822" s="14" t="n">
        <v>3.53</v>
      </c>
      <c r="P1822" s="14" t="n">
        <v>0</v>
      </c>
      <c r="Q1822" s="14" t="n">
        <v>0.25</v>
      </c>
      <c r="R1822" s="14" t="n">
        <v>0</v>
      </c>
      <c r="S1822" s="14" t="n">
        <v>0.5</v>
      </c>
      <c r="T1822" s="14" t="n">
        <v>0.25</v>
      </c>
      <c r="U1822" s="14" t="n">
        <v>5.04</v>
      </c>
      <c r="V1822" s="14" t="n">
        <v>4.03</v>
      </c>
      <c r="W1822" s="14" t="n">
        <v>0.5</v>
      </c>
      <c r="X1822" s="14" t="n">
        <v>0</v>
      </c>
      <c r="Y1822" s="14" t="n">
        <v>1.51</v>
      </c>
      <c r="Z1822" s="14" t="n">
        <v>0</v>
      </c>
      <c r="AA1822" s="14" t="n">
        <v>0</v>
      </c>
    </row>
    <row r="1823">
      <c r="A1823" t="inlineStr">
        <is>
          <t>021403</t>
        </is>
      </c>
      <c r="B1823" t="inlineStr">
        <is>
          <t>ANCASH</t>
        </is>
      </c>
      <c r="C1823" t="inlineStr">
        <is>
          <t>OCROS</t>
        </is>
      </c>
      <c r="D1823" t="inlineStr">
        <is>
          <t>CAJAMARQUILLA</t>
        </is>
      </c>
      <c r="E1823" t="n">
        <v>61</v>
      </c>
      <c r="F1823" s="14" t="n">
        <v>0</v>
      </c>
      <c r="G1823" s="14" t="n">
        <v>55.74</v>
      </c>
      <c r="H1823" s="14" t="n">
        <v>0</v>
      </c>
      <c r="I1823" s="14" t="n">
        <v>1.64</v>
      </c>
      <c r="J1823" s="14" t="n">
        <v>0</v>
      </c>
      <c r="K1823" s="14" t="n">
        <v>0</v>
      </c>
      <c r="L1823" s="14" t="n">
        <v>9.84</v>
      </c>
      <c r="M1823" s="14" t="n">
        <v>14.75</v>
      </c>
      <c r="N1823" s="14" t="n">
        <v>0</v>
      </c>
      <c r="O1823" s="14" t="n">
        <v>1.64</v>
      </c>
      <c r="P1823" s="14" t="n">
        <v>0</v>
      </c>
      <c r="Q1823" s="14" t="n">
        <v>0</v>
      </c>
      <c r="R1823" s="14" t="n">
        <v>0</v>
      </c>
      <c r="S1823" s="14" t="n">
        <v>4.92</v>
      </c>
      <c r="T1823" s="14" t="n">
        <v>0</v>
      </c>
      <c r="U1823" s="14" t="n">
        <v>4.92</v>
      </c>
      <c r="V1823" s="14" t="n">
        <v>4.92</v>
      </c>
      <c r="W1823" s="14" t="n">
        <v>0</v>
      </c>
      <c r="X1823" s="14" t="n">
        <v>0</v>
      </c>
      <c r="Y1823" s="14" t="n">
        <v>1.64</v>
      </c>
      <c r="Z1823" s="14" t="n">
        <v>0</v>
      </c>
      <c r="AA1823" s="14" t="n">
        <v>0</v>
      </c>
    </row>
    <row r="1824">
      <c r="A1824" t="inlineStr">
        <is>
          <t>010308</t>
        </is>
      </c>
      <c r="B1824" t="inlineStr">
        <is>
          <t>AMAZONAS</t>
        </is>
      </c>
      <c r="C1824" t="inlineStr">
        <is>
          <t>BONGARA</t>
        </is>
      </c>
      <c r="D1824" t="inlineStr">
        <is>
          <t>RECTA</t>
        </is>
      </c>
      <c r="E1824" t="n">
        <v>96</v>
      </c>
      <c r="F1824" s="14" t="n">
        <v>0</v>
      </c>
      <c r="G1824" s="14" t="n">
        <v>78.13</v>
      </c>
      <c r="H1824" s="14" t="n">
        <v>0</v>
      </c>
      <c r="I1824" s="14" t="n">
        <v>0</v>
      </c>
      <c r="J1824" s="14" t="n">
        <v>0</v>
      </c>
      <c r="K1824" s="14" t="n">
        <v>0</v>
      </c>
      <c r="L1824" s="14" t="n">
        <v>7.29</v>
      </c>
      <c r="M1824" s="14" t="n">
        <v>1.04</v>
      </c>
      <c r="N1824" s="14" t="n">
        <v>2.08</v>
      </c>
      <c r="O1824" s="14" t="n">
        <v>0</v>
      </c>
      <c r="P1824" s="14" t="n">
        <v>0</v>
      </c>
      <c r="Q1824" s="14" t="n">
        <v>0</v>
      </c>
      <c r="R1824" s="14" t="n">
        <v>0</v>
      </c>
      <c r="S1824" s="14" t="n">
        <v>0</v>
      </c>
      <c r="T1824" s="14" t="n">
        <v>1.04</v>
      </c>
      <c r="U1824" s="14" t="n">
        <v>6.25</v>
      </c>
      <c r="V1824" s="14" t="n">
        <v>3.13</v>
      </c>
      <c r="W1824" s="14" t="n">
        <v>1.04</v>
      </c>
      <c r="X1824" s="14" t="n">
        <v>0</v>
      </c>
      <c r="Y1824" s="14" t="n">
        <v>0</v>
      </c>
      <c r="Z1824" s="14" t="n">
        <v>0</v>
      </c>
      <c r="AA1824" s="14" t="n">
        <v>0</v>
      </c>
    </row>
    <row r="1825">
      <c r="A1825" t="inlineStr">
        <is>
          <t>010510</t>
        </is>
      </c>
      <c r="B1825" t="inlineStr">
        <is>
          <t>AMAZONAS</t>
        </is>
      </c>
      <c r="C1825" t="inlineStr">
        <is>
          <t>LUYA</t>
        </is>
      </c>
      <c r="D1825" t="inlineStr">
        <is>
          <t>LUYA VIEJO</t>
        </is>
      </c>
      <c r="E1825" t="n">
        <v>99</v>
      </c>
      <c r="F1825" s="14" t="n">
        <v>0</v>
      </c>
      <c r="G1825" s="14" t="n">
        <v>74.75</v>
      </c>
      <c r="H1825" s="14" t="n">
        <v>0</v>
      </c>
      <c r="I1825" s="14" t="n">
        <v>4.04</v>
      </c>
      <c r="J1825" s="14" t="n">
        <v>0</v>
      </c>
      <c r="K1825" s="14" t="n">
        <v>0</v>
      </c>
      <c r="L1825" s="14" t="n">
        <v>7.07</v>
      </c>
      <c r="M1825" s="14" t="n">
        <v>0</v>
      </c>
      <c r="N1825" s="14" t="n">
        <v>0</v>
      </c>
      <c r="O1825" s="14" t="n">
        <v>2.02</v>
      </c>
      <c r="P1825" s="14" t="n">
        <v>0</v>
      </c>
      <c r="Q1825" s="14" t="n">
        <v>0</v>
      </c>
      <c r="R1825" s="14" t="n">
        <v>0</v>
      </c>
      <c r="S1825" s="14" t="n">
        <v>2.02</v>
      </c>
      <c r="T1825" s="14" t="n">
        <v>0</v>
      </c>
      <c r="U1825" s="14" t="n">
        <v>9.09</v>
      </c>
      <c r="V1825" s="14" t="n">
        <v>1.01</v>
      </c>
      <c r="W1825" s="14" t="n">
        <v>0</v>
      </c>
      <c r="X1825" s="14" t="n">
        <v>0</v>
      </c>
      <c r="Y1825" s="14" t="n">
        <v>0</v>
      </c>
      <c r="Z1825" s="14" t="n">
        <v>0</v>
      </c>
      <c r="AA1825" s="14" t="n">
        <v>0</v>
      </c>
    </row>
    <row r="1826">
      <c r="A1826" t="inlineStr">
        <is>
          <t>040103</t>
        </is>
      </c>
      <c r="B1826" t="inlineStr">
        <is>
          <t>AREQUIPA</t>
        </is>
      </c>
      <c r="C1826" t="inlineStr">
        <is>
          <t>AREQUIPA</t>
        </is>
      </c>
      <c r="D1826" t="inlineStr">
        <is>
          <t>CAYMA</t>
        </is>
      </c>
      <c r="E1826" t="n">
        <v>42242</v>
      </c>
      <c r="F1826" s="14" t="n">
        <v>0</v>
      </c>
      <c r="G1826" s="14" t="n">
        <v>4.37</v>
      </c>
      <c r="H1826" s="14" t="n">
        <v>2.19</v>
      </c>
      <c r="I1826" s="14" t="n">
        <v>8.380000000000001</v>
      </c>
      <c r="J1826" s="14" t="n">
        <v>0.17</v>
      </c>
      <c r="K1826" s="14" t="n">
        <v>0.27</v>
      </c>
      <c r="L1826" s="14" t="n">
        <v>9.98</v>
      </c>
      <c r="M1826" s="14" t="n">
        <v>21.32</v>
      </c>
      <c r="N1826" s="14" t="n">
        <v>9.779999999999999</v>
      </c>
      <c r="O1826" s="14" t="n">
        <v>7.18</v>
      </c>
      <c r="P1826" s="14" t="n">
        <v>1.07</v>
      </c>
      <c r="Q1826" s="14" t="n">
        <v>1.53</v>
      </c>
      <c r="R1826" s="14" t="n">
        <v>0.36</v>
      </c>
      <c r="S1826" s="14" t="n">
        <v>7.63</v>
      </c>
      <c r="T1826" s="14" t="n">
        <v>4.26</v>
      </c>
      <c r="U1826" s="14" t="n">
        <v>3.91</v>
      </c>
      <c r="V1826" s="14" t="n">
        <v>7.23</v>
      </c>
      <c r="W1826" s="14" t="n">
        <v>3.95</v>
      </c>
      <c r="X1826" s="14" t="n">
        <v>1.07</v>
      </c>
      <c r="Y1826" s="14" t="n">
        <v>3.25</v>
      </c>
      <c r="Z1826" s="14" t="n">
        <v>2.14</v>
      </c>
      <c r="AA1826" s="14" t="n">
        <v>0</v>
      </c>
    </row>
    <row r="1827">
      <c r="A1827" t="inlineStr">
        <is>
          <t>040109</t>
        </is>
      </c>
      <c r="B1827" t="inlineStr">
        <is>
          <t>AREQUIPA</t>
        </is>
      </c>
      <c r="C1827" t="inlineStr">
        <is>
          <t>AREQUIPA</t>
        </is>
      </c>
      <c r="D1827" t="inlineStr">
        <is>
          <t>MARIANO MELGAR</t>
        </is>
      </c>
      <c r="E1827" t="n">
        <v>28323</v>
      </c>
      <c r="F1827" s="14" t="n">
        <v>0</v>
      </c>
      <c r="G1827" s="14" t="n">
        <v>1.57</v>
      </c>
      <c r="H1827" s="14" t="n">
        <v>1.22</v>
      </c>
      <c r="I1827" s="14" t="n">
        <v>12.93</v>
      </c>
      <c r="J1827" s="14" t="n">
        <v>0.08</v>
      </c>
      <c r="K1827" s="14" t="n">
        <v>0.3</v>
      </c>
      <c r="L1827" s="14" t="n">
        <v>8.77</v>
      </c>
      <c r="M1827" s="14" t="n">
        <v>24.77</v>
      </c>
      <c r="N1827" s="14" t="n">
        <v>10.42</v>
      </c>
      <c r="O1827" s="14" t="n">
        <v>6.26</v>
      </c>
      <c r="P1827" s="14" t="n">
        <v>0.92</v>
      </c>
      <c r="Q1827" s="14" t="n">
        <v>1.21</v>
      </c>
      <c r="R1827" s="14" t="n">
        <v>0.14</v>
      </c>
      <c r="S1827" s="14" t="n">
        <v>6.7</v>
      </c>
      <c r="T1827" s="14" t="n">
        <v>3.48</v>
      </c>
      <c r="U1827" s="14" t="n">
        <v>4.46</v>
      </c>
      <c r="V1827" s="14" t="n">
        <v>7.25</v>
      </c>
      <c r="W1827" s="14" t="n">
        <v>3.49</v>
      </c>
      <c r="X1827" s="14" t="n">
        <v>1.13</v>
      </c>
      <c r="Y1827" s="14" t="n">
        <v>3.66</v>
      </c>
      <c r="Z1827" s="14" t="n">
        <v>1.23</v>
      </c>
      <c r="AA1827" s="14" t="n">
        <v>0</v>
      </c>
    </row>
    <row r="1828">
      <c r="A1828" t="inlineStr">
        <is>
          <t>081202</t>
        </is>
      </c>
      <c r="B1828" t="inlineStr">
        <is>
          <t>CUSCO</t>
        </is>
      </c>
      <c r="C1828" t="inlineStr">
        <is>
          <t>QUISPICANCHI</t>
        </is>
      </c>
      <c r="D1828" t="inlineStr">
        <is>
          <t>ANDAHUAYLILLAS</t>
        </is>
      </c>
      <c r="E1828" t="n">
        <v>2221</v>
      </c>
      <c r="F1828" s="14" t="n">
        <v>0</v>
      </c>
      <c r="G1828" s="14" t="n">
        <v>33.41</v>
      </c>
      <c r="H1828" s="14" t="n">
        <v>0.9</v>
      </c>
      <c r="I1828" s="14" t="n">
        <v>15.44</v>
      </c>
      <c r="J1828" s="14" t="n">
        <v>0.09</v>
      </c>
      <c r="K1828" s="14" t="n">
        <v>0</v>
      </c>
      <c r="L1828" s="14" t="n">
        <v>6.93</v>
      </c>
      <c r="M1828" s="14" t="n">
        <v>12.25</v>
      </c>
      <c r="N1828" s="14" t="n">
        <v>7.38</v>
      </c>
      <c r="O1828" s="14" t="n">
        <v>4.77</v>
      </c>
      <c r="P1828" s="14" t="n">
        <v>0.36</v>
      </c>
      <c r="Q1828" s="14" t="n">
        <v>0.41</v>
      </c>
      <c r="R1828" s="14" t="n">
        <v>0</v>
      </c>
      <c r="S1828" s="14" t="n">
        <v>2.61</v>
      </c>
      <c r="T1828" s="14" t="n">
        <v>2.12</v>
      </c>
      <c r="U1828" s="14" t="n">
        <v>4.55</v>
      </c>
      <c r="V1828" s="14" t="n">
        <v>4.73</v>
      </c>
      <c r="W1828" s="14" t="n">
        <v>1.44</v>
      </c>
      <c r="X1828" s="14" t="n">
        <v>0.5</v>
      </c>
      <c r="Y1828" s="14" t="n">
        <v>1.71</v>
      </c>
      <c r="Z1828" s="14" t="n">
        <v>0.41</v>
      </c>
      <c r="AA1828" s="14" t="n">
        <v>0</v>
      </c>
    </row>
    <row r="1829">
      <c r="A1829" t="inlineStr">
        <is>
          <t>040124</t>
        </is>
      </c>
      <c r="B1829" t="inlineStr">
        <is>
          <t>AREQUIPA</t>
        </is>
      </c>
      <c r="C1829" t="inlineStr">
        <is>
          <t>AREQUIPA</t>
        </is>
      </c>
      <c r="D1829" t="inlineStr">
        <is>
          <t>UCHUMAYO</t>
        </is>
      </c>
      <c r="E1829" t="n">
        <v>5933</v>
      </c>
      <c r="F1829" s="14" t="n">
        <v>0</v>
      </c>
      <c r="G1829" s="14" t="n">
        <v>11.73</v>
      </c>
      <c r="H1829" s="14" t="n">
        <v>4.53</v>
      </c>
      <c r="I1829" s="14" t="n">
        <v>9.67</v>
      </c>
      <c r="J1829" s="14" t="n">
        <v>0.19</v>
      </c>
      <c r="K1829" s="14" t="n">
        <v>0.22</v>
      </c>
      <c r="L1829" s="14" t="n">
        <v>12.74</v>
      </c>
      <c r="M1829" s="14" t="n">
        <v>17.43</v>
      </c>
      <c r="N1829" s="14" t="n">
        <v>10.33</v>
      </c>
      <c r="O1829" s="14" t="n">
        <v>6.49</v>
      </c>
      <c r="P1829" s="14" t="n">
        <v>0.78</v>
      </c>
      <c r="Q1829" s="14" t="n">
        <v>0.61</v>
      </c>
      <c r="R1829" s="14" t="n">
        <v>0.07000000000000001</v>
      </c>
      <c r="S1829" s="14" t="n">
        <v>4.42</v>
      </c>
      <c r="T1829" s="14" t="n">
        <v>4.05</v>
      </c>
      <c r="U1829" s="14" t="n">
        <v>5.33</v>
      </c>
      <c r="V1829" s="14" t="n">
        <v>5.11</v>
      </c>
      <c r="W1829" s="14" t="n">
        <v>2.26</v>
      </c>
      <c r="X1829" s="14" t="n">
        <v>0.54</v>
      </c>
      <c r="Y1829" s="14" t="n">
        <v>2.73</v>
      </c>
      <c r="Z1829" s="14" t="n">
        <v>0.79</v>
      </c>
      <c r="AA1829" s="14" t="n">
        <v>0</v>
      </c>
    </row>
    <row r="1830">
      <c r="A1830" t="inlineStr">
        <is>
          <t>040101</t>
        </is>
      </c>
      <c r="B1830" t="inlineStr">
        <is>
          <t>AREQUIPA</t>
        </is>
      </c>
      <c r="C1830" t="inlineStr">
        <is>
          <t>AREQUIPA</t>
        </is>
      </c>
      <c r="D1830" t="inlineStr">
        <is>
          <t>AREQUIPA</t>
        </is>
      </c>
      <c r="E1830" t="n">
        <v>27267</v>
      </c>
      <c r="F1830" s="14" t="n">
        <v>0</v>
      </c>
      <c r="G1830" s="14" t="n">
        <v>2.23</v>
      </c>
      <c r="H1830" s="14" t="n">
        <v>1.94</v>
      </c>
      <c r="I1830" s="14" t="n">
        <v>6.78</v>
      </c>
      <c r="J1830" s="14" t="n">
        <v>0.21</v>
      </c>
      <c r="K1830" s="14" t="n">
        <v>0.26</v>
      </c>
      <c r="L1830" s="14" t="n">
        <v>4</v>
      </c>
      <c r="M1830" s="14" t="n">
        <v>21.54</v>
      </c>
      <c r="N1830" s="14" t="n">
        <v>5.17</v>
      </c>
      <c r="O1830" s="14" t="n">
        <v>6.92</v>
      </c>
      <c r="P1830" s="14" t="n">
        <v>1.89</v>
      </c>
      <c r="Q1830" s="14" t="n">
        <v>2.58</v>
      </c>
      <c r="R1830" s="14" t="n">
        <v>0.83</v>
      </c>
      <c r="S1830" s="14" t="n">
        <v>13.17</v>
      </c>
      <c r="T1830" s="14" t="n">
        <v>3.84</v>
      </c>
      <c r="U1830" s="14" t="n">
        <v>4.12</v>
      </c>
      <c r="V1830" s="14" t="n">
        <v>10.47</v>
      </c>
      <c r="W1830" s="14" t="n">
        <v>7.97</v>
      </c>
      <c r="X1830" s="14" t="n">
        <v>1.64</v>
      </c>
      <c r="Y1830" s="14" t="n">
        <v>3.22</v>
      </c>
      <c r="Z1830" s="14" t="n">
        <v>1.22</v>
      </c>
      <c r="AA1830" s="14" t="n">
        <v>0.01</v>
      </c>
    </row>
    <row r="1831">
      <c r="A1831" t="inlineStr">
        <is>
          <t>040703</t>
        </is>
      </c>
      <c r="B1831" t="inlineStr">
        <is>
          <t>AREQUIPA</t>
        </is>
      </c>
      <c r="C1831" t="inlineStr">
        <is>
          <t>ISLAY</t>
        </is>
      </c>
      <c r="D1831" t="inlineStr">
        <is>
          <t>DEAN VALDIVIA</t>
        </is>
      </c>
      <c r="E1831" t="n">
        <v>3335</v>
      </c>
      <c r="F1831" s="14" t="n">
        <v>0</v>
      </c>
      <c r="G1831" s="14" t="n">
        <v>55.44</v>
      </c>
      <c r="H1831" s="14" t="n">
        <v>0.3</v>
      </c>
      <c r="I1831" s="14" t="n">
        <v>4.23</v>
      </c>
      <c r="J1831" s="14" t="n">
        <v>0.03</v>
      </c>
      <c r="K1831" s="14" t="n">
        <v>0.12</v>
      </c>
      <c r="L1831" s="14" t="n">
        <v>6.9</v>
      </c>
      <c r="M1831" s="14" t="n">
        <v>11.96</v>
      </c>
      <c r="N1831" s="14" t="n">
        <v>3.24</v>
      </c>
      <c r="O1831" s="14" t="n">
        <v>3.75</v>
      </c>
      <c r="P1831" s="14" t="n">
        <v>0.18</v>
      </c>
      <c r="Q1831" s="14" t="n">
        <v>0.78</v>
      </c>
      <c r="R1831" s="14" t="n">
        <v>0.03</v>
      </c>
      <c r="S1831" s="14" t="n">
        <v>1.92</v>
      </c>
      <c r="T1831" s="14" t="n">
        <v>1.86</v>
      </c>
      <c r="U1831" s="14" t="n">
        <v>3.66</v>
      </c>
      <c r="V1831" s="14" t="n">
        <v>2.49</v>
      </c>
      <c r="W1831" s="14" t="n">
        <v>0.72</v>
      </c>
      <c r="X1831" s="14" t="n">
        <v>0.33</v>
      </c>
      <c r="Y1831" s="14" t="n">
        <v>1.44</v>
      </c>
      <c r="Z1831" s="14" t="n">
        <v>0.63</v>
      </c>
      <c r="AA1831" s="14" t="n">
        <v>0</v>
      </c>
    </row>
    <row r="1832">
      <c r="A1832" t="inlineStr">
        <is>
          <t>080308</t>
        </is>
      </c>
      <c r="B1832" t="inlineStr">
        <is>
          <t>CUSCO</t>
        </is>
      </c>
      <c r="C1832" t="inlineStr">
        <is>
          <t>ANTA</t>
        </is>
      </c>
      <c r="D1832" t="inlineStr">
        <is>
          <t>PUCYURA</t>
        </is>
      </c>
      <c r="E1832" t="n">
        <v>1106</v>
      </c>
      <c r="F1832" s="14" t="n">
        <v>0</v>
      </c>
      <c r="G1832" s="14" t="n">
        <v>43.85</v>
      </c>
      <c r="H1832" s="14" t="n">
        <v>0.09</v>
      </c>
      <c r="I1832" s="14" t="n">
        <v>3.16</v>
      </c>
      <c r="J1832" s="14" t="n">
        <v>0</v>
      </c>
      <c r="K1832" s="14" t="n">
        <v>0.09</v>
      </c>
      <c r="L1832" s="14" t="n">
        <v>9.130000000000001</v>
      </c>
      <c r="M1832" s="14" t="n">
        <v>14.83</v>
      </c>
      <c r="N1832" s="14" t="n">
        <v>4.97</v>
      </c>
      <c r="O1832" s="14" t="n">
        <v>5.24</v>
      </c>
      <c r="P1832" s="14" t="n">
        <v>0.18</v>
      </c>
      <c r="Q1832" s="14" t="n">
        <v>0.36</v>
      </c>
      <c r="R1832" s="14" t="n">
        <v>0</v>
      </c>
      <c r="S1832" s="14" t="n">
        <v>2.53</v>
      </c>
      <c r="T1832" s="14" t="n">
        <v>1.99</v>
      </c>
      <c r="U1832" s="14" t="n">
        <v>4.7</v>
      </c>
      <c r="V1832" s="14" t="n">
        <v>3.25</v>
      </c>
      <c r="W1832" s="14" t="n">
        <v>1.54</v>
      </c>
      <c r="X1832" s="14" t="n">
        <v>0.27</v>
      </c>
      <c r="Y1832" s="14" t="n">
        <v>3.71</v>
      </c>
      <c r="Z1832" s="14" t="n">
        <v>0.09</v>
      </c>
      <c r="AA1832" s="14" t="n">
        <v>0</v>
      </c>
    </row>
    <row r="1833">
      <c r="A1833" t="inlineStr">
        <is>
          <t>070107</t>
        </is>
      </c>
      <c r="B1833" t="inlineStr">
        <is>
          <t>CALLAO</t>
        </is>
      </c>
      <c r="C1833" t="inlineStr">
        <is>
          <t>CALLAO</t>
        </is>
      </c>
      <c r="D1833" t="inlineStr">
        <is>
          <t>MI PERU</t>
        </is>
      </c>
      <c r="E1833" t="n">
        <v>19451</v>
      </c>
      <c r="F1833" s="14" t="n">
        <v>0</v>
      </c>
      <c r="G1833" s="14" t="n">
        <v>1.45</v>
      </c>
      <c r="H1833" s="14" t="n">
        <v>0.3</v>
      </c>
      <c r="I1833" s="14" t="n">
        <v>15.14</v>
      </c>
      <c r="J1833" s="14" t="n">
        <v>0.14</v>
      </c>
      <c r="K1833" s="14" t="n">
        <v>0.35</v>
      </c>
      <c r="L1833" s="14" t="n">
        <v>10.25</v>
      </c>
      <c r="M1833" s="14" t="n">
        <v>21.05</v>
      </c>
      <c r="N1833" s="14" t="n">
        <v>13.53</v>
      </c>
      <c r="O1833" s="14" t="n">
        <v>6.19</v>
      </c>
      <c r="P1833" s="14" t="n">
        <v>1.12</v>
      </c>
      <c r="Q1833" s="14" t="n">
        <v>0.88</v>
      </c>
      <c r="R1833" s="14" t="n">
        <v>0.14</v>
      </c>
      <c r="S1833" s="14" t="n">
        <v>5.49</v>
      </c>
      <c r="T1833" s="14" t="n">
        <v>7.4</v>
      </c>
      <c r="U1833" s="14" t="n">
        <v>3.44</v>
      </c>
      <c r="V1833" s="14" t="n">
        <v>3.74</v>
      </c>
      <c r="W1833" s="14" t="n">
        <v>1.91</v>
      </c>
      <c r="X1833" s="14" t="n">
        <v>1.06</v>
      </c>
      <c r="Y1833" s="14" t="n">
        <v>4.13</v>
      </c>
      <c r="Z1833" s="14" t="n">
        <v>2.26</v>
      </c>
      <c r="AA1833" s="14" t="n">
        <v>0.01</v>
      </c>
    </row>
    <row r="1834">
      <c r="A1834" t="inlineStr">
        <is>
          <t>020902</t>
        </is>
      </c>
      <c r="B1834" t="inlineStr">
        <is>
          <t>ANCASH</t>
        </is>
      </c>
      <c r="C1834" t="inlineStr">
        <is>
          <t>CORONGO</t>
        </is>
      </c>
      <c r="D1834" t="inlineStr">
        <is>
          <t>ACO</t>
        </is>
      </c>
      <c r="E1834" t="n">
        <v>95</v>
      </c>
      <c r="F1834" s="14" t="n">
        <v>0</v>
      </c>
      <c r="G1834" s="14" t="n">
        <v>73.68000000000001</v>
      </c>
      <c r="H1834" s="14" t="n">
        <v>0</v>
      </c>
      <c r="I1834" s="14" t="n">
        <v>2.11</v>
      </c>
      <c r="J1834" s="14" t="n">
        <v>0</v>
      </c>
      <c r="K1834" s="14" t="n">
        <v>0</v>
      </c>
      <c r="L1834" s="14" t="n">
        <v>2.11</v>
      </c>
      <c r="M1834" s="14" t="n">
        <v>1.05</v>
      </c>
      <c r="N1834" s="14" t="n">
        <v>0</v>
      </c>
      <c r="O1834" s="14" t="n">
        <v>2.11</v>
      </c>
      <c r="P1834" s="14" t="n">
        <v>0</v>
      </c>
      <c r="Q1834" s="14" t="n">
        <v>0</v>
      </c>
      <c r="R1834" s="14" t="n">
        <v>0</v>
      </c>
      <c r="S1834" s="14" t="n">
        <v>0</v>
      </c>
      <c r="T1834" s="14" t="n">
        <v>0</v>
      </c>
      <c r="U1834" s="14" t="n">
        <v>7.37</v>
      </c>
      <c r="V1834" s="14" t="n">
        <v>9.470000000000001</v>
      </c>
      <c r="W1834" s="14" t="n">
        <v>1.05</v>
      </c>
      <c r="X1834" s="14" t="n">
        <v>0</v>
      </c>
      <c r="Y1834" s="14" t="n">
        <v>1.05</v>
      </c>
      <c r="Z1834" s="14" t="n">
        <v>0</v>
      </c>
      <c r="AA1834" s="14" t="n">
        <v>0</v>
      </c>
    </row>
    <row r="1835">
      <c r="A1835" t="inlineStr">
        <is>
          <t>061106</t>
        </is>
      </c>
      <c r="B1835" t="inlineStr">
        <is>
          <t>CAJAMARCA</t>
        </is>
      </c>
      <c r="C1835" t="inlineStr">
        <is>
          <t>SAN MIGUEL</t>
        </is>
      </c>
      <c r="D1835" t="inlineStr">
        <is>
          <t>LA FLORIDA</t>
        </is>
      </c>
      <c r="E1835" t="n">
        <v>671</v>
      </c>
      <c r="F1835" s="14" t="n">
        <v>0</v>
      </c>
      <c r="G1835" s="14" t="n">
        <v>60.51</v>
      </c>
      <c r="H1835" s="14" t="n">
        <v>0.75</v>
      </c>
      <c r="I1835" s="14" t="n">
        <v>2.09</v>
      </c>
      <c r="J1835" s="14" t="n">
        <v>0.15</v>
      </c>
      <c r="K1835" s="14" t="n">
        <v>0.15</v>
      </c>
      <c r="L1835" s="14" t="n">
        <v>7.15</v>
      </c>
      <c r="M1835" s="14" t="n">
        <v>7.6</v>
      </c>
      <c r="N1835" s="14" t="n">
        <v>3.87</v>
      </c>
      <c r="O1835" s="14" t="n">
        <v>2.53</v>
      </c>
      <c r="P1835" s="14" t="n">
        <v>0</v>
      </c>
      <c r="Q1835" s="14" t="n">
        <v>0</v>
      </c>
      <c r="R1835" s="14" t="n">
        <v>0</v>
      </c>
      <c r="S1835" s="14" t="n">
        <v>2.38</v>
      </c>
      <c r="T1835" s="14" t="n">
        <v>1.79</v>
      </c>
      <c r="U1835" s="14" t="n">
        <v>2.24</v>
      </c>
      <c r="V1835" s="14" t="n">
        <v>5.07</v>
      </c>
      <c r="W1835" s="14" t="n">
        <v>1.34</v>
      </c>
      <c r="X1835" s="14" t="n">
        <v>0</v>
      </c>
      <c r="Y1835" s="14" t="n">
        <v>1.49</v>
      </c>
      <c r="Z1835" s="14" t="n">
        <v>0.89</v>
      </c>
      <c r="AA1835" s="14" t="n">
        <v>0</v>
      </c>
    </row>
    <row r="1836">
      <c r="A1836" t="inlineStr">
        <is>
          <t>080203</t>
        </is>
      </c>
      <c r="B1836" t="inlineStr">
        <is>
          <t>CUSCO</t>
        </is>
      </c>
      <c r="C1836" t="inlineStr">
        <is>
          <t>ACOMAYO</t>
        </is>
      </c>
      <c r="D1836" t="inlineStr">
        <is>
          <t>ACOS</t>
        </is>
      </c>
      <c r="E1836" t="n">
        <v>786</v>
      </c>
      <c r="F1836" s="14" t="n">
        <v>0</v>
      </c>
      <c r="G1836" s="14" t="n">
        <v>74.94</v>
      </c>
      <c r="H1836" s="14" t="n">
        <v>0.13</v>
      </c>
      <c r="I1836" s="14" t="n">
        <v>0.89</v>
      </c>
      <c r="J1836" s="14" t="n">
        <v>0</v>
      </c>
      <c r="K1836" s="14" t="n">
        <v>0</v>
      </c>
      <c r="L1836" s="14" t="n">
        <v>4.07</v>
      </c>
      <c r="M1836" s="14" t="n">
        <v>6.23</v>
      </c>
      <c r="N1836" s="14" t="n">
        <v>2.16</v>
      </c>
      <c r="O1836" s="14" t="n">
        <v>1.65</v>
      </c>
      <c r="P1836" s="14" t="n">
        <v>0.13</v>
      </c>
      <c r="Q1836" s="14" t="n">
        <v>0</v>
      </c>
      <c r="R1836" s="14" t="n">
        <v>0</v>
      </c>
      <c r="S1836" s="14" t="n">
        <v>1.4</v>
      </c>
      <c r="T1836" s="14" t="n">
        <v>0.25</v>
      </c>
      <c r="U1836" s="14" t="n">
        <v>2.42</v>
      </c>
      <c r="V1836" s="14" t="n">
        <v>3.05</v>
      </c>
      <c r="W1836" s="14" t="n">
        <v>0.38</v>
      </c>
      <c r="X1836" s="14" t="n">
        <v>0</v>
      </c>
      <c r="Y1836" s="14" t="n">
        <v>1.65</v>
      </c>
      <c r="Z1836" s="14" t="n">
        <v>0.64</v>
      </c>
      <c r="AA1836" s="14" t="n">
        <v>0</v>
      </c>
    </row>
    <row r="1837">
      <c r="A1837" t="inlineStr">
        <is>
          <t>080608</t>
        </is>
      </c>
      <c r="B1837" t="inlineStr">
        <is>
          <t>CUSCO</t>
        </is>
      </c>
      <c r="C1837" t="inlineStr">
        <is>
          <t>CANCHIS</t>
        </is>
      </c>
      <c r="D1837" t="inlineStr">
        <is>
          <t>TINTA</t>
        </is>
      </c>
      <c r="E1837" t="n">
        <v>1974</v>
      </c>
      <c r="F1837" s="14" t="n">
        <v>0</v>
      </c>
      <c r="G1837" s="14" t="n">
        <v>66.81999999999999</v>
      </c>
      <c r="H1837" s="14" t="n">
        <v>0.15</v>
      </c>
      <c r="I1837" s="14" t="n">
        <v>1.06</v>
      </c>
      <c r="J1837" s="14" t="n">
        <v>0</v>
      </c>
      <c r="K1837" s="14" t="n">
        <v>0</v>
      </c>
      <c r="L1837" s="14" t="n">
        <v>2.53</v>
      </c>
      <c r="M1837" s="14" t="n">
        <v>4.96</v>
      </c>
      <c r="N1837" s="14" t="n">
        <v>2.23</v>
      </c>
      <c r="O1837" s="14" t="n">
        <v>1.57</v>
      </c>
      <c r="P1837" s="14" t="n">
        <v>0.2</v>
      </c>
      <c r="Q1837" s="14" t="n">
        <v>0.05</v>
      </c>
      <c r="R1837" s="14" t="n">
        <v>0</v>
      </c>
      <c r="S1837" s="14" t="n">
        <v>0.66</v>
      </c>
      <c r="T1837" s="14" t="n">
        <v>0.35</v>
      </c>
      <c r="U1837" s="14" t="n">
        <v>3.24</v>
      </c>
      <c r="V1837" s="14" t="n">
        <v>14.44</v>
      </c>
      <c r="W1837" s="14" t="n">
        <v>0.91</v>
      </c>
      <c r="X1837" s="14" t="n">
        <v>0.15</v>
      </c>
      <c r="Y1837" s="14" t="n">
        <v>0.51</v>
      </c>
      <c r="Z1837" s="14" t="n">
        <v>0.15</v>
      </c>
      <c r="AA1837" s="14" t="n">
        <v>0</v>
      </c>
    </row>
    <row r="1838">
      <c r="A1838" t="inlineStr">
        <is>
          <t>040304</t>
        </is>
      </c>
      <c r="B1838" t="inlineStr">
        <is>
          <t>AREQUIPA</t>
        </is>
      </c>
      <c r="C1838" t="inlineStr">
        <is>
          <t>CARAVELI</t>
        </is>
      </c>
      <c r="D1838" t="inlineStr">
        <is>
          <t>ATIQUIPA</t>
        </is>
      </c>
      <c r="E1838" t="n">
        <v>219</v>
      </c>
      <c r="F1838" s="14" t="n">
        <v>0</v>
      </c>
      <c r="G1838" s="14" t="n">
        <v>50.23</v>
      </c>
      <c r="H1838" s="14" t="n">
        <v>3.2</v>
      </c>
      <c r="I1838" s="14" t="n">
        <v>0.91</v>
      </c>
      <c r="J1838" s="14" t="n">
        <v>0</v>
      </c>
      <c r="K1838" s="14" t="n">
        <v>0</v>
      </c>
      <c r="L1838" s="14" t="n">
        <v>8.220000000000001</v>
      </c>
      <c r="M1838" s="14" t="n">
        <v>7.76</v>
      </c>
      <c r="N1838" s="14" t="n">
        <v>3.65</v>
      </c>
      <c r="O1838" s="14" t="n">
        <v>12.79</v>
      </c>
      <c r="P1838" s="14" t="n">
        <v>0</v>
      </c>
      <c r="Q1838" s="14" t="n">
        <v>0</v>
      </c>
      <c r="R1838" s="14" t="n">
        <v>0</v>
      </c>
      <c r="S1838" s="14" t="n">
        <v>1.37</v>
      </c>
      <c r="T1838" s="14" t="n">
        <v>4.11</v>
      </c>
      <c r="U1838" s="14" t="n">
        <v>3.65</v>
      </c>
      <c r="V1838" s="14" t="n">
        <v>1.37</v>
      </c>
      <c r="W1838" s="14" t="n">
        <v>1.37</v>
      </c>
      <c r="X1838" s="14" t="n">
        <v>0.46</v>
      </c>
      <c r="Y1838" s="14" t="n">
        <v>0.46</v>
      </c>
      <c r="Z1838" s="14" t="n">
        <v>0.46</v>
      </c>
      <c r="AA1838" s="14" t="n">
        <v>0</v>
      </c>
    </row>
    <row r="1839">
      <c r="A1839" t="inlineStr">
        <is>
          <t>010305</t>
        </is>
      </c>
      <c r="B1839" t="inlineStr">
        <is>
          <t>AMAZONAS</t>
        </is>
      </c>
      <c r="C1839" t="inlineStr">
        <is>
          <t>BONGARA</t>
        </is>
      </c>
      <c r="D1839" t="inlineStr">
        <is>
          <t>CUISPES</t>
        </is>
      </c>
      <c r="E1839" t="n">
        <v>281</v>
      </c>
      <c r="F1839" s="14" t="n">
        <v>0</v>
      </c>
      <c r="G1839" s="14" t="n">
        <v>83.98999999999999</v>
      </c>
      <c r="H1839" s="14" t="n">
        <v>0</v>
      </c>
      <c r="I1839" s="14" t="n">
        <v>0.36</v>
      </c>
      <c r="J1839" s="14" t="n">
        <v>0</v>
      </c>
      <c r="K1839" s="14" t="n">
        <v>0</v>
      </c>
      <c r="L1839" s="14" t="n">
        <v>2.49</v>
      </c>
      <c r="M1839" s="14" t="n">
        <v>5.34</v>
      </c>
      <c r="N1839" s="14" t="n">
        <v>0.71</v>
      </c>
      <c r="O1839" s="14" t="n">
        <v>1.42</v>
      </c>
      <c r="P1839" s="14" t="n">
        <v>0</v>
      </c>
      <c r="Q1839" s="14" t="n">
        <v>0</v>
      </c>
      <c r="R1839" s="14" t="n">
        <v>0</v>
      </c>
      <c r="S1839" s="14" t="n">
        <v>2.14</v>
      </c>
      <c r="T1839" s="14" t="n">
        <v>1.07</v>
      </c>
      <c r="U1839" s="14" t="n">
        <v>1.07</v>
      </c>
      <c r="V1839" s="14" t="n">
        <v>0.36</v>
      </c>
      <c r="W1839" s="14" t="n">
        <v>0.36</v>
      </c>
      <c r="X1839" s="14" t="n">
        <v>0</v>
      </c>
      <c r="Y1839" s="14" t="n">
        <v>0.71</v>
      </c>
      <c r="Z1839" s="14" t="n">
        <v>0</v>
      </c>
      <c r="AA1839" s="14" t="n">
        <v>0</v>
      </c>
    </row>
    <row r="1840">
      <c r="A1840" t="inlineStr">
        <is>
          <t>020104</t>
        </is>
      </c>
      <c r="B1840" t="inlineStr">
        <is>
          <t>ANCASH</t>
        </is>
      </c>
      <c r="C1840" t="inlineStr">
        <is>
          <t>HUARAZ</t>
        </is>
      </c>
      <c r="D1840" t="inlineStr">
        <is>
          <t>HUANCHAY</t>
        </is>
      </c>
      <c r="E1840" t="n">
        <v>460</v>
      </c>
      <c r="F1840" s="14" t="n">
        <v>0</v>
      </c>
      <c r="G1840" s="14" t="n">
        <v>82.17</v>
      </c>
      <c r="H1840" s="14" t="n">
        <v>0.22</v>
      </c>
      <c r="I1840" s="14" t="n">
        <v>0.22</v>
      </c>
      <c r="J1840" s="14" t="n">
        <v>0</v>
      </c>
      <c r="K1840" s="14" t="n">
        <v>0</v>
      </c>
      <c r="L1840" s="14" t="n">
        <v>0.65</v>
      </c>
      <c r="M1840" s="14" t="n">
        <v>4.35</v>
      </c>
      <c r="N1840" s="14" t="n">
        <v>0.87</v>
      </c>
      <c r="O1840" s="14" t="n">
        <v>1.96</v>
      </c>
      <c r="P1840" s="14" t="n">
        <v>0</v>
      </c>
      <c r="Q1840" s="14" t="n">
        <v>0</v>
      </c>
      <c r="R1840" s="14" t="n">
        <v>0</v>
      </c>
      <c r="S1840" s="14" t="n">
        <v>0.43</v>
      </c>
      <c r="T1840" s="14" t="n">
        <v>0.43</v>
      </c>
      <c r="U1840" s="14" t="n">
        <v>0.87</v>
      </c>
      <c r="V1840" s="14" t="n">
        <v>5.43</v>
      </c>
      <c r="W1840" s="14" t="n">
        <v>0.65</v>
      </c>
      <c r="X1840" s="14" t="n">
        <v>0</v>
      </c>
      <c r="Y1840" s="14" t="n">
        <v>0.65</v>
      </c>
      <c r="Z1840" s="14" t="n">
        <v>1.09</v>
      </c>
      <c r="AA1840" s="14" t="n">
        <v>0</v>
      </c>
    </row>
    <row r="1841">
      <c r="A1841" t="inlineStr">
        <is>
          <t>010611</t>
        </is>
      </c>
      <c r="B1841" t="inlineStr">
        <is>
          <t>AMAZONAS</t>
        </is>
      </c>
      <c r="C1841" t="inlineStr">
        <is>
          <t>RODRIGUEZ DE MENDOZA</t>
        </is>
      </c>
      <c r="D1841" t="inlineStr">
        <is>
          <t>TOTORA</t>
        </is>
      </c>
      <c r="E1841" t="n">
        <v>99</v>
      </c>
      <c r="F1841" s="14" t="n">
        <v>0</v>
      </c>
      <c r="G1841" s="14" t="n">
        <v>74.75</v>
      </c>
      <c r="H1841" s="14" t="n">
        <v>0</v>
      </c>
      <c r="I1841" s="14" t="n">
        <v>0</v>
      </c>
      <c r="J1841" s="14" t="n">
        <v>0</v>
      </c>
      <c r="K1841" s="14" t="n">
        <v>0</v>
      </c>
      <c r="L1841" s="14" t="n">
        <v>0</v>
      </c>
      <c r="M1841" s="14" t="n">
        <v>1.01</v>
      </c>
      <c r="N1841" s="14" t="n">
        <v>0</v>
      </c>
      <c r="O1841" s="14" t="n">
        <v>0</v>
      </c>
      <c r="P1841" s="14" t="n">
        <v>0</v>
      </c>
      <c r="Q1841" s="14" t="n">
        <v>0</v>
      </c>
      <c r="R1841" s="14" t="n">
        <v>0</v>
      </c>
      <c r="S1841" s="14" t="n">
        <v>0</v>
      </c>
      <c r="T1841" s="14" t="n">
        <v>0</v>
      </c>
      <c r="U1841" s="14" t="n">
        <v>7.07</v>
      </c>
      <c r="V1841" s="14" t="n">
        <v>7.07</v>
      </c>
      <c r="W1841" s="14" t="n">
        <v>10.1</v>
      </c>
      <c r="X1841" s="14" t="n">
        <v>0</v>
      </c>
      <c r="Y1841" s="14" t="n">
        <v>0</v>
      </c>
      <c r="Z1841" s="14" t="n">
        <v>0</v>
      </c>
      <c r="AA1841" s="14" t="n">
        <v>0</v>
      </c>
    </row>
    <row r="1842">
      <c r="A1842" t="inlineStr">
        <is>
          <t>021402</t>
        </is>
      </c>
      <c r="B1842" t="inlineStr">
        <is>
          <t>ANCASH</t>
        </is>
      </c>
      <c r="C1842" t="inlineStr">
        <is>
          <t>OCROS</t>
        </is>
      </c>
      <c r="D1842" t="inlineStr">
        <is>
          <t>ACAS</t>
        </is>
      </c>
      <c r="E1842" t="n">
        <v>281</v>
      </c>
      <c r="F1842" s="14" t="n">
        <v>0</v>
      </c>
      <c r="G1842" s="14" t="n">
        <v>76.16</v>
      </c>
      <c r="H1842" s="14" t="n">
        <v>0.36</v>
      </c>
      <c r="I1842" s="14" t="n">
        <v>2.14</v>
      </c>
      <c r="J1842" s="14" t="n">
        <v>0</v>
      </c>
      <c r="K1842" s="14" t="n">
        <v>0</v>
      </c>
      <c r="L1842" s="14" t="n">
        <v>1.07</v>
      </c>
      <c r="M1842" s="14" t="n">
        <v>5.69</v>
      </c>
      <c r="N1842" s="14" t="n">
        <v>1.78</v>
      </c>
      <c r="O1842" s="14" t="n">
        <v>0.71</v>
      </c>
      <c r="P1842" s="14" t="n">
        <v>0</v>
      </c>
      <c r="Q1842" s="14" t="n">
        <v>0</v>
      </c>
      <c r="R1842" s="14" t="n">
        <v>0</v>
      </c>
      <c r="S1842" s="14" t="n">
        <v>1.07</v>
      </c>
      <c r="T1842" s="14" t="n">
        <v>0.71</v>
      </c>
      <c r="U1842" s="14" t="n">
        <v>3.91</v>
      </c>
      <c r="V1842" s="14" t="n">
        <v>3.91</v>
      </c>
      <c r="W1842" s="14" t="n">
        <v>1.42</v>
      </c>
      <c r="X1842" s="14" t="n">
        <v>0</v>
      </c>
      <c r="Y1842" s="14" t="n">
        <v>0</v>
      </c>
      <c r="Z1842" s="14" t="n">
        <v>1.07</v>
      </c>
      <c r="AA1842" s="14" t="n">
        <v>0</v>
      </c>
    </row>
    <row r="1843">
      <c r="A1843" t="inlineStr">
        <is>
          <t>080407</t>
        </is>
      </c>
      <c r="B1843" t="inlineStr">
        <is>
          <t>CUSCO</t>
        </is>
      </c>
      <c r="C1843" t="inlineStr">
        <is>
          <t>CALCA</t>
        </is>
      </c>
      <c r="D1843" t="inlineStr">
        <is>
          <t>TARAY</t>
        </is>
      </c>
      <c r="E1843" t="n">
        <v>1667</v>
      </c>
      <c r="F1843" s="14" t="n">
        <v>0</v>
      </c>
      <c r="G1843" s="14" t="n">
        <v>73.43000000000001</v>
      </c>
      <c r="H1843" s="14" t="n">
        <v>0.06</v>
      </c>
      <c r="I1843" s="14" t="n">
        <v>1.98</v>
      </c>
      <c r="J1843" s="14" t="n">
        <v>0.12</v>
      </c>
      <c r="K1843" s="14" t="n">
        <v>0</v>
      </c>
      <c r="L1843" s="14" t="n">
        <v>3.9</v>
      </c>
      <c r="M1843" s="14" t="n">
        <v>5.34</v>
      </c>
      <c r="N1843" s="14" t="n">
        <v>4.86</v>
      </c>
      <c r="O1843" s="14" t="n">
        <v>3.48</v>
      </c>
      <c r="P1843" s="14" t="n">
        <v>0.36</v>
      </c>
      <c r="Q1843" s="14" t="n">
        <v>0.12</v>
      </c>
      <c r="R1843" s="14" t="n">
        <v>0</v>
      </c>
      <c r="S1843" s="14" t="n">
        <v>0.9</v>
      </c>
      <c r="T1843" s="14" t="n">
        <v>1.62</v>
      </c>
      <c r="U1843" s="14" t="n">
        <v>1.2</v>
      </c>
      <c r="V1843" s="14" t="n">
        <v>0.9</v>
      </c>
      <c r="W1843" s="14" t="n">
        <v>0.42</v>
      </c>
      <c r="X1843" s="14" t="n">
        <v>0.18</v>
      </c>
      <c r="Y1843" s="14" t="n">
        <v>0.84</v>
      </c>
      <c r="Z1843" s="14" t="n">
        <v>0.3</v>
      </c>
      <c r="AA1843" s="14" t="n">
        <v>0</v>
      </c>
    </row>
    <row r="1844">
      <c r="A1844" t="inlineStr">
        <is>
          <t>010309</t>
        </is>
      </c>
      <c r="B1844" t="inlineStr">
        <is>
          <t>AMAZONAS</t>
        </is>
      </c>
      <c r="C1844" t="inlineStr">
        <is>
          <t>BONGARA</t>
        </is>
      </c>
      <c r="D1844" t="inlineStr">
        <is>
          <t>SAN CARLOS</t>
        </is>
      </c>
      <c r="E1844" t="n">
        <v>256</v>
      </c>
      <c r="F1844" s="14" t="n">
        <v>0</v>
      </c>
      <c r="G1844" s="14" t="n">
        <v>83.2</v>
      </c>
      <c r="H1844" s="14" t="n">
        <v>0</v>
      </c>
      <c r="I1844" s="14" t="n">
        <v>1.17</v>
      </c>
      <c r="J1844" s="14" t="n">
        <v>0</v>
      </c>
      <c r="K1844" s="14" t="n">
        <v>0.78</v>
      </c>
      <c r="L1844" s="14" t="n">
        <v>0.78</v>
      </c>
      <c r="M1844" s="14" t="n">
        <v>3.13</v>
      </c>
      <c r="N1844" s="14" t="n">
        <v>1.56</v>
      </c>
      <c r="O1844" s="14" t="n">
        <v>0</v>
      </c>
      <c r="P1844" s="14" t="n">
        <v>0</v>
      </c>
      <c r="Q1844" s="14" t="n">
        <v>0</v>
      </c>
      <c r="R1844" s="14" t="n">
        <v>0</v>
      </c>
      <c r="S1844" s="14" t="n">
        <v>1.56</v>
      </c>
      <c r="T1844" s="14" t="n">
        <v>0.78</v>
      </c>
      <c r="U1844" s="14" t="n">
        <v>1.95</v>
      </c>
      <c r="V1844" s="14" t="n">
        <v>3.13</v>
      </c>
      <c r="W1844" s="14" t="n">
        <v>0.39</v>
      </c>
      <c r="X1844" s="14" t="n">
        <v>0</v>
      </c>
      <c r="Y1844" s="14" t="n">
        <v>0.78</v>
      </c>
      <c r="Z1844" s="14" t="n">
        <v>0.78</v>
      </c>
      <c r="AA1844" s="14" t="n">
        <v>0</v>
      </c>
    </row>
    <row r="1845">
      <c r="A1845" t="inlineStr">
        <is>
          <t>021706</t>
        </is>
      </c>
      <c r="B1845" t="inlineStr">
        <is>
          <t>ANCASH</t>
        </is>
      </c>
      <c r="C1845" t="inlineStr">
        <is>
          <t>RECUAY</t>
        </is>
      </c>
      <c r="D1845" t="inlineStr">
        <is>
          <t>MARCA</t>
        </is>
      </c>
      <c r="E1845" t="n">
        <v>370</v>
      </c>
      <c r="F1845" s="14" t="n">
        <v>0</v>
      </c>
      <c r="G1845" s="14" t="n">
        <v>64.86</v>
      </c>
      <c r="H1845" s="14" t="n">
        <v>0</v>
      </c>
      <c r="I1845" s="14" t="n">
        <v>2.97</v>
      </c>
      <c r="J1845" s="14" t="n">
        <v>0</v>
      </c>
      <c r="K1845" s="14" t="n">
        <v>0</v>
      </c>
      <c r="L1845" s="14" t="n">
        <v>4.05</v>
      </c>
      <c r="M1845" s="14" t="n">
        <v>5.95</v>
      </c>
      <c r="N1845" s="14" t="n">
        <v>2.97</v>
      </c>
      <c r="O1845" s="14" t="n">
        <v>0.54</v>
      </c>
      <c r="P1845" s="14" t="n">
        <v>0</v>
      </c>
      <c r="Q1845" s="14" t="n">
        <v>0</v>
      </c>
      <c r="R1845" s="14" t="n">
        <v>0</v>
      </c>
      <c r="S1845" s="14" t="n">
        <v>1.89</v>
      </c>
      <c r="T1845" s="14" t="n">
        <v>0.8100000000000001</v>
      </c>
      <c r="U1845" s="14" t="n">
        <v>4.59</v>
      </c>
      <c r="V1845" s="14" t="n">
        <v>5.95</v>
      </c>
      <c r="W1845" s="14" t="n">
        <v>0.8100000000000001</v>
      </c>
      <c r="X1845" s="14" t="n">
        <v>0</v>
      </c>
      <c r="Y1845" s="14" t="n">
        <v>3.24</v>
      </c>
      <c r="Z1845" s="14" t="n">
        <v>1.35</v>
      </c>
      <c r="AA1845" s="14" t="n">
        <v>0</v>
      </c>
    </row>
    <row r="1846">
      <c r="A1846" t="inlineStr">
        <is>
          <t>040307</t>
        </is>
      </c>
      <c r="B1846" t="inlineStr">
        <is>
          <t>AREQUIPA</t>
        </is>
      </c>
      <c r="C1846" t="inlineStr">
        <is>
          <t>CARAVELI</t>
        </is>
      </c>
      <c r="D1846" t="inlineStr">
        <is>
          <t>CHALA</t>
        </is>
      </c>
      <c r="E1846" t="n">
        <v>4698</v>
      </c>
      <c r="F1846" s="14" t="n">
        <v>0</v>
      </c>
      <c r="G1846" s="14" t="n">
        <v>6.79</v>
      </c>
      <c r="H1846" s="14" t="n">
        <v>20.84</v>
      </c>
      <c r="I1846" s="14" t="n">
        <v>2.89</v>
      </c>
      <c r="J1846" s="14" t="n">
        <v>0.02</v>
      </c>
      <c r="K1846" s="14" t="n">
        <v>0.28</v>
      </c>
      <c r="L1846" s="14" t="n">
        <v>11.11</v>
      </c>
      <c r="M1846" s="14" t="n">
        <v>19.99</v>
      </c>
      <c r="N1846" s="14" t="n">
        <v>13.47</v>
      </c>
      <c r="O1846" s="14" t="n">
        <v>11.05</v>
      </c>
      <c r="P1846" s="14" t="n">
        <v>0.49</v>
      </c>
      <c r="Q1846" s="14" t="n">
        <v>0.51</v>
      </c>
      <c r="R1846" s="14" t="n">
        <v>0.04</v>
      </c>
      <c r="S1846" s="14" t="n">
        <v>2.19</v>
      </c>
      <c r="T1846" s="14" t="n">
        <v>1.85</v>
      </c>
      <c r="U1846" s="14" t="n">
        <v>2.53</v>
      </c>
      <c r="V1846" s="14" t="n">
        <v>2.55</v>
      </c>
      <c r="W1846" s="14" t="n">
        <v>0.8100000000000001</v>
      </c>
      <c r="X1846" s="14" t="n">
        <v>0.53</v>
      </c>
      <c r="Y1846" s="14" t="n">
        <v>1.64</v>
      </c>
      <c r="Z1846" s="14" t="n">
        <v>0.4</v>
      </c>
      <c r="AA1846" s="14" t="n">
        <v>0</v>
      </c>
    </row>
    <row r="1847">
      <c r="A1847" t="inlineStr">
        <is>
          <t>010612</t>
        </is>
      </c>
      <c r="B1847" t="inlineStr">
        <is>
          <t>AMAZONAS</t>
        </is>
      </c>
      <c r="C1847" t="inlineStr">
        <is>
          <t>RODRIGUEZ DE MENDOZA</t>
        </is>
      </c>
      <c r="D1847" t="inlineStr">
        <is>
          <t>VISTA ALEGRE</t>
        </is>
      </c>
      <c r="E1847" t="n">
        <v>1004</v>
      </c>
      <c r="F1847" s="14" t="n">
        <v>0</v>
      </c>
      <c r="G1847" s="14" t="n">
        <v>87.75</v>
      </c>
      <c r="H1847" s="14" t="n">
        <v>0.2</v>
      </c>
      <c r="I1847" s="14" t="n">
        <v>0.3</v>
      </c>
      <c r="J1847" s="14" t="n">
        <v>0</v>
      </c>
      <c r="K1847" s="14" t="n">
        <v>0</v>
      </c>
      <c r="L1847" s="14" t="n">
        <v>0.6</v>
      </c>
      <c r="M1847" s="14" t="n">
        <v>0.6</v>
      </c>
      <c r="N1847" s="14" t="n">
        <v>0.2</v>
      </c>
      <c r="O1847" s="14" t="n">
        <v>0.4</v>
      </c>
      <c r="P1847" s="14" t="n">
        <v>0</v>
      </c>
      <c r="Q1847" s="14" t="n">
        <v>0</v>
      </c>
      <c r="R1847" s="14" t="n">
        <v>0</v>
      </c>
      <c r="S1847" s="14" t="n">
        <v>1</v>
      </c>
      <c r="T1847" s="14" t="n">
        <v>0</v>
      </c>
      <c r="U1847" s="14" t="n">
        <v>0.6</v>
      </c>
      <c r="V1847" s="14" t="n">
        <v>4.18</v>
      </c>
      <c r="W1847" s="14" t="n">
        <v>0.4</v>
      </c>
      <c r="X1847" s="14" t="n">
        <v>0</v>
      </c>
      <c r="Y1847" s="14" t="n">
        <v>0</v>
      </c>
      <c r="Z1847" s="14" t="n">
        <v>3.78</v>
      </c>
      <c r="AA1847" s="14" t="n">
        <v>0</v>
      </c>
    </row>
    <row r="1848">
      <c r="A1848" t="inlineStr">
        <is>
          <t>020602</t>
        </is>
      </c>
      <c r="B1848" t="inlineStr">
        <is>
          <t>ANCASH</t>
        </is>
      </c>
      <c r="C1848" t="inlineStr">
        <is>
          <t>CARHUAZ</t>
        </is>
      </c>
      <c r="D1848" t="inlineStr">
        <is>
          <t>ACOPAMPA</t>
        </is>
      </c>
      <c r="E1848" t="n">
        <v>787</v>
      </c>
      <c r="F1848" s="14" t="n">
        <v>0</v>
      </c>
      <c r="G1848" s="14" t="n">
        <v>45.87</v>
      </c>
      <c r="H1848" s="14" t="n">
        <v>0.64</v>
      </c>
      <c r="I1848" s="14" t="n">
        <v>5.97</v>
      </c>
      <c r="J1848" s="14" t="n">
        <v>0</v>
      </c>
      <c r="K1848" s="14" t="n">
        <v>0.25</v>
      </c>
      <c r="L1848" s="14" t="n">
        <v>9.02</v>
      </c>
      <c r="M1848" s="14" t="n">
        <v>9.779999999999999</v>
      </c>
      <c r="N1848" s="14" t="n">
        <v>7.62</v>
      </c>
      <c r="O1848" s="14" t="n">
        <v>3.56</v>
      </c>
      <c r="P1848" s="14" t="n">
        <v>0.13</v>
      </c>
      <c r="Q1848" s="14" t="n">
        <v>0</v>
      </c>
      <c r="R1848" s="14" t="n">
        <v>0.13</v>
      </c>
      <c r="S1848" s="14" t="n">
        <v>3.05</v>
      </c>
      <c r="T1848" s="14" t="n">
        <v>0.76</v>
      </c>
      <c r="U1848" s="14" t="n">
        <v>3.68</v>
      </c>
      <c r="V1848" s="14" t="n">
        <v>5.59</v>
      </c>
      <c r="W1848" s="14" t="n">
        <v>1.78</v>
      </c>
      <c r="X1848" s="14" t="n">
        <v>0.51</v>
      </c>
      <c r="Y1848" s="14" t="n">
        <v>1.02</v>
      </c>
      <c r="Z1848" s="14" t="n">
        <v>0.64</v>
      </c>
      <c r="AA1848" s="14" t="n">
        <v>0</v>
      </c>
    </row>
    <row r="1849">
      <c r="A1849" t="inlineStr">
        <is>
          <t>020903</t>
        </is>
      </c>
      <c r="B1849" t="inlineStr">
        <is>
          <t>ANCASH</t>
        </is>
      </c>
      <c r="C1849" t="inlineStr">
        <is>
          <t>CORONGO</t>
        </is>
      </c>
      <c r="D1849" t="inlineStr">
        <is>
          <t>BAMBAS</t>
        </is>
      </c>
      <c r="E1849" t="n">
        <v>129</v>
      </c>
      <c r="F1849" s="14" t="n">
        <v>0</v>
      </c>
      <c r="G1849" s="14" t="n">
        <v>74.42</v>
      </c>
      <c r="H1849" s="14" t="n">
        <v>0</v>
      </c>
      <c r="I1849" s="14" t="n">
        <v>0.78</v>
      </c>
      <c r="J1849" s="14" t="n">
        <v>0</v>
      </c>
      <c r="K1849" s="14" t="n">
        <v>0</v>
      </c>
      <c r="L1849" s="14" t="n">
        <v>0.78</v>
      </c>
      <c r="M1849" s="14" t="n">
        <v>0.78</v>
      </c>
      <c r="N1849" s="14" t="n">
        <v>0.78</v>
      </c>
      <c r="O1849" s="14" t="n">
        <v>1.55</v>
      </c>
      <c r="P1849" s="14" t="n">
        <v>0</v>
      </c>
      <c r="Q1849" s="14" t="n">
        <v>0</v>
      </c>
      <c r="R1849" s="14" t="n">
        <v>0</v>
      </c>
      <c r="S1849" s="14" t="n">
        <v>0.78</v>
      </c>
      <c r="T1849" s="14" t="n">
        <v>0</v>
      </c>
      <c r="U1849" s="14" t="n">
        <v>10.85</v>
      </c>
      <c r="V1849" s="14" t="n">
        <v>7.75</v>
      </c>
      <c r="W1849" s="14" t="n">
        <v>0.78</v>
      </c>
      <c r="X1849" s="14" t="n">
        <v>0</v>
      </c>
      <c r="Y1849" s="14" t="n">
        <v>0</v>
      </c>
      <c r="Z1849" s="14" t="n">
        <v>0.78</v>
      </c>
      <c r="AA1849" s="14" t="n">
        <v>0</v>
      </c>
    </row>
    <row r="1850">
      <c r="A1850" t="inlineStr">
        <is>
          <t>021504</t>
        </is>
      </c>
      <c r="B1850" t="inlineStr">
        <is>
          <t>ANCASH</t>
        </is>
      </c>
      <c r="C1850" t="inlineStr">
        <is>
          <t>PALLASCA</t>
        </is>
      </c>
      <c r="D1850" t="inlineStr">
        <is>
          <t>HUACASCHUQUE</t>
        </is>
      </c>
      <c r="E1850" t="n">
        <v>66</v>
      </c>
      <c r="F1850" s="14" t="n">
        <v>0</v>
      </c>
      <c r="G1850" s="14" t="n">
        <v>54.55</v>
      </c>
      <c r="H1850" s="14" t="n">
        <v>0</v>
      </c>
      <c r="I1850" s="14" t="n">
        <v>0</v>
      </c>
      <c r="J1850" s="14" t="n">
        <v>0</v>
      </c>
      <c r="K1850" s="14" t="n">
        <v>0</v>
      </c>
      <c r="L1850" s="14" t="n">
        <v>13.64</v>
      </c>
      <c r="M1850" s="14" t="n">
        <v>4.55</v>
      </c>
      <c r="N1850" s="14" t="n">
        <v>0</v>
      </c>
      <c r="O1850" s="14" t="n">
        <v>3.03</v>
      </c>
      <c r="P1850" s="14" t="n">
        <v>0</v>
      </c>
      <c r="Q1850" s="14" t="n">
        <v>0</v>
      </c>
      <c r="R1850" s="14" t="n">
        <v>0</v>
      </c>
      <c r="S1850" s="14" t="n">
        <v>0</v>
      </c>
      <c r="T1850" s="14" t="n">
        <v>1.52</v>
      </c>
      <c r="U1850" s="14" t="n">
        <v>6.06</v>
      </c>
      <c r="V1850" s="14" t="n">
        <v>9.09</v>
      </c>
      <c r="W1850" s="14" t="n">
        <v>4.55</v>
      </c>
      <c r="X1850" s="14" t="n">
        <v>1.52</v>
      </c>
      <c r="Y1850" s="14" t="n">
        <v>1.52</v>
      </c>
      <c r="Z1850" s="14" t="n">
        <v>0</v>
      </c>
      <c r="AA1850" s="14" t="n">
        <v>0</v>
      </c>
    </row>
    <row r="1851">
      <c r="A1851" t="inlineStr">
        <is>
          <t>010121</t>
        </is>
      </c>
      <c r="B1851" t="inlineStr">
        <is>
          <t>AMAZONAS</t>
        </is>
      </c>
      <c r="C1851" t="inlineStr">
        <is>
          <t>CHACHAPOYAS</t>
        </is>
      </c>
      <c r="D1851" t="inlineStr">
        <is>
          <t>SONCHE</t>
        </is>
      </c>
      <c r="E1851" t="n">
        <v>119</v>
      </c>
      <c r="F1851" s="14" t="n">
        <v>0</v>
      </c>
      <c r="G1851" s="14" t="n">
        <v>80.67</v>
      </c>
      <c r="H1851" s="14" t="n">
        <v>0</v>
      </c>
      <c r="I1851" s="14" t="n">
        <v>0.84</v>
      </c>
      <c r="J1851" s="14" t="n">
        <v>0</v>
      </c>
      <c r="K1851" s="14" t="n">
        <v>0</v>
      </c>
      <c r="L1851" s="14" t="n">
        <v>0.84</v>
      </c>
      <c r="M1851" s="14" t="n">
        <v>1.68</v>
      </c>
      <c r="N1851" s="14" t="n">
        <v>4.2</v>
      </c>
      <c r="O1851" s="14" t="n">
        <v>0</v>
      </c>
      <c r="P1851" s="14" t="n">
        <v>0</v>
      </c>
      <c r="Q1851" s="14" t="n">
        <v>0</v>
      </c>
      <c r="R1851" s="14" t="n">
        <v>0</v>
      </c>
      <c r="S1851" s="14" t="n">
        <v>0</v>
      </c>
      <c r="T1851" s="14" t="n">
        <v>0.84</v>
      </c>
      <c r="U1851" s="14" t="n">
        <v>4.2</v>
      </c>
      <c r="V1851" s="14" t="n">
        <v>1.68</v>
      </c>
      <c r="W1851" s="14" t="n">
        <v>1.68</v>
      </c>
      <c r="X1851" s="14" t="n">
        <v>0</v>
      </c>
      <c r="Y1851" s="14" t="n">
        <v>0</v>
      </c>
      <c r="Z1851" s="14" t="n">
        <v>3.36</v>
      </c>
      <c r="AA1851" s="14" t="n">
        <v>0</v>
      </c>
    </row>
    <row r="1852">
      <c r="A1852" t="inlineStr">
        <is>
          <t>081208</t>
        </is>
      </c>
      <c r="B1852" t="inlineStr">
        <is>
          <t>CUSCO</t>
        </is>
      </c>
      <c r="C1852" t="inlineStr">
        <is>
          <t>QUISPICANCHI</t>
        </is>
      </c>
      <c r="D1852" t="inlineStr">
        <is>
          <t>LUCRE</t>
        </is>
      </c>
      <c r="E1852" t="n">
        <v>1804</v>
      </c>
      <c r="F1852" s="14" t="n">
        <v>0</v>
      </c>
      <c r="G1852" s="14" t="n">
        <v>27.55</v>
      </c>
      <c r="H1852" s="14" t="n">
        <v>1.83</v>
      </c>
      <c r="I1852" s="14" t="n">
        <v>13.14</v>
      </c>
      <c r="J1852" s="14" t="n">
        <v>0</v>
      </c>
      <c r="K1852" s="14" t="n">
        <v>0</v>
      </c>
      <c r="L1852" s="14" t="n">
        <v>11.31</v>
      </c>
      <c r="M1852" s="14" t="n">
        <v>14.47</v>
      </c>
      <c r="N1852" s="14" t="n">
        <v>7.59</v>
      </c>
      <c r="O1852" s="14" t="n">
        <v>8.15</v>
      </c>
      <c r="P1852" s="14" t="n">
        <v>0.17</v>
      </c>
      <c r="Q1852" s="14" t="n">
        <v>0.17</v>
      </c>
      <c r="R1852" s="14" t="n">
        <v>0.11</v>
      </c>
      <c r="S1852" s="14" t="n">
        <v>1.39</v>
      </c>
      <c r="T1852" s="14" t="n">
        <v>1.44</v>
      </c>
      <c r="U1852" s="14" t="n">
        <v>5.71</v>
      </c>
      <c r="V1852" s="14" t="n">
        <v>3.1</v>
      </c>
      <c r="W1852" s="14" t="n">
        <v>1.77</v>
      </c>
      <c r="X1852" s="14" t="n">
        <v>0.5</v>
      </c>
      <c r="Y1852" s="14" t="n">
        <v>1.11</v>
      </c>
      <c r="Z1852" s="14" t="n">
        <v>0.5</v>
      </c>
      <c r="AA1852" s="14" t="n">
        <v>0</v>
      </c>
    </row>
    <row r="1853">
      <c r="A1853" t="inlineStr">
        <is>
          <t>020203</t>
        </is>
      </c>
      <c r="B1853" t="inlineStr">
        <is>
          <t>ANCASH</t>
        </is>
      </c>
      <c r="C1853" t="inlineStr">
        <is>
          <t>AIJA</t>
        </is>
      </c>
      <c r="D1853" t="inlineStr">
        <is>
          <t>HUACLLAN</t>
        </is>
      </c>
      <c r="E1853" t="n">
        <v>98</v>
      </c>
      <c r="F1853" s="14" t="n">
        <v>0</v>
      </c>
      <c r="G1853" s="14" t="n">
        <v>80.61</v>
      </c>
      <c r="H1853" s="14" t="n">
        <v>1.02</v>
      </c>
      <c r="I1853" s="14" t="n">
        <v>1.02</v>
      </c>
      <c r="J1853" s="14" t="n">
        <v>0</v>
      </c>
      <c r="K1853" s="14" t="n">
        <v>0</v>
      </c>
      <c r="L1853" s="14" t="n">
        <v>2.04</v>
      </c>
      <c r="M1853" s="14" t="n">
        <v>2.04</v>
      </c>
      <c r="N1853" s="14" t="n">
        <v>1.02</v>
      </c>
      <c r="O1853" s="14" t="n">
        <v>0</v>
      </c>
      <c r="P1853" s="14" t="n">
        <v>0</v>
      </c>
      <c r="Q1853" s="14" t="n">
        <v>0</v>
      </c>
      <c r="R1853" s="14" t="n">
        <v>0</v>
      </c>
      <c r="S1853" s="14" t="n">
        <v>1.02</v>
      </c>
      <c r="T1853" s="14" t="n">
        <v>1.02</v>
      </c>
      <c r="U1853" s="14" t="n">
        <v>3.06</v>
      </c>
      <c r="V1853" s="14" t="n">
        <v>5.1</v>
      </c>
      <c r="W1853" s="14" t="n">
        <v>2.04</v>
      </c>
      <c r="X1853" s="14" t="n">
        <v>0</v>
      </c>
      <c r="Y1853" s="14" t="n">
        <v>0</v>
      </c>
      <c r="Z1853" s="14" t="n">
        <v>0</v>
      </c>
      <c r="AA1853" s="14" t="n">
        <v>0</v>
      </c>
    </row>
    <row r="1854">
      <c r="A1854" t="inlineStr">
        <is>
          <t>040704</t>
        </is>
      </c>
      <c r="B1854" t="inlineStr">
        <is>
          <t>AREQUIPA</t>
        </is>
      </c>
      <c r="C1854" t="inlineStr">
        <is>
          <t>ISLAY</t>
        </is>
      </c>
      <c r="D1854" t="inlineStr">
        <is>
          <t>ISLAY</t>
        </is>
      </c>
      <c r="E1854" t="n">
        <v>2328</v>
      </c>
      <c r="F1854" s="14" t="n">
        <v>0.08599999999999999</v>
      </c>
      <c r="G1854" s="14" t="n">
        <v>17.14</v>
      </c>
      <c r="H1854" s="14" t="n">
        <v>1.25</v>
      </c>
      <c r="I1854" s="14" t="n">
        <v>6.53</v>
      </c>
      <c r="J1854" s="14" t="n">
        <v>0.04</v>
      </c>
      <c r="K1854" s="14" t="n">
        <v>0.13</v>
      </c>
      <c r="L1854" s="14" t="n">
        <v>9.49</v>
      </c>
      <c r="M1854" s="14" t="n">
        <v>18.94</v>
      </c>
      <c r="N1854" s="14" t="n">
        <v>16.84</v>
      </c>
      <c r="O1854" s="14" t="n">
        <v>8.08</v>
      </c>
      <c r="P1854" s="14" t="n">
        <v>0.73</v>
      </c>
      <c r="Q1854" s="14" t="n">
        <v>0.39</v>
      </c>
      <c r="R1854" s="14" t="n">
        <v>0</v>
      </c>
      <c r="S1854" s="14" t="n">
        <v>3.31</v>
      </c>
      <c r="T1854" s="14" t="n">
        <v>5.37</v>
      </c>
      <c r="U1854" s="14" t="n">
        <v>5.93</v>
      </c>
      <c r="V1854" s="14" t="n">
        <v>1.29</v>
      </c>
      <c r="W1854" s="14" t="n">
        <v>0.64</v>
      </c>
      <c r="X1854" s="14" t="n">
        <v>0.26</v>
      </c>
      <c r="Y1854" s="14" t="n">
        <v>3.22</v>
      </c>
      <c r="Z1854" s="14" t="n">
        <v>0.43</v>
      </c>
      <c r="AA1854" s="14" t="n">
        <v>0</v>
      </c>
    </row>
    <row r="1855">
      <c r="A1855" t="inlineStr">
        <is>
          <t>080207</t>
        </is>
      </c>
      <c r="B1855" t="inlineStr">
        <is>
          <t>CUSCO</t>
        </is>
      </c>
      <c r="C1855" t="inlineStr">
        <is>
          <t>ACOMAYO</t>
        </is>
      </c>
      <c r="D1855" t="inlineStr">
        <is>
          <t>SANGARARA</t>
        </is>
      </c>
      <c r="E1855" t="n">
        <v>1048</v>
      </c>
      <c r="F1855" s="14" t="n">
        <v>0</v>
      </c>
      <c r="G1855" s="14" t="n">
        <v>76.91</v>
      </c>
      <c r="H1855" s="14" t="n">
        <v>0.38</v>
      </c>
      <c r="I1855" s="14" t="n">
        <v>0.95</v>
      </c>
      <c r="J1855" s="14" t="n">
        <v>0</v>
      </c>
      <c r="K1855" s="14" t="n">
        <v>0</v>
      </c>
      <c r="L1855" s="14" t="n">
        <v>3.82</v>
      </c>
      <c r="M1855" s="14" t="n">
        <v>7.06</v>
      </c>
      <c r="N1855" s="14" t="n">
        <v>1.72</v>
      </c>
      <c r="O1855" s="14" t="n">
        <v>1.53</v>
      </c>
      <c r="P1855" s="14" t="n">
        <v>0</v>
      </c>
      <c r="Q1855" s="14" t="n">
        <v>0.1</v>
      </c>
      <c r="R1855" s="14" t="n">
        <v>0</v>
      </c>
      <c r="S1855" s="14" t="n">
        <v>0.76</v>
      </c>
      <c r="T1855" s="14" t="n">
        <v>0.19</v>
      </c>
      <c r="U1855" s="14" t="n">
        <v>4.58</v>
      </c>
      <c r="V1855" s="14" t="n">
        <v>1.05</v>
      </c>
      <c r="W1855" s="14" t="n">
        <v>0.48</v>
      </c>
      <c r="X1855" s="14" t="n">
        <v>0</v>
      </c>
      <c r="Y1855" s="14" t="n">
        <v>0.38</v>
      </c>
      <c r="Z1855" s="14" t="n">
        <v>0.1</v>
      </c>
      <c r="AA1855" s="14" t="n">
        <v>0</v>
      </c>
    </row>
    <row r="1856">
      <c r="A1856" t="inlineStr">
        <is>
          <t>080406</t>
        </is>
      </c>
      <c r="B1856" t="inlineStr">
        <is>
          <t>CUSCO</t>
        </is>
      </c>
      <c r="C1856" t="inlineStr">
        <is>
          <t>CALCA</t>
        </is>
      </c>
      <c r="D1856" t="inlineStr">
        <is>
          <t>SAN SALVADOR</t>
        </is>
      </c>
      <c r="E1856" t="n">
        <v>1707</v>
      </c>
      <c r="F1856" s="14" t="n">
        <v>0</v>
      </c>
      <c r="G1856" s="14" t="n">
        <v>59.11</v>
      </c>
      <c r="H1856" s="14" t="n">
        <v>0.47</v>
      </c>
      <c r="I1856" s="14" t="n">
        <v>3.1</v>
      </c>
      <c r="J1856" s="14" t="n">
        <v>0</v>
      </c>
      <c r="K1856" s="14" t="n">
        <v>0</v>
      </c>
      <c r="L1856" s="14" t="n">
        <v>7.79</v>
      </c>
      <c r="M1856" s="14" t="n">
        <v>9.720000000000001</v>
      </c>
      <c r="N1856" s="14" t="n">
        <v>5.45</v>
      </c>
      <c r="O1856" s="14" t="n">
        <v>6.21</v>
      </c>
      <c r="P1856" s="14" t="n">
        <v>0.12</v>
      </c>
      <c r="Q1856" s="14" t="n">
        <v>0.06</v>
      </c>
      <c r="R1856" s="14" t="n">
        <v>0</v>
      </c>
      <c r="S1856" s="14" t="n">
        <v>1.05</v>
      </c>
      <c r="T1856" s="14" t="n">
        <v>1.29</v>
      </c>
      <c r="U1856" s="14" t="n">
        <v>1.93</v>
      </c>
      <c r="V1856" s="14" t="n">
        <v>0.9399999999999999</v>
      </c>
      <c r="W1856" s="14" t="n">
        <v>0.7</v>
      </c>
      <c r="X1856" s="14" t="n">
        <v>0.41</v>
      </c>
      <c r="Y1856" s="14" t="n">
        <v>1.11</v>
      </c>
      <c r="Z1856" s="14" t="n">
        <v>0.53</v>
      </c>
      <c r="AA1856" s="14" t="n">
        <v>0</v>
      </c>
    </row>
    <row r="1857">
      <c r="A1857" t="inlineStr">
        <is>
          <t>020507</t>
        </is>
      </c>
      <c r="B1857" t="inlineStr">
        <is>
          <t>ANCASH</t>
        </is>
      </c>
      <c r="C1857" t="inlineStr">
        <is>
          <t>BOLOGNESI</t>
        </is>
      </c>
      <c r="D1857" t="inlineStr">
        <is>
          <t>COLQUIOC</t>
        </is>
      </c>
      <c r="E1857" t="n">
        <v>1048</v>
      </c>
      <c r="F1857" s="14" t="n">
        <v>0</v>
      </c>
      <c r="G1857" s="14" t="n">
        <v>39.22</v>
      </c>
      <c r="H1857" s="14" t="n">
        <v>0.67</v>
      </c>
      <c r="I1857" s="14" t="n">
        <v>2.19</v>
      </c>
      <c r="J1857" s="14" t="n">
        <v>0</v>
      </c>
      <c r="K1857" s="14" t="n">
        <v>0</v>
      </c>
      <c r="L1857" s="14" t="n">
        <v>9.539999999999999</v>
      </c>
      <c r="M1857" s="14" t="n">
        <v>8.970000000000001</v>
      </c>
      <c r="N1857" s="14" t="n">
        <v>6.3</v>
      </c>
      <c r="O1857" s="14" t="n">
        <v>7.73</v>
      </c>
      <c r="P1857" s="14" t="n">
        <v>0</v>
      </c>
      <c r="Q1857" s="14" t="n">
        <v>0.19</v>
      </c>
      <c r="R1857" s="14" t="n">
        <v>0</v>
      </c>
      <c r="S1857" s="14" t="n">
        <v>1.53</v>
      </c>
      <c r="T1857" s="14" t="n">
        <v>0.95</v>
      </c>
      <c r="U1857" s="14" t="n">
        <v>13.17</v>
      </c>
      <c r="V1857" s="14" t="n">
        <v>5.82</v>
      </c>
      <c r="W1857" s="14" t="n">
        <v>1.91</v>
      </c>
      <c r="X1857" s="14" t="n">
        <v>0.57</v>
      </c>
      <c r="Y1857" s="14" t="n">
        <v>1.05</v>
      </c>
      <c r="Z1857" s="14" t="n">
        <v>0.19</v>
      </c>
      <c r="AA1857" s="14" t="n">
        <v>0</v>
      </c>
    </row>
    <row r="1858">
      <c r="A1858" t="inlineStr">
        <is>
          <t>021806</t>
        </is>
      </c>
      <c r="B1858" t="inlineStr">
        <is>
          <t>ANCASH</t>
        </is>
      </c>
      <c r="C1858" t="inlineStr">
        <is>
          <t>SANTA</t>
        </is>
      </c>
      <c r="D1858" t="inlineStr">
        <is>
          <t>NEPEÑA</t>
        </is>
      </c>
      <c r="E1858" t="n">
        <v>5435</v>
      </c>
      <c r="F1858" s="14" t="n">
        <v>0</v>
      </c>
      <c r="G1858" s="14" t="n">
        <v>37.96</v>
      </c>
      <c r="H1858" s="14" t="n">
        <v>0.5</v>
      </c>
      <c r="I1858" s="14" t="n">
        <v>11.43</v>
      </c>
      <c r="J1858" s="14" t="n">
        <v>0.02</v>
      </c>
      <c r="K1858" s="14" t="n">
        <v>0.26</v>
      </c>
      <c r="L1858" s="14" t="n">
        <v>6.75</v>
      </c>
      <c r="M1858" s="14" t="n">
        <v>13.54</v>
      </c>
      <c r="N1858" s="14" t="n">
        <v>7.25</v>
      </c>
      <c r="O1858" s="14" t="n">
        <v>5.85</v>
      </c>
      <c r="P1858" s="14" t="n">
        <v>0.4</v>
      </c>
      <c r="Q1858" s="14" t="n">
        <v>0.22</v>
      </c>
      <c r="R1858" s="14" t="n">
        <v>0</v>
      </c>
      <c r="S1858" s="14" t="n">
        <v>1.55</v>
      </c>
      <c r="T1858" s="14" t="n">
        <v>2.45</v>
      </c>
      <c r="U1858" s="14" t="n">
        <v>4.54</v>
      </c>
      <c r="V1858" s="14" t="n">
        <v>3.28</v>
      </c>
      <c r="W1858" s="14" t="n">
        <v>1.27</v>
      </c>
      <c r="X1858" s="14" t="n">
        <v>0.35</v>
      </c>
      <c r="Y1858" s="14" t="n">
        <v>1.58</v>
      </c>
      <c r="Z1858" s="14" t="n">
        <v>0.8100000000000001</v>
      </c>
      <c r="AA1858" s="14" t="n">
        <v>0</v>
      </c>
    </row>
    <row r="1859">
      <c r="A1859" t="inlineStr">
        <is>
          <t>020103</t>
        </is>
      </c>
      <c r="B1859" t="inlineStr">
        <is>
          <t>ANCASH</t>
        </is>
      </c>
      <c r="C1859" t="inlineStr">
        <is>
          <t>HUARAZ</t>
        </is>
      </c>
      <c r="D1859" t="inlineStr">
        <is>
          <t>COLCABAMBA</t>
        </is>
      </c>
      <c r="E1859" t="n">
        <v>128</v>
      </c>
      <c r="F1859" s="14" t="n">
        <v>0</v>
      </c>
      <c r="G1859" s="14" t="n">
        <v>79.69</v>
      </c>
      <c r="H1859" s="14" t="n">
        <v>0</v>
      </c>
      <c r="I1859" s="14" t="n">
        <v>2.34</v>
      </c>
      <c r="J1859" s="14" t="n">
        <v>0</v>
      </c>
      <c r="K1859" s="14" t="n">
        <v>0</v>
      </c>
      <c r="L1859" s="14" t="n">
        <v>7.81</v>
      </c>
      <c r="M1859" s="14" t="n">
        <v>3.13</v>
      </c>
      <c r="N1859" s="14" t="n">
        <v>0</v>
      </c>
      <c r="O1859" s="14" t="n">
        <v>0</v>
      </c>
      <c r="P1859" s="14" t="n">
        <v>0</v>
      </c>
      <c r="Q1859" s="14" t="n">
        <v>0</v>
      </c>
      <c r="R1859" s="14" t="n">
        <v>0</v>
      </c>
      <c r="S1859" s="14" t="n">
        <v>0</v>
      </c>
      <c r="T1859" s="14" t="n">
        <v>0</v>
      </c>
      <c r="U1859" s="14" t="n">
        <v>7.03</v>
      </c>
      <c r="V1859" s="14" t="n">
        <v>0</v>
      </c>
      <c r="W1859" s="14" t="n">
        <v>0</v>
      </c>
      <c r="X1859" s="14" t="n">
        <v>0</v>
      </c>
      <c r="Y1859" s="14" t="n">
        <v>0</v>
      </c>
      <c r="Z1859" s="14" t="n">
        <v>0</v>
      </c>
      <c r="AA1859" s="14" t="n">
        <v>0</v>
      </c>
    </row>
    <row r="1860">
      <c r="A1860" t="inlineStr">
        <is>
          <t>021103</t>
        </is>
      </c>
      <c r="B1860" t="inlineStr">
        <is>
          <t>ANCASH</t>
        </is>
      </c>
      <c r="C1860" t="inlineStr">
        <is>
          <t>HUARMEY</t>
        </is>
      </c>
      <c r="D1860" t="inlineStr">
        <is>
          <t>CULEBRAS</t>
        </is>
      </c>
      <c r="E1860" t="n">
        <v>1328</v>
      </c>
      <c r="F1860" s="14" t="n">
        <v>0</v>
      </c>
      <c r="G1860" s="14" t="n">
        <v>71.91</v>
      </c>
      <c r="H1860" s="14" t="n">
        <v>0.23</v>
      </c>
      <c r="I1860" s="14" t="n">
        <v>2.71</v>
      </c>
      <c r="J1860" s="14" t="n">
        <v>0.08</v>
      </c>
      <c r="K1860" s="14" t="n">
        <v>0.3</v>
      </c>
      <c r="L1860" s="14" t="n">
        <v>3.31</v>
      </c>
      <c r="M1860" s="14" t="n">
        <v>8.130000000000001</v>
      </c>
      <c r="N1860" s="14" t="n">
        <v>2.56</v>
      </c>
      <c r="O1860" s="14" t="n">
        <v>3.84</v>
      </c>
      <c r="P1860" s="14" t="n">
        <v>0</v>
      </c>
      <c r="Q1860" s="14" t="n">
        <v>0.08</v>
      </c>
      <c r="R1860" s="14" t="n">
        <v>0</v>
      </c>
      <c r="S1860" s="14" t="n">
        <v>0.9</v>
      </c>
      <c r="T1860" s="14" t="n">
        <v>1.51</v>
      </c>
      <c r="U1860" s="14" t="n">
        <v>1.88</v>
      </c>
      <c r="V1860" s="14" t="n">
        <v>0.9</v>
      </c>
      <c r="W1860" s="14" t="n">
        <v>0.38</v>
      </c>
      <c r="X1860" s="14" t="n">
        <v>0.08</v>
      </c>
      <c r="Y1860" s="14" t="n">
        <v>1.2</v>
      </c>
      <c r="Z1860" s="14" t="n">
        <v>0</v>
      </c>
      <c r="AA1860" s="14" t="n">
        <v>0</v>
      </c>
    </row>
    <row r="1861">
      <c r="A1861" t="inlineStr">
        <is>
          <t>021203</t>
        </is>
      </c>
      <c r="B1861" t="inlineStr">
        <is>
          <t>ANCASH</t>
        </is>
      </c>
      <c r="C1861" t="inlineStr">
        <is>
          <t>HUAYLAS</t>
        </is>
      </c>
      <c r="D1861" t="inlineStr">
        <is>
          <t>HUATA</t>
        </is>
      </c>
      <c r="E1861" t="n">
        <v>344</v>
      </c>
      <c r="F1861" s="14" t="n">
        <v>0</v>
      </c>
      <c r="G1861" s="14" t="n">
        <v>77.91</v>
      </c>
      <c r="H1861" s="14" t="n">
        <v>0.29</v>
      </c>
      <c r="I1861" s="14" t="n">
        <v>0.87</v>
      </c>
      <c r="J1861" s="14" t="n">
        <v>0</v>
      </c>
      <c r="K1861" s="14" t="n">
        <v>0</v>
      </c>
      <c r="L1861" s="14" t="n">
        <v>3.2</v>
      </c>
      <c r="M1861" s="14" t="n">
        <v>3.2</v>
      </c>
      <c r="N1861" s="14" t="n">
        <v>2.91</v>
      </c>
      <c r="O1861" s="14" t="n">
        <v>2.33</v>
      </c>
      <c r="P1861" s="14" t="n">
        <v>0</v>
      </c>
      <c r="Q1861" s="14" t="n">
        <v>0.29</v>
      </c>
      <c r="R1861" s="14" t="n">
        <v>0</v>
      </c>
      <c r="S1861" s="14" t="n">
        <v>0.29</v>
      </c>
      <c r="T1861" s="14" t="n">
        <v>0.29</v>
      </c>
      <c r="U1861" s="14" t="n">
        <v>5.52</v>
      </c>
      <c r="V1861" s="14" t="n">
        <v>1.74</v>
      </c>
      <c r="W1861" s="14" t="n">
        <v>0.29</v>
      </c>
      <c r="X1861" s="14" t="n">
        <v>0.29</v>
      </c>
      <c r="Y1861" s="14" t="n">
        <v>0.29</v>
      </c>
      <c r="Z1861" s="14" t="n">
        <v>0.29</v>
      </c>
      <c r="AA1861" s="14" t="n">
        <v>0</v>
      </c>
    </row>
    <row r="1862">
      <c r="A1862" t="inlineStr">
        <is>
          <t>021803</t>
        </is>
      </c>
      <c r="B1862" t="inlineStr">
        <is>
          <t>ANCASH</t>
        </is>
      </c>
      <c r="C1862" t="inlineStr">
        <is>
          <t>SANTA</t>
        </is>
      </c>
      <c r="D1862" t="inlineStr">
        <is>
          <t>COISHCO</t>
        </is>
      </c>
      <c r="E1862" t="n">
        <v>5797</v>
      </c>
      <c r="F1862" s="14" t="n">
        <v>7.211</v>
      </c>
      <c r="G1862" s="14" t="n">
        <v>15.28</v>
      </c>
      <c r="H1862" s="14" t="n">
        <v>0.33</v>
      </c>
      <c r="I1862" s="14" t="n">
        <v>15.21</v>
      </c>
      <c r="J1862" s="14" t="n">
        <v>0.05</v>
      </c>
      <c r="K1862" s="14" t="n">
        <v>0.79</v>
      </c>
      <c r="L1862" s="14" t="n">
        <v>10.14</v>
      </c>
      <c r="M1862" s="14" t="n">
        <v>19.51</v>
      </c>
      <c r="N1862" s="14" t="n">
        <v>9.35</v>
      </c>
      <c r="O1862" s="14" t="n">
        <v>6.18</v>
      </c>
      <c r="P1862" s="14" t="n">
        <v>0.45</v>
      </c>
      <c r="Q1862" s="14" t="n">
        <v>0.36</v>
      </c>
      <c r="R1862" s="14" t="n">
        <v>0.02</v>
      </c>
      <c r="S1862" s="14" t="n">
        <v>3.8</v>
      </c>
      <c r="T1862" s="14" t="n">
        <v>3.93</v>
      </c>
      <c r="U1862" s="14" t="n">
        <v>4.28</v>
      </c>
      <c r="V1862" s="14" t="n">
        <v>3.19</v>
      </c>
      <c r="W1862" s="14" t="n">
        <v>2.07</v>
      </c>
      <c r="X1862" s="14" t="n">
        <v>0.95</v>
      </c>
      <c r="Y1862" s="14" t="n">
        <v>3.12</v>
      </c>
      <c r="Z1862" s="14" t="n">
        <v>0.98</v>
      </c>
      <c r="AA1862" s="14" t="n">
        <v>0</v>
      </c>
    </row>
    <row r="1863">
      <c r="A1863" t="inlineStr">
        <is>
          <t>021405</t>
        </is>
      </c>
      <c r="B1863" t="inlineStr">
        <is>
          <t>ANCASH</t>
        </is>
      </c>
      <c r="C1863" t="inlineStr">
        <is>
          <t>OCROS</t>
        </is>
      </c>
      <c r="D1863" t="inlineStr">
        <is>
          <t>COCHAS</t>
        </is>
      </c>
      <c r="E1863" t="n">
        <v>592</v>
      </c>
      <c r="F1863" s="14" t="n">
        <v>0</v>
      </c>
      <c r="G1863" s="14" t="n">
        <v>77.53</v>
      </c>
      <c r="H1863" s="14" t="n">
        <v>0.17</v>
      </c>
      <c r="I1863" s="14" t="n">
        <v>0.34</v>
      </c>
      <c r="J1863" s="14" t="n">
        <v>0.17</v>
      </c>
      <c r="K1863" s="14" t="n">
        <v>0</v>
      </c>
      <c r="L1863" s="14" t="n">
        <v>8.109999999999999</v>
      </c>
      <c r="M1863" s="14" t="n">
        <v>2.87</v>
      </c>
      <c r="N1863" s="14" t="n">
        <v>1.52</v>
      </c>
      <c r="O1863" s="14" t="n">
        <v>1.52</v>
      </c>
      <c r="P1863" s="14" t="n">
        <v>0</v>
      </c>
      <c r="Q1863" s="14" t="n">
        <v>0.17</v>
      </c>
      <c r="R1863" s="14" t="n">
        <v>0</v>
      </c>
      <c r="S1863" s="14" t="n">
        <v>0.68</v>
      </c>
      <c r="T1863" s="14" t="n">
        <v>0.51</v>
      </c>
      <c r="U1863" s="14" t="n">
        <v>3.89</v>
      </c>
      <c r="V1863" s="14" t="n">
        <v>2.03</v>
      </c>
      <c r="W1863" s="14" t="n">
        <v>0.17</v>
      </c>
      <c r="X1863" s="14" t="n">
        <v>0</v>
      </c>
      <c r="Y1863" s="14" t="n">
        <v>0</v>
      </c>
      <c r="Z1863" s="14" t="n">
        <v>0.34</v>
      </c>
      <c r="AA1863" s="14" t="n">
        <v>0</v>
      </c>
    </row>
    <row r="1864">
      <c r="A1864" t="inlineStr">
        <is>
          <t>021101</t>
        </is>
      </c>
      <c r="B1864" t="inlineStr">
        <is>
          <t>ANCASH</t>
        </is>
      </c>
      <c r="C1864" t="inlineStr">
        <is>
          <t>HUARMEY</t>
        </is>
      </c>
      <c r="D1864" t="inlineStr">
        <is>
          <t>HUARMEY</t>
        </is>
      </c>
      <c r="E1864" t="n">
        <v>10783</v>
      </c>
      <c r="F1864" s="14" t="n">
        <v>0</v>
      </c>
      <c r="G1864" s="14" t="n">
        <v>30.2</v>
      </c>
      <c r="H1864" s="14" t="n">
        <v>1.15</v>
      </c>
      <c r="I1864" s="14" t="n">
        <v>4.34</v>
      </c>
      <c r="J1864" s="14" t="n">
        <v>0.06</v>
      </c>
      <c r="K1864" s="14" t="n">
        <v>0.2</v>
      </c>
      <c r="L1864" s="14" t="n">
        <v>7.02</v>
      </c>
      <c r="M1864" s="14" t="n">
        <v>18.73</v>
      </c>
      <c r="N1864" s="14" t="n">
        <v>10.14</v>
      </c>
      <c r="O1864" s="14" t="n">
        <v>8.18</v>
      </c>
      <c r="P1864" s="14" t="n">
        <v>0.3</v>
      </c>
      <c r="Q1864" s="14" t="n">
        <v>0.32</v>
      </c>
      <c r="R1864" s="14" t="n">
        <v>0.07000000000000001</v>
      </c>
      <c r="S1864" s="14" t="n">
        <v>2.94</v>
      </c>
      <c r="T1864" s="14" t="n">
        <v>2.83</v>
      </c>
      <c r="U1864" s="14" t="n">
        <v>3.3</v>
      </c>
      <c r="V1864" s="14" t="n">
        <v>5.17</v>
      </c>
      <c r="W1864" s="14" t="n">
        <v>1.33</v>
      </c>
      <c r="X1864" s="14" t="n">
        <v>0.68</v>
      </c>
      <c r="Y1864" s="14" t="n">
        <v>2.3</v>
      </c>
      <c r="Z1864" s="14" t="n">
        <v>0.74</v>
      </c>
      <c r="AA1864" s="14" t="n">
        <v>0</v>
      </c>
    </row>
    <row r="1865">
      <c r="A1865" t="inlineStr">
        <is>
          <t>081303</t>
        </is>
      </c>
      <c r="B1865" t="inlineStr">
        <is>
          <t>CUSCO</t>
        </is>
      </c>
      <c r="C1865" t="inlineStr">
        <is>
          <t>URUBAMBA</t>
        </is>
      </c>
      <c r="D1865" t="inlineStr">
        <is>
          <t>HUAYLLABAMBA</t>
        </is>
      </c>
      <c r="E1865" t="n">
        <v>2277</v>
      </c>
      <c r="F1865" s="14" t="n">
        <v>0</v>
      </c>
      <c r="G1865" s="14" t="n">
        <v>41.85</v>
      </c>
      <c r="H1865" s="14" t="n">
        <v>0.53</v>
      </c>
      <c r="I1865" s="14" t="n">
        <v>3.29</v>
      </c>
      <c r="J1865" s="14" t="n">
        <v>0.04</v>
      </c>
      <c r="K1865" s="14" t="n">
        <v>0.04</v>
      </c>
      <c r="L1865" s="14" t="n">
        <v>7.55</v>
      </c>
      <c r="M1865" s="14" t="n">
        <v>13.13</v>
      </c>
      <c r="N1865" s="14" t="n">
        <v>7.64</v>
      </c>
      <c r="O1865" s="14" t="n">
        <v>8.960000000000001</v>
      </c>
      <c r="P1865" s="14" t="n">
        <v>0.18</v>
      </c>
      <c r="Q1865" s="14" t="n">
        <v>0.75</v>
      </c>
      <c r="R1865" s="14" t="n">
        <v>0.04</v>
      </c>
      <c r="S1865" s="14" t="n">
        <v>2.02</v>
      </c>
      <c r="T1865" s="14" t="n">
        <v>2.46</v>
      </c>
      <c r="U1865" s="14" t="n">
        <v>3.03</v>
      </c>
      <c r="V1865" s="14" t="n">
        <v>4.92</v>
      </c>
      <c r="W1865" s="14" t="n">
        <v>1.19</v>
      </c>
      <c r="X1865" s="14" t="n">
        <v>0.66</v>
      </c>
      <c r="Y1865" s="14" t="n">
        <v>0.57</v>
      </c>
      <c r="Z1865" s="14" t="n">
        <v>1.14</v>
      </c>
      <c r="AA1865" s="14" t="n">
        <v>0</v>
      </c>
    </row>
    <row r="1866">
      <c r="A1866" t="inlineStr">
        <is>
          <t>040121</t>
        </is>
      </c>
      <c r="B1866" t="inlineStr">
        <is>
          <t>AREQUIPA</t>
        </is>
      </c>
      <c r="C1866" t="inlineStr">
        <is>
          <t>AREQUIPA</t>
        </is>
      </c>
      <c r="D1866" t="inlineStr">
        <is>
          <t>SANTA RITA DE SIGUAS</t>
        </is>
      </c>
      <c r="E1866" t="n">
        <v>2957</v>
      </c>
      <c r="F1866" s="14" t="n">
        <v>0</v>
      </c>
      <c r="G1866" s="14" t="n">
        <v>56.27</v>
      </c>
      <c r="H1866" s="14" t="n">
        <v>0.78</v>
      </c>
      <c r="I1866" s="14" t="n">
        <v>4.43</v>
      </c>
      <c r="J1866" s="14" t="n">
        <v>0.03</v>
      </c>
      <c r="K1866" s="14" t="n">
        <v>0.03</v>
      </c>
      <c r="L1866" s="14" t="n">
        <v>5.21</v>
      </c>
      <c r="M1866" s="14" t="n">
        <v>11.3</v>
      </c>
      <c r="N1866" s="14" t="n">
        <v>5.65</v>
      </c>
      <c r="O1866" s="14" t="n">
        <v>3.31</v>
      </c>
      <c r="P1866" s="14" t="n">
        <v>0.34</v>
      </c>
      <c r="Q1866" s="14" t="n">
        <v>0.17</v>
      </c>
      <c r="R1866" s="14" t="n">
        <v>0.03</v>
      </c>
      <c r="S1866" s="14" t="n">
        <v>2.03</v>
      </c>
      <c r="T1866" s="14" t="n">
        <v>2.74</v>
      </c>
      <c r="U1866" s="14" t="n">
        <v>3.28</v>
      </c>
      <c r="V1866" s="14" t="n">
        <v>1.56</v>
      </c>
      <c r="W1866" s="14" t="n">
        <v>0.78</v>
      </c>
      <c r="X1866" s="14" t="n">
        <v>0.1</v>
      </c>
      <c r="Y1866" s="14" t="n">
        <v>1.66</v>
      </c>
      <c r="Z1866" s="14" t="n">
        <v>0.3</v>
      </c>
      <c r="AA1866" s="14" t="n">
        <v>0</v>
      </c>
    </row>
    <row r="1867">
      <c r="A1867" t="inlineStr">
        <is>
          <t>070101</t>
        </is>
      </c>
      <c r="B1867" t="inlineStr">
        <is>
          <t>CALLAO</t>
        </is>
      </c>
      <c r="C1867" t="inlineStr">
        <is>
          <t>CALLAO</t>
        </is>
      </c>
      <c r="D1867" t="inlineStr">
        <is>
          <t>CALLAO</t>
        </is>
      </c>
      <c r="E1867" t="n">
        <v>205675</v>
      </c>
      <c r="F1867" s="14" t="n">
        <v>0.39</v>
      </c>
      <c r="G1867" s="14" t="n">
        <v>1.29</v>
      </c>
      <c r="H1867" s="14" t="n">
        <v>0.44</v>
      </c>
      <c r="I1867" s="14" t="n">
        <v>10.35</v>
      </c>
      <c r="J1867" s="14" t="n">
        <v>0.13</v>
      </c>
      <c r="K1867" s="14" t="n">
        <v>0.44</v>
      </c>
      <c r="L1867" s="14" t="n">
        <v>6.27</v>
      </c>
      <c r="M1867" s="14" t="n">
        <v>21.77</v>
      </c>
      <c r="N1867" s="14" t="n">
        <v>13.56</v>
      </c>
      <c r="O1867" s="14" t="n">
        <v>6.17</v>
      </c>
      <c r="P1867" s="14" t="n">
        <v>1.66</v>
      </c>
      <c r="Q1867" s="14" t="n">
        <v>1.3</v>
      </c>
      <c r="R1867" s="14" t="n">
        <v>0.18</v>
      </c>
      <c r="S1867" s="14" t="n">
        <v>9.85</v>
      </c>
      <c r="T1867" s="14" t="n">
        <v>7.36</v>
      </c>
      <c r="U1867" s="14" t="n">
        <v>4.03</v>
      </c>
      <c r="V1867" s="14" t="n">
        <v>4.91</v>
      </c>
      <c r="W1867" s="14" t="n">
        <v>3.46</v>
      </c>
      <c r="X1867" s="14" t="n">
        <v>1.34</v>
      </c>
      <c r="Y1867" s="14" t="n">
        <v>4.3</v>
      </c>
      <c r="Z1867" s="14" t="n">
        <v>1.2</v>
      </c>
      <c r="AA1867" s="14" t="n">
        <v>0.01</v>
      </c>
    </row>
    <row r="1868">
      <c r="A1868" t="inlineStr">
        <is>
          <t>060414</t>
        </is>
      </c>
      <c r="B1868" t="inlineStr">
        <is>
          <t>CAJAMARCA</t>
        </is>
      </c>
      <c r="C1868" t="inlineStr">
        <is>
          <t>CHOTA</t>
        </is>
      </c>
      <c r="D1868" t="inlineStr">
        <is>
          <t>PION</t>
        </is>
      </c>
      <c r="E1868" t="n">
        <v>473</v>
      </c>
      <c r="F1868" s="14" t="n">
        <v>0</v>
      </c>
      <c r="G1868" s="14" t="n">
        <v>83.3</v>
      </c>
      <c r="H1868" s="14" t="n">
        <v>0</v>
      </c>
      <c r="I1868" s="14" t="n">
        <v>0.42</v>
      </c>
      <c r="J1868" s="14" t="n">
        <v>0</v>
      </c>
      <c r="K1868" s="14" t="n">
        <v>0</v>
      </c>
      <c r="L1868" s="14" t="n">
        <v>1.69</v>
      </c>
      <c r="M1868" s="14" t="n">
        <v>0.42</v>
      </c>
      <c r="N1868" s="14" t="n">
        <v>0</v>
      </c>
      <c r="O1868" s="14" t="n">
        <v>0.42</v>
      </c>
      <c r="P1868" s="14" t="n">
        <v>0</v>
      </c>
      <c r="Q1868" s="14" t="n">
        <v>0</v>
      </c>
      <c r="R1868" s="14" t="n">
        <v>0</v>
      </c>
      <c r="S1868" s="14" t="n">
        <v>0.21</v>
      </c>
      <c r="T1868" s="14" t="n">
        <v>0</v>
      </c>
      <c r="U1868" s="14" t="n">
        <v>2.54</v>
      </c>
      <c r="V1868" s="14" t="n">
        <v>5.29</v>
      </c>
      <c r="W1868" s="14" t="n">
        <v>1.9</v>
      </c>
      <c r="X1868" s="14" t="n">
        <v>0</v>
      </c>
      <c r="Y1868" s="14" t="n">
        <v>0</v>
      </c>
      <c r="Z1868" s="14" t="n">
        <v>3.81</v>
      </c>
      <c r="AA1868" s="14" t="n">
        <v>0</v>
      </c>
    </row>
    <row r="1869">
      <c r="A1869" t="inlineStr">
        <is>
          <t>080802</t>
        </is>
      </c>
      <c r="B1869" t="inlineStr">
        <is>
          <t>CUSCO</t>
        </is>
      </c>
      <c r="C1869" t="inlineStr">
        <is>
          <t>ESPINAR</t>
        </is>
      </c>
      <c r="D1869" t="inlineStr">
        <is>
          <t>CONDOROMA</t>
        </is>
      </c>
      <c r="E1869" t="n">
        <v>448</v>
      </c>
      <c r="F1869" s="14" t="n">
        <v>0</v>
      </c>
      <c r="G1869" s="14" t="n">
        <v>55.58</v>
      </c>
      <c r="H1869" s="14" t="n">
        <v>6.92</v>
      </c>
      <c r="I1869" s="14" t="n">
        <v>1.56</v>
      </c>
      <c r="J1869" s="14" t="n">
        <v>0</v>
      </c>
      <c r="K1869" s="14" t="n">
        <v>0</v>
      </c>
      <c r="L1869" s="14" t="n">
        <v>10.49</v>
      </c>
      <c r="M1869" s="14" t="n">
        <v>10.94</v>
      </c>
      <c r="N1869" s="14" t="n">
        <v>3.35</v>
      </c>
      <c r="O1869" s="14" t="n">
        <v>4.91</v>
      </c>
      <c r="P1869" s="14" t="n">
        <v>0</v>
      </c>
      <c r="Q1869" s="14" t="n">
        <v>0</v>
      </c>
      <c r="R1869" s="14" t="n">
        <v>0</v>
      </c>
      <c r="S1869" s="14" t="n">
        <v>0.67</v>
      </c>
      <c r="T1869" s="14" t="n">
        <v>0.89</v>
      </c>
      <c r="U1869" s="14" t="n">
        <v>2.23</v>
      </c>
      <c r="V1869" s="14" t="n">
        <v>1.79</v>
      </c>
      <c r="W1869" s="14" t="n">
        <v>0.22</v>
      </c>
      <c r="X1869" s="14" t="n">
        <v>0.22</v>
      </c>
      <c r="Y1869" s="14" t="n">
        <v>0.22</v>
      </c>
      <c r="Z1869" s="14" t="n">
        <v>0</v>
      </c>
      <c r="AA1869" s="14" t="n">
        <v>0</v>
      </c>
    </row>
    <row r="1870">
      <c r="A1870" t="inlineStr">
        <is>
          <t>080808</t>
        </is>
      </c>
      <c r="B1870" t="inlineStr">
        <is>
          <t>CUSCO</t>
        </is>
      </c>
      <c r="C1870" t="inlineStr">
        <is>
          <t>ESPINAR</t>
        </is>
      </c>
      <c r="D1870" t="inlineStr">
        <is>
          <t>ALTO PICHIGUA</t>
        </is>
      </c>
      <c r="E1870" t="n">
        <v>777</v>
      </c>
      <c r="F1870" s="14" t="n">
        <v>0</v>
      </c>
      <c r="G1870" s="14" t="n">
        <v>70.14</v>
      </c>
      <c r="H1870" s="14" t="n">
        <v>0.39</v>
      </c>
      <c r="I1870" s="14" t="n">
        <v>1.93</v>
      </c>
      <c r="J1870" s="14" t="n">
        <v>0</v>
      </c>
      <c r="K1870" s="14" t="n">
        <v>0</v>
      </c>
      <c r="L1870" s="14" t="n">
        <v>14.8</v>
      </c>
      <c r="M1870" s="14" t="n">
        <v>3.47</v>
      </c>
      <c r="N1870" s="14" t="n">
        <v>2.06</v>
      </c>
      <c r="O1870" s="14" t="n">
        <v>2.32</v>
      </c>
      <c r="P1870" s="14" t="n">
        <v>0.26</v>
      </c>
      <c r="Q1870" s="14" t="n">
        <v>0</v>
      </c>
      <c r="R1870" s="14" t="n">
        <v>0</v>
      </c>
      <c r="S1870" s="14" t="n">
        <v>0.51</v>
      </c>
      <c r="T1870" s="14" t="n">
        <v>0.26</v>
      </c>
      <c r="U1870" s="14" t="n">
        <v>0.39</v>
      </c>
      <c r="V1870" s="14" t="n">
        <v>2.32</v>
      </c>
      <c r="W1870" s="14" t="n">
        <v>0.51</v>
      </c>
      <c r="X1870" s="14" t="n">
        <v>0.13</v>
      </c>
      <c r="Y1870" s="14" t="n">
        <v>0.51</v>
      </c>
      <c r="Z1870" s="14" t="n">
        <v>0</v>
      </c>
      <c r="AA1870" s="14" t="n">
        <v>0</v>
      </c>
    </row>
    <row r="1871">
      <c r="A1871" t="inlineStr">
        <is>
          <t>040201</t>
        </is>
      </c>
      <c r="B1871" t="inlineStr">
        <is>
          <t>AREQUIPA</t>
        </is>
      </c>
      <c r="C1871" t="inlineStr">
        <is>
          <t>CAMANA</t>
        </is>
      </c>
      <c r="D1871" t="inlineStr">
        <is>
          <t>CAMANA</t>
        </is>
      </c>
      <c r="E1871" t="n">
        <v>6622</v>
      </c>
      <c r="F1871" s="14" t="n">
        <v>0</v>
      </c>
      <c r="G1871" s="14" t="n">
        <v>17.83</v>
      </c>
      <c r="H1871" s="14" t="n">
        <v>0.8</v>
      </c>
      <c r="I1871" s="14" t="n">
        <v>5.39</v>
      </c>
      <c r="J1871" s="14" t="n">
        <v>0.09</v>
      </c>
      <c r="K1871" s="14" t="n">
        <v>0.18</v>
      </c>
      <c r="L1871" s="14" t="n">
        <v>5.69</v>
      </c>
      <c r="M1871" s="14" t="n">
        <v>25.49</v>
      </c>
      <c r="N1871" s="14" t="n">
        <v>7.22</v>
      </c>
      <c r="O1871" s="14" t="n">
        <v>8.050000000000001</v>
      </c>
      <c r="P1871" s="14" t="n">
        <v>0.66</v>
      </c>
      <c r="Q1871" s="14" t="n">
        <v>1.66</v>
      </c>
      <c r="R1871" s="14" t="n">
        <v>0.12</v>
      </c>
      <c r="S1871" s="14" t="n">
        <v>4.55</v>
      </c>
      <c r="T1871" s="14" t="n">
        <v>2.3</v>
      </c>
      <c r="U1871" s="14" t="n">
        <v>4.7</v>
      </c>
      <c r="V1871" s="14" t="n">
        <v>7.48</v>
      </c>
      <c r="W1871" s="14" t="n">
        <v>3.17</v>
      </c>
      <c r="X1871" s="14" t="n">
        <v>1.28</v>
      </c>
      <c r="Y1871" s="14" t="n">
        <v>2.42</v>
      </c>
      <c r="Z1871" s="14" t="n">
        <v>0.92</v>
      </c>
      <c r="AA1871" s="14" t="n">
        <v>0</v>
      </c>
    </row>
    <row r="1872">
      <c r="A1872" t="inlineStr">
        <is>
          <t>021808</t>
        </is>
      </c>
      <c r="B1872" t="inlineStr">
        <is>
          <t>ANCASH</t>
        </is>
      </c>
      <c r="C1872" t="inlineStr">
        <is>
          <t>SANTA</t>
        </is>
      </c>
      <c r="D1872" t="inlineStr">
        <is>
          <t>SANTA</t>
        </is>
      </c>
      <c r="E1872" t="n">
        <v>8012</v>
      </c>
      <c r="F1872" s="14" t="n">
        <v>0.861</v>
      </c>
      <c r="G1872" s="14" t="n">
        <v>43.06</v>
      </c>
      <c r="H1872" s="14" t="n">
        <v>0.2</v>
      </c>
      <c r="I1872" s="14" t="n">
        <v>7.68</v>
      </c>
      <c r="J1872" s="14" t="n">
        <v>0.04</v>
      </c>
      <c r="K1872" s="14" t="n">
        <v>0.1</v>
      </c>
      <c r="L1872" s="14" t="n">
        <v>5.83</v>
      </c>
      <c r="M1872" s="14" t="n">
        <v>15.48</v>
      </c>
      <c r="N1872" s="14" t="n">
        <v>7.33</v>
      </c>
      <c r="O1872" s="14" t="n">
        <v>5.29</v>
      </c>
      <c r="P1872" s="14" t="n">
        <v>0.37</v>
      </c>
      <c r="Q1872" s="14" t="n">
        <v>0.21</v>
      </c>
      <c r="R1872" s="14" t="n">
        <v>0.09</v>
      </c>
      <c r="S1872" s="14" t="n">
        <v>2.37</v>
      </c>
      <c r="T1872" s="14" t="n">
        <v>1.87</v>
      </c>
      <c r="U1872" s="14" t="n">
        <v>2.23</v>
      </c>
      <c r="V1872" s="14" t="n">
        <v>3.47</v>
      </c>
      <c r="W1872" s="14" t="n">
        <v>1.35</v>
      </c>
      <c r="X1872" s="14" t="n">
        <v>0.5600000000000001</v>
      </c>
      <c r="Y1872" s="14" t="n">
        <v>1.37</v>
      </c>
      <c r="Z1872" s="14" t="n">
        <v>1.1</v>
      </c>
      <c r="AA1872" s="14" t="n">
        <v>0</v>
      </c>
    </row>
    <row r="1873">
      <c r="A1873" t="inlineStr">
        <is>
          <t>040311</t>
        </is>
      </c>
      <c r="B1873" t="inlineStr">
        <is>
          <t>AREQUIPA</t>
        </is>
      </c>
      <c r="C1873" t="inlineStr">
        <is>
          <t>CARAVELI</t>
        </is>
      </c>
      <c r="D1873" t="inlineStr">
        <is>
          <t>LOMAS</t>
        </is>
      </c>
      <c r="E1873" t="n">
        <v>572</v>
      </c>
      <c r="F1873" s="14" t="n">
        <v>0</v>
      </c>
      <c r="G1873" s="14" t="n">
        <v>37.76</v>
      </c>
      <c r="H1873" s="14" t="n">
        <v>0.35</v>
      </c>
      <c r="I1873" s="14" t="n">
        <v>3.32</v>
      </c>
      <c r="J1873" s="14" t="n">
        <v>0</v>
      </c>
      <c r="K1873" s="14" t="n">
        <v>0</v>
      </c>
      <c r="L1873" s="14" t="n">
        <v>10.49</v>
      </c>
      <c r="M1873" s="14" t="n">
        <v>14.86</v>
      </c>
      <c r="N1873" s="14" t="n">
        <v>6.64</v>
      </c>
      <c r="O1873" s="14" t="n">
        <v>11.01</v>
      </c>
      <c r="P1873" s="14" t="n">
        <v>0.17</v>
      </c>
      <c r="Q1873" s="14" t="n">
        <v>0.17</v>
      </c>
      <c r="R1873" s="14" t="n">
        <v>0</v>
      </c>
      <c r="S1873" s="14" t="n">
        <v>0.7</v>
      </c>
      <c r="T1873" s="14" t="n">
        <v>1.92</v>
      </c>
      <c r="U1873" s="14" t="n">
        <v>7.34</v>
      </c>
      <c r="V1873" s="14" t="n">
        <v>2.97</v>
      </c>
      <c r="W1873" s="14" t="n">
        <v>0.87</v>
      </c>
      <c r="X1873" s="14" t="n">
        <v>0</v>
      </c>
      <c r="Y1873" s="14" t="n">
        <v>1.4</v>
      </c>
      <c r="Z1873" s="14" t="n">
        <v>0</v>
      </c>
      <c r="AA1873" s="14" t="n">
        <v>0</v>
      </c>
    </row>
    <row r="1874">
      <c r="A1874" t="inlineStr">
        <is>
          <t>081307</t>
        </is>
      </c>
      <c r="B1874" t="inlineStr">
        <is>
          <t>CUSCO</t>
        </is>
      </c>
      <c r="C1874" t="inlineStr">
        <is>
          <t>URUBAMBA</t>
        </is>
      </c>
      <c r="D1874" t="inlineStr">
        <is>
          <t>YUCAY</t>
        </is>
      </c>
      <c r="E1874" t="n">
        <v>1451</v>
      </c>
      <c r="F1874" s="14" t="n">
        <v>0</v>
      </c>
      <c r="G1874" s="14" t="n">
        <v>21.3</v>
      </c>
      <c r="H1874" s="14" t="n">
        <v>0.28</v>
      </c>
      <c r="I1874" s="14" t="n">
        <v>3.51</v>
      </c>
      <c r="J1874" s="14" t="n">
        <v>0.14</v>
      </c>
      <c r="K1874" s="14" t="n">
        <v>0.21</v>
      </c>
      <c r="L1874" s="14" t="n">
        <v>7.65</v>
      </c>
      <c r="M1874" s="14" t="n">
        <v>13.92</v>
      </c>
      <c r="N1874" s="14" t="n">
        <v>4.48</v>
      </c>
      <c r="O1874" s="14" t="n">
        <v>16.2</v>
      </c>
      <c r="P1874" s="14" t="n">
        <v>0.62</v>
      </c>
      <c r="Q1874" s="14" t="n">
        <v>0.83</v>
      </c>
      <c r="R1874" s="14" t="n">
        <v>0.07000000000000001</v>
      </c>
      <c r="S1874" s="14" t="n">
        <v>3.79</v>
      </c>
      <c r="T1874" s="14" t="n">
        <v>4.69</v>
      </c>
      <c r="U1874" s="14" t="n">
        <v>4.55</v>
      </c>
      <c r="V1874" s="14" t="n">
        <v>12.34</v>
      </c>
      <c r="W1874" s="14" t="n">
        <v>1.65</v>
      </c>
      <c r="X1874" s="14" t="n">
        <v>0.76</v>
      </c>
      <c r="Y1874" s="14" t="n">
        <v>1.52</v>
      </c>
      <c r="Z1874" s="14" t="n">
        <v>1.52</v>
      </c>
      <c r="AA1874" s="14" t="n">
        <v>0</v>
      </c>
    </row>
    <row r="1875">
      <c r="A1875" t="inlineStr">
        <is>
          <t>090710</t>
        </is>
      </c>
      <c r="B1875" t="inlineStr">
        <is>
          <t>HUANCAVELICA</t>
        </is>
      </c>
      <c r="C1875" t="inlineStr">
        <is>
          <t>TAYACAJA</t>
        </is>
      </c>
      <c r="D1875" t="inlineStr">
        <is>
          <t>ÑAHUIMPUQUIO</t>
        </is>
      </c>
      <c r="E1875" t="n">
        <v>531</v>
      </c>
      <c r="F1875" s="14" t="n">
        <v>0</v>
      </c>
      <c r="G1875" s="14" t="n">
        <v>83.23999999999999</v>
      </c>
      <c r="H1875" s="14" t="n">
        <v>0.38</v>
      </c>
      <c r="I1875" s="14" t="n">
        <v>1.13</v>
      </c>
      <c r="J1875" s="14" t="n">
        <v>0</v>
      </c>
      <c r="K1875" s="14" t="n">
        <v>0</v>
      </c>
      <c r="L1875" s="14" t="n">
        <v>0.9399999999999999</v>
      </c>
      <c r="M1875" s="14" t="n">
        <v>4.71</v>
      </c>
      <c r="N1875" s="14" t="n">
        <v>1.69</v>
      </c>
      <c r="O1875" s="14" t="n">
        <v>0.9399999999999999</v>
      </c>
      <c r="P1875" s="14" t="n">
        <v>0</v>
      </c>
      <c r="Q1875" s="14" t="n">
        <v>0</v>
      </c>
      <c r="R1875" s="14" t="n">
        <v>0</v>
      </c>
      <c r="S1875" s="14" t="n">
        <v>0.38</v>
      </c>
      <c r="T1875" s="14" t="n">
        <v>1.69</v>
      </c>
      <c r="U1875" s="14" t="n">
        <v>2.82</v>
      </c>
      <c r="V1875" s="14" t="n">
        <v>1.13</v>
      </c>
      <c r="W1875" s="14" t="n">
        <v>0.19</v>
      </c>
      <c r="X1875" s="14" t="n">
        <v>0.19</v>
      </c>
      <c r="Y1875" s="14" t="n">
        <v>0.5600000000000001</v>
      </c>
      <c r="Z1875" s="14" t="n">
        <v>0</v>
      </c>
      <c r="AA1875" s="14" t="n">
        <v>0</v>
      </c>
    </row>
    <row r="1876">
      <c r="A1876" t="inlineStr">
        <is>
          <t>010303</t>
        </is>
      </c>
      <c r="B1876" t="inlineStr">
        <is>
          <t>AMAZONAS</t>
        </is>
      </c>
      <c r="C1876" t="inlineStr">
        <is>
          <t>BONGARA</t>
        </is>
      </c>
      <c r="D1876" t="inlineStr">
        <is>
          <t>CHURUJA</t>
        </is>
      </c>
      <c r="E1876" t="n">
        <v>119</v>
      </c>
      <c r="F1876" s="14" t="n">
        <v>0</v>
      </c>
      <c r="G1876" s="14" t="n">
        <v>40.34</v>
      </c>
      <c r="H1876" s="14" t="n">
        <v>0</v>
      </c>
      <c r="I1876" s="14" t="n">
        <v>1.68</v>
      </c>
      <c r="J1876" s="14" t="n">
        <v>0</v>
      </c>
      <c r="K1876" s="14" t="n">
        <v>0</v>
      </c>
      <c r="L1876" s="14" t="n">
        <v>3.36</v>
      </c>
      <c r="M1876" s="14" t="n">
        <v>10.08</v>
      </c>
      <c r="N1876" s="14" t="n">
        <v>9.24</v>
      </c>
      <c r="O1876" s="14" t="n">
        <v>3.36</v>
      </c>
      <c r="P1876" s="14" t="n">
        <v>0</v>
      </c>
      <c r="Q1876" s="14" t="n">
        <v>0</v>
      </c>
      <c r="R1876" s="14" t="n">
        <v>0</v>
      </c>
      <c r="S1876" s="14" t="n">
        <v>4.2</v>
      </c>
      <c r="T1876" s="14" t="n">
        <v>1.68</v>
      </c>
      <c r="U1876" s="14" t="n">
        <v>14.29</v>
      </c>
      <c r="V1876" s="14" t="n">
        <v>5.04</v>
      </c>
      <c r="W1876" s="14" t="n">
        <v>5.04</v>
      </c>
      <c r="X1876" s="14" t="n">
        <v>0.84</v>
      </c>
      <c r="Y1876" s="14" t="n">
        <v>0.84</v>
      </c>
      <c r="Z1876" s="14" t="n">
        <v>0</v>
      </c>
      <c r="AA1876" s="14" t="n">
        <v>0</v>
      </c>
    </row>
    <row r="1877">
      <c r="A1877" t="inlineStr">
        <is>
          <t>040701</t>
        </is>
      </c>
      <c r="B1877" t="inlineStr">
        <is>
          <t>AREQUIPA</t>
        </is>
      </c>
      <c r="C1877" t="inlineStr">
        <is>
          <t>ISLAY</t>
        </is>
      </c>
      <c r="D1877" t="inlineStr">
        <is>
          <t>MOLLENDO</t>
        </is>
      </c>
      <c r="E1877" t="n">
        <v>11101</v>
      </c>
      <c r="F1877" s="14" t="n">
        <v>0.928</v>
      </c>
      <c r="G1877" s="14" t="n">
        <v>7.56</v>
      </c>
      <c r="H1877" s="14" t="n">
        <v>0.9</v>
      </c>
      <c r="I1877" s="14" t="n">
        <v>7.04</v>
      </c>
      <c r="J1877" s="14" t="n">
        <v>0.14</v>
      </c>
      <c r="K1877" s="14" t="n">
        <v>0.43</v>
      </c>
      <c r="L1877" s="14" t="n">
        <v>9.83</v>
      </c>
      <c r="M1877" s="14" t="n">
        <v>21.56</v>
      </c>
      <c r="N1877" s="14" t="n">
        <v>13.76</v>
      </c>
      <c r="O1877" s="14" t="n">
        <v>8.51</v>
      </c>
      <c r="P1877" s="14" t="n">
        <v>0.79</v>
      </c>
      <c r="Q1877" s="14" t="n">
        <v>1.27</v>
      </c>
      <c r="R1877" s="14" t="n">
        <v>0.1</v>
      </c>
      <c r="S1877" s="14" t="n">
        <v>4.72</v>
      </c>
      <c r="T1877" s="14" t="n">
        <v>4.93</v>
      </c>
      <c r="U1877" s="14" t="n">
        <v>4.4</v>
      </c>
      <c r="V1877" s="14" t="n">
        <v>6.29</v>
      </c>
      <c r="W1877" s="14" t="n">
        <v>2.8</v>
      </c>
      <c r="X1877" s="14" t="n">
        <v>1.07</v>
      </c>
      <c r="Y1877" s="14" t="n">
        <v>2.91</v>
      </c>
      <c r="Z1877" s="14" t="n">
        <v>1.01</v>
      </c>
      <c r="AA1877" s="14" t="n">
        <v>0</v>
      </c>
    </row>
    <row r="1878">
      <c r="A1878" t="inlineStr">
        <is>
          <t>020510</t>
        </is>
      </c>
      <c r="B1878" t="inlineStr">
        <is>
          <t>ANCASH</t>
        </is>
      </c>
      <c r="C1878" t="inlineStr">
        <is>
          <t>BOLOGNESI</t>
        </is>
      </c>
      <c r="D1878" t="inlineStr">
        <is>
          <t>HUAYLLACAYAN</t>
        </is>
      </c>
      <c r="E1878" t="n">
        <v>574</v>
      </c>
      <c r="F1878" s="14" t="n">
        <v>0</v>
      </c>
      <c r="G1878" s="14" t="n">
        <v>76.31</v>
      </c>
      <c r="H1878" s="14" t="n">
        <v>1.39</v>
      </c>
      <c r="I1878" s="14" t="n">
        <v>1.39</v>
      </c>
      <c r="J1878" s="14" t="n">
        <v>0.17</v>
      </c>
      <c r="K1878" s="14" t="n">
        <v>0</v>
      </c>
      <c r="L1878" s="14" t="n">
        <v>2.79</v>
      </c>
      <c r="M1878" s="14" t="n">
        <v>7.67</v>
      </c>
      <c r="N1878" s="14" t="n">
        <v>1.57</v>
      </c>
      <c r="O1878" s="14" t="n">
        <v>1.57</v>
      </c>
      <c r="P1878" s="14" t="n">
        <v>0</v>
      </c>
      <c r="Q1878" s="14" t="n">
        <v>0.17</v>
      </c>
      <c r="R1878" s="14" t="n">
        <v>0</v>
      </c>
      <c r="S1878" s="14" t="n">
        <v>0.7</v>
      </c>
      <c r="T1878" s="14" t="n">
        <v>0</v>
      </c>
      <c r="U1878" s="14" t="n">
        <v>1.05</v>
      </c>
      <c r="V1878" s="14" t="n">
        <v>2.96</v>
      </c>
      <c r="W1878" s="14" t="n">
        <v>1.05</v>
      </c>
      <c r="X1878" s="14" t="n">
        <v>0.87</v>
      </c>
      <c r="Y1878" s="14" t="n">
        <v>0</v>
      </c>
      <c r="Z1878" s="14" t="n">
        <v>0.35</v>
      </c>
      <c r="AA1878" s="14" t="n">
        <v>0</v>
      </c>
    </row>
    <row r="1879">
      <c r="A1879" t="inlineStr">
        <is>
          <t>061309</t>
        </is>
      </c>
      <c r="B1879" t="inlineStr">
        <is>
          <t>CAJAMARCA</t>
        </is>
      </c>
      <c r="C1879" t="inlineStr">
        <is>
          <t>SANTA CRUZ</t>
        </is>
      </c>
      <c r="D1879" t="inlineStr">
        <is>
          <t>SEXI</t>
        </is>
      </c>
      <c r="E1879" t="n">
        <v>173</v>
      </c>
      <c r="F1879" s="14" t="n">
        <v>0</v>
      </c>
      <c r="G1879" s="14" t="n">
        <v>19.08</v>
      </c>
      <c r="H1879" s="14" t="n">
        <v>56.65</v>
      </c>
      <c r="I1879" s="14" t="n">
        <v>1.73</v>
      </c>
      <c r="J1879" s="14" t="n">
        <v>0</v>
      </c>
      <c r="K1879" s="14" t="n">
        <v>1.16</v>
      </c>
      <c r="L1879" s="14" t="n">
        <v>4.05</v>
      </c>
      <c r="M1879" s="14" t="n">
        <v>2.31</v>
      </c>
      <c r="N1879" s="14" t="n">
        <v>1.73</v>
      </c>
      <c r="O1879" s="14" t="n">
        <v>0.58</v>
      </c>
      <c r="P1879" s="14" t="n">
        <v>0</v>
      </c>
      <c r="Q1879" s="14" t="n">
        <v>0</v>
      </c>
      <c r="R1879" s="14" t="n">
        <v>0</v>
      </c>
      <c r="S1879" s="14" t="n">
        <v>0</v>
      </c>
      <c r="T1879" s="14" t="n">
        <v>3.47</v>
      </c>
      <c r="U1879" s="14" t="n">
        <v>4.62</v>
      </c>
      <c r="V1879" s="14" t="n">
        <v>2.31</v>
      </c>
      <c r="W1879" s="14" t="n">
        <v>0.58</v>
      </c>
      <c r="X1879" s="14" t="n">
        <v>0</v>
      </c>
      <c r="Y1879" s="14" t="n">
        <v>1.73</v>
      </c>
      <c r="Z1879" s="14" t="n">
        <v>0</v>
      </c>
      <c r="AA1879" s="14" t="n">
        <v>0</v>
      </c>
    </row>
    <row r="1880">
      <c r="A1880" t="inlineStr">
        <is>
          <t>070102</t>
        </is>
      </c>
      <c r="B1880" t="inlineStr">
        <is>
          <t>CALLAO</t>
        </is>
      </c>
      <c r="C1880" t="inlineStr">
        <is>
          <t>CALLAO</t>
        </is>
      </c>
      <c r="D1880" t="inlineStr">
        <is>
          <t>BELLAVISTA</t>
        </is>
      </c>
      <c r="E1880" t="n">
        <v>35316</v>
      </c>
      <c r="F1880" s="14" t="n">
        <v>0.518</v>
      </c>
      <c r="G1880" s="14" t="n">
        <v>1.16</v>
      </c>
      <c r="H1880" s="14" t="n">
        <v>0.41</v>
      </c>
      <c r="I1880" s="14" t="n">
        <v>7.39</v>
      </c>
      <c r="J1880" s="14" t="n">
        <v>0.12</v>
      </c>
      <c r="K1880" s="14" t="n">
        <v>0.18</v>
      </c>
      <c r="L1880" s="14" t="n">
        <v>4.25</v>
      </c>
      <c r="M1880" s="14" t="n">
        <v>19.14</v>
      </c>
      <c r="N1880" s="14" t="n">
        <v>10.88</v>
      </c>
      <c r="O1880" s="14" t="n">
        <v>5.79</v>
      </c>
      <c r="P1880" s="14" t="n">
        <v>2.53</v>
      </c>
      <c r="Q1880" s="14" t="n">
        <v>2.07</v>
      </c>
      <c r="R1880" s="14" t="n">
        <v>0.46</v>
      </c>
      <c r="S1880" s="14" t="n">
        <v>14.47</v>
      </c>
      <c r="T1880" s="14" t="n">
        <v>6.92</v>
      </c>
      <c r="U1880" s="14" t="n">
        <v>4.81</v>
      </c>
      <c r="V1880" s="14" t="n">
        <v>6.57</v>
      </c>
      <c r="W1880" s="14" t="n">
        <v>5.3</v>
      </c>
      <c r="X1880" s="14" t="n">
        <v>1.96</v>
      </c>
      <c r="Y1880" s="14" t="n">
        <v>4.38</v>
      </c>
      <c r="Z1880" s="14" t="n">
        <v>1.2</v>
      </c>
      <c r="AA1880" s="14" t="n">
        <v>0.01</v>
      </c>
    </row>
    <row r="1881">
      <c r="A1881" t="inlineStr">
        <is>
          <t>020803</t>
        </is>
      </c>
      <c r="B1881" t="inlineStr">
        <is>
          <t>ANCASH</t>
        </is>
      </c>
      <c r="C1881" t="inlineStr">
        <is>
          <t>CASMA</t>
        </is>
      </c>
      <c r="D1881" t="inlineStr">
        <is>
          <t>COMANDANTE NOEL</t>
        </is>
      </c>
      <c r="E1881" t="n">
        <v>796</v>
      </c>
      <c r="F1881" s="14" t="n">
        <v>34.422</v>
      </c>
      <c r="G1881" s="14" t="n">
        <v>62.56</v>
      </c>
      <c r="H1881" s="14" t="n">
        <v>0</v>
      </c>
      <c r="I1881" s="14" t="n">
        <v>5.15</v>
      </c>
      <c r="J1881" s="14" t="n">
        <v>0</v>
      </c>
      <c r="K1881" s="14" t="n">
        <v>0</v>
      </c>
      <c r="L1881" s="14" t="n">
        <v>3.52</v>
      </c>
      <c r="M1881" s="14" t="n">
        <v>7.41</v>
      </c>
      <c r="N1881" s="14" t="n">
        <v>6.16</v>
      </c>
      <c r="O1881" s="14" t="n">
        <v>6.53</v>
      </c>
      <c r="P1881" s="14" t="n">
        <v>0.25</v>
      </c>
      <c r="Q1881" s="14" t="n">
        <v>0</v>
      </c>
      <c r="R1881" s="14" t="n">
        <v>0</v>
      </c>
      <c r="S1881" s="14" t="n">
        <v>0.88</v>
      </c>
      <c r="T1881" s="14" t="n">
        <v>2.14</v>
      </c>
      <c r="U1881" s="14" t="n">
        <v>3.14</v>
      </c>
      <c r="V1881" s="14" t="n">
        <v>0.63</v>
      </c>
      <c r="W1881" s="14" t="n">
        <v>0.38</v>
      </c>
      <c r="X1881" s="14" t="n">
        <v>0.13</v>
      </c>
      <c r="Y1881" s="14" t="n">
        <v>1.13</v>
      </c>
      <c r="Z1881" s="14" t="n">
        <v>0</v>
      </c>
      <c r="AA1881" s="14" t="n">
        <v>0</v>
      </c>
    </row>
    <row r="1882">
      <c r="A1882" t="inlineStr">
        <is>
          <t>030705</t>
        </is>
      </c>
      <c r="B1882" t="inlineStr">
        <is>
          <t>APURIMAC</t>
        </is>
      </c>
      <c r="C1882" t="inlineStr">
        <is>
          <t>GRAU</t>
        </is>
      </c>
      <c r="D1882" t="inlineStr">
        <is>
          <t>MAMARA</t>
        </is>
      </c>
      <c r="E1882" t="n">
        <v>182</v>
      </c>
      <c r="F1882" s="14" t="n">
        <v>0</v>
      </c>
      <c r="G1882" s="14" t="n">
        <v>30.22</v>
      </c>
      <c r="H1882" s="14" t="n">
        <v>0</v>
      </c>
      <c r="I1882" s="14" t="n">
        <v>6.04</v>
      </c>
      <c r="J1882" s="14" t="n">
        <v>0</v>
      </c>
      <c r="K1882" s="14" t="n">
        <v>0</v>
      </c>
      <c r="L1882" s="14" t="n">
        <v>19.78</v>
      </c>
      <c r="M1882" s="14" t="n">
        <v>12.64</v>
      </c>
      <c r="N1882" s="14" t="n">
        <v>1.65</v>
      </c>
      <c r="O1882" s="14" t="n">
        <v>0</v>
      </c>
      <c r="P1882" s="14" t="n">
        <v>0.55</v>
      </c>
      <c r="Q1882" s="14" t="n">
        <v>0</v>
      </c>
      <c r="R1882" s="14" t="n">
        <v>0</v>
      </c>
      <c r="S1882" s="14" t="n">
        <v>3.85</v>
      </c>
      <c r="T1882" s="14" t="n">
        <v>0.55</v>
      </c>
      <c r="U1882" s="14" t="n">
        <v>6.59</v>
      </c>
      <c r="V1882" s="14" t="n">
        <v>15.38</v>
      </c>
      <c r="W1882" s="14" t="n">
        <v>2.2</v>
      </c>
      <c r="X1882" s="14" t="n">
        <v>0</v>
      </c>
      <c r="Y1882" s="14" t="n">
        <v>0.55</v>
      </c>
      <c r="Z1882" s="14" t="n">
        <v>0</v>
      </c>
      <c r="AA1882" s="14" t="n">
        <v>0</v>
      </c>
    </row>
    <row r="1883">
      <c r="A1883" t="inlineStr">
        <is>
          <t>070105</t>
        </is>
      </c>
      <c r="B1883" t="inlineStr">
        <is>
          <t>CALLAO</t>
        </is>
      </c>
      <c r="C1883" t="inlineStr">
        <is>
          <t>CALLAO</t>
        </is>
      </c>
      <c r="D1883" t="inlineStr">
        <is>
          <t>LA PUNTA</t>
        </is>
      </c>
      <c r="E1883" t="n">
        <v>1785</v>
      </c>
      <c r="F1883" s="14" t="n">
        <v>0</v>
      </c>
      <c r="G1883" s="14" t="n">
        <v>1.12</v>
      </c>
      <c r="H1883" s="14" t="n">
        <v>0.67</v>
      </c>
      <c r="I1883" s="14" t="n">
        <v>4.93</v>
      </c>
      <c r="J1883" s="14" t="n">
        <v>0.17</v>
      </c>
      <c r="K1883" s="14" t="n">
        <v>0.39</v>
      </c>
      <c r="L1883" s="14" t="n">
        <v>1.74</v>
      </c>
      <c r="M1883" s="14" t="n">
        <v>13.56</v>
      </c>
      <c r="N1883" s="14" t="n">
        <v>10.2</v>
      </c>
      <c r="O1883" s="14" t="n">
        <v>7.45</v>
      </c>
      <c r="P1883" s="14" t="n">
        <v>2.07</v>
      </c>
      <c r="Q1883" s="14" t="n">
        <v>2.86</v>
      </c>
      <c r="R1883" s="14" t="n">
        <v>1.79</v>
      </c>
      <c r="S1883" s="14" t="n">
        <v>18.26</v>
      </c>
      <c r="T1883" s="14" t="n">
        <v>4.43</v>
      </c>
      <c r="U1883" s="14" t="n">
        <v>11.48</v>
      </c>
      <c r="V1883" s="14" t="n">
        <v>7.11</v>
      </c>
      <c r="W1883" s="14" t="n">
        <v>4.82</v>
      </c>
      <c r="X1883" s="14" t="n">
        <v>1.85</v>
      </c>
      <c r="Y1883" s="14" t="n">
        <v>2.75</v>
      </c>
      <c r="Z1883" s="14" t="n">
        <v>2.35</v>
      </c>
      <c r="AA1883" s="14" t="n">
        <v>0</v>
      </c>
    </row>
    <row r="1884">
      <c r="A1884" t="inlineStr">
        <is>
          <t>070103</t>
        </is>
      </c>
      <c r="B1884" t="inlineStr">
        <is>
          <t>CALLAO</t>
        </is>
      </c>
      <c r="C1884" t="inlineStr">
        <is>
          <t>CALLAO</t>
        </is>
      </c>
      <c r="D1884" t="inlineStr">
        <is>
          <t>CARMEN DE LA LEGUA REYNOSO</t>
        </is>
      </c>
      <c r="E1884" t="n">
        <v>19704</v>
      </c>
      <c r="F1884" s="14" t="n">
        <v>0</v>
      </c>
      <c r="G1884" s="14" t="n">
        <v>0.83</v>
      </c>
      <c r="H1884" s="14" t="n">
        <v>0.36</v>
      </c>
      <c r="I1884" s="14" t="n">
        <v>13.27</v>
      </c>
      <c r="J1884" s="14" t="n">
        <v>0.09</v>
      </c>
      <c r="K1884" s="14" t="n">
        <v>0.33</v>
      </c>
      <c r="L1884" s="14" t="n">
        <v>6.45</v>
      </c>
      <c r="M1884" s="14" t="n">
        <v>21.41</v>
      </c>
      <c r="N1884" s="14" t="n">
        <v>12.04</v>
      </c>
      <c r="O1884" s="14" t="n">
        <v>6.41</v>
      </c>
      <c r="P1884" s="14" t="n">
        <v>1.76</v>
      </c>
      <c r="Q1884" s="14" t="n">
        <v>1.14</v>
      </c>
      <c r="R1884" s="14" t="n">
        <v>0.16</v>
      </c>
      <c r="S1884" s="14" t="n">
        <v>9.42</v>
      </c>
      <c r="T1884" s="14" t="n">
        <v>7.05</v>
      </c>
      <c r="U1884" s="14" t="n">
        <v>3.55</v>
      </c>
      <c r="V1884" s="14" t="n">
        <v>5.37</v>
      </c>
      <c r="W1884" s="14" t="n">
        <v>3.7</v>
      </c>
      <c r="X1884" s="14" t="n">
        <v>1.29</v>
      </c>
      <c r="Y1884" s="14" t="n">
        <v>3.96</v>
      </c>
      <c r="Z1884" s="14" t="n">
        <v>1.41</v>
      </c>
      <c r="AA1884" s="14" t="n">
        <v>0.01</v>
      </c>
    </row>
    <row r="1885">
      <c r="A1885" t="inlineStr">
        <is>
          <t>070104</t>
        </is>
      </c>
      <c r="B1885" t="inlineStr">
        <is>
          <t>CALLAO</t>
        </is>
      </c>
      <c r="C1885" t="inlineStr">
        <is>
          <t>CALLAO</t>
        </is>
      </c>
      <c r="D1885" t="inlineStr">
        <is>
          <t>LA PERLA</t>
        </is>
      </c>
      <c r="E1885" t="n">
        <v>29172</v>
      </c>
      <c r="F1885" s="14" t="n">
        <v>0.089</v>
      </c>
      <c r="G1885" s="14" t="n">
        <v>0.63</v>
      </c>
      <c r="H1885" s="14" t="n">
        <v>0.42</v>
      </c>
      <c r="I1885" s="14" t="n">
        <v>6.7</v>
      </c>
      <c r="J1885" s="14" t="n">
        <v>0.17</v>
      </c>
      <c r="K1885" s="14" t="n">
        <v>0.15</v>
      </c>
      <c r="L1885" s="14" t="n">
        <v>4.07</v>
      </c>
      <c r="M1885" s="14" t="n">
        <v>19.69</v>
      </c>
      <c r="N1885" s="14" t="n">
        <v>11.18</v>
      </c>
      <c r="O1885" s="14" t="n">
        <v>5.56</v>
      </c>
      <c r="P1885" s="14" t="n">
        <v>2.59</v>
      </c>
      <c r="Q1885" s="14" t="n">
        <v>2.49</v>
      </c>
      <c r="R1885" s="14" t="n">
        <v>0.42</v>
      </c>
      <c r="S1885" s="14" t="n">
        <v>13.8</v>
      </c>
      <c r="T1885" s="14" t="n">
        <v>7.16</v>
      </c>
      <c r="U1885" s="14" t="n">
        <v>4.7</v>
      </c>
      <c r="V1885" s="14" t="n">
        <v>7.14</v>
      </c>
      <c r="W1885" s="14" t="n">
        <v>5.45</v>
      </c>
      <c r="X1885" s="14" t="n">
        <v>2.06</v>
      </c>
      <c r="Y1885" s="14" t="n">
        <v>4.32</v>
      </c>
      <c r="Z1885" s="14" t="n">
        <v>1.29</v>
      </c>
      <c r="AA1885" s="14" t="n">
        <v>0.03</v>
      </c>
    </row>
    <row r="1886">
      <c r="A1886" t="inlineStr">
        <is>
          <t>021807</t>
        </is>
      </c>
      <c r="B1886" t="inlineStr">
        <is>
          <t>ANCASH</t>
        </is>
      </c>
      <c r="C1886" t="inlineStr">
        <is>
          <t>SANTA</t>
        </is>
      </c>
      <c r="D1886" t="inlineStr">
        <is>
          <t>SAMANCO</t>
        </is>
      </c>
      <c r="E1886" t="n">
        <v>1846</v>
      </c>
      <c r="F1886" s="14" t="n">
        <v>31.473</v>
      </c>
      <c r="G1886" s="14" t="n">
        <v>54.66</v>
      </c>
      <c r="H1886" s="14" t="n">
        <v>0.76</v>
      </c>
      <c r="I1886" s="14" t="n">
        <v>4.17</v>
      </c>
      <c r="J1886" s="14" t="n">
        <v>0</v>
      </c>
      <c r="K1886" s="14" t="n">
        <v>0.05</v>
      </c>
      <c r="L1886" s="14" t="n">
        <v>4.82</v>
      </c>
      <c r="M1886" s="14" t="n">
        <v>9.859999999999999</v>
      </c>
      <c r="N1886" s="14" t="n">
        <v>7.75</v>
      </c>
      <c r="O1886" s="14" t="n">
        <v>4.55</v>
      </c>
      <c r="P1886" s="14" t="n">
        <v>0.11</v>
      </c>
      <c r="Q1886" s="14" t="n">
        <v>0.05</v>
      </c>
      <c r="R1886" s="14" t="n">
        <v>0.05</v>
      </c>
      <c r="S1886" s="14" t="n">
        <v>1.41</v>
      </c>
      <c r="T1886" s="14" t="n">
        <v>1.84</v>
      </c>
      <c r="U1886" s="14" t="n">
        <v>5.85</v>
      </c>
      <c r="V1886" s="14" t="n">
        <v>2.11</v>
      </c>
      <c r="W1886" s="14" t="n">
        <v>0.49</v>
      </c>
      <c r="X1886" s="14" t="n">
        <v>0.16</v>
      </c>
      <c r="Y1886" s="14" t="n">
        <v>0.87</v>
      </c>
      <c r="Z1886" s="14" t="n">
        <v>0.43</v>
      </c>
      <c r="AA1886" s="14" t="n">
        <v>0</v>
      </c>
    </row>
    <row r="1887">
      <c r="A1887" t="inlineStr">
        <is>
          <t>040705</t>
        </is>
      </c>
      <c r="B1887" t="inlineStr">
        <is>
          <t>AREQUIPA</t>
        </is>
      </c>
      <c r="C1887" t="inlineStr">
        <is>
          <t>ISLAY</t>
        </is>
      </c>
      <c r="D1887" t="inlineStr">
        <is>
          <t>MEJIA</t>
        </is>
      </c>
      <c r="E1887" t="n">
        <v>655</v>
      </c>
      <c r="F1887" s="14" t="n">
        <v>0</v>
      </c>
      <c r="G1887" s="14" t="n">
        <v>30.99</v>
      </c>
      <c r="H1887" s="14" t="n">
        <v>0.31</v>
      </c>
      <c r="I1887" s="14" t="n">
        <v>3.82</v>
      </c>
      <c r="J1887" s="14" t="n">
        <v>0</v>
      </c>
      <c r="K1887" s="14" t="n">
        <v>0.31</v>
      </c>
      <c r="L1887" s="14" t="n">
        <v>19.08</v>
      </c>
      <c r="M1887" s="14" t="n">
        <v>7.79</v>
      </c>
      <c r="N1887" s="14" t="n">
        <v>3.51</v>
      </c>
      <c r="O1887" s="14" t="n">
        <v>6.56</v>
      </c>
      <c r="P1887" s="14" t="n">
        <v>0.92</v>
      </c>
      <c r="Q1887" s="14" t="n">
        <v>0.31</v>
      </c>
      <c r="R1887" s="14" t="n">
        <v>0.15</v>
      </c>
      <c r="S1887" s="14" t="n">
        <v>3.82</v>
      </c>
      <c r="T1887" s="14" t="n">
        <v>5.34</v>
      </c>
      <c r="U1887" s="14" t="n">
        <v>10.84</v>
      </c>
      <c r="V1887" s="14" t="n">
        <v>2.14</v>
      </c>
      <c r="W1887" s="14" t="n">
        <v>0.76</v>
      </c>
      <c r="X1887" s="14" t="n">
        <v>0.76</v>
      </c>
      <c r="Y1887" s="14" t="n">
        <v>1.68</v>
      </c>
      <c r="Z1887" s="14" t="n">
        <v>0.92</v>
      </c>
      <c r="AA1887" s="14" t="n">
        <v>0</v>
      </c>
    </row>
    <row r="1888">
      <c r="A1888" t="inlineStr">
        <is>
          <t>040129</t>
        </is>
      </c>
      <c r="B1888" t="inlineStr">
        <is>
          <t>AREQUIPA</t>
        </is>
      </c>
      <c r="C1888" t="inlineStr">
        <is>
          <t>AREQUIPA</t>
        </is>
      </c>
      <c r="D1888" t="inlineStr">
        <is>
          <t>JOSE LUIS BUSTAMANTE Y RIVERO</t>
        </is>
      </c>
      <c r="E1888" t="n">
        <v>38647</v>
      </c>
      <c r="F1888" s="14" t="n">
        <v>0</v>
      </c>
      <c r="G1888" s="14" t="n">
        <v>2.11</v>
      </c>
      <c r="H1888" s="14" t="n">
        <v>2.55</v>
      </c>
      <c r="I1888" s="14" t="n">
        <v>7.72</v>
      </c>
      <c r="J1888" s="14" t="n">
        <v>0.21</v>
      </c>
      <c r="K1888" s="14" t="n">
        <v>0.21</v>
      </c>
      <c r="L1888" s="14" t="n">
        <v>5.01</v>
      </c>
      <c r="M1888" s="14" t="n">
        <v>21.66</v>
      </c>
      <c r="N1888" s="14" t="n">
        <v>8.01</v>
      </c>
      <c r="O1888" s="14" t="n">
        <v>6.01</v>
      </c>
      <c r="P1888" s="14" t="n">
        <v>1.54</v>
      </c>
      <c r="Q1888" s="14" t="n">
        <v>2.49</v>
      </c>
      <c r="R1888" s="14" t="n">
        <v>0.33</v>
      </c>
      <c r="S1888" s="14" t="n">
        <v>11.19</v>
      </c>
      <c r="T1888" s="14" t="n">
        <v>3.51</v>
      </c>
      <c r="U1888" s="14" t="n">
        <v>4.98</v>
      </c>
      <c r="V1888" s="14" t="n">
        <v>10.13</v>
      </c>
      <c r="W1888" s="14" t="n">
        <v>7.04</v>
      </c>
      <c r="X1888" s="14" t="n">
        <v>1.32</v>
      </c>
      <c r="Y1888" s="14" t="n">
        <v>3.05</v>
      </c>
      <c r="Z1888" s="14" t="n">
        <v>0.93</v>
      </c>
      <c r="AA1888" s="14" t="n">
        <v>0.01</v>
      </c>
    </row>
    <row r="1889">
      <c r="A1889" t="inlineStr">
        <is>
          <t>040520</t>
        </is>
      </c>
      <c r="B1889" t="inlineStr">
        <is>
          <t>AREQUIPA</t>
        </is>
      </c>
      <c r="C1889" t="inlineStr">
        <is>
          <t>CAYLLOMA</t>
        </is>
      </c>
      <c r="D1889" t="inlineStr">
        <is>
          <t>MAJES</t>
        </is>
      </c>
      <c r="E1889" t="n">
        <v>29231</v>
      </c>
      <c r="F1889" s="14" t="n">
        <v>0</v>
      </c>
      <c r="G1889" s="14" t="n">
        <v>42.5</v>
      </c>
      <c r="H1889" s="14" t="n">
        <v>1.13</v>
      </c>
      <c r="I1889" s="14" t="n">
        <v>4.97</v>
      </c>
      <c r="J1889" s="14" t="n">
        <v>0.03</v>
      </c>
      <c r="K1889" s="14" t="n">
        <v>0.23</v>
      </c>
      <c r="L1889" s="14" t="n">
        <v>6</v>
      </c>
      <c r="M1889" s="14" t="n">
        <v>18.27</v>
      </c>
      <c r="N1889" s="14" t="n">
        <v>7.77</v>
      </c>
      <c r="O1889" s="14" t="n">
        <v>5.19</v>
      </c>
      <c r="P1889" s="14" t="n">
        <v>0.41</v>
      </c>
      <c r="Q1889" s="14" t="n">
        <v>1.01</v>
      </c>
      <c r="R1889" s="14" t="n">
        <v>0.03</v>
      </c>
      <c r="S1889" s="14" t="n">
        <v>2.55</v>
      </c>
      <c r="T1889" s="14" t="n">
        <v>1.55</v>
      </c>
      <c r="U1889" s="14" t="n">
        <v>2.17</v>
      </c>
      <c r="V1889" s="14" t="n">
        <v>2.61</v>
      </c>
      <c r="W1889" s="14" t="n">
        <v>0.93</v>
      </c>
      <c r="X1889" s="14" t="n">
        <v>0.37</v>
      </c>
      <c r="Y1889" s="14" t="n">
        <v>1.77</v>
      </c>
      <c r="Z1889" s="14" t="n">
        <v>0.51</v>
      </c>
      <c r="AA1889" s="14" t="n">
        <v>0</v>
      </c>
    </row>
    <row r="1890">
      <c r="A1890" t="inlineStr">
        <is>
          <t>080108</t>
        </is>
      </c>
      <c r="B1890" t="inlineStr">
        <is>
          <t>CUSCO</t>
        </is>
      </c>
      <c r="C1890" t="inlineStr">
        <is>
          <t>CUSCO</t>
        </is>
      </c>
      <c r="D1890" t="inlineStr">
        <is>
          <t>WANCHAQ</t>
        </is>
      </c>
      <c r="E1890" t="n">
        <v>29977</v>
      </c>
      <c r="F1890" s="14" t="n">
        <v>0</v>
      </c>
      <c r="G1890" s="14" t="n">
        <v>1</v>
      </c>
      <c r="H1890" s="14" t="n">
        <v>0.53</v>
      </c>
      <c r="I1890" s="14" t="n">
        <v>4.46</v>
      </c>
      <c r="J1890" s="14" t="n">
        <v>0.25</v>
      </c>
      <c r="K1890" s="14" t="n">
        <v>0.15</v>
      </c>
      <c r="L1890" s="14" t="n">
        <v>4.51</v>
      </c>
      <c r="M1890" s="14" t="n">
        <v>17.56</v>
      </c>
      <c r="N1890" s="14" t="n">
        <v>5.17</v>
      </c>
      <c r="O1890" s="14" t="n">
        <v>8.470000000000001</v>
      </c>
      <c r="P1890" s="14" t="n">
        <v>1.88</v>
      </c>
      <c r="Q1890" s="14" t="n">
        <v>2.77</v>
      </c>
      <c r="R1890" s="14" t="n">
        <v>0.39</v>
      </c>
      <c r="S1890" s="14" t="n">
        <v>12.18</v>
      </c>
      <c r="T1890" s="14" t="n">
        <v>7.17</v>
      </c>
      <c r="U1890" s="14" t="n">
        <v>9.19</v>
      </c>
      <c r="V1890" s="14" t="n">
        <v>11.8</v>
      </c>
      <c r="W1890" s="14" t="n">
        <v>6.83</v>
      </c>
      <c r="X1890" s="14" t="n">
        <v>2.09</v>
      </c>
      <c r="Y1890" s="14" t="n">
        <v>2.93</v>
      </c>
      <c r="Z1890" s="14" t="n">
        <v>0.68</v>
      </c>
      <c r="AA1890" s="14" t="n">
        <v>0.01</v>
      </c>
    </row>
    <row r="1891">
      <c r="A1891" t="inlineStr">
        <is>
          <t>080907</t>
        </is>
      </c>
      <c r="B1891" t="inlineStr">
        <is>
          <t>CUSCO</t>
        </is>
      </c>
      <c r="C1891" t="inlineStr">
        <is>
          <t>LA CONVENCION</t>
        </is>
      </c>
      <c r="D1891" t="inlineStr">
        <is>
          <t>KIMBIRI</t>
        </is>
      </c>
      <c r="E1891" t="n">
        <v>6842</v>
      </c>
      <c r="F1891" s="14" t="n">
        <v>0</v>
      </c>
      <c r="G1891" s="14" t="n">
        <v>65.92</v>
      </c>
      <c r="H1891" s="14" t="n">
        <v>0.03</v>
      </c>
      <c r="I1891" s="14" t="n">
        <v>1.48</v>
      </c>
      <c r="J1891" s="14" t="n">
        <v>0.16</v>
      </c>
      <c r="K1891" s="14" t="n">
        <v>0.04</v>
      </c>
      <c r="L1891" s="14" t="n">
        <v>3.7</v>
      </c>
      <c r="M1891" s="14" t="n">
        <v>10.16</v>
      </c>
      <c r="N1891" s="14" t="n">
        <v>3.1</v>
      </c>
      <c r="O1891" s="14" t="n">
        <v>4</v>
      </c>
      <c r="P1891" s="14" t="n">
        <v>0.22</v>
      </c>
      <c r="Q1891" s="14" t="n">
        <v>0.39</v>
      </c>
      <c r="R1891" s="14" t="n">
        <v>0</v>
      </c>
      <c r="S1891" s="14" t="n">
        <v>1.2</v>
      </c>
      <c r="T1891" s="14" t="n">
        <v>0.42</v>
      </c>
      <c r="U1891" s="14" t="n">
        <v>2.31</v>
      </c>
      <c r="V1891" s="14" t="n">
        <v>3.27</v>
      </c>
      <c r="W1891" s="14" t="n">
        <v>1.89</v>
      </c>
      <c r="X1891" s="14" t="n">
        <v>0.22</v>
      </c>
      <c r="Y1891" s="14" t="n">
        <v>1.13</v>
      </c>
      <c r="Z1891" s="14" t="n">
        <v>0.37</v>
      </c>
      <c r="AA1891" s="14" t="n">
        <v>0</v>
      </c>
    </row>
    <row r="1892">
      <c r="A1892" t="inlineStr">
        <is>
          <t>020109</t>
        </is>
      </c>
      <c r="B1892" t="inlineStr">
        <is>
          <t>ANCASH</t>
        </is>
      </c>
      <c r="C1892" t="inlineStr">
        <is>
          <t>HUARAZ</t>
        </is>
      </c>
      <c r="D1892" t="inlineStr">
        <is>
          <t>PAMPAS</t>
        </is>
      </c>
      <c r="E1892" t="n">
        <v>347</v>
      </c>
      <c r="F1892" s="14" t="n">
        <v>0</v>
      </c>
      <c r="G1892" s="14" t="n">
        <v>86.45999999999999</v>
      </c>
      <c r="H1892" s="14" t="n">
        <v>0</v>
      </c>
      <c r="I1892" s="14" t="n">
        <v>0.86</v>
      </c>
      <c r="J1892" s="14" t="n">
        <v>0</v>
      </c>
      <c r="K1892" s="14" t="n">
        <v>0</v>
      </c>
      <c r="L1892" s="14" t="n">
        <v>0</v>
      </c>
      <c r="M1892" s="14" t="n">
        <v>2.31</v>
      </c>
      <c r="N1892" s="14" t="n">
        <v>0.86</v>
      </c>
      <c r="O1892" s="14" t="n">
        <v>0.86</v>
      </c>
      <c r="P1892" s="14" t="n">
        <v>0</v>
      </c>
      <c r="Q1892" s="14" t="n">
        <v>0</v>
      </c>
      <c r="R1892" s="14" t="n">
        <v>0</v>
      </c>
      <c r="S1892" s="14" t="n">
        <v>0</v>
      </c>
      <c r="T1892" s="14" t="n">
        <v>0</v>
      </c>
      <c r="U1892" s="14" t="n">
        <v>0.58</v>
      </c>
      <c r="V1892" s="14" t="n">
        <v>4.03</v>
      </c>
      <c r="W1892" s="14" t="n">
        <v>1.15</v>
      </c>
      <c r="X1892" s="14" t="n">
        <v>0</v>
      </c>
      <c r="Y1892" s="14" t="n">
        <v>0</v>
      </c>
      <c r="Z1892" s="14" t="n">
        <v>2.88</v>
      </c>
      <c r="AA1892" s="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13" customWidth="1" min="14" max="14"/>
    <col width="15" customWidth="1" min="15" max="15"/>
  </cols>
  <sheetData>
    <row r="1">
      <c r="A1" s="13" t="inlineStr">
        <is>
          <t>ubigeo</t>
        </is>
      </c>
      <c r="B1" s="13" t="inlineStr">
        <is>
          <t>distrito</t>
        </is>
      </c>
      <c r="C1" s="13" t="inlineStr">
        <is>
          <t>% Agropecuario</t>
        </is>
      </c>
      <c r="D1" s="13" t="inlineStr">
        <is>
          <t>% Pesca</t>
        </is>
      </c>
      <c r="E1" s="13" t="inlineStr">
        <is>
          <t>% Mineria</t>
        </is>
      </c>
      <c r="F1" s="13" t="inlineStr">
        <is>
          <t>% Manufactura</t>
        </is>
      </c>
      <c r="G1" s="13" t="inlineStr">
        <is>
          <t>% Electricidad y agua</t>
        </is>
      </c>
      <c r="H1" s="13" t="inlineStr">
        <is>
          <t>% Construccion</t>
        </is>
      </c>
      <c r="I1" s="13" t="inlineStr">
        <is>
          <t>% Comercio</t>
        </is>
      </c>
      <c r="J1" s="13" t="inlineStr">
        <is>
          <t>% Servicios</t>
        </is>
      </c>
      <c r="K1" s="13" t="inlineStr">
        <is>
          <t>suma %</t>
        </is>
      </c>
      <c r="L1" s="13" t="inlineStr">
        <is>
          <t>s (estres)</t>
        </is>
      </c>
      <c r="M1" s="13" t="inlineStr">
        <is>
          <t>PEA ocup.</t>
        </is>
      </c>
      <c r="N1" s="13" t="inlineStr">
        <is>
          <t>s FINAL (sin dato=peor)</t>
        </is>
      </c>
      <c r="O1" s="13" t="inlineStr">
        <is>
          <t>dato</t>
        </is>
      </c>
    </row>
    <row r="2">
      <c r="A2" t="inlineStr">
        <is>
          <t>100101</t>
        </is>
      </c>
      <c r="B2" t="inlineStr">
        <is>
          <t>HUANUCO</t>
        </is>
      </c>
      <c r="C2" s="14">
        <f>'Empleo Censo'!G2-'Empleo Censo'!F2</f>
        <v/>
      </c>
      <c r="D2" s="14">
        <f>'Empleo Censo'!F2</f>
        <v/>
      </c>
      <c r="E2" s="14">
        <f>'Empleo Censo'!H2</f>
        <v/>
      </c>
      <c r="F2" s="14">
        <f>'Empleo Censo'!I2</f>
        <v/>
      </c>
      <c r="G2" s="14">
        <f>'Empleo Censo'!J2+'Empleo Censo'!K2</f>
        <v/>
      </c>
      <c r="H2" s="14">
        <f>'Empleo Censo'!L2</f>
        <v/>
      </c>
      <c r="I2" s="14">
        <f>'Empleo Censo'!M2</f>
        <v/>
      </c>
      <c r="J2" s="14">
        <f>SUM('Empleo Censo'!N2:AA2)</f>
        <v/>
      </c>
      <c r="K2" s="14">
        <f>SUM(C2:J2)</f>
        <v/>
      </c>
      <c r="L2" s="15">
        <f>SUMPRODUCT(C2:J2,Factores!$B$3:$I$3)</f>
        <v/>
      </c>
      <c r="M2" s="16">
        <f>'Empleo Censo'!E2</f>
        <v/>
      </c>
      <c r="N2" s="17">
        <f>IF(M2&gt;0,L2,Factores!$B$7)</f>
        <v/>
      </c>
      <c r="O2">
        <f>IF(M2&gt;0,"OK","sin PEA -&gt; peor")</f>
        <v/>
      </c>
    </row>
    <row r="3">
      <c r="A3" t="inlineStr">
        <is>
          <t>100102</t>
        </is>
      </c>
      <c r="B3" t="inlineStr">
        <is>
          <t>AMARILIS</t>
        </is>
      </c>
      <c r="C3" s="14">
        <f>'Empleo Censo'!G3-'Empleo Censo'!F3</f>
        <v/>
      </c>
      <c r="D3" s="14">
        <f>'Empleo Censo'!F3</f>
        <v/>
      </c>
      <c r="E3" s="14">
        <f>'Empleo Censo'!H3</f>
        <v/>
      </c>
      <c r="F3" s="14">
        <f>'Empleo Censo'!I3</f>
        <v/>
      </c>
      <c r="G3" s="14">
        <f>'Empleo Censo'!J3+'Empleo Censo'!K3</f>
        <v/>
      </c>
      <c r="H3" s="14">
        <f>'Empleo Censo'!L3</f>
        <v/>
      </c>
      <c r="I3" s="14">
        <f>'Empleo Censo'!M3</f>
        <v/>
      </c>
      <c r="J3" s="14">
        <f>SUM('Empleo Censo'!N3:AA3)</f>
        <v/>
      </c>
      <c r="K3" s="14">
        <f>SUM(C3:J3)</f>
        <v/>
      </c>
      <c r="L3" s="15">
        <f>SUMPRODUCT(C3:J3,Factores!$B$3:$I$3)</f>
        <v/>
      </c>
      <c r="M3" s="16">
        <f>'Empleo Censo'!E3</f>
        <v/>
      </c>
      <c r="N3" s="17">
        <f>IF(M3&gt;0,L3,Factores!$B$7)</f>
        <v/>
      </c>
      <c r="O3">
        <f>IF(M3&gt;0,"OK","sin PEA -&gt; peor")</f>
        <v/>
      </c>
    </row>
    <row r="4">
      <c r="A4" t="inlineStr">
        <is>
          <t>100103</t>
        </is>
      </c>
      <c r="B4" t="inlineStr">
        <is>
          <t>CHINCHAO</t>
        </is>
      </c>
      <c r="C4" s="14">
        <f>'Empleo Censo'!G4-'Empleo Censo'!F4</f>
        <v/>
      </c>
      <c r="D4" s="14">
        <f>'Empleo Censo'!F4</f>
        <v/>
      </c>
      <c r="E4" s="14">
        <f>'Empleo Censo'!H4</f>
        <v/>
      </c>
      <c r="F4" s="14">
        <f>'Empleo Censo'!I4</f>
        <v/>
      </c>
      <c r="G4" s="14">
        <f>'Empleo Censo'!J4+'Empleo Censo'!K4</f>
        <v/>
      </c>
      <c r="H4" s="14">
        <f>'Empleo Censo'!L4</f>
        <v/>
      </c>
      <c r="I4" s="14">
        <f>'Empleo Censo'!M4</f>
        <v/>
      </c>
      <c r="J4" s="14">
        <f>SUM('Empleo Censo'!N4:AA4)</f>
        <v/>
      </c>
      <c r="K4" s="14">
        <f>SUM(C4:J4)</f>
        <v/>
      </c>
      <c r="L4" s="15">
        <f>SUMPRODUCT(C4:J4,Factores!$B$3:$I$3)</f>
        <v/>
      </c>
      <c r="M4" s="16">
        <f>'Empleo Censo'!E4</f>
        <v/>
      </c>
      <c r="N4" s="17">
        <f>IF(M4&gt;0,L4,Factores!$B$7)</f>
        <v/>
      </c>
      <c r="O4">
        <f>IF(M4&gt;0,"OK","sin PEA -&gt; peor")</f>
        <v/>
      </c>
    </row>
    <row r="5">
      <c r="A5" t="inlineStr">
        <is>
          <t>100104</t>
        </is>
      </c>
      <c r="B5" t="inlineStr">
        <is>
          <t>CHURUBAMBA</t>
        </is>
      </c>
      <c r="C5" s="14">
        <f>'Empleo Censo'!G5-'Empleo Censo'!F5</f>
        <v/>
      </c>
      <c r="D5" s="14">
        <f>'Empleo Censo'!F5</f>
        <v/>
      </c>
      <c r="E5" s="14">
        <f>'Empleo Censo'!H5</f>
        <v/>
      </c>
      <c r="F5" s="14">
        <f>'Empleo Censo'!I5</f>
        <v/>
      </c>
      <c r="G5" s="14">
        <f>'Empleo Censo'!J5+'Empleo Censo'!K5</f>
        <v/>
      </c>
      <c r="H5" s="14">
        <f>'Empleo Censo'!L5</f>
        <v/>
      </c>
      <c r="I5" s="14">
        <f>'Empleo Censo'!M5</f>
        <v/>
      </c>
      <c r="J5" s="14">
        <f>SUM('Empleo Censo'!N5:AA5)</f>
        <v/>
      </c>
      <c r="K5" s="14">
        <f>SUM(C5:J5)</f>
        <v/>
      </c>
      <c r="L5" s="15">
        <f>SUMPRODUCT(C5:J5,Factores!$B$3:$I$3)</f>
        <v/>
      </c>
      <c r="M5" s="16">
        <f>'Empleo Censo'!E5</f>
        <v/>
      </c>
      <c r="N5" s="17">
        <f>IF(M5&gt;0,L5,Factores!$B$7)</f>
        <v/>
      </c>
      <c r="O5">
        <f>IF(M5&gt;0,"OK","sin PEA -&gt; peor")</f>
        <v/>
      </c>
    </row>
    <row r="6">
      <c r="A6" t="inlineStr">
        <is>
          <t>100105</t>
        </is>
      </c>
      <c r="B6" t="inlineStr">
        <is>
          <t>MARGOS</t>
        </is>
      </c>
      <c r="C6" s="14">
        <f>'Empleo Censo'!G6-'Empleo Censo'!F6</f>
        <v/>
      </c>
      <c r="D6" s="14">
        <f>'Empleo Censo'!F6</f>
        <v/>
      </c>
      <c r="E6" s="14">
        <f>'Empleo Censo'!H6</f>
        <v/>
      </c>
      <c r="F6" s="14">
        <f>'Empleo Censo'!I6</f>
        <v/>
      </c>
      <c r="G6" s="14">
        <f>'Empleo Censo'!J6+'Empleo Censo'!K6</f>
        <v/>
      </c>
      <c r="H6" s="14">
        <f>'Empleo Censo'!L6</f>
        <v/>
      </c>
      <c r="I6" s="14">
        <f>'Empleo Censo'!M6</f>
        <v/>
      </c>
      <c r="J6" s="14">
        <f>SUM('Empleo Censo'!N6:AA6)</f>
        <v/>
      </c>
      <c r="K6" s="14">
        <f>SUM(C6:J6)</f>
        <v/>
      </c>
      <c r="L6" s="15">
        <f>SUMPRODUCT(C6:J6,Factores!$B$3:$I$3)</f>
        <v/>
      </c>
      <c r="M6" s="16">
        <f>'Empleo Censo'!E6</f>
        <v/>
      </c>
      <c r="N6" s="17">
        <f>IF(M6&gt;0,L6,Factores!$B$7)</f>
        <v/>
      </c>
      <c r="O6">
        <f>IF(M6&gt;0,"OK","sin PEA -&gt; peor")</f>
        <v/>
      </c>
    </row>
    <row r="7">
      <c r="A7" t="inlineStr">
        <is>
          <t>100106</t>
        </is>
      </c>
      <c r="B7" t="inlineStr">
        <is>
          <t>QUISQUI</t>
        </is>
      </c>
      <c r="C7" s="14">
        <f>'Empleo Censo'!G7-'Empleo Censo'!F7</f>
        <v/>
      </c>
      <c r="D7" s="14">
        <f>'Empleo Censo'!F7</f>
        <v/>
      </c>
      <c r="E7" s="14">
        <f>'Empleo Censo'!H7</f>
        <v/>
      </c>
      <c r="F7" s="14">
        <f>'Empleo Censo'!I7</f>
        <v/>
      </c>
      <c r="G7" s="14">
        <f>'Empleo Censo'!J7+'Empleo Censo'!K7</f>
        <v/>
      </c>
      <c r="H7" s="14">
        <f>'Empleo Censo'!L7</f>
        <v/>
      </c>
      <c r="I7" s="14">
        <f>'Empleo Censo'!M7</f>
        <v/>
      </c>
      <c r="J7" s="14">
        <f>SUM('Empleo Censo'!N7:AA7)</f>
        <v/>
      </c>
      <c r="K7" s="14">
        <f>SUM(C7:J7)</f>
        <v/>
      </c>
      <c r="L7" s="15">
        <f>SUMPRODUCT(C7:J7,Factores!$B$3:$I$3)</f>
        <v/>
      </c>
      <c r="M7" s="16">
        <f>'Empleo Censo'!E7</f>
        <v/>
      </c>
      <c r="N7" s="17">
        <f>IF(M7&gt;0,L7,Factores!$B$7)</f>
        <v/>
      </c>
      <c r="O7">
        <f>IF(M7&gt;0,"OK","sin PEA -&gt; peor")</f>
        <v/>
      </c>
    </row>
    <row r="8">
      <c r="A8" t="inlineStr">
        <is>
          <t>100107</t>
        </is>
      </c>
      <c r="B8" t="inlineStr">
        <is>
          <t>SAN FRANCISCO DE CAYRAN</t>
        </is>
      </c>
      <c r="C8" s="14">
        <f>'Empleo Censo'!G8-'Empleo Censo'!F8</f>
        <v/>
      </c>
      <c r="D8" s="14">
        <f>'Empleo Censo'!F8</f>
        <v/>
      </c>
      <c r="E8" s="14">
        <f>'Empleo Censo'!H8</f>
        <v/>
      </c>
      <c r="F8" s="14">
        <f>'Empleo Censo'!I8</f>
        <v/>
      </c>
      <c r="G8" s="14">
        <f>'Empleo Censo'!J8+'Empleo Censo'!K8</f>
        <v/>
      </c>
      <c r="H8" s="14">
        <f>'Empleo Censo'!L8</f>
        <v/>
      </c>
      <c r="I8" s="14">
        <f>'Empleo Censo'!M8</f>
        <v/>
      </c>
      <c r="J8" s="14">
        <f>SUM('Empleo Censo'!N8:AA8)</f>
        <v/>
      </c>
      <c r="K8" s="14">
        <f>SUM(C8:J8)</f>
        <v/>
      </c>
      <c r="L8" s="15">
        <f>SUMPRODUCT(C8:J8,Factores!$B$3:$I$3)</f>
        <v/>
      </c>
      <c r="M8" s="16">
        <f>'Empleo Censo'!E8</f>
        <v/>
      </c>
      <c r="N8" s="17">
        <f>IF(M8&gt;0,L8,Factores!$B$7)</f>
        <v/>
      </c>
      <c r="O8">
        <f>IF(M8&gt;0,"OK","sin PEA -&gt; peor")</f>
        <v/>
      </c>
    </row>
    <row r="9">
      <c r="A9" t="inlineStr">
        <is>
          <t>100108</t>
        </is>
      </c>
      <c r="B9" t="inlineStr">
        <is>
          <t>SAN PEDRO DE CHAULAN</t>
        </is>
      </c>
      <c r="C9" s="14">
        <f>'Empleo Censo'!G9-'Empleo Censo'!F9</f>
        <v/>
      </c>
      <c r="D9" s="14">
        <f>'Empleo Censo'!F9</f>
        <v/>
      </c>
      <c r="E9" s="14">
        <f>'Empleo Censo'!H9</f>
        <v/>
      </c>
      <c r="F9" s="14">
        <f>'Empleo Censo'!I9</f>
        <v/>
      </c>
      <c r="G9" s="14">
        <f>'Empleo Censo'!J9+'Empleo Censo'!K9</f>
        <v/>
      </c>
      <c r="H9" s="14">
        <f>'Empleo Censo'!L9</f>
        <v/>
      </c>
      <c r="I9" s="14">
        <f>'Empleo Censo'!M9</f>
        <v/>
      </c>
      <c r="J9" s="14">
        <f>SUM('Empleo Censo'!N9:AA9)</f>
        <v/>
      </c>
      <c r="K9" s="14">
        <f>SUM(C9:J9)</f>
        <v/>
      </c>
      <c r="L9" s="15">
        <f>SUMPRODUCT(C9:J9,Factores!$B$3:$I$3)</f>
        <v/>
      </c>
      <c r="M9" s="16">
        <f>'Empleo Censo'!E9</f>
        <v/>
      </c>
      <c r="N9" s="17">
        <f>IF(M9&gt;0,L9,Factores!$B$7)</f>
        <v/>
      </c>
      <c r="O9">
        <f>IF(M9&gt;0,"OK","sin PEA -&gt; peor")</f>
        <v/>
      </c>
    </row>
    <row r="10">
      <c r="A10" t="inlineStr">
        <is>
          <t>100109</t>
        </is>
      </c>
      <c r="B10" t="inlineStr">
        <is>
          <t>SANTA MARIA DEL VALLE</t>
        </is>
      </c>
      <c r="C10" s="14">
        <f>'Empleo Censo'!G10-'Empleo Censo'!F10</f>
        <v/>
      </c>
      <c r="D10" s="14">
        <f>'Empleo Censo'!F10</f>
        <v/>
      </c>
      <c r="E10" s="14">
        <f>'Empleo Censo'!H10</f>
        <v/>
      </c>
      <c r="F10" s="14">
        <f>'Empleo Censo'!I10</f>
        <v/>
      </c>
      <c r="G10" s="14">
        <f>'Empleo Censo'!J10+'Empleo Censo'!K10</f>
        <v/>
      </c>
      <c r="H10" s="14">
        <f>'Empleo Censo'!L10</f>
        <v/>
      </c>
      <c r="I10" s="14">
        <f>'Empleo Censo'!M10</f>
        <v/>
      </c>
      <c r="J10" s="14">
        <f>SUM('Empleo Censo'!N10:AA10)</f>
        <v/>
      </c>
      <c r="K10" s="14">
        <f>SUM(C10:J10)</f>
        <v/>
      </c>
      <c r="L10" s="15">
        <f>SUMPRODUCT(C10:J10,Factores!$B$3:$I$3)</f>
        <v/>
      </c>
      <c r="M10" s="16">
        <f>'Empleo Censo'!E10</f>
        <v/>
      </c>
      <c r="N10" s="17">
        <f>IF(M10&gt;0,L10,Factores!$B$7)</f>
        <v/>
      </c>
      <c r="O10">
        <f>IF(M10&gt;0,"OK","sin PEA -&gt; peor")</f>
        <v/>
      </c>
    </row>
    <row r="11">
      <c r="A11" t="inlineStr">
        <is>
          <t>100110</t>
        </is>
      </c>
      <c r="B11" t="inlineStr">
        <is>
          <t>YARUMAYO</t>
        </is>
      </c>
      <c r="C11" s="14">
        <f>'Empleo Censo'!G11-'Empleo Censo'!F11</f>
        <v/>
      </c>
      <c r="D11" s="14">
        <f>'Empleo Censo'!F11</f>
        <v/>
      </c>
      <c r="E11" s="14">
        <f>'Empleo Censo'!H11</f>
        <v/>
      </c>
      <c r="F11" s="14">
        <f>'Empleo Censo'!I11</f>
        <v/>
      </c>
      <c r="G11" s="14">
        <f>'Empleo Censo'!J11+'Empleo Censo'!K11</f>
        <v/>
      </c>
      <c r="H11" s="14">
        <f>'Empleo Censo'!L11</f>
        <v/>
      </c>
      <c r="I11" s="14">
        <f>'Empleo Censo'!M11</f>
        <v/>
      </c>
      <c r="J11" s="14">
        <f>SUM('Empleo Censo'!N11:AA11)</f>
        <v/>
      </c>
      <c r="K11" s="14">
        <f>SUM(C11:J11)</f>
        <v/>
      </c>
      <c r="L11" s="15">
        <f>SUMPRODUCT(C11:J11,Factores!$B$3:$I$3)</f>
        <v/>
      </c>
      <c r="M11" s="16">
        <f>'Empleo Censo'!E11</f>
        <v/>
      </c>
      <c r="N11" s="17">
        <f>IF(M11&gt;0,L11,Factores!$B$7)</f>
        <v/>
      </c>
      <c r="O11">
        <f>IF(M11&gt;0,"OK","sin PEA -&gt; peor")</f>
        <v/>
      </c>
    </row>
    <row r="12">
      <c r="A12" t="inlineStr">
        <is>
          <t>100111</t>
        </is>
      </c>
      <c r="B12" t="inlineStr">
        <is>
          <t>PILLCO MARCA</t>
        </is>
      </c>
      <c r="C12" s="14">
        <f>'Empleo Censo'!G12-'Empleo Censo'!F12</f>
        <v/>
      </c>
      <c r="D12" s="14">
        <f>'Empleo Censo'!F12</f>
        <v/>
      </c>
      <c r="E12" s="14">
        <f>'Empleo Censo'!H12</f>
        <v/>
      </c>
      <c r="F12" s="14">
        <f>'Empleo Censo'!I12</f>
        <v/>
      </c>
      <c r="G12" s="14">
        <f>'Empleo Censo'!J12+'Empleo Censo'!K12</f>
        <v/>
      </c>
      <c r="H12" s="14">
        <f>'Empleo Censo'!L12</f>
        <v/>
      </c>
      <c r="I12" s="14">
        <f>'Empleo Censo'!M12</f>
        <v/>
      </c>
      <c r="J12" s="14">
        <f>SUM('Empleo Censo'!N12:AA12)</f>
        <v/>
      </c>
      <c r="K12" s="14">
        <f>SUM(C12:J12)</f>
        <v/>
      </c>
      <c r="L12" s="15">
        <f>SUMPRODUCT(C12:J12,Factores!$B$3:$I$3)</f>
        <v/>
      </c>
      <c r="M12" s="16">
        <f>'Empleo Censo'!E12</f>
        <v/>
      </c>
      <c r="N12" s="17">
        <f>IF(M12&gt;0,L12,Factores!$B$7)</f>
        <v/>
      </c>
      <c r="O12">
        <f>IF(M12&gt;0,"OK","sin PEA -&gt; peor")</f>
        <v/>
      </c>
    </row>
    <row r="13">
      <c r="A13" t="inlineStr">
        <is>
          <t>100112</t>
        </is>
      </c>
      <c r="B13" t="inlineStr">
        <is>
          <t>YACUS</t>
        </is>
      </c>
      <c r="C13" s="14">
        <f>'Empleo Censo'!G13-'Empleo Censo'!F13</f>
        <v/>
      </c>
      <c r="D13" s="14">
        <f>'Empleo Censo'!F13</f>
        <v/>
      </c>
      <c r="E13" s="14">
        <f>'Empleo Censo'!H13</f>
        <v/>
      </c>
      <c r="F13" s="14">
        <f>'Empleo Censo'!I13</f>
        <v/>
      </c>
      <c r="G13" s="14">
        <f>'Empleo Censo'!J13+'Empleo Censo'!K13</f>
        <v/>
      </c>
      <c r="H13" s="14">
        <f>'Empleo Censo'!L13</f>
        <v/>
      </c>
      <c r="I13" s="14">
        <f>'Empleo Censo'!M13</f>
        <v/>
      </c>
      <c r="J13" s="14">
        <f>SUM('Empleo Censo'!N13:AA13)</f>
        <v/>
      </c>
      <c r="K13" s="14">
        <f>SUM(C13:J13)</f>
        <v/>
      </c>
      <c r="L13" s="15">
        <f>SUMPRODUCT(C13:J13,Factores!$B$3:$I$3)</f>
        <v/>
      </c>
      <c r="M13" s="16">
        <f>'Empleo Censo'!E13</f>
        <v/>
      </c>
      <c r="N13" s="17">
        <f>IF(M13&gt;0,L13,Factores!$B$7)</f>
        <v/>
      </c>
      <c r="O13">
        <f>IF(M13&gt;0,"OK","sin PEA -&gt; peor")</f>
        <v/>
      </c>
    </row>
    <row r="14">
      <c r="A14" t="inlineStr">
        <is>
          <t>100113</t>
        </is>
      </c>
      <c r="B14" t="inlineStr">
        <is>
          <t>SAN PABLO DE PILLAO</t>
        </is>
      </c>
      <c r="C14" s="14">
        <f>'Empleo Censo'!G14-'Empleo Censo'!F14</f>
        <v/>
      </c>
      <c r="D14" s="14">
        <f>'Empleo Censo'!F14</f>
        <v/>
      </c>
      <c r="E14" s="14">
        <f>'Empleo Censo'!H14</f>
        <v/>
      </c>
      <c r="F14" s="14">
        <f>'Empleo Censo'!I14</f>
        <v/>
      </c>
      <c r="G14" s="14">
        <f>'Empleo Censo'!J14+'Empleo Censo'!K14</f>
        <v/>
      </c>
      <c r="H14" s="14">
        <f>'Empleo Censo'!L14</f>
        <v/>
      </c>
      <c r="I14" s="14">
        <f>'Empleo Censo'!M14</f>
        <v/>
      </c>
      <c r="J14" s="14">
        <f>SUM('Empleo Censo'!N14:AA14)</f>
        <v/>
      </c>
      <c r="K14" s="14">
        <f>SUM(C14:J14)</f>
        <v/>
      </c>
      <c r="L14" s="15">
        <f>SUMPRODUCT(C14:J14,Factores!$B$3:$I$3)</f>
        <v/>
      </c>
      <c r="M14" s="16">
        <f>'Empleo Censo'!E14</f>
        <v/>
      </c>
      <c r="N14" s="17">
        <f>IF(M14&gt;0,L14,Factores!$B$7)</f>
        <v/>
      </c>
      <c r="O14">
        <f>IF(M14&gt;0,"OK","sin PEA -&gt; peor")</f>
        <v/>
      </c>
    </row>
    <row r="15">
      <c r="A15" t="inlineStr">
        <is>
          <t>100201</t>
        </is>
      </c>
      <c r="B15" t="inlineStr">
        <is>
          <t>AMBO</t>
        </is>
      </c>
      <c r="C15" s="14">
        <f>'Empleo Censo'!G15-'Empleo Censo'!F15</f>
        <v/>
      </c>
      <c r="D15" s="14">
        <f>'Empleo Censo'!F15</f>
        <v/>
      </c>
      <c r="E15" s="14">
        <f>'Empleo Censo'!H15</f>
        <v/>
      </c>
      <c r="F15" s="14">
        <f>'Empleo Censo'!I15</f>
        <v/>
      </c>
      <c r="G15" s="14">
        <f>'Empleo Censo'!J15+'Empleo Censo'!K15</f>
        <v/>
      </c>
      <c r="H15" s="14">
        <f>'Empleo Censo'!L15</f>
        <v/>
      </c>
      <c r="I15" s="14">
        <f>'Empleo Censo'!M15</f>
        <v/>
      </c>
      <c r="J15" s="14">
        <f>SUM('Empleo Censo'!N15:AA15)</f>
        <v/>
      </c>
      <c r="K15" s="14">
        <f>SUM(C15:J15)</f>
        <v/>
      </c>
      <c r="L15" s="15">
        <f>SUMPRODUCT(C15:J15,Factores!$B$3:$I$3)</f>
        <v/>
      </c>
      <c r="M15" s="16">
        <f>'Empleo Censo'!E15</f>
        <v/>
      </c>
      <c r="N15" s="17">
        <f>IF(M15&gt;0,L15,Factores!$B$7)</f>
        <v/>
      </c>
      <c r="O15">
        <f>IF(M15&gt;0,"OK","sin PEA -&gt; peor")</f>
        <v/>
      </c>
    </row>
    <row r="16">
      <c r="A16" t="inlineStr">
        <is>
          <t>100202</t>
        </is>
      </c>
      <c r="B16" t="inlineStr">
        <is>
          <t>CAYNA</t>
        </is>
      </c>
      <c r="C16" s="14">
        <f>'Empleo Censo'!G16-'Empleo Censo'!F16</f>
        <v/>
      </c>
      <c r="D16" s="14">
        <f>'Empleo Censo'!F16</f>
        <v/>
      </c>
      <c r="E16" s="14">
        <f>'Empleo Censo'!H16</f>
        <v/>
      </c>
      <c r="F16" s="14">
        <f>'Empleo Censo'!I16</f>
        <v/>
      </c>
      <c r="G16" s="14">
        <f>'Empleo Censo'!J16+'Empleo Censo'!K16</f>
        <v/>
      </c>
      <c r="H16" s="14">
        <f>'Empleo Censo'!L16</f>
        <v/>
      </c>
      <c r="I16" s="14">
        <f>'Empleo Censo'!M16</f>
        <v/>
      </c>
      <c r="J16" s="14">
        <f>SUM('Empleo Censo'!N16:AA16)</f>
        <v/>
      </c>
      <c r="K16" s="14">
        <f>SUM(C16:J16)</f>
        <v/>
      </c>
      <c r="L16" s="15">
        <f>SUMPRODUCT(C16:J16,Factores!$B$3:$I$3)</f>
        <v/>
      </c>
      <c r="M16" s="16">
        <f>'Empleo Censo'!E16</f>
        <v/>
      </c>
      <c r="N16" s="17">
        <f>IF(M16&gt;0,L16,Factores!$B$7)</f>
        <v/>
      </c>
      <c r="O16">
        <f>IF(M16&gt;0,"OK","sin PEA -&gt; peor")</f>
        <v/>
      </c>
    </row>
    <row r="17">
      <c r="A17" t="inlineStr">
        <is>
          <t>100203</t>
        </is>
      </c>
      <c r="B17" t="inlineStr">
        <is>
          <t>COLPAS</t>
        </is>
      </c>
      <c r="C17" s="14">
        <f>'Empleo Censo'!G17-'Empleo Censo'!F17</f>
        <v/>
      </c>
      <c r="D17" s="14">
        <f>'Empleo Censo'!F17</f>
        <v/>
      </c>
      <c r="E17" s="14">
        <f>'Empleo Censo'!H17</f>
        <v/>
      </c>
      <c r="F17" s="14">
        <f>'Empleo Censo'!I17</f>
        <v/>
      </c>
      <c r="G17" s="14">
        <f>'Empleo Censo'!J17+'Empleo Censo'!K17</f>
        <v/>
      </c>
      <c r="H17" s="14">
        <f>'Empleo Censo'!L17</f>
        <v/>
      </c>
      <c r="I17" s="14">
        <f>'Empleo Censo'!M17</f>
        <v/>
      </c>
      <c r="J17" s="14">
        <f>SUM('Empleo Censo'!N17:AA17)</f>
        <v/>
      </c>
      <c r="K17" s="14">
        <f>SUM(C17:J17)</f>
        <v/>
      </c>
      <c r="L17" s="15">
        <f>SUMPRODUCT(C17:J17,Factores!$B$3:$I$3)</f>
        <v/>
      </c>
      <c r="M17" s="16">
        <f>'Empleo Censo'!E17</f>
        <v/>
      </c>
      <c r="N17" s="17">
        <f>IF(M17&gt;0,L17,Factores!$B$7)</f>
        <v/>
      </c>
      <c r="O17">
        <f>IF(M17&gt;0,"OK","sin PEA -&gt; peor")</f>
        <v/>
      </c>
    </row>
    <row r="18">
      <c r="A18" t="inlineStr">
        <is>
          <t>100204</t>
        </is>
      </c>
      <c r="B18" t="inlineStr">
        <is>
          <t>CONCHAMARCA</t>
        </is>
      </c>
      <c r="C18" s="14">
        <f>'Empleo Censo'!G18-'Empleo Censo'!F18</f>
        <v/>
      </c>
      <c r="D18" s="14">
        <f>'Empleo Censo'!F18</f>
        <v/>
      </c>
      <c r="E18" s="14">
        <f>'Empleo Censo'!H18</f>
        <v/>
      </c>
      <c r="F18" s="14">
        <f>'Empleo Censo'!I18</f>
        <v/>
      </c>
      <c r="G18" s="14">
        <f>'Empleo Censo'!J18+'Empleo Censo'!K18</f>
        <v/>
      </c>
      <c r="H18" s="14">
        <f>'Empleo Censo'!L18</f>
        <v/>
      </c>
      <c r="I18" s="14">
        <f>'Empleo Censo'!M18</f>
        <v/>
      </c>
      <c r="J18" s="14">
        <f>SUM('Empleo Censo'!N18:AA18)</f>
        <v/>
      </c>
      <c r="K18" s="14">
        <f>SUM(C18:J18)</f>
        <v/>
      </c>
      <c r="L18" s="15">
        <f>SUMPRODUCT(C18:J18,Factores!$B$3:$I$3)</f>
        <v/>
      </c>
      <c r="M18" s="16">
        <f>'Empleo Censo'!E18</f>
        <v/>
      </c>
      <c r="N18" s="17">
        <f>IF(M18&gt;0,L18,Factores!$B$7)</f>
        <v/>
      </c>
      <c r="O18">
        <f>IF(M18&gt;0,"OK","sin PEA -&gt; peor")</f>
        <v/>
      </c>
    </row>
    <row r="19">
      <c r="A19" t="inlineStr">
        <is>
          <t>100205</t>
        </is>
      </c>
      <c r="B19" t="inlineStr">
        <is>
          <t>HUACAR</t>
        </is>
      </c>
      <c r="C19" s="14">
        <f>'Empleo Censo'!G19-'Empleo Censo'!F19</f>
        <v/>
      </c>
      <c r="D19" s="14">
        <f>'Empleo Censo'!F19</f>
        <v/>
      </c>
      <c r="E19" s="14">
        <f>'Empleo Censo'!H19</f>
        <v/>
      </c>
      <c r="F19" s="14">
        <f>'Empleo Censo'!I19</f>
        <v/>
      </c>
      <c r="G19" s="14">
        <f>'Empleo Censo'!J19+'Empleo Censo'!K19</f>
        <v/>
      </c>
      <c r="H19" s="14">
        <f>'Empleo Censo'!L19</f>
        <v/>
      </c>
      <c r="I19" s="14">
        <f>'Empleo Censo'!M19</f>
        <v/>
      </c>
      <c r="J19" s="14">
        <f>SUM('Empleo Censo'!N19:AA19)</f>
        <v/>
      </c>
      <c r="K19" s="14">
        <f>SUM(C19:J19)</f>
        <v/>
      </c>
      <c r="L19" s="15">
        <f>SUMPRODUCT(C19:J19,Factores!$B$3:$I$3)</f>
        <v/>
      </c>
      <c r="M19" s="16">
        <f>'Empleo Censo'!E19</f>
        <v/>
      </c>
      <c r="N19" s="17">
        <f>IF(M19&gt;0,L19,Factores!$B$7)</f>
        <v/>
      </c>
      <c r="O19">
        <f>IF(M19&gt;0,"OK","sin PEA -&gt; peor")</f>
        <v/>
      </c>
    </row>
    <row r="20">
      <c r="A20" t="inlineStr">
        <is>
          <t>100206</t>
        </is>
      </c>
      <c r="B20" t="inlineStr">
        <is>
          <t>SAN FRANCISCO</t>
        </is>
      </c>
      <c r="C20" s="14">
        <f>'Empleo Censo'!G20-'Empleo Censo'!F20</f>
        <v/>
      </c>
      <c r="D20" s="14">
        <f>'Empleo Censo'!F20</f>
        <v/>
      </c>
      <c r="E20" s="14">
        <f>'Empleo Censo'!H20</f>
        <v/>
      </c>
      <c r="F20" s="14">
        <f>'Empleo Censo'!I20</f>
        <v/>
      </c>
      <c r="G20" s="14">
        <f>'Empleo Censo'!J20+'Empleo Censo'!K20</f>
        <v/>
      </c>
      <c r="H20" s="14">
        <f>'Empleo Censo'!L20</f>
        <v/>
      </c>
      <c r="I20" s="14">
        <f>'Empleo Censo'!M20</f>
        <v/>
      </c>
      <c r="J20" s="14">
        <f>SUM('Empleo Censo'!N20:AA20)</f>
        <v/>
      </c>
      <c r="K20" s="14">
        <f>SUM(C20:J20)</f>
        <v/>
      </c>
      <c r="L20" s="15">
        <f>SUMPRODUCT(C20:J20,Factores!$B$3:$I$3)</f>
        <v/>
      </c>
      <c r="M20" s="16">
        <f>'Empleo Censo'!E20</f>
        <v/>
      </c>
      <c r="N20" s="17">
        <f>IF(M20&gt;0,L20,Factores!$B$7)</f>
        <v/>
      </c>
      <c r="O20">
        <f>IF(M20&gt;0,"OK","sin PEA -&gt; peor")</f>
        <v/>
      </c>
    </row>
    <row r="21">
      <c r="A21" t="inlineStr">
        <is>
          <t>100207</t>
        </is>
      </c>
      <c r="B21" t="inlineStr">
        <is>
          <t>SAN RAFAEL</t>
        </is>
      </c>
      <c r="C21" s="14">
        <f>'Empleo Censo'!G21-'Empleo Censo'!F21</f>
        <v/>
      </c>
      <c r="D21" s="14">
        <f>'Empleo Censo'!F21</f>
        <v/>
      </c>
      <c r="E21" s="14">
        <f>'Empleo Censo'!H21</f>
        <v/>
      </c>
      <c r="F21" s="14">
        <f>'Empleo Censo'!I21</f>
        <v/>
      </c>
      <c r="G21" s="14">
        <f>'Empleo Censo'!J21+'Empleo Censo'!K21</f>
        <v/>
      </c>
      <c r="H21" s="14">
        <f>'Empleo Censo'!L21</f>
        <v/>
      </c>
      <c r="I21" s="14">
        <f>'Empleo Censo'!M21</f>
        <v/>
      </c>
      <c r="J21" s="14">
        <f>SUM('Empleo Censo'!N21:AA21)</f>
        <v/>
      </c>
      <c r="K21" s="14">
        <f>SUM(C21:J21)</f>
        <v/>
      </c>
      <c r="L21" s="15">
        <f>SUMPRODUCT(C21:J21,Factores!$B$3:$I$3)</f>
        <v/>
      </c>
      <c r="M21" s="16">
        <f>'Empleo Censo'!E21</f>
        <v/>
      </c>
      <c r="N21" s="17">
        <f>IF(M21&gt;0,L21,Factores!$B$7)</f>
        <v/>
      </c>
      <c r="O21">
        <f>IF(M21&gt;0,"OK","sin PEA -&gt; peor")</f>
        <v/>
      </c>
    </row>
    <row r="22">
      <c r="A22" t="inlineStr">
        <is>
          <t>100208</t>
        </is>
      </c>
      <c r="B22" t="inlineStr">
        <is>
          <t>TOMAY KICHWA</t>
        </is>
      </c>
      <c r="C22" s="14">
        <f>'Empleo Censo'!G22-'Empleo Censo'!F22</f>
        <v/>
      </c>
      <c r="D22" s="14">
        <f>'Empleo Censo'!F22</f>
        <v/>
      </c>
      <c r="E22" s="14">
        <f>'Empleo Censo'!H22</f>
        <v/>
      </c>
      <c r="F22" s="14">
        <f>'Empleo Censo'!I22</f>
        <v/>
      </c>
      <c r="G22" s="14">
        <f>'Empleo Censo'!J22+'Empleo Censo'!K22</f>
        <v/>
      </c>
      <c r="H22" s="14">
        <f>'Empleo Censo'!L22</f>
        <v/>
      </c>
      <c r="I22" s="14">
        <f>'Empleo Censo'!M22</f>
        <v/>
      </c>
      <c r="J22" s="14">
        <f>SUM('Empleo Censo'!N22:AA22)</f>
        <v/>
      </c>
      <c r="K22" s="14">
        <f>SUM(C22:J22)</f>
        <v/>
      </c>
      <c r="L22" s="15">
        <f>SUMPRODUCT(C22:J22,Factores!$B$3:$I$3)</f>
        <v/>
      </c>
      <c r="M22" s="16">
        <f>'Empleo Censo'!E22</f>
        <v/>
      </c>
      <c r="N22" s="17">
        <f>IF(M22&gt;0,L22,Factores!$B$7)</f>
        <v/>
      </c>
      <c r="O22">
        <f>IF(M22&gt;0,"OK","sin PEA -&gt; peor")</f>
        <v/>
      </c>
    </row>
    <row r="23">
      <c r="A23" t="inlineStr">
        <is>
          <t>100301</t>
        </is>
      </c>
      <c r="B23" t="inlineStr">
        <is>
          <t>LA UNION</t>
        </is>
      </c>
      <c r="C23" s="14">
        <f>'Empleo Censo'!G23-'Empleo Censo'!F23</f>
        <v/>
      </c>
      <c r="D23" s="14">
        <f>'Empleo Censo'!F23</f>
        <v/>
      </c>
      <c r="E23" s="14">
        <f>'Empleo Censo'!H23</f>
        <v/>
      </c>
      <c r="F23" s="14">
        <f>'Empleo Censo'!I23</f>
        <v/>
      </c>
      <c r="G23" s="14">
        <f>'Empleo Censo'!J23+'Empleo Censo'!K23</f>
        <v/>
      </c>
      <c r="H23" s="14">
        <f>'Empleo Censo'!L23</f>
        <v/>
      </c>
      <c r="I23" s="14">
        <f>'Empleo Censo'!M23</f>
        <v/>
      </c>
      <c r="J23" s="14">
        <f>SUM('Empleo Censo'!N23:AA23)</f>
        <v/>
      </c>
      <c r="K23" s="14">
        <f>SUM(C23:J23)</f>
        <v/>
      </c>
      <c r="L23" s="15">
        <f>SUMPRODUCT(C23:J23,Factores!$B$3:$I$3)</f>
        <v/>
      </c>
      <c r="M23" s="16">
        <f>'Empleo Censo'!E23</f>
        <v/>
      </c>
      <c r="N23" s="17">
        <f>IF(M23&gt;0,L23,Factores!$B$7)</f>
        <v/>
      </c>
      <c r="O23">
        <f>IF(M23&gt;0,"OK","sin PEA -&gt; peor")</f>
        <v/>
      </c>
    </row>
    <row r="24">
      <c r="A24" t="inlineStr">
        <is>
          <t>100307</t>
        </is>
      </c>
      <c r="B24" t="inlineStr">
        <is>
          <t>CHUQUIS</t>
        </is>
      </c>
      <c r="C24" s="14">
        <f>'Empleo Censo'!G24-'Empleo Censo'!F24</f>
        <v/>
      </c>
      <c r="D24" s="14">
        <f>'Empleo Censo'!F24</f>
        <v/>
      </c>
      <c r="E24" s="14">
        <f>'Empleo Censo'!H24</f>
        <v/>
      </c>
      <c r="F24" s="14">
        <f>'Empleo Censo'!I24</f>
        <v/>
      </c>
      <c r="G24" s="14">
        <f>'Empleo Censo'!J24+'Empleo Censo'!K24</f>
        <v/>
      </c>
      <c r="H24" s="14">
        <f>'Empleo Censo'!L24</f>
        <v/>
      </c>
      <c r="I24" s="14">
        <f>'Empleo Censo'!M24</f>
        <v/>
      </c>
      <c r="J24" s="14">
        <f>SUM('Empleo Censo'!N24:AA24)</f>
        <v/>
      </c>
      <c r="K24" s="14">
        <f>SUM(C24:J24)</f>
        <v/>
      </c>
      <c r="L24" s="15">
        <f>SUMPRODUCT(C24:J24,Factores!$B$3:$I$3)</f>
        <v/>
      </c>
      <c r="M24" s="16">
        <f>'Empleo Censo'!E24</f>
        <v/>
      </c>
      <c r="N24" s="17">
        <f>IF(M24&gt;0,L24,Factores!$B$7)</f>
        <v/>
      </c>
      <c r="O24">
        <f>IF(M24&gt;0,"OK","sin PEA -&gt; peor")</f>
        <v/>
      </c>
    </row>
    <row r="25">
      <c r="A25" t="inlineStr">
        <is>
          <t>100311</t>
        </is>
      </c>
      <c r="B25" t="inlineStr">
        <is>
          <t>MARIAS</t>
        </is>
      </c>
      <c r="C25" s="14">
        <f>'Empleo Censo'!G25-'Empleo Censo'!F25</f>
        <v/>
      </c>
      <c r="D25" s="14">
        <f>'Empleo Censo'!F25</f>
        <v/>
      </c>
      <c r="E25" s="14">
        <f>'Empleo Censo'!H25</f>
        <v/>
      </c>
      <c r="F25" s="14">
        <f>'Empleo Censo'!I25</f>
        <v/>
      </c>
      <c r="G25" s="14">
        <f>'Empleo Censo'!J25+'Empleo Censo'!K25</f>
        <v/>
      </c>
      <c r="H25" s="14">
        <f>'Empleo Censo'!L25</f>
        <v/>
      </c>
      <c r="I25" s="14">
        <f>'Empleo Censo'!M25</f>
        <v/>
      </c>
      <c r="J25" s="14">
        <f>SUM('Empleo Censo'!N25:AA25)</f>
        <v/>
      </c>
      <c r="K25" s="14">
        <f>SUM(C25:J25)</f>
        <v/>
      </c>
      <c r="L25" s="15">
        <f>SUMPRODUCT(C25:J25,Factores!$B$3:$I$3)</f>
        <v/>
      </c>
      <c r="M25" s="16">
        <f>'Empleo Censo'!E25</f>
        <v/>
      </c>
      <c r="N25" s="17">
        <f>IF(M25&gt;0,L25,Factores!$B$7)</f>
        <v/>
      </c>
      <c r="O25">
        <f>IF(M25&gt;0,"OK","sin PEA -&gt; peor")</f>
        <v/>
      </c>
    </row>
    <row r="26">
      <c r="A26" t="inlineStr">
        <is>
          <t>100313</t>
        </is>
      </c>
      <c r="B26" t="inlineStr">
        <is>
          <t>PACHAS</t>
        </is>
      </c>
      <c r="C26" s="14">
        <f>'Empleo Censo'!G26-'Empleo Censo'!F26</f>
        <v/>
      </c>
      <c r="D26" s="14">
        <f>'Empleo Censo'!F26</f>
        <v/>
      </c>
      <c r="E26" s="14">
        <f>'Empleo Censo'!H26</f>
        <v/>
      </c>
      <c r="F26" s="14">
        <f>'Empleo Censo'!I26</f>
        <v/>
      </c>
      <c r="G26" s="14">
        <f>'Empleo Censo'!J26+'Empleo Censo'!K26</f>
        <v/>
      </c>
      <c r="H26" s="14">
        <f>'Empleo Censo'!L26</f>
        <v/>
      </c>
      <c r="I26" s="14">
        <f>'Empleo Censo'!M26</f>
        <v/>
      </c>
      <c r="J26" s="14">
        <f>SUM('Empleo Censo'!N26:AA26)</f>
        <v/>
      </c>
      <c r="K26" s="14">
        <f>SUM(C26:J26)</f>
        <v/>
      </c>
      <c r="L26" s="15">
        <f>SUMPRODUCT(C26:J26,Factores!$B$3:$I$3)</f>
        <v/>
      </c>
      <c r="M26" s="16">
        <f>'Empleo Censo'!E26</f>
        <v/>
      </c>
      <c r="N26" s="17">
        <f>IF(M26&gt;0,L26,Factores!$B$7)</f>
        <v/>
      </c>
      <c r="O26">
        <f>IF(M26&gt;0,"OK","sin PEA -&gt; peor")</f>
        <v/>
      </c>
    </row>
    <row r="27">
      <c r="A27" t="inlineStr">
        <is>
          <t>100316</t>
        </is>
      </c>
      <c r="B27" t="inlineStr">
        <is>
          <t>QUIVILLA</t>
        </is>
      </c>
      <c r="C27" s="14">
        <f>'Empleo Censo'!G27-'Empleo Censo'!F27</f>
        <v/>
      </c>
      <c r="D27" s="14">
        <f>'Empleo Censo'!F27</f>
        <v/>
      </c>
      <c r="E27" s="14">
        <f>'Empleo Censo'!H27</f>
        <v/>
      </c>
      <c r="F27" s="14">
        <f>'Empleo Censo'!I27</f>
        <v/>
      </c>
      <c r="G27" s="14">
        <f>'Empleo Censo'!J27+'Empleo Censo'!K27</f>
        <v/>
      </c>
      <c r="H27" s="14">
        <f>'Empleo Censo'!L27</f>
        <v/>
      </c>
      <c r="I27" s="14">
        <f>'Empleo Censo'!M27</f>
        <v/>
      </c>
      <c r="J27" s="14">
        <f>SUM('Empleo Censo'!N27:AA27)</f>
        <v/>
      </c>
      <c r="K27" s="14">
        <f>SUM(C27:J27)</f>
        <v/>
      </c>
      <c r="L27" s="15">
        <f>SUMPRODUCT(C27:J27,Factores!$B$3:$I$3)</f>
        <v/>
      </c>
      <c r="M27" s="16">
        <f>'Empleo Censo'!E27</f>
        <v/>
      </c>
      <c r="N27" s="17">
        <f>IF(M27&gt;0,L27,Factores!$B$7)</f>
        <v/>
      </c>
      <c r="O27">
        <f>IF(M27&gt;0,"OK","sin PEA -&gt; peor")</f>
        <v/>
      </c>
    </row>
    <row r="28">
      <c r="A28" t="inlineStr">
        <is>
          <t>100317</t>
        </is>
      </c>
      <c r="B28" t="inlineStr">
        <is>
          <t>RIPAN</t>
        </is>
      </c>
      <c r="C28" s="14">
        <f>'Empleo Censo'!G28-'Empleo Censo'!F28</f>
        <v/>
      </c>
      <c r="D28" s="14">
        <f>'Empleo Censo'!F28</f>
        <v/>
      </c>
      <c r="E28" s="14">
        <f>'Empleo Censo'!H28</f>
        <v/>
      </c>
      <c r="F28" s="14">
        <f>'Empleo Censo'!I28</f>
        <v/>
      </c>
      <c r="G28" s="14">
        <f>'Empleo Censo'!J28+'Empleo Censo'!K28</f>
        <v/>
      </c>
      <c r="H28" s="14">
        <f>'Empleo Censo'!L28</f>
        <v/>
      </c>
      <c r="I28" s="14">
        <f>'Empleo Censo'!M28</f>
        <v/>
      </c>
      <c r="J28" s="14">
        <f>SUM('Empleo Censo'!N28:AA28)</f>
        <v/>
      </c>
      <c r="K28" s="14">
        <f>SUM(C28:J28)</f>
        <v/>
      </c>
      <c r="L28" s="15">
        <f>SUMPRODUCT(C28:J28,Factores!$B$3:$I$3)</f>
        <v/>
      </c>
      <c r="M28" s="16">
        <f>'Empleo Censo'!E28</f>
        <v/>
      </c>
      <c r="N28" s="17">
        <f>IF(M28&gt;0,L28,Factores!$B$7)</f>
        <v/>
      </c>
      <c r="O28">
        <f>IF(M28&gt;0,"OK","sin PEA -&gt; peor")</f>
        <v/>
      </c>
    </row>
    <row r="29">
      <c r="A29" t="inlineStr">
        <is>
          <t>100321</t>
        </is>
      </c>
      <c r="B29" t="inlineStr">
        <is>
          <t>SHUNQUI</t>
        </is>
      </c>
      <c r="C29" s="14">
        <f>'Empleo Censo'!G29-'Empleo Censo'!F29</f>
        <v/>
      </c>
      <c r="D29" s="14">
        <f>'Empleo Censo'!F29</f>
        <v/>
      </c>
      <c r="E29" s="14">
        <f>'Empleo Censo'!H29</f>
        <v/>
      </c>
      <c r="F29" s="14">
        <f>'Empleo Censo'!I29</f>
        <v/>
      </c>
      <c r="G29" s="14">
        <f>'Empleo Censo'!J29+'Empleo Censo'!K29</f>
        <v/>
      </c>
      <c r="H29" s="14">
        <f>'Empleo Censo'!L29</f>
        <v/>
      </c>
      <c r="I29" s="14">
        <f>'Empleo Censo'!M29</f>
        <v/>
      </c>
      <c r="J29" s="14">
        <f>SUM('Empleo Censo'!N29:AA29)</f>
        <v/>
      </c>
      <c r="K29" s="14">
        <f>SUM(C29:J29)</f>
        <v/>
      </c>
      <c r="L29" s="15">
        <f>SUMPRODUCT(C29:J29,Factores!$B$3:$I$3)</f>
        <v/>
      </c>
      <c r="M29" s="16">
        <f>'Empleo Censo'!E29</f>
        <v/>
      </c>
      <c r="N29" s="17">
        <f>IF(M29&gt;0,L29,Factores!$B$7)</f>
        <v/>
      </c>
      <c r="O29">
        <f>IF(M29&gt;0,"OK","sin PEA -&gt; peor")</f>
        <v/>
      </c>
    </row>
    <row r="30">
      <c r="A30" t="inlineStr">
        <is>
          <t>100322</t>
        </is>
      </c>
      <c r="B30" t="inlineStr">
        <is>
          <t>SILLAPATA</t>
        </is>
      </c>
      <c r="C30" s="14">
        <f>'Empleo Censo'!G30-'Empleo Censo'!F30</f>
        <v/>
      </c>
      <c r="D30" s="14">
        <f>'Empleo Censo'!F30</f>
        <v/>
      </c>
      <c r="E30" s="14">
        <f>'Empleo Censo'!H30</f>
        <v/>
      </c>
      <c r="F30" s="14">
        <f>'Empleo Censo'!I30</f>
        <v/>
      </c>
      <c r="G30" s="14">
        <f>'Empleo Censo'!J30+'Empleo Censo'!K30</f>
        <v/>
      </c>
      <c r="H30" s="14">
        <f>'Empleo Censo'!L30</f>
        <v/>
      </c>
      <c r="I30" s="14">
        <f>'Empleo Censo'!M30</f>
        <v/>
      </c>
      <c r="J30" s="14">
        <f>SUM('Empleo Censo'!N30:AA30)</f>
        <v/>
      </c>
      <c r="K30" s="14">
        <f>SUM(C30:J30)</f>
        <v/>
      </c>
      <c r="L30" s="15">
        <f>SUMPRODUCT(C30:J30,Factores!$B$3:$I$3)</f>
        <v/>
      </c>
      <c r="M30" s="16">
        <f>'Empleo Censo'!E30</f>
        <v/>
      </c>
      <c r="N30" s="17">
        <f>IF(M30&gt;0,L30,Factores!$B$7)</f>
        <v/>
      </c>
      <c r="O30">
        <f>IF(M30&gt;0,"OK","sin PEA -&gt; peor")</f>
        <v/>
      </c>
    </row>
    <row r="31">
      <c r="A31" t="inlineStr">
        <is>
          <t>100323</t>
        </is>
      </c>
      <c r="B31" t="inlineStr">
        <is>
          <t>YANAS</t>
        </is>
      </c>
      <c r="C31" s="14">
        <f>'Empleo Censo'!G31-'Empleo Censo'!F31</f>
        <v/>
      </c>
      <c r="D31" s="14">
        <f>'Empleo Censo'!F31</f>
        <v/>
      </c>
      <c r="E31" s="14">
        <f>'Empleo Censo'!H31</f>
        <v/>
      </c>
      <c r="F31" s="14">
        <f>'Empleo Censo'!I31</f>
        <v/>
      </c>
      <c r="G31" s="14">
        <f>'Empleo Censo'!J31+'Empleo Censo'!K31</f>
        <v/>
      </c>
      <c r="H31" s="14">
        <f>'Empleo Censo'!L31</f>
        <v/>
      </c>
      <c r="I31" s="14">
        <f>'Empleo Censo'!M31</f>
        <v/>
      </c>
      <c r="J31" s="14">
        <f>SUM('Empleo Censo'!N31:AA31)</f>
        <v/>
      </c>
      <c r="K31" s="14">
        <f>SUM(C31:J31)</f>
        <v/>
      </c>
      <c r="L31" s="15">
        <f>SUMPRODUCT(C31:J31,Factores!$B$3:$I$3)</f>
        <v/>
      </c>
      <c r="M31" s="16">
        <f>'Empleo Censo'!E31</f>
        <v/>
      </c>
      <c r="N31" s="17">
        <f>IF(M31&gt;0,L31,Factores!$B$7)</f>
        <v/>
      </c>
      <c r="O31">
        <f>IF(M31&gt;0,"OK","sin PEA -&gt; peor")</f>
        <v/>
      </c>
    </row>
    <row r="32">
      <c r="A32" t="inlineStr">
        <is>
          <t>100401</t>
        </is>
      </c>
      <c r="B32" t="inlineStr">
        <is>
          <t>HUACAYBAMBA</t>
        </is>
      </c>
      <c r="C32" s="14">
        <f>'Empleo Censo'!G32-'Empleo Censo'!F32</f>
        <v/>
      </c>
      <c r="D32" s="14">
        <f>'Empleo Censo'!F32</f>
        <v/>
      </c>
      <c r="E32" s="14">
        <f>'Empleo Censo'!H32</f>
        <v/>
      </c>
      <c r="F32" s="14">
        <f>'Empleo Censo'!I32</f>
        <v/>
      </c>
      <c r="G32" s="14">
        <f>'Empleo Censo'!J32+'Empleo Censo'!K32</f>
        <v/>
      </c>
      <c r="H32" s="14">
        <f>'Empleo Censo'!L32</f>
        <v/>
      </c>
      <c r="I32" s="14">
        <f>'Empleo Censo'!M32</f>
        <v/>
      </c>
      <c r="J32" s="14">
        <f>SUM('Empleo Censo'!N32:AA32)</f>
        <v/>
      </c>
      <c r="K32" s="14">
        <f>SUM(C32:J32)</f>
        <v/>
      </c>
      <c r="L32" s="15">
        <f>SUMPRODUCT(C32:J32,Factores!$B$3:$I$3)</f>
        <v/>
      </c>
      <c r="M32" s="16">
        <f>'Empleo Censo'!E32</f>
        <v/>
      </c>
      <c r="N32" s="17">
        <f>IF(M32&gt;0,L32,Factores!$B$7)</f>
        <v/>
      </c>
      <c r="O32">
        <f>IF(M32&gt;0,"OK","sin PEA -&gt; peor")</f>
        <v/>
      </c>
    </row>
    <row r="33">
      <c r="A33" t="inlineStr">
        <is>
          <t>100402</t>
        </is>
      </c>
      <c r="B33" t="inlineStr">
        <is>
          <t>CANCHABAMBA</t>
        </is>
      </c>
      <c r="C33" s="14">
        <f>'Empleo Censo'!G33-'Empleo Censo'!F33</f>
        <v/>
      </c>
      <c r="D33" s="14">
        <f>'Empleo Censo'!F33</f>
        <v/>
      </c>
      <c r="E33" s="14">
        <f>'Empleo Censo'!H33</f>
        <v/>
      </c>
      <c r="F33" s="14">
        <f>'Empleo Censo'!I33</f>
        <v/>
      </c>
      <c r="G33" s="14">
        <f>'Empleo Censo'!J33+'Empleo Censo'!K33</f>
        <v/>
      </c>
      <c r="H33" s="14">
        <f>'Empleo Censo'!L33</f>
        <v/>
      </c>
      <c r="I33" s="14">
        <f>'Empleo Censo'!M33</f>
        <v/>
      </c>
      <c r="J33" s="14">
        <f>SUM('Empleo Censo'!N33:AA33)</f>
        <v/>
      </c>
      <c r="K33" s="14">
        <f>SUM(C33:J33)</f>
        <v/>
      </c>
      <c r="L33" s="15">
        <f>SUMPRODUCT(C33:J33,Factores!$B$3:$I$3)</f>
        <v/>
      </c>
      <c r="M33" s="16">
        <f>'Empleo Censo'!E33</f>
        <v/>
      </c>
      <c r="N33" s="17">
        <f>IF(M33&gt;0,L33,Factores!$B$7)</f>
        <v/>
      </c>
      <c r="O33">
        <f>IF(M33&gt;0,"OK","sin PEA -&gt; peor")</f>
        <v/>
      </c>
    </row>
    <row r="34">
      <c r="A34" t="inlineStr">
        <is>
          <t>100403</t>
        </is>
      </c>
      <c r="B34" t="inlineStr">
        <is>
          <t>COCHABAMBA</t>
        </is>
      </c>
      <c r="C34" s="14">
        <f>'Empleo Censo'!G34-'Empleo Censo'!F34</f>
        <v/>
      </c>
      <c r="D34" s="14">
        <f>'Empleo Censo'!F34</f>
        <v/>
      </c>
      <c r="E34" s="14">
        <f>'Empleo Censo'!H34</f>
        <v/>
      </c>
      <c r="F34" s="14">
        <f>'Empleo Censo'!I34</f>
        <v/>
      </c>
      <c r="G34" s="14">
        <f>'Empleo Censo'!J34+'Empleo Censo'!K34</f>
        <v/>
      </c>
      <c r="H34" s="14">
        <f>'Empleo Censo'!L34</f>
        <v/>
      </c>
      <c r="I34" s="14">
        <f>'Empleo Censo'!M34</f>
        <v/>
      </c>
      <c r="J34" s="14">
        <f>SUM('Empleo Censo'!N34:AA34)</f>
        <v/>
      </c>
      <c r="K34" s="14">
        <f>SUM(C34:J34)</f>
        <v/>
      </c>
      <c r="L34" s="15">
        <f>SUMPRODUCT(C34:J34,Factores!$B$3:$I$3)</f>
        <v/>
      </c>
      <c r="M34" s="16">
        <f>'Empleo Censo'!E34</f>
        <v/>
      </c>
      <c r="N34" s="17">
        <f>IF(M34&gt;0,L34,Factores!$B$7)</f>
        <v/>
      </c>
      <c r="O34">
        <f>IF(M34&gt;0,"OK","sin PEA -&gt; peor")</f>
        <v/>
      </c>
    </row>
    <row r="35">
      <c r="A35" t="inlineStr">
        <is>
          <t>100404</t>
        </is>
      </c>
      <c r="B35" t="inlineStr">
        <is>
          <t>PINRA</t>
        </is>
      </c>
      <c r="C35" s="14">
        <f>'Empleo Censo'!G35-'Empleo Censo'!F35</f>
        <v/>
      </c>
      <c r="D35" s="14">
        <f>'Empleo Censo'!F35</f>
        <v/>
      </c>
      <c r="E35" s="14">
        <f>'Empleo Censo'!H35</f>
        <v/>
      </c>
      <c r="F35" s="14">
        <f>'Empleo Censo'!I35</f>
        <v/>
      </c>
      <c r="G35" s="14">
        <f>'Empleo Censo'!J35+'Empleo Censo'!K35</f>
        <v/>
      </c>
      <c r="H35" s="14">
        <f>'Empleo Censo'!L35</f>
        <v/>
      </c>
      <c r="I35" s="14">
        <f>'Empleo Censo'!M35</f>
        <v/>
      </c>
      <c r="J35" s="14">
        <f>SUM('Empleo Censo'!N35:AA35)</f>
        <v/>
      </c>
      <c r="K35" s="14">
        <f>SUM(C35:J35)</f>
        <v/>
      </c>
      <c r="L35" s="15">
        <f>SUMPRODUCT(C35:J35,Factores!$B$3:$I$3)</f>
        <v/>
      </c>
      <c r="M35" s="16">
        <f>'Empleo Censo'!E35</f>
        <v/>
      </c>
      <c r="N35" s="17">
        <f>IF(M35&gt;0,L35,Factores!$B$7)</f>
        <v/>
      </c>
      <c r="O35">
        <f>IF(M35&gt;0,"OK","sin PEA -&gt; peor")</f>
        <v/>
      </c>
    </row>
    <row r="36">
      <c r="A36" t="inlineStr">
        <is>
          <t>100501</t>
        </is>
      </c>
      <c r="B36" t="inlineStr">
        <is>
          <t>LLATA</t>
        </is>
      </c>
      <c r="C36" s="14">
        <f>'Empleo Censo'!G36-'Empleo Censo'!F36</f>
        <v/>
      </c>
      <c r="D36" s="14">
        <f>'Empleo Censo'!F36</f>
        <v/>
      </c>
      <c r="E36" s="14">
        <f>'Empleo Censo'!H36</f>
        <v/>
      </c>
      <c r="F36" s="14">
        <f>'Empleo Censo'!I36</f>
        <v/>
      </c>
      <c r="G36" s="14">
        <f>'Empleo Censo'!J36+'Empleo Censo'!K36</f>
        <v/>
      </c>
      <c r="H36" s="14">
        <f>'Empleo Censo'!L36</f>
        <v/>
      </c>
      <c r="I36" s="14">
        <f>'Empleo Censo'!M36</f>
        <v/>
      </c>
      <c r="J36" s="14">
        <f>SUM('Empleo Censo'!N36:AA36)</f>
        <v/>
      </c>
      <c r="K36" s="14">
        <f>SUM(C36:J36)</f>
        <v/>
      </c>
      <c r="L36" s="15">
        <f>SUMPRODUCT(C36:J36,Factores!$B$3:$I$3)</f>
        <v/>
      </c>
      <c r="M36" s="16">
        <f>'Empleo Censo'!E36</f>
        <v/>
      </c>
      <c r="N36" s="17">
        <f>IF(M36&gt;0,L36,Factores!$B$7)</f>
        <v/>
      </c>
      <c r="O36">
        <f>IF(M36&gt;0,"OK","sin PEA -&gt; peor")</f>
        <v/>
      </c>
    </row>
    <row r="37">
      <c r="A37" t="inlineStr">
        <is>
          <t>100502</t>
        </is>
      </c>
      <c r="B37" t="inlineStr">
        <is>
          <t>ARANCAY</t>
        </is>
      </c>
      <c r="C37" s="14">
        <f>'Empleo Censo'!G37-'Empleo Censo'!F37</f>
        <v/>
      </c>
      <c r="D37" s="14">
        <f>'Empleo Censo'!F37</f>
        <v/>
      </c>
      <c r="E37" s="14">
        <f>'Empleo Censo'!H37</f>
        <v/>
      </c>
      <c r="F37" s="14">
        <f>'Empleo Censo'!I37</f>
        <v/>
      </c>
      <c r="G37" s="14">
        <f>'Empleo Censo'!J37+'Empleo Censo'!K37</f>
        <v/>
      </c>
      <c r="H37" s="14">
        <f>'Empleo Censo'!L37</f>
        <v/>
      </c>
      <c r="I37" s="14">
        <f>'Empleo Censo'!M37</f>
        <v/>
      </c>
      <c r="J37" s="14">
        <f>SUM('Empleo Censo'!N37:AA37)</f>
        <v/>
      </c>
      <c r="K37" s="14">
        <f>SUM(C37:J37)</f>
        <v/>
      </c>
      <c r="L37" s="15">
        <f>SUMPRODUCT(C37:J37,Factores!$B$3:$I$3)</f>
        <v/>
      </c>
      <c r="M37" s="16">
        <f>'Empleo Censo'!E37</f>
        <v/>
      </c>
      <c r="N37" s="17">
        <f>IF(M37&gt;0,L37,Factores!$B$7)</f>
        <v/>
      </c>
      <c r="O37">
        <f>IF(M37&gt;0,"OK","sin PEA -&gt; peor")</f>
        <v/>
      </c>
    </row>
    <row r="38">
      <c r="A38" t="inlineStr">
        <is>
          <t>100503</t>
        </is>
      </c>
      <c r="B38" t="inlineStr">
        <is>
          <t>CHAVIN DE PARIARCA</t>
        </is>
      </c>
      <c r="C38" s="14">
        <f>'Empleo Censo'!G38-'Empleo Censo'!F38</f>
        <v/>
      </c>
      <c r="D38" s="14">
        <f>'Empleo Censo'!F38</f>
        <v/>
      </c>
      <c r="E38" s="14">
        <f>'Empleo Censo'!H38</f>
        <v/>
      </c>
      <c r="F38" s="14">
        <f>'Empleo Censo'!I38</f>
        <v/>
      </c>
      <c r="G38" s="14">
        <f>'Empleo Censo'!J38+'Empleo Censo'!K38</f>
        <v/>
      </c>
      <c r="H38" s="14">
        <f>'Empleo Censo'!L38</f>
        <v/>
      </c>
      <c r="I38" s="14">
        <f>'Empleo Censo'!M38</f>
        <v/>
      </c>
      <c r="J38" s="14">
        <f>SUM('Empleo Censo'!N38:AA38)</f>
        <v/>
      </c>
      <c r="K38" s="14">
        <f>SUM(C38:J38)</f>
        <v/>
      </c>
      <c r="L38" s="15">
        <f>SUMPRODUCT(C38:J38,Factores!$B$3:$I$3)</f>
        <v/>
      </c>
      <c r="M38" s="16">
        <f>'Empleo Censo'!E38</f>
        <v/>
      </c>
      <c r="N38" s="17">
        <f>IF(M38&gt;0,L38,Factores!$B$7)</f>
        <v/>
      </c>
      <c r="O38">
        <f>IF(M38&gt;0,"OK","sin PEA -&gt; peor")</f>
        <v/>
      </c>
    </row>
    <row r="39">
      <c r="A39" t="inlineStr">
        <is>
          <t>100504</t>
        </is>
      </c>
      <c r="B39" t="inlineStr">
        <is>
          <t>JACAS GRANDE</t>
        </is>
      </c>
      <c r="C39" s="14">
        <f>'Empleo Censo'!G39-'Empleo Censo'!F39</f>
        <v/>
      </c>
      <c r="D39" s="14">
        <f>'Empleo Censo'!F39</f>
        <v/>
      </c>
      <c r="E39" s="14">
        <f>'Empleo Censo'!H39</f>
        <v/>
      </c>
      <c r="F39" s="14">
        <f>'Empleo Censo'!I39</f>
        <v/>
      </c>
      <c r="G39" s="14">
        <f>'Empleo Censo'!J39+'Empleo Censo'!K39</f>
        <v/>
      </c>
      <c r="H39" s="14">
        <f>'Empleo Censo'!L39</f>
        <v/>
      </c>
      <c r="I39" s="14">
        <f>'Empleo Censo'!M39</f>
        <v/>
      </c>
      <c r="J39" s="14">
        <f>SUM('Empleo Censo'!N39:AA39)</f>
        <v/>
      </c>
      <c r="K39" s="14">
        <f>SUM(C39:J39)</f>
        <v/>
      </c>
      <c r="L39" s="15">
        <f>SUMPRODUCT(C39:J39,Factores!$B$3:$I$3)</f>
        <v/>
      </c>
      <c r="M39" s="16">
        <f>'Empleo Censo'!E39</f>
        <v/>
      </c>
      <c r="N39" s="17">
        <f>IF(M39&gt;0,L39,Factores!$B$7)</f>
        <v/>
      </c>
      <c r="O39">
        <f>IF(M39&gt;0,"OK","sin PEA -&gt; peor")</f>
        <v/>
      </c>
    </row>
    <row r="40">
      <c r="A40" t="inlineStr">
        <is>
          <t>100505</t>
        </is>
      </c>
      <c r="B40" t="inlineStr">
        <is>
          <t>JIRCAN</t>
        </is>
      </c>
      <c r="C40" s="14">
        <f>'Empleo Censo'!G40-'Empleo Censo'!F40</f>
        <v/>
      </c>
      <c r="D40" s="14">
        <f>'Empleo Censo'!F40</f>
        <v/>
      </c>
      <c r="E40" s="14">
        <f>'Empleo Censo'!H40</f>
        <v/>
      </c>
      <c r="F40" s="14">
        <f>'Empleo Censo'!I40</f>
        <v/>
      </c>
      <c r="G40" s="14">
        <f>'Empleo Censo'!J40+'Empleo Censo'!K40</f>
        <v/>
      </c>
      <c r="H40" s="14">
        <f>'Empleo Censo'!L40</f>
        <v/>
      </c>
      <c r="I40" s="14">
        <f>'Empleo Censo'!M40</f>
        <v/>
      </c>
      <c r="J40" s="14">
        <f>SUM('Empleo Censo'!N40:AA40)</f>
        <v/>
      </c>
      <c r="K40" s="14">
        <f>SUM(C40:J40)</f>
        <v/>
      </c>
      <c r="L40" s="15">
        <f>SUMPRODUCT(C40:J40,Factores!$B$3:$I$3)</f>
        <v/>
      </c>
      <c r="M40" s="16">
        <f>'Empleo Censo'!E40</f>
        <v/>
      </c>
      <c r="N40" s="17">
        <f>IF(M40&gt;0,L40,Factores!$B$7)</f>
        <v/>
      </c>
      <c r="O40">
        <f>IF(M40&gt;0,"OK","sin PEA -&gt; peor")</f>
        <v/>
      </c>
    </row>
    <row r="41">
      <c r="A41" t="inlineStr">
        <is>
          <t>100506</t>
        </is>
      </c>
      <c r="B41" t="inlineStr">
        <is>
          <t>MIRAFLORES</t>
        </is>
      </c>
      <c r="C41" s="14">
        <f>'Empleo Censo'!G41-'Empleo Censo'!F41</f>
        <v/>
      </c>
      <c r="D41" s="14">
        <f>'Empleo Censo'!F41</f>
        <v/>
      </c>
      <c r="E41" s="14">
        <f>'Empleo Censo'!H41</f>
        <v/>
      </c>
      <c r="F41" s="14">
        <f>'Empleo Censo'!I41</f>
        <v/>
      </c>
      <c r="G41" s="14">
        <f>'Empleo Censo'!J41+'Empleo Censo'!K41</f>
        <v/>
      </c>
      <c r="H41" s="14">
        <f>'Empleo Censo'!L41</f>
        <v/>
      </c>
      <c r="I41" s="14">
        <f>'Empleo Censo'!M41</f>
        <v/>
      </c>
      <c r="J41" s="14">
        <f>SUM('Empleo Censo'!N41:AA41)</f>
        <v/>
      </c>
      <c r="K41" s="14">
        <f>SUM(C41:J41)</f>
        <v/>
      </c>
      <c r="L41" s="15">
        <f>SUMPRODUCT(C41:J41,Factores!$B$3:$I$3)</f>
        <v/>
      </c>
      <c r="M41" s="16">
        <f>'Empleo Censo'!E41</f>
        <v/>
      </c>
      <c r="N41" s="17">
        <f>IF(M41&gt;0,L41,Factores!$B$7)</f>
        <v/>
      </c>
      <c r="O41">
        <f>IF(M41&gt;0,"OK","sin PEA -&gt; peor")</f>
        <v/>
      </c>
    </row>
    <row r="42">
      <c r="A42" t="inlineStr">
        <is>
          <t>100507</t>
        </is>
      </c>
      <c r="B42" t="inlineStr">
        <is>
          <t>MONZON</t>
        </is>
      </c>
      <c r="C42" s="14">
        <f>'Empleo Censo'!G42-'Empleo Censo'!F42</f>
        <v/>
      </c>
      <c r="D42" s="14">
        <f>'Empleo Censo'!F42</f>
        <v/>
      </c>
      <c r="E42" s="14">
        <f>'Empleo Censo'!H42</f>
        <v/>
      </c>
      <c r="F42" s="14">
        <f>'Empleo Censo'!I42</f>
        <v/>
      </c>
      <c r="G42" s="14">
        <f>'Empleo Censo'!J42+'Empleo Censo'!K42</f>
        <v/>
      </c>
      <c r="H42" s="14">
        <f>'Empleo Censo'!L42</f>
        <v/>
      </c>
      <c r="I42" s="14">
        <f>'Empleo Censo'!M42</f>
        <v/>
      </c>
      <c r="J42" s="14">
        <f>SUM('Empleo Censo'!N42:AA42)</f>
        <v/>
      </c>
      <c r="K42" s="14">
        <f>SUM(C42:J42)</f>
        <v/>
      </c>
      <c r="L42" s="15">
        <f>SUMPRODUCT(C42:J42,Factores!$B$3:$I$3)</f>
        <v/>
      </c>
      <c r="M42" s="16">
        <f>'Empleo Censo'!E42</f>
        <v/>
      </c>
      <c r="N42" s="17">
        <f>IF(M42&gt;0,L42,Factores!$B$7)</f>
        <v/>
      </c>
      <c r="O42">
        <f>IF(M42&gt;0,"OK","sin PEA -&gt; peor")</f>
        <v/>
      </c>
    </row>
    <row r="43">
      <c r="A43" t="inlineStr">
        <is>
          <t>100508</t>
        </is>
      </c>
      <c r="B43" t="inlineStr">
        <is>
          <t>PUNCHAO</t>
        </is>
      </c>
      <c r="C43" s="14">
        <f>'Empleo Censo'!G43-'Empleo Censo'!F43</f>
        <v/>
      </c>
      <c r="D43" s="14">
        <f>'Empleo Censo'!F43</f>
        <v/>
      </c>
      <c r="E43" s="14">
        <f>'Empleo Censo'!H43</f>
        <v/>
      </c>
      <c r="F43" s="14">
        <f>'Empleo Censo'!I43</f>
        <v/>
      </c>
      <c r="G43" s="14">
        <f>'Empleo Censo'!J43+'Empleo Censo'!K43</f>
        <v/>
      </c>
      <c r="H43" s="14">
        <f>'Empleo Censo'!L43</f>
        <v/>
      </c>
      <c r="I43" s="14">
        <f>'Empleo Censo'!M43</f>
        <v/>
      </c>
      <c r="J43" s="14">
        <f>SUM('Empleo Censo'!N43:AA43)</f>
        <v/>
      </c>
      <c r="K43" s="14">
        <f>SUM(C43:J43)</f>
        <v/>
      </c>
      <c r="L43" s="15">
        <f>SUMPRODUCT(C43:J43,Factores!$B$3:$I$3)</f>
        <v/>
      </c>
      <c r="M43" s="16">
        <f>'Empleo Censo'!E43</f>
        <v/>
      </c>
      <c r="N43" s="17">
        <f>IF(M43&gt;0,L43,Factores!$B$7)</f>
        <v/>
      </c>
      <c r="O43">
        <f>IF(M43&gt;0,"OK","sin PEA -&gt; peor")</f>
        <v/>
      </c>
    </row>
    <row r="44">
      <c r="A44" t="inlineStr">
        <is>
          <t>100509</t>
        </is>
      </c>
      <c r="B44" t="inlineStr">
        <is>
          <t>PUÑOS</t>
        </is>
      </c>
      <c r="C44" s="14">
        <f>'Empleo Censo'!G44-'Empleo Censo'!F44</f>
        <v/>
      </c>
      <c r="D44" s="14">
        <f>'Empleo Censo'!F44</f>
        <v/>
      </c>
      <c r="E44" s="14">
        <f>'Empleo Censo'!H44</f>
        <v/>
      </c>
      <c r="F44" s="14">
        <f>'Empleo Censo'!I44</f>
        <v/>
      </c>
      <c r="G44" s="14">
        <f>'Empleo Censo'!J44+'Empleo Censo'!K44</f>
        <v/>
      </c>
      <c r="H44" s="14">
        <f>'Empleo Censo'!L44</f>
        <v/>
      </c>
      <c r="I44" s="14">
        <f>'Empleo Censo'!M44</f>
        <v/>
      </c>
      <c r="J44" s="14">
        <f>SUM('Empleo Censo'!N44:AA44)</f>
        <v/>
      </c>
      <c r="K44" s="14">
        <f>SUM(C44:J44)</f>
        <v/>
      </c>
      <c r="L44" s="15">
        <f>SUMPRODUCT(C44:J44,Factores!$B$3:$I$3)</f>
        <v/>
      </c>
      <c r="M44" s="16">
        <f>'Empleo Censo'!E44</f>
        <v/>
      </c>
      <c r="N44" s="17">
        <f>IF(M44&gt;0,L44,Factores!$B$7)</f>
        <v/>
      </c>
      <c r="O44">
        <f>IF(M44&gt;0,"OK","sin PEA -&gt; peor")</f>
        <v/>
      </c>
    </row>
    <row r="45">
      <c r="A45" t="inlineStr">
        <is>
          <t>100510</t>
        </is>
      </c>
      <c r="B45" t="inlineStr">
        <is>
          <t>SINGA</t>
        </is>
      </c>
      <c r="C45" s="14">
        <f>'Empleo Censo'!G45-'Empleo Censo'!F45</f>
        <v/>
      </c>
      <c r="D45" s="14">
        <f>'Empleo Censo'!F45</f>
        <v/>
      </c>
      <c r="E45" s="14">
        <f>'Empleo Censo'!H45</f>
        <v/>
      </c>
      <c r="F45" s="14">
        <f>'Empleo Censo'!I45</f>
        <v/>
      </c>
      <c r="G45" s="14">
        <f>'Empleo Censo'!J45+'Empleo Censo'!K45</f>
        <v/>
      </c>
      <c r="H45" s="14">
        <f>'Empleo Censo'!L45</f>
        <v/>
      </c>
      <c r="I45" s="14">
        <f>'Empleo Censo'!M45</f>
        <v/>
      </c>
      <c r="J45" s="14">
        <f>SUM('Empleo Censo'!N45:AA45)</f>
        <v/>
      </c>
      <c r="K45" s="14">
        <f>SUM(C45:J45)</f>
        <v/>
      </c>
      <c r="L45" s="15">
        <f>SUMPRODUCT(C45:J45,Factores!$B$3:$I$3)</f>
        <v/>
      </c>
      <c r="M45" s="16">
        <f>'Empleo Censo'!E45</f>
        <v/>
      </c>
      <c r="N45" s="17">
        <f>IF(M45&gt;0,L45,Factores!$B$7)</f>
        <v/>
      </c>
      <c r="O45">
        <f>IF(M45&gt;0,"OK","sin PEA -&gt; peor")</f>
        <v/>
      </c>
    </row>
    <row r="46">
      <c r="A46" t="inlineStr">
        <is>
          <t>100511</t>
        </is>
      </c>
      <c r="B46" t="inlineStr">
        <is>
          <t>TANTAMAYO</t>
        </is>
      </c>
      <c r="C46" s="14">
        <f>'Empleo Censo'!G46-'Empleo Censo'!F46</f>
        <v/>
      </c>
      <c r="D46" s="14">
        <f>'Empleo Censo'!F46</f>
        <v/>
      </c>
      <c r="E46" s="14">
        <f>'Empleo Censo'!H46</f>
        <v/>
      </c>
      <c r="F46" s="14">
        <f>'Empleo Censo'!I46</f>
        <v/>
      </c>
      <c r="G46" s="14">
        <f>'Empleo Censo'!J46+'Empleo Censo'!K46</f>
        <v/>
      </c>
      <c r="H46" s="14">
        <f>'Empleo Censo'!L46</f>
        <v/>
      </c>
      <c r="I46" s="14">
        <f>'Empleo Censo'!M46</f>
        <v/>
      </c>
      <c r="J46" s="14">
        <f>SUM('Empleo Censo'!N46:AA46)</f>
        <v/>
      </c>
      <c r="K46" s="14">
        <f>SUM(C46:J46)</f>
        <v/>
      </c>
      <c r="L46" s="15">
        <f>SUMPRODUCT(C46:J46,Factores!$B$3:$I$3)</f>
        <v/>
      </c>
      <c r="M46" s="16">
        <f>'Empleo Censo'!E46</f>
        <v/>
      </c>
      <c r="N46" s="17">
        <f>IF(M46&gt;0,L46,Factores!$B$7)</f>
        <v/>
      </c>
      <c r="O46">
        <f>IF(M46&gt;0,"OK","sin PEA -&gt; peor")</f>
        <v/>
      </c>
    </row>
    <row r="47">
      <c r="A47" t="inlineStr">
        <is>
          <t>100601</t>
        </is>
      </c>
      <c r="B47" t="inlineStr">
        <is>
          <t>RUPA-RUPA</t>
        </is>
      </c>
      <c r="C47" s="14">
        <f>'Empleo Censo'!G47-'Empleo Censo'!F47</f>
        <v/>
      </c>
      <c r="D47" s="14">
        <f>'Empleo Censo'!F47</f>
        <v/>
      </c>
      <c r="E47" s="14">
        <f>'Empleo Censo'!H47</f>
        <v/>
      </c>
      <c r="F47" s="14">
        <f>'Empleo Censo'!I47</f>
        <v/>
      </c>
      <c r="G47" s="14">
        <f>'Empleo Censo'!J47+'Empleo Censo'!K47</f>
        <v/>
      </c>
      <c r="H47" s="14">
        <f>'Empleo Censo'!L47</f>
        <v/>
      </c>
      <c r="I47" s="14">
        <f>'Empleo Censo'!M47</f>
        <v/>
      </c>
      <c r="J47" s="14">
        <f>SUM('Empleo Censo'!N47:AA47)</f>
        <v/>
      </c>
      <c r="K47" s="14">
        <f>SUM(C47:J47)</f>
        <v/>
      </c>
      <c r="L47" s="15">
        <f>SUMPRODUCT(C47:J47,Factores!$B$3:$I$3)</f>
        <v/>
      </c>
      <c r="M47" s="16">
        <f>'Empleo Censo'!E47</f>
        <v/>
      </c>
      <c r="N47" s="17">
        <f>IF(M47&gt;0,L47,Factores!$B$7)</f>
        <v/>
      </c>
      <c r="O47">
        <f>IF(M47&gt;0,"OK","sin PEA -&gt; peor")</f>
        <v/>
      </c>
    </row>
    <row r="48">
      <c r="A48" t="inlineStr">
        <is>
          <t>100602</t>
        </is>
      </c>
      <c r="B48" t="inlineStr">
        <is>
          <t>DANIEL ALOMIAS ROBLES</t>
        </is>
      </c>
      <c r="C48" s="14">
        <f>'Empleo Censo'!G48-'Empleo Censo'!F48</f>
        <v/>
      </c>
      <c r="D48" s="14">
        <f>'Empleo Censo'!F48</f>
        <v/>
      </c>
      <c r="E48" s="14">
        <f>'Empleo Censo'!H48</f>
        <v/>
      </c>
      <c r="F48" s="14">
        <f>'Empleo Censo'!I48</f>
        <v/>
      </c>
      <c r="G48" s="14">
        <f>'Empleo Censo'!J48+'Empleo Censo'!K48</f>
        <v/>
      </c>
      <c r="H48" s="14">
        <f>'Empleo Censo'!L48</f>
        <v/>
      </c>
      <c r="I48" s="14">
        <f>'Empleo Censo'!M48</f>
        <v/>
      </c>
      <c r="J48" s="14">
        <f>SUM('Empleo Censo'!N48:AA48)</f>
        <v/>
      </c>
      <c r="K48" s="14">
        <f>SUM(C48:J48)</f>
        <v/>
      </c>
      <c r="L48" s="15">
        <f>SUMPRODUCT(C48:J48,Factores!$B$3:$I$3)</f>
        <v/>
      </c>
      <c r="M48" s="16">
        <f>'Empleo Censo'!E48</f>
        <v/>
      </c>
      <c r="N48" s="17">
        <f>IF(M48&gt;0,L48,Factores!$B$7)</f>
        <v/>
      </c>
      <c r="O48">
        <f>IF(M48&gt;0,"OK","sin PEA -&gt; peor")</f>
        <v/>
      </c>
    </row>
    <row r="49">
      <c r="A49" t="inlineStr">
        <is>
          <t>100603</t>
        </is>
      </c>
      <c r="B49" t="inlineStr">
        <is>
          <t>HERMILIO VALDIZAN</t>
        </is>
      </c>
      <c r="C49" s="14">
        <f>'Empleo Censo'!G49-'Empleo Censo'!F49</f>
        <v/>
      </c>
      <c r="D49" s="14">
        <f>'Empleo Censo'!F49</f>
        <v/>
      </c>
      <c r="E49" s="14">
        <f>'Empleo Censo'!H49</f>
        <v/>
      </c>
      <c r="F49" s="14">
        <f>'Empleo Censo'!I49</f>
        <v/>
      </c>
      <c r="G49" s="14">
        <f>'Empleo Censo'!J49+'Empleo Censo'!K49</f>
        <v/>
      </c>
      <c r="H49" s="14">
        <f>'Empleo Censo'!L49</f>
        <v/>
      </c>
      <c r="I49" s="14">
        <f>'Empleo Censo'!M49</f>
        <v/>
      </c>
      <c r="J49" s="14">
        <f>SUM('Empleo Censo'!N49:AA49)</f>
        <v/>
      </c>
      <c r="K49" s="14">
        <f>SUM(C49:J49)</f>
        <v/>
      </c>
      <c r="L49" s="15">
        <f>SUMPRODUCT(C49:J49,Factores!$B$3:$I$3)</f>
        <v/>
      </c>
      <c r="M49" s="16">
        <f>'Empleo Censo'!E49</f>
        <v/>
      </c>
      <c r="N49" s="17">
        <f>IF(M49&gt;0,L49,Factores!$B$7)</f>
        <v/>
      </c>
      <c r="O49">
        <f>IF(M49&gt;0,"OK","sin PEA -&gt; peor")</f>
        <v/>
      </c>
    </row>
    <row r="50">
      <c r="A50" t="inlineStr">
        <is>
          <t>100604</t>
        </is>
      </c>
      <c r="B50" t="inlineStr">
        <is>
          <t>JOSE CRESPO Y CASTILLO</t>
        </is>
      </c>
      <c r="C50" s="14">
        <f>'Empleo Censo'!G50-'Empleo Censo'!F50</f>
        <v/>
      </c>
      <c r="D50" s="14">
        <f>'Empleo Censo'!F50</f>
        <v/>
      </c>
      <c r="E50" s="14">
        <f>'Empleo Censo'!H50</f>
        <v/>
      </c>
      <c r="F50" s="14">
        <f>'Empleo Censo'!I50</f>
        <v/>
      </c>
      <c r="G50" s="14">
        <f>'Empleo Censo'!J50+'Empleo Censo'!K50</f>
        <v/>
      </c>
      <c r="H50" s="14">
        <f>'Empleo Censo'!L50</f>
        <v/>
      </c>
      <c r="I50" s="14">
        <f>'Empleo Censo'!M50</f>
        <v/>
      </c>
      <c r="J50" s="14">
        <f>SUM('Empleo Censo'!N50:AA50)</f>
        <v/>
      </c>
      <c r="K50" s="14">
        <f>SUM(C50:J50)</f>
        <v/>
      </c>
      <c r="L50" s="15">
        <f>SUMPRODUCT(C50:J50,Factores!$B$3:$I$3)</f>
        <v/>
      </c>
      <c r="M50" s="16">
        <f>'Empleo Censo'!E50</f>
        <v/>
      </c>
      <c r="N50" s="17">
        <f>IF(M50&gt;0,L50,Factores!$B$7)</f>
        <v/>
      </c>
      <c r="O50">
        <f>IF(M50&gt;0,"OK","sin PEA -&gt; peor")</f>
        <v/>
      </c>
    </row>
    <row r="51">
      <c r="A51" t="inlineStr">
        <is>
          <t>100605</t>
        </is>
      </c>
      <c r="B51" t="inlineStr">
        <is>
          <t>LUYANDO</t>
        </is>
      </c>
      <c r="C51" s="14">
        <f>'Empleo Censo'!G51-'Empleo Censo'!F51</f>
        <v/>
      </c>
      <c r="D51" s="14">
        <f>'Empleo Censo'!F51</f>
        <v/>
      </c>
      <c r="E51" s="14">
        <f>'Empleo Censo'!H51</f>
        <v/>
      </c>
      <c r="F51" s="14">
        <f>'Empleo Censo'!I51</f>
        <v/>
      </c>
      <c r="G51" s="14">
        <f>'Empleo Censo'!J51+'Empleo Censo'!K51</f>
        <v/>
      </c>
      <c r="H51" s="14">
        <f>'Empleo Censo'!L51</f>
        <v/>
      </c>
      <c r="I51" s="14">
        <f>'Empleo Censo'!M51</f>
        <v/>
      </c>
      <c r="J51" s="14">
        <f>SUM('Empleo Censo'!N51:AA51)</f>
        <v/>
      </c>
      <c r="K51" s="14">
        <f>SUM(C51:J51)</f>
        <v/>
      </c>
      <c r="L51" s="15">
        <f>SUMPRODUCT(C51:J51,Factores!$B$3:$I$3)</f>
        <v/>
      </c>
      <c r="M51" s="16">
        <f>'Empleo Censo'!E51</f>
        <v/>
      </c>
      <c r="N51" s="17">
        <f>IF(M51&gt;0,L51,Factores!$B$7)</f>
        <v/>
      </c>
      <c r="O51">
        <f>IF(M51&gt;0,"OK","sin PEA -&gt; peor")</f>
        <v/>
      </c>
    </row>
    <row r="52">
      <c r="A52" t="inlineStr">
        <is>
          <t>100606</t>
        </is>
      </c>
      <c r="B52" t="inlineStr">
        <is>
          <t>MARIANO DAMASO BERAUN</t>
        </is>
      </c>
      <c r="C52" s="14">
        <f>'Empleo Censo'!G52-'Empleo Censo'!F52</f>
        <v/>
      </c>
      <c r="D52" s="14">
        <f>'Empleo Censo'!F52</f>
        <v/>
      </c>
      <c r="E52" s="14">
        <f>'Empleo Censo'!H52</f>
        <v/>
      </c>
      <c r="F52" s="14">
        <f>'Empleo Censo'!I52</f>
        <v/>
      </c>
      <c r="G52" s="14">
        <f>'Empleo Censo'!J52+'Empleo Censo'!K52</f>
        <v/>
      </c>
      <c r="H52" s="14">
        <f>'Empleo Censo'!L52</f>
        <v/>
      </c>
      <c r="I52" s="14">
        <f>'Empleo Censo'!M52</f>
        <v/>
      </c>
      <c r="J52" s="14">
        <f>SUM('Empleo Censo'!N52:AA52)</f>
        <v/>
      </c>
      <c r="K52" s="14">
        <f>SUM(C52:J52)</f>
        <v/>
      </c>
      <c r="L52" s="15">
        <f>SUMPRODUCT(C52:J52,Factores!$B$3:$I$3)</f>
        <v/>
      </c>
      <c r="M52" s="16">
        <f>'Empleo Censo'!E52</f>
        <v/>
      </c>
      <c r="N52" s="17">
        <f>IF(M52&gt;0,L52,Factores!$B$7)</f>
        <v/>
      </c>
      <c r="O52">
        <f>IF(M52&gt;0,"OK","sin PEA -&gt; peor")</f>
        <v/>
      </c>
    </row>
    <row r="53">
      <c r="A53" t="inlineStr">
        <is>
          <t>100607</t>
        </is>
      </c>
      <c r="B53" t="inlineStr">
        <is>
          <t>PUCAYACU</t>
        </is>
      </c>
      <c r="C53" s="14">
        <f>'Empleo Censo'!G53-'Empleo Censo'!F53</f>
        <v/>
      </c>
      <c r="D53" s="14">
        <f>'Empleo Censo'!F53</f>
        <v/>
      </c>
      <c r="E53" s="14">
        <f>'Empleo Censo'!H53</f>
        <v/>
      </c>
      <c r="F53" s="14">
        <f>'Empleo Censo'!I53</f>
        <v/>
      </c>
      <c r="G53" s="14">
        <f>'Empleo Censo'!J53+'Empleo Censo'!K53</f>
        <v/>
      </c>
      <c r="H53" s="14">
        <f>'Empleo Censo'!L53</f>
        <v/>
      </c>
      <c r="I53" s="14">
        <f>'Empleo Censo'!M53</f>
        <v/>
      </c>
      <c r="J53" s="14">
        <f>SUM('Empleo Censo'!N53:AA53)</f>
        <v/>
      </c>
      <c r="K53" s="14">
        <f>SUM(C53:J53)</f>
        <v/>
      </c>
      <c r="L53" s="15">
        <f>SUMPRODUCT(C53:J53,Factores!$B$3:$I$3)</f>
        <v/>
      </c>
      <c r="M53" s="16">
        <f>'Empleo Censo'!E53</f>
        <v/>
      </c>
      <c r="N53" s="17">
        <f>IF(M53&gt;0,L53,Factores!$B$7)</f>
        <v/>
      </c>
      <c r="O53">
        <f>IF(M53&gt;0,"OK","sin PEA -&gt; peor")</f>
        <v/>
      </c>
    </row>
    <row r="54">
      <c r="A54" t="inlineStr">
        <is>
          <t>100608</t>
        </is>
      </c>
      <c r="B54" t="inlineStr">
        <is>
          <t>CASTILLO GRANDE</t>
        </is>
      </c>
      <c r="C54" s="14">
        <f>'Empleo Censo'!G54-'Empleo Censo'!F54</f>
        <v/>
      </c>
      <c r="D54" s="14">
        <f>'Empleo Censo'!F54</f>
        <v/>
      </c>
      <c r="E54" s="14">
        <f>'Empleo Censo'!H54</f>
        <v/>
      </c>
      <c r="F54" s="14">
        <f>'Empleo Censo'!I54</f>
        <v/>
      </c>
      <c r="G54" s="14">
        <f>'Empleo Censo'!J54+'Empleo Censo'!K54</f>
        <v/>
      </c>
      <c r="H54" s="14">
        <f>'Empleo Censo'!L54</f>
        <v/>
      </c>
      <c r="I54" s="14">
        <f>'Empleo Censo'!M54</f>
        <v/>
      </c>
      <c r="J54" s="14">
        <f>SUM('Empleo Censo'!N54:AA54)</f>
        <v/>
      </c>
      <c r="K54" s="14">
        <f>SUM(C54:J54)</f>
        <v/>
      </c>
      <c r="L54" s="15">
        <f>SUMPRODUCT(C54:J54,Factores!$B$3:$I$3)</f>
        <v/>
      </c>
      <c r="M54" s="16">
        <f>'Empleo Censo'!E54</f>
        <v/>
      </c>
      <c r="N54" s="17">
        <f>IF(M54&gt;0,L54,Factores!$B$7)</f>
        <v/>
      </c>
      <c r="O54">
        <f>IF(M54&gt;0,"OK","sin PEA -&gt; peor")</f>
        <v/>
      </c>
    </row>
    <row r="55">
      <c r="A55" t="inlineStr">
        <is>
          <t>100609</t>
        </is>
      </c>
      <c r="B55" t="inlineStr">
        <is>
          <t>PUEBLO NUEVO</t>
        </is>
      </c>
      <c r="C55" s="14">
        <f>'Empleo Censo'!G55-'Empleo Censo'!F55</f>
        <v/>
      </c>
      <c r="D55" s="14">
        <f>'Empleo Censo'!F55</f>
        <v/>
      </c>
      <c r="E55" s="14">
        <f>'Empleo Censo'!H55</f>
        <v/>
      </c>
      <c r="F55" s="14">
        <f>'Empleo Censo'!I55</f>
        <v/>
      </c>
      <c r="G55" s="14">
        <f>'Empleo Censo'!J55+'Empleo Censo'!K55</f>
        <v/>
      </c>
      <c r="H55" s="14">
        <f>'Empleo Censo'!L55</f>
        <v/>
      </c>
      <c r="I55" s="14">
        <f>'Empleo Censo'!M55</f>
        <v/>
      </c>
      <c r="J55" s="14">
        <f>SUM('Empleo Censo'!N55:AA55)</f>
        <v/>
      </c>
      <c r="K55" s="14">
        <f>SUM(C55:J55)</f>
        <v/>
      </c>
      <c r="L55" s="15">
        <f>SUMPRODUCT(C55:J55,Factores!$B$3:$I$3)</f>
        <v/>
      </c>
      <c r="M55" s="16">
        <f>'Empleo Censo'!E55</f>
        <v/>
      </c>
      <c r="N55" s="17">
        <f>IF(M55&gt;0,L55,Factores!$B$7)</f>
        <v/>
      </c>
      <c r="O55">
        <f>IF(M55&gt;0,"OK","sin PEA -&gt; peor")</f>
        <v/>
      </c>
    </row>
    <row r="56">
      <c r="A56" t="inlineStr">
        <is>
          <t>100610</t>
        </is>
      </c>
      <c r="B56" t="inlineStr">
        <is>
          <t>SANTO DOMINGO DE ANDA</t>
        </is>
      </c>
      <c r="C56" s="14">
        <f>'Empleo Censo'!G56-'Empleo Censo'!F56</f>
        <v/>
      </c>
      <c r="D56" s="14">
        <f>'Empleo Censo'!F56</f>
        <v/>
      </c>
      <c r="E56" s="14">
        <f>'Empleo Censo'!H56</f>
        <v/>
      </c>
      <c r="F56" s="14">
        <f>'Empleo Censo'!I56</f>
        <v/>
      </c>
      <c r="G56" s="14">
        <f>'Empleo Censo'!J56+'Empleo Censo'!K56</f>
        <v/>
      </c>
      <c r="H56" s="14">
        <f>'Empleo Censo'!L56</f>
        <v/>
      </c>
      <c r="I56" s="14">
        <f>'Empleo Censo'!M56</f>
        <v/>
      </c>
      <c r="J56" s="14">
        <f>SUM('Empleo Censo'!N56:AA56)</f>
        <v/>
      </c>
      <c r="K56" s="14">
        <f>SUM(C56:J56)</f>
        <v/>
      </c>
      <c r="L56" s="15">
        <f>SUMPRODUCT(C56:J56,Factores!$B$3:$I$3)</f>
        <v/>
      </c>
      <c r="M56" s="16">
        <f>'Empleo Censo'!E56</f>
        <v/>
      </c>
      <c r="N56" s="17">
        <f>IF(M56&gt;0,L56,Factores!$B$7)</f>
        <v/>
      </c>
      <c r="O56">
        <f>IF(M56&gt;0,"OK","sin PEA -&gt; peor")</f>
        <v/>
      </c>
    </row>
    <row r="57">
      <c r="A57" t="inlineStr">
        <is>
          <t>100701</t>
        </is>
      </c>
      <c r="B57" t="inlineStr">
        <is>
          <t>HUACRACHUCO</t>
        </is>
      </c>
      <c r="C57" s="14">
        <f>'Empleo Censo'!G57-'Empleo Censo'!F57</f>
        <v/>
      </c>
      <c r="D57" s="14">
        <f>'Empleo Censo'!F57</f>
        <v/>
      </c>
      <c r="E57" s="14">
        <f>'Empleo Censo'!H57</f>
        <v/>
      </c>
      <c r="F57" s="14">
        <f>'Empleo Censo'!I57</f>
        <v/>
      </c>
      <c r="G57" s="14">
        <f>'Empleo Censo'!J57+'Empleo Censo'!K57</f>
        <v/>
      </c>
      <c r="H57" s="14">
        <f>'Empleo Censo'!L57</f>
        <v/>
      </c>
      <c r="I57" s="14">
        <f>'Empleo Censo'!M57</f>
        <v/>
      </c>
      <c r="J57" s="14">
        <f>SUM('Empleo Censo'!N57:AA57)</f>
        <v/>
      </c>
      <c r="K57" s="14">
        <f>SUM(C57:J57)</f>
        <v/>
      </c>
      <c r="L57" s="15">
        <f>SUMPRODUCT(C57:J57,Factores!$B$3:$I$3)</f>
        <v/>
      </c>
      <c r="M57" s="16">
        <f>'Empleo Censo'!E57</f>
        <v/>
      </c>
      <c r="N57" s="17">
        <f>IF(M57&gt;0,L57,Factores!$B$7)</f>
        <v/>
      </c>
      <c r="O57">
        <f>IF(M57&gt;0,"OK","sin PEA -&gt; peor")</f>
        <v/>
      </c>
    </row>
    <row r="58">
      <c r="A58" t="inlineStr">
        <is>
          <t>100702</t>
        </is>
      </c>
      <c r="B58" t="inlineStr">
        <is>
          <t>CHOLON</t>
        </is>
      </c>
      <c r="C58" s="14">
        <f>'Empleo Censo'!G58-'Empleo Censo'!F58</f>
        <v/>
      </c>
      <c r="D58" s="14">
        <f>'Empleo Censo'!F58</f>
        <v/>
      </c>
      <c r="E58" s="14">
        <f>'Empleo Censo'!H58</f>
        <v/>
      </c>
      <c r="F58" s="14">
        <f>'Empleo Censo'!I58</f>
        <v/>
      </c>
      <c r="G58" s="14">
        <f>'Empleo Censo'!J58+'Empleo Censo'!K58</f>
        <v/>
      </c>
      <c r="H58" s="14">
        <f>'Empleo Censo'!L58</f>
        <v/>
      </c>
      <c r="I58" s="14">
        <f>'Empleo Censo'!M58</f>
        <v/>
      </c>
      <c r="J58" s="14">
        <f>SUM('Empleo Censo'!N58:AA58)</f>
        <v/>
      </c>
      <c r="K58" s="14">
        <f>SUM(C58:J58)</f>
        <v/>
      </c>
      <c r="L58" s="15">
        <f>SUMPRODUCT(C58:J58,Factores!$B$3:$I$3)</f>
        <v/>
      </c>
      <c r="M58" s="16">
        <f>'Empleo Censo'!E58</f>
        <v/>
      </c>
      <c r="N58" s="17">
        <f>IF(M58&gt;0,L58,Factores!$B$7)</f>
        <v/>
      </c>
      <c r="O58">
        <f>IF(M58&gt;0,"OK","sin PEA -&gt; peor")</f>
        <v/>
      </c>
    </row>
    <row r="59">
      <c r="A59" t="inlineStr">
        <is>
          <t>100703</t>
        </is>
      </c>
      <c r="B59" t="inlineStr">
        <is>
          <t>SAN BUENAVENTURA</t>
        </is>
      </c>
      <c r="C59" s="14">
        <f>'Empleo Censo'!G59-'Empleo Censo'!F59</f>
        <v/>
      </c>
      <c r="D59" s="14">
        <f>'Empleo Censo'!F59</f>
        <v/>
      </c>
      <c r="E59" s="14">
        <f>'Empleo Censo'!H59</f>
        <v/>
      </c>
      <c r="F59" s="14">
        <f>'Empleo Censo'!I59</f>
        <v/>
      </c>
      <c r="G59" s="14">
        <f>'Empleo Censo'!J59+'Empleo Censo'!K59</f>
        <v/>
      </c>
      <c r="H59" s="14">
        <f>'Empleo Censo'!L59</f>
        <v/>
      </c>
      <c r="I59" s="14">
        <f>'Empleo Censo'!M59</f>
        <v/>
      </c>
      <c r="J59" s="14">
        <f>SUM('Empleo Censo'!N59:AA59)</f>
        <v/>
      </c>
      <c r="K59" s="14">
        <f>SUM(C59:J59)</f>
        <v/>
      </c>
      <c r="L59" s="15">
        <f>SUMPRODUCT(C59:J59,Factores!$B$3:$I$3)</f>
        <v/>
      </c>
      <c r="M59" s="16">
        <f>'Empleo Censo'!E59</f>
        <v/>
      </c>
      <c r="N59" s="17">
        <f>IF(M59&gt;0,L59,Factores!$B$7)</f>
        <v/>
      </c>
      <c r="O59">
        <f>IF(M59&gt;0,"OK","sin PEA -&gt; peor")</f>
        <v/>
      </c>
    </row>
    <row r="60">
      <c r="A60" t="inlineStr">
        <is>
          <t>100704</t>
        </is>
      </c>
      <c r="B60" t="inlineStr">
        <is>
          <t>LA MORADA</t>
        </is>
      </c>
      <c r="C60" s="14">
        <f>'Empleo Censo'!G60-'Empleo Censo'!F60</f>
        <v/>
      </c>
      <c r="D60" s="14">
        <f>'Empleo Censo'!F60</f>
        <v/>
      </c>
      <c r="E60" s="14">
        <f>'Empleo Censo'!H60</f>
        <v/>
      </c>
      <c r="F60" s="14">
        <f>'Empleo Censo'!I60</f>
        <v/>
      </c>
      <c r="G60" s="14">
        <f>'Empleo Censo'!J60+'Empleo Censo'!K60</f>
        <v/>
      </c>
      <c r="H60" s="14">
        <f>'Empleo Censo'!L60</f>
        <v/>
      </c>
      <c r="I60" s="14">
        <f>'Empleo Censo'!M60</f>
        <v/>
      </c>
      <c r="J60" s="14">
        <f>SUM('Empleo Censo'!N60:AA60)</f>
        <v/>
      </c>
      <c r="K60" s="14">
        <f>SUM(C60:J60)</f>
        <v/>
      </c>
      <c r="L60" s="15">
        <f>SUMPRODUCT(C60:J60,Factores!$B$3:$I$3)</f>
        <v/>
      </c>
      <c r="M60" s="16">
        <f>'Empleo Censo'!E60</f>
        <v/>
      </c>
      <c r="N60" s="17">
        <f>IF(M60&gt;0,L60,Factores!$B$7)</f>
        <v/>
      </c>
      <c r="O60">
        <f>IF(M60&gt;0,"OK","sin PEA -&gt; peor")</f>
        <v/>
      </c>
    </row>
    <row r="61">
      <c r="A61" t="inlineStr">
        <is>
          <t>100705</t>
        </is>
      </c>
      <c r="B61" t="inlineStr">
        <is>
          <t>SANTA ROSA DE ALTO YANAJANCA</t>
        </is>
      </c>
      <c r="C61" s="14">
        <f>'Empleo Censo'!G61-'Empleo Censo'!F61</f>
        <v/>
      </c>
      <c r="D61" s="14">
        <f>'Empleo Censo'!F61</f>
        <v/>
      </c>
      <c r="E61" s="14">
        <f>'Empleo Censo'!H61</f>
        <v/>
      </c>
      <c r="F61" s="14">
        <f>'Empleo Censo'!I61</f>
        <v/>
      </c>
      <c r="G61" s="14">
        <f>'Empleo Censo'!J61+'Empleo Censo'!K61</f>
        <v/>
      </c>
      <c r="H61" s="14">
        <f>'Empleo Censo'!L61</f>
        <v/>
      </c>
      <c r="I61" s="14">
        <f>'Empleo Censo'!M61</f>
        <v/>
      </c>
      <c r="J61" s="14">
        <f>SUM('Empleo Censo'!N61:AA61)</f>
        <v/>
      </c>
      <c r="K61" s="14">
        <f>SUM(C61:J61)</f>
        <v/>
      </c>
      <c r="L61" s="15">
        <f>SUMPRODUCT(C61:J61,Factores!$B$3:$I$3)</f>
        <v/>
      </c>
      <c r="M61" s="16">
        <f>'Empleo Censo'!E61</f>
        <v/>
      </c>
      <c r="N61" s="17">
        <f>IF(M61&gt;0,L61,Factores!$B$7)</f>
        <v/>
      </c>
      <c r="O61">
        <f>IF(M61&gt;0,"OK","sin PEA -&gt; peor")</f>
        <v/>
      </c>
    </row>
    <row r="62">
      <c r="A62" t="inlineStr">
        <is>
          <t>100801</t>
        </is>
      </c>
      <c r="B62" t="inlineStr">
        <is>
          <t>PANAO</t>
        </is>
      </c>
      <c r="C62" s="14">
        <f>'Empleo Censo'!G62-'Empleo Censo'!F62</f>
        <v/>
      </c>
      <c r="D62" s="14">
        <f>'Empleo Censo'!F62</f>
        <v/>
      </c>
      <c r="E62" s="14">
        <f>'Empleo Censo'!H62</f>
        <v/>
      </c>
      <c r="F62" s="14">
        <f>'Empleo Censo'!I62</f>
        <v/>
      </c>
      <c r="G62" s="14">
        <f>'Empleo Censo'!J62+'Empleo Censo'!K62</f>
        <v/>
      </c>
      <c r="H62" s="14">
        <f>'Empleo Censo'!L62</f>
        <v/>
      </c>
      <c r="I62" s="14">
        <f>'Empleo Censo'!M62</f>
        <v/>
      </c>
      <c r="J62" s="14">
        <f>SUM('Empleo Censo'!N62:AA62)</f>
        <v/>
      </c>
      <c r="K62" s="14">
        <f>SUM(C62:J62)</f>
        <v/>
      </c>
      <c r="L62" s="15">
        <f>SUMPRODUCT(C62:J62,Factores!$B$3:$I$3)</f>
        <v/>
      </c>
      <c r="M62" s="16">
        <f>'Empleo Censo'!E62</f>
        <v/>
      </c>
      <c r="N62" s="17">
        <f>IF(M62&gt;0,L62,Factores!$B$7)</f>
        <v/>
      </c>
      <c r="O62">
        <f>IF(M62&gt;0,"OK","sin PEA -&gt; peor")</f>
        <v/>
      </c>
    </row>
    <row r="63">
      <c r="A63" t="inlineStr">
        <is>
          <t>100802</t>
        </is>
      </c>
      <c r="B63" t="inlineStr">
        <is>
          <t>CHAGLLA</t>
        </is>
      </c>
      <c r="C63" s="14">
        <f>'Empleo Censo'!G63-'Empleo Censo'!F63</f>
        <v/>
      </c>
      <c r="D63" s="14">
        <f>'Empleo Censo'!F63</f>
        <v/>
      </c>
      <c r="E63" s="14">
        <f>'Empleo Censo'!H63</f>
        <v/>
      </c>
      <c r="F63" s="14">
        <f>'Empleo Censo'!I63</f>
        <v/>
      </c>
      <c r="G63" s="14">
        <f>'Empleo Censo'!J63+'Empleo Censo'!K63</f>
        <v/>
      </c>
      <c r="H63" s="14">
        <f>'Empleo Censo'!L63</f>
        <v/>
      </c>
      <c r="I63" s="14">
        <f>'Empleo Censo'!M63</f>
        <v/>
      </c>
      <c r="J63" s="14">
        <f>SUM('Empleo Censo'!N63:AA63)</f>
        <v/>
      </c>
      <c r="K63" s="14">
        <f>SUM(C63:J63)</f>
        <v/>
      </c>
      <c r="L63" s="15">
        <f>SUMPRODUCT(C63:J63,Factores!$B$3:$I$3)</f>
        <v/>
      </c>
      <c r="M63" s="16">
        <f>'Empleo Censo'!E63</f>
        <v/>
      </c>
      <c r="N63" s="17">
        <f>IF(M63&gt;0,L63,Factores!$B$7)</f>
        <v/>
      </c>
      <c r="O63">
        <f>IF(M63&gt;0,"OK","sin PEA -&gt; peor")</f>
        <v/>
      </c>
    </row>
    <row r="64">
      <c r="A64" t="inlineStr">
        <is>
          <t>100803</t>
        </is>
      </c>
      <c r="B64" t="inlineStr">
        <is>
          <t>MOLINO</t>
        </is>
      </c>
      <c r="C64" s="14">
        <f>'Empleo Censo'!G64-'Empleo Censo'!F64</f>
        <v/>
      </c>
      <c r="D64" s="14">
        <f>'Empleo Censo'!F64</f>
        <v/>
      </c>
      <c r="E64" s="14">
        <f>'Empleo Censo'!H64</f>
        <v/>
      </c>
      <c r="F64" s="14">
        <f>'Empleo Censo'!I64</f>
        <v/>
      </c>
      <c r="G64" s="14">
        <f>'Empleo Censo'!J64+'Empleo Censo'!K64</f>
        <v/>
      </c>
      <c r="H64" s="14">
        <f>'Empleo Censo'!L64</f>
        <v/>
      </c>
      <c r="I64" s="14">
        <f>'Empleo Censo'!M64</f>
        <v/>
      </c>
      <c r="J64" s="14">
        <f>SUM('Empleo Censo'!N64:AA64)</f>
        <v/>
      </c>
      <c r="K64" s="14">
        <f>SUM(C64:J64)</f>
        <v/>
      </c>
      <c r="L64" s="15">
        <f>SUMPRODUCT(C64:J64,Factores!$B$3:$I$3)</f>
        <v/>
      </c>
      <c r="M64" s="16">
        <f>'Empleo Censo'!E64</f>
        <v/>
      </c>
      <c r="N64" s="17">
        <f>IF(M64&gt;0,L64,Factores!$B$7)</f>
        <v/>
      </c>
      <c r="O64">
        <f>IF(M64&gt;0,"OK","sin PEA -&gt; peor")</f>
        <v/>
      </c>
    </row>
    <row r="65">
      <c r="A65" t="inlineStr">
        <is>
          <t>100804</t>
        </is>
      </c>
      <c r="B65" t="inlineStr">
        <is>
          <t>UMARI</t>
        </is>
      </c>
      <c r="C65" s="14">
        <f>'Empleo Censo'!G65-'Empleo Censo'!F65</f>
        <v/>
      </c>
      <c r="D65" s="14">
        <f>'Empleo Censo'!F65</f>
        <v/>
      </c>
      <c r="E65" s="14">
        <f>'Empleo Censo'!H65</f>
        <v/>
      </c>
      <c r="F65" s="14">
        <f>'Empleo Censo'!I65</f>
        <v/>
      </c>
      <c r="G65" s="14">
        <f>'Empleo Censo'!J65+'Empleo Censo'!K65</f>
        <v/>
      </c>
      <c r="H65" s="14">
        <f>'Empleo Censo'!L65</f>
        <v/>
      </c>
      <c r="I65" s="14">
        <f>'Empleo Censo'!M65</f>
        <v/>
      </c>
      <c r="J65" s="14">
        <f>SUM('Empleo Censo'!N65:AA65)</f>
        <v/>
      </c>
      <c r="K65" s="14">
        <f>SUM(C65:J65)</f>
        <v/>
      </c>
      <c r="L65" s="15">
        <f>SUMPRODUCT(C65:J65,Factores!$B$3:$I$3)</f>
        <v/>
      </c>
      <c r="M65" s="16">
        <f>'Empleo Censo'!E65</f>
        <v/>
      </c>
      <c r="N65" s="17">
        <f>IF(M65&gt;0,L65,Factores!$B$7)</f>
        <v/>
      </c>
      <c r="O65">
        <f>IF(M65&gt;0,"OK","sin PEA -&gt; peor")</f>
        <v/>
      </c>
    </row>
    <row r="66">
      <c r="A66" t="inlineStr">
        <is>
          <t>100901</t>
        </is>
      </c>
      <c r="B66" t="inlineStr">
        <is>
          <t>PUERTO INCA</t>
        </is>
      </c>
      <c r="C66" s="14">
        <f>'Empleo Censo'!G66-'Empleo Censo'!F66</f>
        <v/>
      </c>
      <c r="D66" s="14">
        <f>'Empleo Censo'!F66</f>
        <v/>
      </c>
      <c r="E66" s="14">
        <f>'Empleo Censo'!H66</f>
        <v/>
      </c>
      <c r="F66" s="14">
        <f>'Empleo Censo'!I66</f>
        <v/>
      </c>
      <c r="G66" s="14">
        <f>'Empleo Censo'!J66+'Empleo Censo'!K66</f>
        <v/>
      </c>
      <c r="H66" s="14">
        <f>'Empleo Censo'!L66</f>
        <v/>
      </c>
      <c r="I66" s="14">
        <f>'Empleo Censo'!M66</f>
        <v/>
      </c>
      <c r="J66" s="14">
        <f>SUM('Empleo Censo'!N66:AA66)</f>
        <v/>
      </c>
      <c r="K66" s="14">
        <f>SUM(C66:J66)</f>
        <v/>
      </c>
      <c r="L66" s="15">
        <f>SUMPRODUCT(C66:J66,Factores!$B$3:$I$3)</f>
        <v/>
      </c>
      <c r="M66" s="16">
        <f>'Empleo Censo'!E66</f>
        <v/>
      </c>
      <c r="N66" s="17">
        <f>IF(M66&gt;0,L66,Factores!$B$7)</f>
        <v/>
      </c>
      <c r="O66">
        <f>IF(M66&gt;0,"OK","sin PEA -&gt; peor")</f>
        <v/>
      </c>
    </row>
    <row r="67">
      <c r="A67" t="inlineStr">
        <is>
          <t>100902</t>
        </is>
      </c>
      <c r="B67" t="inlineStr">
        <is>
          <t>CODO DEL POZUZO</t>
        </is>
      </c>
      <c r="C67" s="14">
        <f>'Empleo Censo'!G67-'Empleo Censo'!F67</f>
        <v/>
      </c>
      <c r="D67" s="14">
        <f>'Empleo Censo'!F67</f>
        <v/>
      </c>
      <c r="E67" s="14">
        <f>'Empleo Censo'!H67</f>
        <v/>
      </c>
      <c r="F67" s="14">
        <f>'Empleo Censo'!I67</f>
        <v/>
      </c>
      <c r="G67" s="14">
        <f>'Empleo Censo'!J67+'Empleo Censo'!K67</f>
        <v/>
      </c>
      <c r="H67" s="14">
        <f>'Empleo Censo'!L67</f>
        <v/>
      </c>
      <c r="I67" s="14">
        <f>'Empleo Censo'!M67</f>
        <v/>
      </c>
      <c r="J67" s="14">
        <f>SUM('Empleo Censo'!N67:AA67)</f>
        <v/>
      </c>
      <c r="K67" s="14">
        <f>SUM(C67:J67)</f>
        <v/>
      </c>
      <c r="L67" s="15">
        <f>SUMPRODUCT(C67:J67,Factores!$B$3:$I$3)</f>
        <v/>
      </c>
      <c r="M67" s="16">
        <f>'Empleo Censo'!E67</f>
        <v/>
      </c>
      <c r="N67" s="17">
        <f>IF(M67&gt;0,L67,Factores!$B$7)</f>
        <v/>
      </c>
      <c r="O67">
        <f>IF(M67&gt;0,"OK","sin PEA -&gt; peor")</f>
        <v/>
      </c>
    </row>
    <row r="68">
      <c r="A68" t="inlineStr">
        <is>
          <t>100903</t>
        </is>
      </c>
      <c r="B68" t="inlineStr">
        <is>
          <t>HONORIA</t>
        </is>
      </c>
      <c r="C68" s="14">
        <f>'Empleo Censo'!G68-'Empleo Censo'!F68</f>
        <v/>
      </c>
      <c r="D68" s="14">
        <f>'Empleo Censo'!F68</f>
        <v/>
      </c>
      <c r="E68" s="14">
        <f>'Empleo Censo'!H68</f>
        <v/>
      </c>
      <c r="F68" s="14">
        <f>'Empleo Censo'!I68</f>
        <v/>
      </c>
      <c r="G68" s="14">
        <f>'Empleo Censo'!J68+'Empleo Censo'!K68</f>
        <v/>
      </c>
      <c r="H68" s="14">
        <f>'Empleo Censo'!L68</f>
        <v/>
      </c>
      <c r="I68" s="14">
        <f>'Empleo Censo'!M68</f>
        <v/>
      </c>
      <c r="J68" s="14">
        <f>SUM('Empleo Censo'!N68:AA68)</f>
        <v/>
      </c>
      <c r="K68" s="14">
        <f>SUM(C68:J68)</f>
        <v/>
      </c>
      <c r="L68" s="15">
        <f>SUMPRODUCT(C68:J68,Factores!$B$3:$I$3)</f>
        <v/>
      </c>
      <c r="M68" s="16">
        <f>'Empleo Censo'!E68</f>
        <v/>
      </c>
      <c r="N68" s="17">
        <f>IF(M68&gt;0,L68,Factores!$B$7)</f>
        <v/>
      </c>
      <c r="O68">
        <f>IF(M68&gt;0,"OK","sin PEA -&gt; peor")</f>
        <v/>
      </c>
    </row>
    <row r="69">
      <c r="A69" t="inlineStr">
        <is>
          <t>100904</t>
        </is>
      </c>
      <c r="B69" t="inlineStr">
        <is>
          <t>TOURNAVISTA</t>
        </is>
      </c>
      <c r="C69" s="14">
        <f>'Empleo Censo'!G69-'Empleo Censo'!F69</f>
        <v/>
      </c>
      <c r="D69" s="14">
        <f>'Empleo Censo'!F69</f>
        <v/>
      </c>
      <c r="E69" s="14">
        <f>'Empleo Censo'!H69</f>
        <v/>
      </c>
      <c r="F69" s="14">
        <f>'Empleo Censo'!I69</f>
        <v/>
      </c>
      <c r="G69" s="14">
        <f>'Empleo Censo'!J69+'Empleo Censo'!K69</f>
        <v/>
      </c>
      <c r="H69" s="14">
        <f>'Empleo Censo'!L69</f>
        <v/>
      </c>
      <c r="I69" s="14">
        <f>'Empleo Censo'!M69</f>
        <v/>
      </c>
      <c r="J69" s="14">
        <f>SUM('Empleo Censo'!N69:AA69)</f>
        <v/>
      </c>
      <c r="K69" s="14">
        <f>SUM(C69:J69)</f>
        <v/>
      </c>
      <c r="L69" s="15">
        <f>SUMPRODUCT(C69:J69,Factores!$B$3:$I$3)</f>
        <v/>
      </c>
      <c r="M69" s="16">
        <f>'Empleo Censo'!E69</f>
        <v/>
      </c>
      <c r="N69" s="17">
        <f>IF(M69&gt;0,L69,Factores!$B$7)</f>
        <v/>
      </c>
      <c r="O69">
        <f>IF(M69&gt;0,"OK","sin PEA -&gt; peor")</f>
        <v/>
      </c>
    </row>
    <row r="70">
      <c r="A70" t="inlineStr">
        <is>
          <t>100905</t>
        </is>
      </c>
      <c r="B70" t="inlineStr">
        <is>
          <t>YUYAPICHIS</t>
        </is>
      </c>
      <c r="C70" s="14">
        <f>'Empleo Censo'!G70-'Empleo Censo'!F70</f>
        <v/>
      </c>
      <c r="D70" s="14">
        <f>'Empleo Censo'!F70</f>
        <v/>
      </c>
      <c r="E70" s="14">
        <f>'Empleo Censo'!H70</f>
        <v/>
      </c>
      <c r="F70" s="14">
        <f>'Empleo Censo'!I70</f>
        <v/>
      </c>
      <c r="G70" s="14">
        <f>'Empleo Censo'!J70+'Empleo Censo'!K70</f>
        <v/>
      </c>
      <c r="H70" s="14">
        <f>'Empleo Censo'!L70</f>
        <v/>
      </c>
      <c r="I70" s="14">
        <f>'Empleo Censo'!M70</f>
        <v/>
      </c>
      <c r="J70" s="14">
        <f>SUM('Empleo Censo'!N70:AA70)</f>
        <v/>
      </c>
      <c r="K70" s="14">
        <f>SUM(C70:J70)</f>
        <v/>
      </c>
      <c r="L70" s="15">
        <f>SUMPRODUCT(C70:J70,Factores!$B$3:$I$3)</f>
        <v/>
      </c>
      <c r="M70" s="16">
        <f>'Empleo Censo'!E70</f>
        <v/>
      </c>
      <c r="N70" s="17">
        <f>IF(M70&gt;0,L70,Factores!$B$7)</f>
        <v/>
      </c>
      <c r="O70">
        <f>IF(M70&gt;0,"OK","sin PEA -&gt; peor")</f>
        <v/>
      </c>
    </row>
    <row r="71">
      <c r="A71" t="inlineStr">
        <is>
          <t>101001</t>
        </is>
      </c>
      <c r="B71" t="inlineStr">
        <is>
          <t>JESUS</t>
        </is>
      </c>
      <c r="C71" s="14">
        <f>'Empleo Censo'!G71-'Empleo Censo'!F71</f>
        <v/>
      </c>
      <c r="D71" s="14">
        <f>'Empleo Censo'!F71</f>
        <v/>
      </c>
      <c r="E71" s="14">
        <f>'Empleo Censo'!H71</f>
        <v/>
      </c>
      <c r="F71" s="14">
        <f>'Empleo Censo'!I71</f>
        <v/>
      </c>
      <c r="G71" s="14">
        <f>'Empleo Censo'!J71+'Empleo Censo'!K71</f>
        <v/>
      </c>
      <c r="H71" s="14">
        <f>'Empleo Censo'!L71</f>
        <v/>
      </c>
      <c r="I71" s="14">
        <f>'Empleo Censo'!M71</f>
        <v/>
      </c>
      <c r="J71" s="14">
        <f>SUM('Empleo Censo'!N71:AA71)</f>
        <v/>
      </c>
      <c r="K71" s="14">
        <f>SUM(C71:J71)</f>
        <v/>
      </c>
      <c r="L71" s="15">
        <f>SUMPRODUCT(C71:J71,Factores!$B$3:$I$3)</f>
        <v/>
      </c>
      <c r="M71" s="16">
        <f>'Empleo Censo'!E71</f>
        <v/>
      </c>
      <c r="N71" s="17">
        <f>IF(M71&gt;0,L71,Factores!$B$7)</f>
        <v/>
      </c>
      <c r="O71">
        <f>IF(M71&gt;0,"OK","sin PEA -&gt; peor")</f>
        <v/>
      </c>
    </row>
    <row r="72">
      <c r="A72" t="inlineStr">
        <is>
          <t>101002</t>
        </is>
      </c>
      <c r="B72" t="inlineStr">
        <is>
          <t>BAÑOS</t>
        </is>
      </c>
      <c r="C72" s="14">
        <f>'Empleo Censo'!G72-'Empleo Censo'!F72</f>
        <v/>
      </c>
      <c r="D72" s="14">
        <f>'Empleo Censo'!F72</f>
        <v/>
      </c>
      <c r="E72" s="14">
        <f>'Empleo Censo'!H72</f>
        <v/>
      </c>
      <c r="F72" s="14">
        <f>'Empleo Censo'!I72</f>
        <v/>
      </c>
      <c r="G72" s="14">
        <f>'Empleo Censo'!J72+'Empleo Censo'!K72</f>
        <v/>
      </c>
      <c r="H72" s="14">
        <f>'Empleo Censo'!L72</f>
        <v/>
      </c>
      <c r="I72" s="14">
        <f>'Empleo Censo'!M72</f>
        <v/>
      </c>
      <c r="J72" s="14">
        <f>SUM('Empleo Censo'!N72:AA72)</f>
        <v/>
      </c>
      <c r="K72" s="14">
        <f>SUM(C72:J72)</f>
        <v/>
      </c>
      <c r="L72" s="15">
        <f>SUMPRODUCT(C72:J72,Factores!$B$3:$I$3)</f>
        <v/>
      </c>
      <c r="M72" s="16">
        <f>'Empleo Censo'!E72</f>
        <v/>
      </c>
      <c r="N72" s="17">
        <f>IF(M72&gt;0,L72,Factores!$B$7)</f>
        <v/>
      </c>
      <c r="O72">
        <f>IF(M72&gt;0,"OK","sin PEA -&gt; peor")</f>
        <v/>
      </c>
    </row>
    <row r="73">
      <c r="A73" t="inlineStr">
        <is>
          <t>101003</t>
        </is>
      </c>
      <c r="B73" t="inlineStr">
        <is>
          <t>JIVIA</t>
        </is>
      </c>
      <c r="C73" s="14">
        <f>'Empleo Censo'!G73-'Empleo Censo'!F73</f>
        <v/>
      </c>
      <c r="D73" s="14">
        <f>'Empleo Censo'!F73</f>
        <v/>
      </c>
      <c r="E73" s="14">
        <f>'Empleo Censo'!H73</f>
        <v/>
      </c>
      <c r="F73" s="14">
        <f>'Empleo Censo'!I73</f>
        <v/>
      </c>
      <c r="G73" s="14">
        <f>'Empleo Censo'!J73+'Empleo Censo'!K73</f>
        <v/>
      </c>
      <c r="H73" s="14">
        <f>'Empleo Censo'!L73</f>
        <v/>
      </c>
      <c r="I73" s="14">
        <f>'Empleo Censo'!M73</f>
        <v/>
      </c>
      <c r="J73" s="14">
        <f>SUM('Empleo Censo'!N73:AA73)</f>
        <v/>
      </c>
      <c r="K73" s="14">
        <f>SUM(C73:J73)</f>
        <v/>
      </c>
      <c r="L73" s="15">
        <f>SUMPRODUCT(C73:J73,Factores!$B$3:$I$3)</f>
        <v/>
      </c>
      <c r="M73" s="16">
        <f>'Empleo Censo'!E73</f>
        <v/>
      </c>
      <c r="N73" s="17">
        <f>IF(M73&gt;0,L73,Factores!$B$7)</f>
        <v/>
      </c>
      <c r="O73">
        <f>IF(M73&gt;0,"OK","sin PEA -&gt; peor")</f>
        <v/>
      </c>
    </row>
    <row r="74">
      <c r="A74" t="inlineStr">
        <is>
          <t>101004</t>
        </is>
      </c>
      <c r="B74" t="inlineStr">
        <is>
          <t>QUEROPALCA</t>
        </is>
      </c>
      <c r="C74" s="14">
        <f>'Empleo Censo'!G74-'Empleo Censo'!F74</f>
        <v/>
      </c>
      <c r="D74" s="14">
        <f>'Empleo Censo'!F74</f>
        <v/>
      </c>
      <c r="E74" s="14">
        <f>'Empleo Censo'!H74</f>
        <v/>
      </c>
      <c r="F74" s="14">
        <f>'Empleo Censo'!I74</f>
        <v/>
      </c>
      <c r="G74" s="14">
        <f>'Empleo Censo'!J74+'Empleo Censo'!K74</f>
        <v/>
      </c>
      <c r="H74" s="14">
        <f>'Empleo Censo'!L74</f>
        <v/>
      </c>
      <c r="I74" s="14">
        <f>'Empleo Censo'!M74</f>
        <v/>
      </c>
      <c r="J74" s="14">
        <f>SUM('Empleo Censo'!N74:AA74)</f>
        <v/>
      </c>
      <c r="K74" s="14">
        <f>SUM(C74:J74)</f>
        <v/>
      </c>
      <c r="L74" s="15">
        <f>SUMPRODUCT(C74:J74,Factores!$B$3:$I$3)</f>
        <v/>
      </c>
      <c r="M74" s="16">
        <f>'Empleo Censo'!E74</f>
        <v/>
      </c>
      <c r="N74" s="17">
        <f>IF(M74&gt;0,L74,Factores!$B$7)</f>
        <v/>
      </c>
      <c r="O74">
        <f>IF(M74&gt;0,"OK","sin PEA -&gt; peor")</f>
        <v/>
      </c>
    </row>
    <row r="75">
      <c r="A75" t="inlineStr">
        <is>
          <t>101005</t>
        </is>
      </c>
      <c r="B75" t="inlineStr">
        <is>
          <t>RONDOS</t>
        </is>
      </c>
      <c r="C75" s="14">
        <f>'Empleo Censo'!G75-'Empleo Censo'!F75</f>
        <v/>
      </c>
      <c r="D75" s="14">
        <f>'Empleo Censo'!F75</f>
        <v/>
      </c>
      <c r="E75" s="14">
        <f>'Empleo Censo'!H75</f>
        <v/>
      </c>
      <c r="F75" s="14">
        <f>'Empleo Censo'!I75</f>
        <v/>
      </c>
      <c r="G75" s="14">
        <f>'Empleo Censo'!J75+'Empleo Censo'!K75</f>
        <v/>
      </c>
      <c r="H75" s="14">
        <f>'Empleo Censo'!L75</f>
        <v/>
      </c>
      <c r="I75" s="14">
        <f>'Empleo Censo'!M75</f>
        <v/>
      </c>
      <c r="J75" s="14">
        <f>SUM('Empleo Censo'!N75:AA75)</f>
        <v/>
      </c>
      <c r="K75" s="14">
        <f>SUM(C75:J75)</f>
        <v/>
      </c>
      <c r="L75" s="15">
        <f>SUMPRODUCT(C75:J75,Factores!$B$3:$I$3)</f>
        <v/>
      </c>
      <c r="M75" s="16">
        <f>'Empleo Censo'!E75</f>
        <v/>
      </c>
      <c r="N75" s="17">
        <f>IF(M75&gt;0,L75,Factores!$B$7)</f>
        <v/>
      </c>
      <c r="O75">
        <f>IF(M75&gt;0,"OK","sin PEA -&gt; peor")</f>
        <v/>
      </c>
    </row>
    <row r="76">
      <c r="A76" t="inlineStr">
        <is>
          <t>101006</t>
        </is>
      </c>
      <c r="B76" t="inlineStr">
        <is>
          <t>SAN FRANCISCO DE ASIS</t>
        </is>
      </c>
      <c r="C76" s="14">
        <f>'Empleo Censo'!G76-'Empleo Censo'!F76</f>
        <v/>
      </c>
      <c r="D76" s="14">
        <f>'Empleo Censo'!F76</f>
        <v/>
      </c>
      <c r="E76" s="14">
        <f>'Empleo Censo'!H76</f>
        <v/>
      </c>
      <c r="F76" s="14">
        <f>'Empleo Censo'!I76</f>
        <v/>
      </c>
      <c r="G76" s="14">
        <f>'Empleo Censo'!J76+'Empleo Censo'!K76</f>
        <v/>
      </c>
      <c r="H76" s="14">
        <f>'Empleo Censo'!L76</f>
        <v/>
      </c>
      <c r="I76" s="14">
        <f>'Empleo Censo'!M76</f>
        <v/>
      </c>
      <c r="J76" s="14">
        <f>SUM('Empleo Censo'!N76:AA76)</f>
        <v/>
      </c>
      <c r="K76" s="14">
        <f>SUM(C76:J76)</f>
        <v/>
      </c>
      <c r="L76" s="15">
        <f>SUMPRODUCT(C76:J76,Factores!$B$3:$I$3)</f>
        <v/>
      </c>
      <c r="M76" s="16">
        <f>'Empleo Censo'!E76</f>
        <v/>
      </c>
      <c r="N76" s="17">
        <f>IF(M76&gt;0,L76,Factores!$B$7)</f>
        <v/>
      </c>
      <c r="O76">
        <f>IF(M76&gt;0,"OK","sin PEA -&gt; peor")</f>
        <v/>
      </c>
    </row>
    <row r="77">
      <c r="A77" t="inlineStr">
        <is>
          <t>101007</t>
        </is>
      </c>
      <c r="B77" t="inlineStr">
        <is>
          <t>SAN MIGUEL DE CAURI</t>
        </is>
      </c>
      <c r="C77" s="14">
        <f>'Empleo Censo'!G77-'Empleo Censo'!F77</f>
        <v/>
      </c>
      <c r="D77" s="14">
        <f>'Empleo Censo'!F77</f>
        <v/>
      </c>
      <c r="E77" s="14">
        <f>'Empleo Censo'!H77</f>
        <v/>
      </c>
      <c r="F77" s="14">
        <f>'Empleo Censo'!I77</f>
        <v/>
      </c>
      <c r="G77" s="14">
        <f>'Empleo Censo'!J77+'Empleo Censo'!K77</f>
        <v/>
      </c>
      <c r="H77" s="14">
        <f>'Empleo Censo'!L77</f>
        <v/>
      </c>
      <c r="I77" s="14">
        <f>'Empleo Censo'!M77</f>
        <v/>
      </c>
      <c r="J77" s="14">
        <f>SUM('Empleo Censo'!N77:AA77)</f>
        <v/>
      </c>
      <c r="K77" s="14">
        <f>SUM(C77:J77)</f>
        <v/>
      </c>
      <c r="L77" s="15">
        <f>SUMPRODUCT(C77:J77,Factores!$B$3:$I$3)</f>
        <v/>
      </c>
      <c r="M77" s="16">
        <f>'Empleo Censo'!E77</f>
        <v/>
      </c>
      <c r="N77" s="17">
        <f>IF(M77&gt;0,L77,Factores!$B$7)</f>
        <v/>
      </c>
      <c r="O77">
        <f>IF(M77&gt;0,"OK","sin PEA -&gt; peor")</f>
        <v/>
      </c>
    </row>
    <row r="78">
      <c r="A78" t="inlineStr">
        <is>
          <t>101101</t>
        </is>
      </c>
      <c r="B78" t="inlineStr">
        <is>
          <t>CHAVINILLO</t>
        </is>
      </c>
      <c r="C78" s="14">
        <f>'Empleo Censo'!G78-'Empleo Censo'!F78</f>
        <v/>
      </c>
      <c r="D78" s="14">
        <f>'Empleo Censo'!F78</f>
        <v/>
      </c>
      <c r="E78" s="14">
        <f>'Empleo Censo'!H78</f>
        <v/>
      </c>
      <c r="F78" s="14">
        <f>'Empleo Censo'!I78</f>
        <v/>
      </c>
      <c r="G78" s="14">
        <f>'Empleo Censo'!J78+'Empleo Censo'!K78</f>
        <v/>
      </c>
      <c r="H78" s="14">
        <f>'Empleo Censo'!L78</f>
        <v/>
      </c>
      <c r="I78" s="14">
        <f>'Empleo Censo'!M78</f>
        <v/>
      </c>
      <c r="J78" s="14">
        <f>SUM('Empleo Censo'!N78:AA78)</f>
        <v/>
      </c>
      <c r="K78" s="14">
        <f>SUM(C78:J78)</f>
        <v/>
      </c>
      <c r="L78" s="15">
        <f>SUMPRODUCT(C78:J78,Factores!$B$3:$I$3)</f>
        <v/>
      </c>
      <c r="M78" s="16">
        <f>'Empleo Censo'!E78</f>
        <v/>
      </c>
      <c r="N78" s="17">
        <f>IF(M78&gt;0,L78,Factores!$B$7)</f>
        <v/>
      </c>
      <c r="O78">
        <f>IF(M78&gt;0,"OK","sin PEA -&gt; peor")</f>
        <v/>
      </c>
    </row>
    <row r="79">
      <c r="A79" t="inlineStr">
        <is>
          <t>101102</t>
        </is>
      </c>
      <c r="B79" t="inlineStr">
        <is>
          <t>CAHUAC</t>
        </is>
      </c>
      <c r="C79" s="14">
        <f>'Empleo Censo'!G79-'Empleo Censo'!F79</f>
        <v/>
      </c>
      <c r="D79" s="14">
        <f>'Empleo Censo'!F79</f>
        <v/>
      </c>
      <c r="E79" s="14">
        <f>'Empleo Censo'!H79</f>
        <v/>
      </c>
      <c r="F79" s="14">
        <f>'Empleo Censo'!I79</f>
        <v/>
      </c>
      <c r="G79" s="14">
        <f>'Empleo Censo'!J79+'Empleo Censo'!K79</f>
        <v/>
      </c>
      <c r="H79" s="14">
        <f>'Empleo Censo'!L79</f>
        <v/>
      </c>
      <c r="I79" s="14">
        <f>'Empleo Censo'!M79</f>
        <v/>
      </c>
      <c r="J79" s="14">
        <f>SUM('Empleo Censo'!N79:AA79)</f>
        <v/>
      </c>
      <c r="K79" s="14">
        <f>SUM(C79:J79)</f>
        <v/>
      </c>
      <c r="L79" s="15">
        <f>SUMPRODUCT(C79:J79,Factores!$B$3:$I$3)</f>
        <v/>
      </c>
      <c r="M79" s="16">
        <f>'Empleo Censo'!E79</f>
        <v/>
      </c>
      <c r="N79" s="17">
        <f>IF(M79&gt;0,L79,Factores!$B$7)</f>
        <v/>
      </c>
      <c r="O79">
        <f>IF(M79&gt;0,"OK","sin PEA -&gt; peor")</f>
        <v/>
      </c>
    </row>
    <row r="80">
      <c r="A80" t="inlineStr">
        <is>
          <t>101103</t>
        </is>
      </c>
      <c r="B80" t="inlineStr">
        <is>
          <t>CHACABAMBA</t>
        </is>
      </c>
      <c r="C80" s="14">
        <f>'Empleo Censo'!G80-'Empleo Censo'!F80</f>
        <v/>
      </c>
      <c r="D80" s="14">
        <f>'Empleo Censo'!F80</f>
        <v/>
      </c>
      <c r="E80" s="14">
        <f>'Empleo Censo'!H80</f>
        <v/>
      </c>
      <c r="F80" s="14">
        <f>'Empleo Censo'!I80</f>
        <v/>
      </c>
      <c r="G80" s="14">
        <f>'Empleo Censo'!J80+'Empleo Censo'!K80</f>
        <v/>
      </c>
      <c r="H80" s="14">
        <f>'Empleo Censo'!L80</f>
        <v/>
      </c>
      <c r="I80" s="14">
        <f>'Empleo Censo'!M80</f>
        <v/>
      </c>
      <c r="J80" s="14">
        <f>SUM('Empleo Censo'!N80:AA80)</f>
        <v/>
      </c>
      <c r="K80" s="14">
        <f>SUM(C80:J80)</f>
        <v/>
      </c>
      <c r="L80" s="15">
        <f>SUMPRODUCT(C80:J80,Factores!$B$3:$I$3)</f>
        <v/>
      </c>
      <c r="M80" s="16">
        <f>'Empleo Censo'!E80</f>
        <v/>
      </c>
      <c r="N80" s="17">
        <f>IF(M80&gt;0,L80,Factores!$B$7)</f>
        <v/>
      </c>
      <c r="O80">
        <f>IF(M80&gt;0,"OK","sin PEA -&gt; peor")</f>
        <v/>
      </c>
    </row>
    <row r="81">
      <c r="A81" t="inlineStr">
        <is>
          <t>101104</t>
        </is>
      </c>
      <c r="B81" t="inlineStr">
        <is>
          <t>APARICIO POMARES</t>
        </is>
      </c>
      <c r="C81" s="14">
        <f>'Empleo Censo'!G81-'Empleo Censo'!F81</f>
        <v/>
      </c>
      <c r="D81" s="14">
        <f>'Empleo Censo'!F81</f>
        <v/>
      </c>
      <c r="E81" s="14">
        <f>'Empleo Censo'!H81</f>
        <v/>
      </c>
      <c r="F81" s="14">
        <f>'Empleo Censo'!I81</f>
        <v/>
      </c>
      <c r="G81" s="14">
        <f>'Empleo Censo'!J81+'Empleo Censo'!K81</f>
        <v/>
      </c>
      <c r="H81" s="14">
        <f>'Empleo Censo'!L81</f>
        <v/>
      </c>
      <c r="I81" s="14">
        <f>'Empleo Censo'!M81</f>
        <v/>
      </c>
      <c r="J81" s="14">
        <f>SUM('Empleo Censo'!N81:AA81)</f>
        <v/>
      </c>
      <c r="K81" s="14">
        <f>SUM(C81:J81)</f>
        <v/>
      </c>
      <c r="L81" s="15">
        <f>SUMPRODUCT(C81:J81,Factores!$B$3:$I$3)</f>
        <v/>
      </c>
      <c r="M81" s="16">
        <f>'Empleo Censo'!E81</f>
        <v/>
      </c>
      <c r="N81" s="17">
        <f>IF(M81&gt;0,L81,Factores!$B$7)</f>
        <v/>
      </c>
      <c r="O81">
        <f>IF(M81&gt;0,"OK","sin PEA -&gt; peor")</f>
        <v/>
      </c>
    </row>
    <row r="82">
      <c r="A82" t="inlineStr">
        <is>
          <t>101105</t>
        </is>
      </c>
      <c r="B82" t="inlineStr">
        <is>
          <t>JACAS CHICO</t>
        </is>
      </c>
      <c r="C82" s="14">
        <f>'Empleo Censo'!G82-'Empleo Censo'!F82</f>
        <v/>
      </c>
      <c r="D82" s="14">
        <f>'Empleo Censo'!F82</f>
        <v/>
      </c>
      <c r="E82" s="14">
        <f>'Empleo Censo'!H82</f>
        <v/>
      </c>
      <c r="F82" s="14">
        <f>'Empleo Censo'!I82</f>
        <v/>
      </c>
      <c r="G82" s="14">
        <f>'Empleo Censo'!J82+'Empleo Censo'!K82</f>
        <v/>
      </c>
      <c r="H82" s="14">
        <f>'Empleo Censo'!L82</f>
        <v/>
      </c>
      <c r="I82" s="14">
        <f>'Empleo Censo'!M82</f>
        <v/>
      </c>
      <c r="J82" s="14">
        <f>SUM('Empleo Censo'!N82:AA82)</f>
        <v/>
      </c>
      <c r="K82" s="14">
        <f>SUM(C82:J82)</f>
        <v/>
      </c>
      <c r="L82" s="15">
        <f>SUMPRODUCT(C82:J82,Factores!$B$3:$I$3)</f>
        <v/>
      </c>
      <c r="M82" s="16">
        <f>'Empleo Censo'!E82</f>
        <v/>
      </c>
      <c r="N82" s="17">
        <f>IF(M82&gt;0,L82,Factores!$B$7)</f>
        <v/>
      </c>
      <c r="O82">
        <f>IF(M82&gt;0,"OK","sin PEA -&gt; peor")</f>
        <v/>
      </c>
    </row>
    <row r="83">
      <c r="A83" t="inlineStr">
        <is>
          <t>101106</t>
        </is>
      </c>
      <c r="B83" t="inlineStr">
        <is>
          <t>OBAS</t>
        </is>
      </c>
      <c r="C83" s="14">
        <f>'Empleo Censo'!G83-'Empleo Censo'!F83</f>
        <v/>
      </c>
      <c r="D83" s="14">
        <f>'Empleo Censo'!F83</f>
        <v/>
      </c>
      <c r="E83" s="14">
        <f>'Empleo Censo'!H83</f>
        <v/>
      </c>
      <c r="F83" s="14">
        <f>'Empleo Censo'!I83</f>
        <v/>
      </c>
      <c r="G83" s="14">
        <f>'Empleo Censo'!J83+'Empleo Censo'!K83</f>
        <v/>
      </c>
      <c r="H83" s="14">
        <f>'Empleo Censo'!L83</f>
        <v/>
      </c>
      <c r="I83" s="14">
        <f>'Empleo Censo'!M83</f>
        <v/>
      </c>
      <c r="J83" s="14">
        <f>SUM('Empleo Censo'!N83:AA83)</f>
        <v/>
      </c>
      <c r="K83" s="14">
        <f>SUM(C83:J83)</f>
        <v/>
      </c>
      <c r="L83" s="15">
        <f>SUMPRODUCT(C83:J83,Factores!$B$3:$I$3)</f>
        <v/>
      </c>
      <c r="M83" s="16">
        <f>'Empleo Censo'!E83</f>
        <v/>
      </c>
      <c r="N83" s="17">
        <f>IF(M83&gt;0,L83,Factores!$B$7)</f>
        <v/>
      </c>
      <c r="O83">
        <f>IF(M83&gt;0,"OK","sin PEA -&gt; peor")</f>
        <v/>
      </c>
    </row>
    <row r="84">
      <c r="A84" t="inlineStr">
        <is>
          <t>101107</t>
        </is>
      </c>
      <c r="B84" t="inlineStr">
        <is>
          <t>PAMPAMARCA</t>
        </is>
      </c>
      <c r="C84" s="14">
        <f>'Empleo Censo'!G84-'Empleo Censo'!F84</f>
        <v/>
      </c>
      <c r="D84" s="14">
        <f>'Empleo Censo'!F84</f>
        <v/>
      </c>
      <c r="E84" s="14">
        <f>'Empleo Censo'!H84</f>
        <v/>
      </c>
      <c r="F84" s="14">
        <f>'Empleo Censo'!I84</f>
        <v/>
      </c>
      <c r="G84" s="14">
        <f>'Empleo Censo'!J84+'Empleo Censo'!K84</f>
        <v/>
      </c>
      <c r="H84" s="14">
        <f>'Empleo Censo'!L84</f>
        <v/>
      </c>
      <c r="I84" s="14">
        <f>'Empleo Censo'!M84</f>
        <v/>
      </c>
      <c r="J84" s="14">
        <f>SUM('Empleo Censo'!N84:AA84)</f>
        <v/>
      </c>
      <c r="K84" s="14">
        <f>SUM(C84:J84)</f>
        <v/>
      </c>
      <c r="L84" s="15">
        <f>SUMPRODUCT(C84:J84,Factores!$B$3:$I$3)</f>
        <v/>
      </c>
      <c r="M84" s="16">
        <f>'Empleo Censo'!E84</f>
        <v/>
      </c>
      <c r="N84" s="17">
        <f>IF(M84&gt;0,L84,Factores!$B$7)</f>
        <v/>
      </c>
      <c r="O84">
        <f>IF(M84&gt;0,"OK","sin PEA -&gt; peor")</f>
        <v/>
      </c>
    </row>
    <row r="85">
      <c r="A85" t="inlineStr">
        <is>
          <t>101108</t>
        </is>
      </c>
      <c r="B85" t="inlineStr">
        <is>
          <t>CHORAS</t>
        </is>
      </c>
      <c r="C85" s="14">
        <f>'Empleo Censo'!G85-'Empleo Censo'!F85</f>
        <v/>
      </c>
      <c r="D85" s="14">
        <f>'Empleo Censo'!F85</f>
        <v/>
      </c>
      <c r="E85" s="14">
        <f>'Empleo Censo'!H85</f>
        <v/>
      </c>
      <c r="F85" s="14">
        <f>'Empleo Censo'!I85</f>
        <v/>
      </c>
      <c r="G85" s="14">
        <f>'Empleo Censo'!J85+'Empleo Censo'!K85</f>
        <v/>
      </c>
      <c r="H85" s="14">
        <f>'Empleo Censo'!L85</f>
        <v/>
      </c>
      <c r="I85" s="14">
        <f>'Empleo Censo'!M85</f>
        <v/>
      </c>
      <c r="J85" s="14">
        <f>SUM('Empleo Censo'!N85:AA85)</f>
        <v/>
      </c>
      <c r="K85" s="14">
        <f>SUM(C85:J85)</f>
        <v/>
      </c>
      <c r="L85" s="15">
        <f>SUMPRODUCT(C85:J85,Factores!$B$3:$I$3)</f>
        <v/>
      </c>
      <c r="M85" s="16">
        <f>'Empleo Censo'!E85</f>
        <v/>
      </c>
      <c r="N85" s="17">
        <f>IF(M85&gt;0,L85,Factores!$B$7)</f>
        <v/>
      </c>
      <c r="O85">
        <f>IF(M85&gt;0,"OK","sin PEA -&gt; peor")</f>
        <v/>
      </c>
    </row>
    <row r="86">
      <c r="A86" t="inlineStr">
        <is>
          <t>110101</t>
        </is>
      </c>
      <c r="B86" t="inlineStr">
        <is>
          <t>ICA</t>
        </is>
      </c>
      <c r="C86" s="14">
        <f>'Empleo Censo'!G86-'Empleo Censo'!F86</f>
        <v/>
      </c>
      <c r="D86" s="14">
        <f>'Empleo Censo'!F86</f>
        <v/>
      </c>
      <c r="E86" s="14">
        <f>'Empleo Censo'!H86</f>
        <v/>
      </c>
      <c r="F86" s="14">
        <f>'Empleo Censo'!I86</f>
        <v/>
      </c>
      <c r="G86" s="14">
        <f>'Empleo Censo'!J86+'Empleo Censo'!K86</f>
        <v/>
      </c>
      <c r="H86" s="14">
        <f>'Empleo Censo'!L86</f>
        <v/>
      </c>
      <c r="I86" s="14">
        <f>'Empleo Censo'!M86</f>
        <v/>
      </c>
      <c r="J86" s="14">
        <f>SUM('Empleo Censo'!N86:AA86)</f>
        <v/>
      </c>
      <c r="K86" s="14">
        <f>SUM(C86:J86)</f>
        <v/>
      </c>
      <c r="L86" s="15">
        <f>SUMPRODUCT(C86:J86,Factores!$B$3:$I$3)</f>
        <v/>
      </c>
      <c r="M86" s="16">
        <f>'Empleo Censo'!E86</f>
        <v/>
      </c>
      <c r="N86" s="17">
        <f>IF(M86&gt;0,L86,Factores!$B$7)</f>
        <v/>
      </c>
      <c r="O86">
        <f>IF(M86&gt;0,"OK","sin PEA -&gt; peor")</f>
        <v/>
      </c>
    </row>
    <row r="87">
      <c r="A87" t="inlineStr">
        <is>
          <t>110102</t>
        </is>
      </c>
      <c r="B87" t="inlineStr">
        <is>
          <t>LA TINGUIÑA</t>
        </is>
      </c>
      <c r="C87" s="14">
        <f>'Empleo Censo'!G87-'Empleo Censo'!F87</f>
        <v/>
      </c>
      <c r="D87" s="14">
        <f>'Empleo Censo'!F87</f>
        <v/>
      </c>
      <c r="E87" s="14">
        <f>'Empleo Censo'!H87</f>
        <v/>
      </c>
      <c r="F87" s="14">
        <f>'Empleo Censo'!I87</f>
        <v/>
      </c>
      <c r="G87" s="14">
        <f>'Empleo Censo'!J87+'Empleo Censo'!K87</f>
        <v/>
      </c>
      <c r="H87" s="14">
        <f>'Empleo Censo'!L87</f>
        <v/>
      </c>
      <c r="I87" s="14">
        <f>'Empleo Censo'!M87</f>
        <v/>
      </c>
      <c r="J87" s="14">
        <f>SUM('Empleo Censo'!N87:AA87)</f>
        <v/>
      </c>
      <c r="K87" s="14">
        <f>SUM(C87:J87)</f>
        <v/>
      </c>
      <c r="L87" s="15">
        <f>SUMPRODUCT(C87:J87,Factores!$B$3:$I$3)</f>
        <v/>
      </c>
      <c r="M87" s="16">
        <f>'Empleo Censo'!E87</f>
        <v/>
      </c>
      <c r="N87" s="17">
        <f>IF(M87&gt;0,L87,Factores!$B$7)</f>
        <v/>
      </c>
      <c r="O87">
        <f>IF(M87&gt;0,"OK","sin PEA -&gt; peor")</f>
        <v/>
      </c>
    </row>
    <row r="88">
      <c r="A88" t="inlineStr">
        <is>
          <t>110103</t>
        </is>
      </c>
      <c r="B88" t="inlineStr">
        <is>
          <t>LOS AQUIJES</t>
        </is>
      </c>
      <c r="C88" s="14">
        <f>'Empleo Censo'!G88-'Empleo Censo'!F88</f>
        <v/>
      </c>
      <c r="D88" s="14">
        <f>'Empleo Censo'!F88</f>
        <v/>
      </c>
      <c r="E88" s="14">
        <f>'Empleo Censo'!H88</f>
        <v/>
      </c>
      <c r="F88" s="14">
        <f>'Empleo Censo'!I88</f>
        <v/>
      </c>
      <c r="G88" s="14">
        <f>'Empleo Censo'!J88+'Empleo Censo'!K88</f>
        <v/>
      </c>
      <c r="H88" s="14">
        <f>'Empleo Censo'!L88</f>
        <v/>
      </c>
      <c r="I88" s="14">
        <f>'Empleo Censo'!M88</f>
        <v/>
      </c>
      <c r="J88" s="14">
        <f>SUM('Empleo Censo'!N88:AA88)</f>
        <v/>
      </c>
      <c r="K88" s="14">
        <f>SUM(C88:J88)</f>
        <v/>
      </c>
      <c r="L88" s="15">
        <f>SUMPRODUCT(C88:J88,Factores!$B$3:$I$3)</f>
        <v/>
      </c>
      <c r="M88" s="16">
        <f>'Empleo Censo'!E88</f>
        <v/>
      </c>
      <c r="N88" s="17">
        <f>IF(M88&gt;0,L88,Factores!$B$7)</f>
        <v/>
      </c>
      <c r="O88">
        <f>IF(M88&gt;0,"OK","sin PEA -&gt; peor")</f>
        <v/>
      </c>
    </row>
    <row r="89">
      <c r="A89" t="inlineStr">
        <is>
          <t>110104</t>
        </is>
      </c>
      <c r="B89" t="inlineStr">
        <is>
          <t>OCUCAJE</t>
        </is>
      </c>
      <c r="C89" s="14">
        <f>'Empleo Censo'!G89-'Empleo Censo'!F89</f>
        <v/>
      </c>
      <c r="D89" s="14">
        <f>'Empleo Censo'!F89</f>
        <v/>
      </c>
      <c r="E89" s="14">
        <f>'Empleo Censo'!H89</f>
        <v/>
      </c>
      <c r="F89" s="14">
        <f>'Empleo Censo'!I89</f>
        <v/>
      </c>
      <c r="G89" s="14">
        <f>'Empleo Censo'!J89+'Empleo Censo'!K89</f>
        <v/>
      </c>
      <c r="H89" s="14">
        <f>'Empleo Censo'!L89</f>
        <v/>
      </c>
      <c r="I89" s="14">
        <f>'Empleo Censo'!M89</f>
        <v/>
      </c>
      <c r="J89" s="14">
        <f>SUM('Empleo Censo'!N89:AA89)</f>
        <v/>
      </c>
      <c r="K89" s="14">
        <f>SUM(C89:J89)</f>
        <v/>
      </c>
      <c r="L89" s="15">
        <f>SUMPRODUCT(C89:J89,Factores!$B$3:$I$3)</f>
        <v/>
      </c>
      <c r="M89" s="16">
        <f>'Empleo Censo'!E89</f>
        <v/>
      </c>
      <c r="N89" s="17">
        <f>IF(M89&gt;0,L89,Factores!$B$7)</f>
        <v/>
      </c>
      <c r="O89">
        <f>IF(M89&gt;0,"OK","sin PEA -&gt; peor")</f>
        <v/>
      </c>
    </row>
    <row r="90">
      <c r="A90" t="inlineStr">
        <is>
          <t>110105</t>
        </is>
      </c>
      <c r="B90" t="inlineStr">
        <is>
          <t>PACHACUTEC</t>
        </is>
      </c>
      <c r="C90" s="14">
        <f>'Empleo Censo'!G90-'Empleo Censo'!F90</f>
        <v/>
      </c>
      <c r="D90" s="14">
        <f>'Empleo Censo'!F90</f>
        <v/>
      </c>
      <c r="E90" s="14">
        <f>'Empleo Censo'!H90</f>
        <v/>
      </c>
      <c r="F90" s="14">
        <f>'Empleo Censo'!I90</f>
        <v/>
      </c>
      <c r="G90" s="14">
        <f>'Empleo Censo'!J90+'Empleo Censo'!K90</f>
        <v/>
      </c>
      <c r="H90" s="14">
        <f>'Empleo Censo'!L90</f>
        <v/>
      </c>
      <c r="I90" s="14">
        <f>'Empleo Censo'!M90</f>
        <v/>
      </c>
      <c r="J90" s="14">
        <f>SUM('Empleo Censo'!N90:AA90)</f>
        <v/>
      </c>
      <c r="K90" s="14">
        <f>SUM(C90:J90)</f>
        <v/>
      </c>
      <c r="L90" s="15">
        <f>SUMPRODUCT(C90:J90,Factores!$B$3:$I$3)</f>
        <v/>
      </c>
      <c r="M90" s="16">
        <f>'Empleo Censo'!E90</f>
        <v/>
      </c>
      <c r="N90" s="17">
        <f>IF(M90&gt;0,L90,Factores!$B$7)</f>
        <v/>
      </c>
      <c r="O90">
        <f>IF(M90&gt;0,"OK","sin PEA -&gt; peor")</f>
        <v/>
      </c>
    </row>
    <row r="91">
      <c r="A91" t="inlineStr">
        <is>
          <t>110106</t>
        </is>
      </c>
      <c r="B91" t="inlineStr">
        <is>
          <t>PARCONA</t>
        </is>
      </c>
      <c r="C91" s="14">
        <f>'Empleo Censo'!G91-'Empleo Censo'!F91</f>
        <v/>
      </c>
      <c r="D91" s="14">
        <f>'Empleo Censo'!F91</f>
        <v/>
      </c>
      <c r="E91" s="14">
        <f>'Empleo Censo'!H91</f>
        <v/>
      </c>
      <c r="F91" s="14">
        <f>'Empleo Censo'!I91</f>
        <v/>
      </c>
      <c r="G91" s="14">
        <f>'Empleo Censo'!J91+'Empleo Censo'!K91</f>
        <v/>
      </c>
      <c r="H91" s="14">
        <f>'Empleo Censo'!L91</f>
        <v/>
      </c>
      <c r="I91" s="14">
        <f>'Empleo Censo'!M91</f>
        <v/>
      </c>
      <c r="J91" s="14">
        <f>SUM('Empleo Censo'!N91:AA91)</f>
        <v/>
      </c>
      <c r="K91" s="14">
        <f>SUM(C91:J91)</f>
        <v/>
      </c>
      <c r="L91" s="15">
        <f>SUMPRODUCT(C91:J91,Factores!$B$3:$I$3)</f>
        <v/>
      </c>
      <c r="M91" s="16">
        <f>'Empleo Censo'!E91</f>
        <v/>
      </c>
      <c r="N91" s="17">
        <f>IF(M91&gt;0,L91,Factores!$B$7)</f>
        <v/>
      </c>
      <c r="O91">
        <f>IF(M91&gt;0,"OK","sin PEA -&gt; peor")</f>
        <v/>
      </c>
    </row>
    <row r="92">
      <c r="A92" t="inlineStr">
        <is>
          <t>110107</t>
        </is>
      </c>
      <c r="B92" t="inlineStr">
        <is>
          <t>PUEBLO NUEVO</t>
        </is>
      </c>
      <c r="C92" s="14">
        <f>'Empleo Censo'!G92-'Empleo Censo'!F92</f>
        <v/>
      </c>
      <c r="D92" s="14">
        <f>'Empleo Censo'!F92</f>
        <v/>
      </c>
      <c r="E92" s="14">
        <f>'Empleo Censo'!H92</f>
        <v/>
      </c>
      <c r="F92" s="14">
        <f>'Empleo Censo'!I92</f>
        <v/>
      </c>
      <c r="G92" s="14">
        <f>'Empleo Censo'!J92+'Empleo Censo'!K92</f>
        <v/>
      </c>
      <c r="H92" s="14">
        <f>'Empleo Censo'!L92</f>
        <v/>
      </c>
      <c r="I92" s="14">
        <f>'Empleo Censo'!M92</f>
        <v/>
      </c>
      <c r="J92" s="14">
        <f>SUM('Empleo Censo'!N92:AA92)</f>
        <v/>
      </c>
      <c r="K92" s="14">
        <f>SUM(C92:J92)</f>
        <v/>
      </c>
      <c r="L92" s="15">
        <f>SUMPRODUCT(C92:J92,Factores!$B$3:$I$3)</f>
        <v/>
      </c>
      <c r="M92" s="16">
        <f>'Empleo Censo'!E92</f>
        <v/>
      </c>
      <c r="N92" s="17">
        <f>IF(M92&gt;0,L92,Factores!$B$7)</f>
        <v/>
      </c>
      <c r="O92">
        <f>IF(M92&gt;0,"OK","sin PEA -&gt; peor")</f>
        <v/>
      </c>
    </row>
    <row r="93">
      <c r="A93" t="inlineStr">
        <is>
          <t>110108</t>
        </is>
      </c>
      <c r="B93" t="inlineStr">
        <is>
          <t>SALAS</t>
        </is>
      </c>
      <c r="C93" s="14">
        <f>'Empleo Censo'!G93-'Empleo Censo'!F93</f>
        <v/>
      </c>
      <c r="D93" s="14">
        <f>'Empleo Censo'!F93</f>
        <v/>
      </c>
      <c r="E93" s="14">
        <f>'Empleo Censo'!H93</f>
        <v/>
      </c>
      <c r="F93" s="14">
        <f>'Empleo Censo'!I93</f>
        <v/>
      </c>
      <c r="G93" s="14">
        <f>'Empleo Censo'!J93+'Empleo Censo'!K93</f>
        <v/>
      </c>
      <c r="H93" s="14">
        <f>'Empleo Censo'!L93</f>
        <v/>
      </c>
      <c r="I93" s="14">
        <f>'Empleo Censo'!M93</f>
        <v/>
      </c>
      <c r="J93" s="14">
        <f>SUM('Empleo Censo'!N93:AA93)</f>
        <v/>
      </c>
      <c r="K93" s="14">
        <f>SUM(C93:J93)</f>
        <v/>
      </c>
      <c r="L93" s="15">
        <f>SUMPRODUCT(C93:J93,Factores!$B$3:$I$3)</f>
        <v/>
      </c>
      <c r="M93" s="16">
        <f>'Empleo Censo'!E93</f>
        <v/>
      </c>
      <c r="N93" s="17">
        <f>IF(M93&gt;0,L93,Factores!$B$7)</f>
        <v/>
      </c>
      <c r="O93">
        <f>IF(M93&gt;0,"OK","sin PEA -&gt; peor")</f>
        <v/>
      </c>
    </row>
    <row r="94">
      <c r="A94" t="inlineStr">
        <is>
          <t>110109</t>
        </is>
      </c>
      <c r="B94" t="inlineStr">
        <is>
          <t>SAN JOSE DE LOS MOLINOS</t>
        </is>
      </c>
      <c r="C94" s="14">
        <f>'Empleo Censo'!G94-'Empleo Censo'!F94</f>
        <v/>
      </c>
      <c r="D94" s="14">
        <f>'Empleo Censo'!F94</f>
        <v/>
      </c>
      <c r="E94" s="14">
        <f>'Empleo Censo'!H94</f>
        <v/>
      </c>
      <c r="F94" s="14">
        <f>'Empleo Censo'!I94</f>
        <v/>
      </c>
      <c r="G94" s="14">
        <f>'Empleo Censo'!J94+'Empleo Censo'!K94</f>
        <v/>
      </c>
      <c r="H94" s="14">
        <f>'Empleo Censo'!L94</f>
        <v/>
      </c>
      <c r="I94" s="14">
        <f>'Empleo Censo'!M94</f>
        <v/>
      </c>
      <c r="J94" s="14">
        <f>SUM('Empleo Censo'!N94:AA94)</f>
        <v/>
      </c>
      <c r="K94" s="14">
        <f>SUM(C94:J94)</f>
        <v/>
      </c>
      <c r="L94" s="15">
        <f>SUMPRODUCT(C94:J94,Factores!$B$3:$I$3)</f>
        <v/>
      </c>
      <c r="M94" s="16">
        <f>'Empleo Censo'!E94</f>
        <v/>
      </c>
      <c r="N94" s="17">
        <f>IF(M94&gt;0,L94,Factores!$B$7)</f>
        <v/>
      </c>
      <c r="O94">
        <f>IF(M94&gt;0,"OK","sin PEA -&gt; peor")</f>
        <v/>
      </c>
    </row>
    <row r="95">
      <c r="A95" t="inlineStr">
        <is>
          <t>110110</t>
        </is>
      </c>
      <c r="B95" t="inlineStr">
        <is>
          <t>SAN JUAN BAUTISTA</t>
        </is>
      </c>
      <c r="C95" s="14">
        <f>'Empleo Censo'!G95-'Empleo Censo'!F95</f>
        <v/>
      </c>
      <c r="D95" s="14">
        <f>'Empleo Censo'!F95</f>
        <v/>
      </c>
      <c r="E95" s="14">
        <f>'Empleo Censo'!H95</f>
        <v/>
      </c>
      <c r="F95" s="14">
        <f>'Empleo Censo'!I95</f>
        <v/>
      </c>
      <c r="G95" s="14">
        <f>'Empleo Censo'!J95+'Empleo Censo'!K95</f>
        <v/>
      </c>
      <c r="H95" s="14">
        <f>'Empleo Censo'!L95</f>
        <v/>
      </c>
      <c r="I95" s="14">
        <f>'Empleo Censo'!M95</f>
        <v/>
      </c>
      <c r="J95" s="14">
        <f>SUM('Empleo Censo'!N95:AA95)</f>
        <v/>
      </c>
      <c r="K95" s="14">
        <f>SUM(C95:J95)</f>
        <v/>
      </c>
      <c r="L95" s="15">
        <f>SUMPRODUCT(C95:J95,Factores!$B$3:$I$3)</f>
        <v/>
      </c>
      <c r="M95" s="16">
        <f>'Empleo Censo'!E95</f>
        <v/>
      </c>
      <c r="N95" s="17">
        <f>IF(M95&gt;0,L95,Factores!$B$7)</f>
        <v/>
      </c>
      <c r="O95">
        <f>IF(M95&gt;0,"OK","sin PEA -&gt; peor")</f>
        <v/>
      </c>
    </row>
    <row r="96">
      <c r="A96" t="inlineStr">
        <is>
          <t>110111</t>
        </is>
      </c>
      <c r="B96" t="inlineStr">
        <is>
          <t>SANTIAGO</t>
        </is>
      </c>
      <c r="C96" s="14">
        <f>'Empleo Censo'!G96-'Empleo Censo'!F96</f>
        <v/>
      </c>
      <c r="D96" s="14">
        <f>'Empleo Censo'!F96</f>
        <v/>
      </c>
      <c r="E96" s="14">
        <f>'Empleo Censo'!H96</f>
        <v/>
      </c>
      <c r="F96" s="14">
        <f>'Empleo Censo'!I96</f>
        <v/>
      </c>
      <c r="G96" s="14">
        <f>'Empleo Censo'!J96+'Empleo Censo'!K96</f>
        <v/>
      </c>
      <c r="H96" s="14">
        <f>'Empleo Censo'!L96</f>
        <v/>
      </c>
      <c r="I96" s="14">
        <f>'Empleo Censo'!M96</f>
        <v/>
      </c>
      <c r="J96" s="14">
        <f>SUM('Empleo Censo'!N96:AA96)</f>
        <v/>
      </c>
      <c r="K96" s="14">
        <f>SUM(C96:J96)</f>
        <v/>
      </c>
      <c r="L96" s="15">
        <f>SUMPRODUCT(C96:J96,Factores!$B$3:$I$3)</f>
        <v/>
      </c>
      <c r="M96" s="16">
        <f>'Empleo Censo'!E96</f>
        <v/>
      </c>
      <c r="N96" s="17">
        <f>IF(M96&gt;0,L96,Factores!$B$7)</f>
        <v/>
      </c>
      <c r="O96">
        <f>IF(M96&gt;0,"OK","sin PEA -&gt; peor")</f>
        <v/>
      </c>
    </row>
    <row r="97">
      <c r="A97" t="inlineStr">
        <is>
          <t>110112</t>
        </is>
      </c>
      <c r="B97" t="inlineStr">
        <is>
          <t>SUBTANJALLA</t>
        </is>
      </c>
      <c r="C97" s="14">
        <f>'Empleo Censo'!G97-'Empleo Censo'!F97</f>
        <v/>
      </c>
      <c r="D97" s="14">
        <f>'Empleo Censo'!F97</f>
        <v/>
      </c>
      <c r="E97" s="14">
        <f>'Empleo Censo'!H97</f>
        <v/>
      </c>
      <c r="F97" s="14">
        <f>'Empleo Censo'!I97</f>
        <v/>
      </c>
      <c r="G97" s="14">
        <f>'Empleo Censo'!J97+'Empleo Censo'!K97</f>
        <v/>
      </c>
      <c r="H97" s="14">
        <f>'Empleo Censo'!L97</f>
        <v/>
      </c>
      <c r="I97" s="14">
        <f>'Empleo Censo'!M97</f>
        <v/>
      </c>
      <c r="J97" s="14">
        <f>SUM('Empleo Censo'!N97:AA97)</f>
        <v/>
      </c>
      <c r="K97" s="14">
        <f>SUM(C97:J97)</f>
        <v/>
      </c>
      <c r="L97" s="15">
        <f>SUMPRODUCT(C97:J97,Factores!$B$3:$I$3)</f>
        <v/>
      </c>
      <c r="M97" s="16">
        <f>'Empleo Censo'!E97</f>
        <v/>
      </c>
      <c r="N97" s="17">
        <f>IF(M97&gt;0,L97,Factores!$B$7)</f>
        <v/>
      </c>
      <c r="O97">
        <f>IF(M97&gt;0,"OK","sin PEA -&gt; peor")</f>
        <v/>
      </c>
    </row>
    <row r="98">
      <c r="A98" t="inlineStr">
        <is>
          <t>110113</t>
        </is>
      </c>
      <c r="B98" t="inlineStr">
        <is>
          <t>TATE</t>
        </is>
      </c>
      <c r="C98" s="14">
        <f>'Empleo Censo'!G98-'Empleo Censo'!F98</f>
        <v/>
      </c>
      <c r="D98" s="14">
        <f>'Empleo Censo'!F98</f>
        <v/>
      </c>
      <c r="E98" s="14">
        <f>'Empleo Censo'!H98</f>
        <v/>
      </c>
      <c r="F98" s="14">
        <f>'Empleo Censo'!I98</f>
        <v/>
      </c>
      <c r="G98" s="14">
        <f>'Empleo Censo'!J98+'Empleo Censo'!K98</f>
        <v/>
      </c>
      <c r="H98" s="14">
        <f>'Empleo Censo'!L98</f>
        <v/>
      </c>
      <c r="I98" s="14">
        <f>'Empleo Censo'!M98</f>
        <v/>
      </c>
      <c r="J98" s="14">
        <f>SUM('Empleo Censo'!N98:AA98)</f>
        <v/>
      </c>
      <c r="K98" s="14">
        <f>SUM(C98:J98)</f>
        <v/>
      </c>
      <c r="L98" s="15">
        <f>SUMPRODUCT(C98:J98,Factores!$B$3:$I$3)</f>
        <v/>
      </c>
      <c r="M98" s="16">
        <f>'Empleo Censo'!E98</f>
        <v/>
      </c>
      <c r="N98" s="17">
        <f>IF(M98&gt;0,L98,Factores!$B$7)</f>
        <v/>
      </c>
      <c r="O98">
        <f>IF(M98&gt;0,"OK","sin PEA -&gt; peor")</f>
        <v/>
      </c>
    </row>
    <row r="99">
      <c r="A99" t="inlineStr">
        <is>
          <t>110114</t>
        </is>
      </c>
      <c r="B99" t="inlineStr">
        <is>
          <t>YAUCA DEL ROSARIO</t>
        </is>
      </c>
      <c r="C99" s="14">
        <f>'Empleo Censo'!G99-'Empleo Censo'!F99</f>
        <v/>
      </c>
      <c r="D99" s="14">
        <f>'Empleo Censo'!F99</f>
        <v/>
      </c>
      <c r="E99" s="14">
        <f>'Empleo Censo'!H99</f>
        <v/>
      </c>
      <c r="F99" s="14">
        <f>'Empleo Censo'!I99</f>
        <v/>
      </c>
      <c r="G99" s="14">
        <f>'Empleo Censo'!J99+'Empleo Censo'!K99</f>
        <v/>
      </c>
      <c r="H99" s="14">
        <f>'Empleo Censo'!L99</f>
        <v/>
      </c>
      <c r="I99" s="14">
        <f>'Empleo Censo'!M99</f>
        <v/>
      </c>
      <c r="J99" s="14">
        <f>SUM('Empleo Censo'!N99:AA99)</f>
        <v/>
      </c>
      <c r="K99" s="14">
        <f>SUM(C99:J99)</f>
        <v/>
      </c>
      <c r="L99" s="15">
        <f>SUMPRODUCT(C99:J99,Factores!$B$3:$I$3)</f>
        <v/>
      </c>
      <c r="M99" s="16">
        <f>'Empleo Censo'!E99</f>
        <v/>
      </c>
      <c r="N99" s="17">
        <f>IF(M99&gt;0,L99,Factores!$B$7)</f>
        <v/>
      </c>
      <c r="O99">
        <f>IF(M99&gt;0,"OK","sin PEA -&gt; peor")</f>
        <v/>
      </c>
    </row>
    <row r="100">
      <c r="A100" t="inlineStr">
        <is>
          <t>110201</t>
        </is>
      </c>
      <c r="B100" t="inlineStr">
        <is>
          <t>CHINCHA ALTA</t>
        </is>
      </c>
      <c r="C100" s="14">
        <f>'Empleo Censo'!G100-'Empleo Censo'!F100</f>
        <v/>
      </c>
      <c r="D100" s="14">
        <f>'Empleo Censo'!F100</f>
        <v/>
      </c>
      <c r="E100" s="14">
        <f>'Empleo Censo'!H100</f>
        <v/>
      </c>
      <c r="F100" s="14">
        <f>'Empleo Censo'!I100</f>
        <v/>
      </c>
      <c r="G100" s="14">
        <f>'Empleo Censo'!J100+'Empleo Censo'!K100</f>
        <v/>
      </c>
      <c r="H100" s="14">
        <f>'Empleo Censo'!L100</f>
        <v/>
      </c>
      <c r="I100" s="14">
        <f>'Empleo Censo'!M100</f>
        <v/>
      </c>
      <c r="J100" s="14">
        <f>SUM('Empleo Censo'!N100:AA100)</f>
        <v/>
      </c>
      <c r="K100" s="14">
        <f>SUM(C100:J100)</f>
        <v/>
      </c>
      <c r="L100" s="15">
        <f>SUMPRODUCT(C100:J100,Factores!$B$3:$I$3)</f>
        <v/>
      </c>
      <c r="M100" s="16">
        <f>'Empleo Censo'!E100</f>
        <v/>
      </c>
      <c r="N100" s="17">
        <f>IF(M100&gt;0,L100,Factores!$B$7)</f>
        <v/>
      </c>
      <c r="O100">
        <f>IF(M100&gt;0,"OK","sin PEA -&gt; peor")</f>
        <v/>
      </c>
    </row>
    <row r="101">
      <c r="A101" t="inlineStr">
        <is>
          <t>110202</t>
        </is>
      </c>
      <c r="B101" t="inlineStr">
        <is>
          <t>ALTO LARAN</t>
        </is>
      </c>
      <c r="C101" s="14">
        <f>'Empleo Censo'!G101-'Empleo Censo'!F101</f>
        <v/>
      </c>
      <c r="D101" s="14">
        <f>'Empleo Censo'!F101</f>
        <v/>
      </c>
      <c r="E101" s="14">
        <f>'Empleo Censo'!H101</f>
        <v/>
      </c>
      <c r="F101" s="14">
        <f>'Empleo Censo'!I101</f>
        <v/>
      </c>
      <c r="G101" s="14">
        <f>'Empleo Censo'!J101+'Empleo Censo'!K101</f>
        <v/>
      </c>
      <c r="H101" s="14">
        <f>'Empleo Censo'!L101</f>
        <v/>
      </c>
      <c r="I101" s="14">
        <f>'Empleo Censo'!M101</f>
        <v/>
      </c>
      <c r="J101" s="14">
        <f>SUM('Empleo Censo'!N101:AA101)</f>
        <v/>
      </c>
      <c r="K101" s="14">
        <f>SUM(C101:J101)</f>
        <v/>
      </c>
      <c r="L101" s="15">
        <f>SUMPRODUCT(C101:J101,Factores!$B$3:$I$3)</f>
        <v/>
      </c>
      <c r="M101" s="16">
        <f>'Empleo Censo'!E101</f>
        <v/>
      </c>
      <c r="N101" s="17">
        <f>IF(M101&gt;0,L101,Factores!$B$7)</f>
        <v/>
      </c>
      <c r="O101">
        <f>IF(M101&gt;0,"OK","sin PEA -&gt; peor")</f>
        <v/>
      </c>
    </row>
    <row r="102">
      <c r="A102" t="inlineStr">
        <is>
          <t>110203</t>
        </is>
      </c>
      <c r="B102" t="inlineStr">
        <is>
          <t>CHAVIN</t>
        </is>
      </c>
      <c r="C102" s="14">
        <f>'Empleo Censo'!G102-'Empleo Censo'!F102</f>
        <v/>
      </c>
      <c r="D102" s="14">
        <f>'Empleo Censo'!F102</f>
        <v/>
      </c>
      <c r="E102" s="14">
        <f>'Empleo Censo'!H102</f>
        <v/>
      </c>
      <c r="F102" s="14">
        <f>'Empleo Censo'!I102</f>
        <v/>
      </c>
      <c r="G102" s="14">
        <f>'Empleo Censo'!J102+'Empleo Censo'!K102</f>
        <v/>
      </c>
      <c r="H102" s="14">
        <f>'Empleo Censo'!L102</f>
        <v/>
      </c>
      <c r="I102" s="14">
        <f>'Empleo Censo'!M102</f>
        <v/>
      </c>
      <c r="J102" s="14">
        <f>SUM('Empleo Censo'!N102:AA102)</f>
        <v/>
      </c>
      <c r="K102" s="14">
        <f>SUM(C102:J102)</f>
        <v/>
      </c>
      <c r="L102" s="15">
        <f>SUMPRODUCT(C102:J102,Factores!$B$3:$I$3)</f>
        <v/>
      </c>
      <c r="M102" s="16">
        <f>'Empleo Censo'!E102</f>
        <v/>
      </c>
      <c r="N102" s="17">
        <f>IF(M102&gt;0,L102,Factores!$B$7)</f>
        <v/>
      </c>
      <c r="O102">
        <f>IF(M102&gt;0,"OK","sin PEA -&gt; peor")</f>
        <v/>
      </c>
    </row>
    <row r="103">
      <c r="A103" t="inlineStr">
        <is>
          <t>110204</t>
        </is>
      </c>
      <c r="B103" t="inlineStr">
        <is>
          <t>CHINCHA BAJA</t>
        </is>
      </c>
      <c r="C103" s="14">
        <f>'Empleo Censo'!G103-'Empleo Censo'!F103</f>
        <v/>
      </c>
      <c r="D103" s="14">
        <f>'Empleo Censo'!F103</f>
        <v/>
      </c>
      <c r="E103" s="14">
        <f>'Empleo Censo'!H103</f>
        <v/>
      </c>
      <c r="F103" s="14">
        <f>'Empleo Censo'!I103</f>
        <v/>
      </c>
      <c r="G103" s="14">
        <f>'Empleo Censo'!J103+'Empleo Censo'!K103</f>
        <v/>
      </c>
      <c r="H103" s="14">
        <f>'Empleo Censo'!L103</f>
        <v/>
      </c>
      <c r="I103" s="14">
        <f>'Empleo Censo'!M103</f>
        <v/>
      </c>
      <c r="J103" s="14">
        <f>SUM('Empleo Censo'!N103:AA103)</f>
        <v/>
      </c>
      <c r="K103" s="14">
        <f>SUM(C103:J103)</f>
        <v/>
      </c>
      <c r="L103" s="15">
        <f>SUMPRODUCT(C103:J103,Factores!$B$3:$I$3)</f>
        <v/>
      </c>
      <c r="M103" s="16">
        <f>'Empleo Censo'!E103</f>
        <v/>
      </c>
      <c r="N103" s="17">
        <f>IF(M103&gt;0,L103,Factores!$B$7)</f>
        <v/>
      </c>
      <c r="O103">
        <f>IF(M103&gt;0,"OK","sin PEA -&gt; peor")</f>
        <v/>
      </c>
    </row>
    <row r="104">
      <c r="A104" t="inlineStr">
        <is>
          <t>110205</t>
        </is>
      </c>
      <c r="B104" t="inlineStr">
        <is>
          <t>EL CARMEN</t>
        </is>
      </c>
      <c r="C104" s="14">
        <f>'Empleo Censo'!G104-'Empleo Censo'!F104</f>
        <v/>
      </c>
      <c r="D104" s="14">
        <f>'Empleo Censo'!F104</f>
        <v/>
      </c>
      <c r="E104" s="14">
        <f>'Empleo Censo'!H104</f>
        <v/>
      </c>
      <c r="F104" s="14">
        <f>'Empleo Censo'!I104</f>
        <v/>
      </c>
      <c r="G104" s="14">
        <f>'Empleo Censo'!J104+'Empleo Censo'!K104</f>
        <v/>
      </c>
      <c r="H104" s="14">
        <f>'Empleo Censo'!L104</f>
        <v/>
      </c>
      <c r="I104" s="14">
        <f>'Empleo Censo'!M104</f>
        <v/>
      </c>
      <c r="J104" s="14">
        <f>SUM('Empleo Censo'!N104:AA104)</f>
        <v/>
      </c>
      <c r="K104" s="14">
        <f>SUM(C104:J104)</f>
        <v/>
      </c>
      <c r="L104" s="15">
        <f>SUMPRODUCT(C104:J104,Factores!$B$3:$I$3)</f>
        <v/>
      </c>
      <c r="M104" s="16">
        <f>'Empleo Censo'!E104</f>
        <v/>
      </c>
      <c r="N104" s="17">
        <f>IF(M104&gt;0,L104,Factores!$B$7)</f>
        <v/>
      </c>
      <c r="O104">
        <f>IF(M104&gt;0,"OK","sin PEA -&gt; peor")</f>
        <v/>
      </c>
    </row>
    <row r="105">
      <c r="A105" t="inlineStr">
        <is>
          <t>110206</t>
        </is>
      </c>
      <c r="B105" t="inlineStr">
        <is>
          <t>GROCIO PRADO</t>
        </is>
      </c>
      <c r="C105" s="14">
        <f>'Empleo Censo'!G105-'Empleo Censo'!F105</f>
        <v/>
      </c>
      <c r="D105" s="14">
        <f>'Empleo Censo'!F105</f>
        <v/>
      </c>
      <c r="E105" s="14">
        <f>'Empleo Censo'!H105</f>
        <v/>
      </c>
      <c r="F105" s="14">
        <f>'Empleo Censo'!I105</f>
        <v/>
      </c>
      <c r="G105" s="14">
        <f>'Empleo Censo'!J105+'Empleo Censo'!K105</f>
        <v/>
      </c>
      <c r="H105" s="14">
        <f>'Empleo Censo'!L105</f>
        <v/>
      </c>
      <c r="I105" s="14">
        <f>'Empleo Censo'!M105</f>
        <v/>
      </c>
      <c r="J105" s="14">
        <f>SUM('Empleo Censo'!N105:AA105)</f>
        <v/>
      </c>
      <c r="K105" s="14">
        <f>SUM(C105:J105)</f>
        <v/>
      </c>
      <c r="L105" s="15">
        <f>SUMPRODUCT(C105:J105,Factores!$B$3:$I$3)</f>
        <v/>
      </c>
      <c r="M105" s="16">
        <f>'Empleo Censo'!E105</f>
        <v/>
      </c>
      <c r="N105" s="17">
        <f>IF(M105&gt;0,L105,Factores!$B$7)</f>
        <v/>
      </c>
      <c r="O105">
        <f>IF(M105&gt;0,"OK","sin PEA -&gt; peor")</f>
        <v/>
      </c>
    </row>
    <row r="106">
      <c r="A106" t="inlineStr">
        <is>
          <t>110207</t>
        </is>
      </c>
      <c r="B106" t="inlineStr">
        <is>
          <t>PUEBLO NUEVO</t>
        </is>
      </c>
      <c r="C106" s="14">
        <f>'Empleo Censo'!G106-'Empleo Censo'!F106</f>
        <v/>
      </c>
      <c r="D106" s="14">
        <f>'Empleo Censo'!F106</f>
        <v/>
      </c>
      <c r="E106" s="14">
        <f>'Empleo Censo'!H106</f>
        <v/>
      </c>
      <c r="F106" s="14">
        <f>'Empleo Censo'!I106</f>
        <v/>
      </c>
      <c r="G106" s="14">
        <f>'Empleo Censo'!J106+'Empleo Censo'!K106</f>
        <v/>
      </c>
      <c r="H106" s="14">
        <f>'Empleo Censo'!L106</f>
        <v/>
      </c>
      <c r="I106" s="14">
        <f>'Empleo Censo'!M106</f>
        <v/>
      </c>
      <c r="J106" s="14">
        <f>SUM('Empleo Censo'!N106:AA106)</f>
        <v/>
      </c>
      <c r="K106" s="14">
        <f>SUM(C106:J106)</f>
        <v/>
      </c>
      <c r="L106" s="15">
        <f>SUMPRODUCT(C106:J106,Factores!$B$3:$I$3)</f>
        <v/>
      </c>
      <c r="M106" s="16">
        <f>'Empleo Censo'!E106</f>
        <v/>
      </c>
      <c r="N106" s="17">
        <f>IF(M106&gt;0,L106,Factores!$B$7)</f>
        <v/>
      </c>
      <c r="O106">
        <f>IF(M106&gt;0,"OK","sin PEA -&gt; peor")</f>
        <v/>
      </c>
    </row>
    <row r="107">
      <c r="A107" t="inlineStr">
        <is>
          <t>110208</t>
        </is>
      </c>
      <c r="B107" t="inlineStr">
        <is>
          <t>SAN JUAN DE YANAC</t>
        </is>
      </c>
      <c r="C107" s="14">
        <f>'Empleo Censo'!G107-'Empleo Censo'!F107</f>
        <v/>
      </c>
      <c r="D107" s="14">
        <f>'Empleo Censo'!F107</f>
        <v/>
      </c>
      <c r="E107" s="14">
        <f>'Empleo Censo'!H107</f>
        <v/>
      </c>
      <c r="F107" s="14">
        <f>'Empleo Censo'!I107</f>
        <v/>
      </c>
      <c r="G107" s="14">
        <f>'Empleo Censo'!J107+'Empleo Censo'!K107</f>
        <v/>
      </c>
      <c r="H107" s="14">
        <f>'Empleo Censo'!L107</f>
        <v/>
      </c>
      <c r="I107" s="14">
        <f>'Empleo Censo'!M107</f>
        <v/>
      </c>
      <c r="J107" s="14">
        <f>SUM('Empleo Censo'!N107:AA107)</f>
        <v/>
      </c>
      <c r="K107" s="14">
        <f>SUM(C107:J107)</f>
        <v/>
      </c>
      <c r="L107" s="15">
        <f>SUMPRODUCT(C107:J107,Factores!$B$3:$I$3)</f>
        <v/>
      </c>
      <c r="M107" s="16">
        <f>'Empleo Censo'!E107</f>
        <v/>
      </c>
      <c r="N107" s="17">
        <f>IF(M107&gt;0,L107,Factores!$B$7)</f>
        <v/>
      </c>
      <c r="O107">
        <f>IF(M107&gt;0,"OK","sin PEA -&gt; peor")</f>
        <v/>
      </c>
    </row>
    <row r="108">
      <c r="A108" t="inlineStr">
        <is>
          <t>110209</t>
        </is>
      </c>
      <c r="B108" t="inlineStr">
        <is>
          <t>SAN PEDRO DE HUACARPANA</t>
        </is>
      </c>
      <c r="C108" s="14">
        <f>'Empleo Censo'!G108-'Empleo Censo'!F108</f>
        <v/>
      </c>
      <c r="D108" s="14">
        <f>'Empleo Censo'!F108</f>
        <v/>
      </c>
      <c r="E108" s="14">
        <f>'Empleo Censo'!H108</f>
        <v/>
      </c>
      <c r="F108" s="14">
        <f>'Empleo Censo'!I108</f>
        <v/>
      </c>
      <c r="G108" s="14">
        <f>'Empleo Censo'!J108+'Empleo Censo'!K108</f>
        <v/>
      </c>
      <c r="H108" s="14">
        <f>'Empleo Censo'!L108</f>
        <v/>
      </c>
      <c r="I108" s="14">
        <f>'Empleo Censo'!M108</f>
        <v/>
      </c>
      <c r="J108" s="14">
        <f>SUM('Empleo Censo'!N108:AA108)</f>
        <v/>
      </c>
      <c r="K108" s="14">
        <f>SUM(C108:J108)</f>
        <v/>
      </c>
      <c r="L108" s="15">
        <f>SUMPRODUCT(C108:J108,Factores!$B$3:$I$3)</f>
        <v/>
      </c>
      <c r="M108" s="16">
        <f>'Empleo Censo'!E108</f>
        <v/>
      </c>
      <c r="N108" s="17">
        <f>IF(M108&gt;0,L108,Factores!$B$7)</f>
        <v/>
      </c>
      <c r="O108">
        <f>IF(M108&gt;0,"OK","sin PEA -&gt; peor")</f>
        <v/>
      </c>
    </row>
    <row r="109">
      <c r="A109" t="inlineStr">
        <is>
          <t>110210</t>
        </is>
      </c>
      <c r="B109" t="inlineStr">
        <is>
          <t>SUNAMPE</t>
        </is>
      </c>
      <c r="C109" s="14">
        <f>'Empleo Censo'!G109-'Empleo Censo'!F109</f>
        <v/>
      </c>
      <c r="D109" s="14">
        <f>'Empleo Censo'!F109</f>
        <v/>
      </c>
      <c r="E109" s="14">
        <f>'Empleo Censo'!H109</f>
        <v/>
      </c>
      <c r="F109" s="14">
        <f>'Empleo Censo'!I109</f>
        <v/>
      </c>
      <c r="G109" s="14">
        <f>'Empleo Censo'!J109+'Empleo Censo'!K109</f>
        <v/>
      </c>
      <c r="H109" s="14">
        <f>'Empleo Censo'!L109</f>
        <v/>
      </c>
      <c r="I109" s="14">
        <f>'Empleo Censo'!M109</f>
        <v/>
      </c>
      <c r="J109" s="14">
        <f>SUM('Empleo Censo'!N109:AA109)</f>
        <v/>
      </c>
      <c r="K109" s="14">
        <f>SUM(C109:J109)</f>
        <v/>
      </c>
      <c r="L109" s="15">
        <f>SUMPRODUCT(C109:J109,Factores!$B$3:$I$3)</f>
        <v/>
      </c>
      <c r="M109" s="16">
        <f>'Empleo Censo'!E109</f>
        <v/>
      </c>
      <c r="N109" s="17">
        <f>IF(M109&gt;0,L109,Factores!$B$7)</f>
        <v/>
      </c>
      <c r="O109">
        <f>IF(M109&gt;0,"OK","sin PEA -&gt; peor")</f>
        <v/>
      </c>
    </row>
    <row r="110">
      <c r="A110" t="inlineStr">
        <is>
          <t>110211</t>
        </is>
      </c>
      <c r="B110" t="inlineStr">
        <is>
          <t>TAMBO DE MORA</t>
        </is>
      </c>
      <c r="C110" s="14">
        <f>'Empleo Censo'!G110-'Empleo Censo'!F110</f>
        <v/>
      </c>
      <c r="D110" s="14">
        <f>'Empleo Censo'!F110</f>
        <v/>
      </c>
      <c r="E110" s="14">
        <f>'Empleo Censo'!H110</f>
        <v/>
      </c>
      <c r="F110" s="14">
        <f>'Empleo Censo'!I110</f>
        <v/>
      </c>
      <c r="G110" s="14">
        <f>'Empleo Censo'!J110+'Empleo Censo'!K110</f>
        <v/>
      </c>
      <c r="H110" s="14">
        <f>'Empleo Censo'!L110</f>
        <v/>
      </c>
      <c r="I110" s="14">
        <f>'Empleo Censo'!M110</f>
        <v/>
      </c>
      <c r="J110" s="14">
        <f>SUM('Empleo Censo'!N110:AA110)</f>
        <v/>
      </c>
      <c r="K110" s="14">
        <f>SUM(C110:J110)</f>
        <v/>
      </c>
      <c r="L110" s="15">
        <f>SUMPRODUCT(C110:J110,Factores!$B$3:$I$3)</f>
        <v/>
      </c>
      <c r="M110" s="16">
        <f>'Empleo Censo'!E110</f>
        <v/>
      </c>
      <c r="N110" s="17">
        <f>IF(M110&gt;0,L110,Factores!$B$7)</f>
        <v/>
      </c>
      <c r="O110">
        <f>IF(M110&gt;0,"OK","sin PEA -&gt; peor")</f>
        <v/>
      </c>
    </row>
    <row r="111">
      <c r="A111" t="inlineStr">
        <is>
          <t>110301</t>
        </is>
      </c>
      <c r="B111" t="inlineStr">
        <is>
          <t>NAZCA</t>
        </is>
      </c>
      <c r="C111" s="14">
        <f>'Empleo Censo'!G111-'Empleo Censo'!F111</f>
        <v/>
      </c>
      <c r="D111" s="14">
        <f>'Empleo Censo'!F111</f>
        <v/>
      </c>
      <c r="E111" s="14">
        <f>'Empleo Censo'!H111</f>
        <v/>
      </c>
      <c r="F111" s="14">
        <f>'Empleo Censo'!I111</f>
        <v/>
      </c>
      <c r="G111" s="14">
        <f>'Empleo Censo'!J111+'Empleo Censo'!K111</f>
        <v/>
      </c>
      <c r="H111" s="14">
        <f>'Empleo Censo'!L111</f>
        <v/>
      </c>
      <c r="I111" s="14">
        <f>'Empleo Censo'!M111</f>
        <v/>
      </c>
      <c r="J111" s="14">
        <f>SUM('Empleo Censo'!N111:AA111)</f>
        <v/>
      </c>
      <c r="K111" s="14">
        <f>SUM(C111:J111)</f>
        <v/>
      </c>
      <c r="L111" s="15">
        <f>SUMPRODUCT(C111:J111,Factores!$B$3:$I$3)</f>
        <v/>
      </c>
      <c r="M111" s="16">
        <f>'Empleo Censo'!E111</f>
        <v/>
      </c>
      <c r="N111" s="17">
        <f>IF(M111&gt;0,L111,Factores!$B$7)</f>
        <v/>
      </c>
      <c r="O111">
        <f>IF(M111&gt;0,"OK","sin PEA -&gt; peor")</f>
        <v/>
      </c>
    </row>
    <row r="112">
      <c r="A112" t="inlineStr">
        <is>
          <t>110302</t>
        </is>
      </c>
      <c r="B112" t="inlineStr">
        <is>
          <t>CHANGUILLO</t>
        </is>
      </c>
      <c r="C112" s="14">
        <f>'Empleo Censo'!G112-'Empleo Censo'!F112</f>
        <v/>
      </c>
      <c r="D112" s="14">
        <f>'Empleo Censo'!F112</f>
        <v/>
      </c>
      <c r="E112" s="14">
        <f>'Empleo Censo'!H112</f>
        <v/>
      </c>
      <c r="F112" s="14">
        <f>'Empleo Censo'!I112</f>
        <v/>
      </c>
      <c r="G112" s="14">
        <f>'Empleo Censo'!J112+'Empleo Censo'!K112</f>
        <v/>
      </c>
      <c r="H112" s="14">
        <f>'Empleo Censo'!L112</f>
        <v/>
      </c>
      <c r="I112" s="14">
        <f>'Empleo Censo'!M112</f>
        <v/>
      </c>
      <c r="J112" s="14">
        <f>SUM('Empleo Censo'!N112:AA112)</f>
        <v/>
      </c>
      <c r="K112" s="14">
        <f>SUM(C112:J112)</f>
        <v/>
      </c>
      <c r="L112" s="15">
        <f>SUMPRODUCT(C112:J112,Factores!$B$3:$I$3)</f>
        <v/>
      </c>
      <c r="M112" s="16">
        <f>'Empleo Censo'!E112</f>
        <v/>
      </c>
      <c r="N112" s="17">
        <f>IF(M112&gt;0,L112,Factores!$B$7)</f>
        <v/>
      </c>
      <c r="O112">
        <f>IF(M112&gt;0,"OK","sin PEA -&gt; peor")</f>
        <v/>
      </c>
    </row>
    <row r="113">
      <c r="A113" t="inlineStr">
        <is>
          <t>110303</t>
        </is>
      </c>
      <c r="B113" t="inlineStr">
        <is>
          <t>EL INGENIO</t>
        </is>
      </c>
      <c r="C113" s="14">
        <f>'Empleo Censo'!G113-'Empleo Censo'!F113</f>
        <v/>
      </c>
      <c r="D113" s="14">
        <f>'Empleo Censo'!F113</f>
        <v/>
      </c>
      <c r="E113" s="14">
        <f>'Empleo Censo'!H113</f>
        <v/>
      </c>
      <c r="F113" s="14">
        <f>'Empleo Censo'!I113</f>
        <v/>
      </c>
      <c r="G113" s="14">
        <f>'Empleo Censo'!J113+'Empleo Censo'!K113</f>
        <v/>
      </c>
      <c r="H113" s="14">
        <f>'Empleo Censo'!L113</f>
        <v/>
      </c>
      <c r="I113" s="14">
        <f>'Empleo Censo'!M113</f>
        <v/>
      </c>
      <c r="J113" s="14">
        <f>SUM('Empleo Censo'!N113:AA113)</f>
        <v/>
      </c>
      <c r="K113" s="14">
        <f>SUM(C113:J113)</f>
        <v/>
      </c>
      <c r="L113" s="15">
        <f>SUMPRODUCT(C113:J113,Factores!$B$3:$I$3)</f>
        <v/>
      </c>
      <c r="M113" s="16">
        <f>'Empleo Censo'!E113</f>
        <v/>
      </c>
      <c r="N113" s="17">
        <f>IF(M113&gt;0,L113,Factores!$B$7)</f>
        <v/>
      </c>
      <c r="O113">
        <f>IF(M113&gt;0,"OK","sin PEA -&gt; peor")</f>
        <v/>
      </c>
    </row>
    <row r="114">
      <c r="A114" t="inlineStr">
        <is>
          <t>110304</t>
        </is>
      </c>
      <c r="B114" t="inlineStr">
        <is>
          <t>MARCONA</t>
        </is>
      </c>
      <c r="C114" s="14">
        <f>'Empleo Censo'!G114-'Empleo Censo'!F114</f>
        <v/>
      </c>
      <c r="D114" s="14">
        <f>'Empleo Censo'!F114</f>
        <v/>
      </c>
      <c r="E114" s="14">
        <f>'Empleo Censo'!H114</f>
        <v/>
      </c>
      <c r="F114" s="14">
        <f>'Empleo Censo'!I114</f>
        <v/>
      </c>
      <c r="G114" s="14">
        <f>'Empleo Censo'!J114+'Empleo Censo'!K114</f>
        <v/>
      </c>
      <c r="H114" s="14">
        <f>'Empleo Censo'!L114</f>
        <v/>
      </c>
      <c r="I114" s="14">
        <f>'Empleo Censo'!M114</f>
        <v/>
      </c>
      <c r="J114" s="14">
        <f>SUM('Empleo Censo'!N114:AA114)</f>
        <v/>
      </c>
      <c r="K114" s="14">
        <f>SUM(C114:J114)</f>
        <v/>
      </c>
      <c r="L114" s="15">
        <f>SUMPRODUCT(C114:J114,Factores!$B$3:$I$3)</f>
        <v/>
      </c>
      <c r="M114" s="16">
        <f>'Empleo Censo'!E114</f>
        <v/>
      </c>
      <c r="N114" s="17">
        <f>IF(M114&gt;0,L114,Factores!$B$7)</f>
        <v/>
      </c>
      <c r="O114">
        <f>IF(M114&gt;0,"OK","sin PEA -&gt; peor")</f>
        <v/>
      </c>
    </row>
    <row r="115">
      <c r="A115" t="inlineStr">
        <is>
          <t>110305</t>
        </is>
      </c>
      <c r="B115" t="inlineStr">
        <is>
          <t>VISTA ALEGRE</t>
        </is>
      </c>
      <c r="C115" s="14">
        <f>'Empleo Censo'!G115-'Empleo Censo'!F115</f>
        <v/>
      </c>
      <c r="D115" s="14">
        <f>'Empleo Censo'!F115</f>
        <v/>
      </c>
      <c r="E115" s="14">
        <f>'Empleo Censo'!H115</f>
        <v/>
      </c>
      <c r="F115" s="14">
        <f>'Empleo Censo'!I115</f>
        <v/>
      </c>
      <c r="G115" s="14">
        <f>'Empleo Censo'!J115+'Empleo Censo'!K115</f>
        <v/>
      </c>
      <c r="H115" s="14">
        <f>'Empleo Censo'!L115</f>
        <v/>
      </c>
      <c r="I115" s="14">
        <f>'Empleo Censo'!M115</f>
        <v/>
      </c>
      <c r="J115" s="14">
        <f>SUM('Empleo Censo'!N115:AA115)</f>
        <v/>
      </c>
      <c r="K115" s="14">
        <f>SUM(C115:J115)</f>
        <v/>
      </c>
      <c r="L115" s="15">
        <f>SUMPRODUCT(C115:J115,Factores!$B$3:$I$3)</f>
        <v/>
      </c>
      <c r="M115" s="16">
        <f>'Empleo Censo'!E115</f>
        <v/>
      </c>
      <c r="N115" s="17">
        <f>IF(M115&gt;0,L115,Factores!$B$7)</f>
        <v/>
      </c>
      <c r="O115">
        <f>IF(M115&gt;0,"OK","sin PEA -&gt; peor")</f>
        <v/>
      </c>
    </row>
    <row r="116">
      <c r="A116" t="inlineStr">
        <is>
          <t>110401</t>
        </is>
      </c>
      <c r="B116" t="inlineStr">
        <is>
          <t>PALPA</t>
        </is>
      </c>
      <c r="C116" s="14">
        <f>'Empleo Censo'!G116-'Empleo Censo'!F116</f>
        <v/>
      </c>
      <c r="D116" s="14">
        <f>'Empleo Censo'!F116</f>
        <v/>
      </c>
      <c r="E116" s="14">
        <f>'Empleo Censo'!H116</f>
        <v/>
      </c>
      <c r="F116" s="14">
        <f>'Empleo Censo'!I116</f>
        <v/>
      </c>
      <c r="G116" s="14">
        <f>'Empleo Censo'!J116+'Empleo Censo'!K116</f>
        <v/>
      </c>
      <c r="H116" s="14">
        <f>'Empleo Censo'!L116</f>
        <v/>
      </c>
      <c r="I116" s="14">
        <f>'Empleo Censo'!M116</f>
        <v/>
      </c>
      <c r="J116" s="14">
        <f>SUM('Empleo Censo'!N116:AA116)</f>
        <v/>
      </c>
      <c r="K116" s="14">
        <f>SUM(C116:J116)</f>
        <v/>
      </c>
      <c r="L116" s="15">
        <f>SUMPRODUCT(C116:J116,Factores!$B$3:$I$3)</f>
        <v/>
      </c>
      <c r="M116" s="16">
        <f>'Empleo Censo'!E116</f>
        <v/>
      </c>
      <c r="N116" s="17">
        <f>IF(M116&gt;0,L116,Factores!$B$7)</f>
        <v/>
      </c>
      <c r="O116">
        <f>IF(M116&gt;0,"OK","sin PEA -&gt; peor")</f>
        <v/>
      </c>
    </row>
    <row r="117">
      <c r="A117" t="inlineStr">
        <is>
          <t>110402</t>
        </is>
      </c>
      <c r="B117" t="inlineStr">
        <is>
          <t>LLIPATA</t>
        </is>
      </c>
      <c r="C117" s="14">
        <f>'Empleo Censo'!G117-'Empleo Censo'!F117</f>
        <v/>
      </c>
      <c r="D117" s="14">
        <f>'Empleo Censo'!F117</f>
        <v/>
      </c>
      <c r="E117" s="14">
        <f>'Empleo Censo'!H117</f>
        <v/>
      </c>
      <c r="F117" s="14">
        <f>'Empleo Censo'!I117</f>
        <v/>
      </c>
      <c r="G117" s="14">
        <f>'Empleo Censo'!J117+'Empleo Censo'!K117</f>
        <v/>
      </c>
      <c r="H117" s="14">
        <f>'Empleo Censo'!L117</f>
        <v/>
      </c>
      <c r="I117" s="14">
        <f>'Empleo Censo'!M117</f>
        <v/>
      </c>
      <c r="J117" s="14">
        <f>SUM('Empleo Censo'!N117:AA117)</f>
        <v/>
      </c>
      <c r="K117" s="14">
        <f>SUM(C117:J117)</f>
        <v/>
      </c>
      <c r="L117" s="15">
        <f>SUMPRODUCT(C117:J117,Factores!$B$3:$I$3)</f>
        <v/>
      </c>
      <c r="M117" s="16">
        <f>'Empleo Censo'!E117</f>
        <v/>
      </c>
      <c r="N117" s="17">
        <f>IF(M117&gt;0,L117,Factores!$B$7)</f>
        <v/>
      </c>
      <c r="O117">
        <f>IF(M117&gt;0,"OK","sin PEA -&gt; peor")</f>
        <v/>
      </c>
    </row>
    <row r="118">
      <c r="A118" t="inlineStr">
        <is>
          <t>110403</t>
        </is>
      </c>
      <c r="B118" t="inlineStr">
        <is>
          <t>RIO GRANDE</t>
        </is>
      </c>
      <c r="C118" s="14">
        <f>'Empleo Censo'!G118-'Empleo Censo'!F118</f>
        <v/>
      </c>
      <c r="D118" s="14">
        <f>'Empleo Censo'!F118</f>
        <v/>
      </c>
      <c r="E118" s="14">
        <f>'Empleo Censo'!H118</f>
        <v/>
      </c>
      <c r="F118" s="14">
        <f>'Empleo Censo'!I118</f>
        <v/>
      </c>
      <c r="G118" s="14">
        <f>'Empleo Censo'!J118+'Empleo Censo'!K118</f>
        <v/>
      </c>
      <c r="H118" s="14">
        <f>'Empleo Censo'!L118</f>
        <v/>
      </c>
      <c r="I118" s="14">
        <f>'Empleo Censo'!M118</f>
        <v/>
      </c>
      <c r="J118" s="14">
        <f>SUM('Empleo Censo'!N118:AA118)</f>
        <v/>
      </c>
      <c r="K118" s="14">
        <f>SUM(C118:J118)</f>
        <v/>
      </c>
      <c r="L118" s="15">
        <f>SUMPRODUCT(C118:J118,Factores!$B$3:$I$3)</f>
        <v/>
      </c>
      <c r="M118" s="16">
        <f>'Empleo Censo'!E118</f>
        <v/>
      </c>
      <c r="N118" s="17">
        <f>IF(M118&gt;0,L118,Factores!$B$7)</f>
        <v/>
      </c>
      <c r="O118">
        <f>IF(M118&gt;0,"OK","sin PEA -&gt; peor")</f>
        <v/>
      </c>
    </row>
    <row r="119">
      <c r="A119" t="inlineStr">
        <is>
          <t>110404</t>
        </is>
      </c>
      <c r="B119" t="inlineStr">
        <is>
          <t>SANTA CRUZ</t>
        </is>
      </c>
      <c r="C119" s="14">
        <f>'Empleo Censo'!G119-'Empleo Censo'!F119</f>
        <v/>
      </c>
      <c r="D119" s="14">
        <f>'Empleo Censo'!F119</f>
        <v/>
      </c>
      <c r="E119" s="14">
        <f>'Empleo Censo'!H119</f>
        <v/>
      </c>
      <c r="F119" s="14">
        <f>'Empleo Censo'!I119</f>
        <v/>
      </c>
      <c r="G119" s="14">
        <f>'Empleo Censo'!J119+'Empleo Censo'!K119</f>
        <v/>
      </c>
      <c r="H119" s="14">
        <f>'Empleo Censo'!L119</f>
        <v/>
      </c>
      <c r="I119" s="14">
        <f>'Empleo Censo'!M119</f>
        <v/>
      </c>
      <c r="J119" s="14">
        <f>SUM('Empleo Censo'!N119:AA119)</f>
        <v/>
      </c>
      <c r="K119" s="14">
        <f>SUM(C119:J119)</f>
        <v/>
      </c>
      <c r="L119" s="15">
        <f>SUMPRODUCT(C119:J119,Factores!$B$3:$I$3)</f>
        <v/>
      </c>
      <c r="M119" s="16">
        <f>'Empleo Censo'!E119</f>
        <v/>
      </c>
      <c r="N119" s="17">
        <f>IF(M119&gt;0,L119,Factores!$B$7)</f>
        <v/>
      </c>
      <c r="O119">
        <f>IF(M119&gt;0,"OK","sin PEA -&gt; peor")</f>
        <v/>
      </c>
    </row>
    <row r="120">
      <c r="A120" t="inlineStr">
        <is>
          <t>110405</t>
        </is>
      </c>
      <c r="B120" t="inlineStr">
        <is>
          <t>TIBILLO</t>
        </is>
      </c>
      <c r="C120" s="14">
        <f>'Empleo Censo'!G120-'Empleo Censo'!F120</f>
        <v/>
      </c>
      <c r="D120" s="14">
        <f>'Empleo Censo'!F120</f>
        <v/>
      </c>
      <c r="E120" s="14">
        <f>'Empleo Censo'!H120</f>
        <v/>
      </c>
      <c r="F120" s="14">
        <f>'Empleo Censo'!I120</f>
        <v/>
      </c>
      <c r="G120" s="14">
        <f>'Empleo Censo'!J120+'Empleo Censo'!K120</f>
        <v/>
      </c>
      <c r="H120" s="14">
        <f>'Empleo Censo'!L120</f>
        <v/>
      </c>
      <c r="I120" s="14">
        <f>'Empleo Censo'!M120</f>
        <v/>
      </c>
      <c r="J120" s="14">
        <f>SUM('Empleo Censo'!N120:AA120)</f>
        <v/>
      </c>
      <c r="K120" s="14">
        <f>SUM(C120:J120)</f>
        <v/>
      </c>
      <c r="L120" s="15">
        <f>SUMPRODUCT(C120:J120,Factores!$B$3:$I$3)</f>
        <v/>
      </c>
      <c r="M120" s="16">
        <f>'Empleo Censo'!E120</f>
        <v/>
      </c>
      <c r="N120" s="17">
        <f>IF(M120&gt;0,L120,Factores!$B$7)</f>
        <v/>
      </c>
      <c r="O120">
        <f>IF(M120&gt;0,"OK","sin PEA -&gt; peor")</f>
        <v/>
      </c>
    </row>
    <row r="121">
      <c r="A121" t="inlineStr">
        <is>
          <t>110501</t>
        </is>
      </c>
      <c r="B121" t="inlineStr">
        <is>
          <t>PISCO</t>
        </is>
      </c>
      <c r="C121" s="14">
        <f>'Empleo Censo'!G121-'Empleo Censo'!F121</f>
        <v/>
      </c>
      <c r="D121" s="14">
        <f>'Empleo Censo'!F121</f>
        <v/>
      </c>
      <c r="E121" s="14">
        <f>'Empleo Censo'!H121</f>
        <v/>
      </c>
      <c r="F121" s="14">
        <f>'Empleo Censo'!I121</f>
        <v/>
      </c>
      <c r="G121" s="14">
        <f>'Empleo Censo'!J121+'Empleo Censo'!K121</f>
        <v/>
      </c>
      <c r="H121" s="14">
        <f>'Empleo Censo'!L121</f>
        <v/>
      </c>
      <c r="I121" s="14">
        <f>'Empleo Censo'!M121</f>
        <v/>
      </c>
      <c r="J121" s="14">
        <f>SUM('Empleo Censo'!N121:AA121)</f>
        <v/>
      </c>
      <c r="K121" s="14">
        <f>SUM(C121:J121)</f>
        <v/>
      </c>
      <c r="L121" s="15">
        <f>SUMPRODUCT(C121:J121,Factores!$B$3:$I$3)</f>
        <v/>
      </c>
      <c r="M121" s="16">
        <f>'Empleo Censo'!E121</f>
        <v/>
      </c>
      <c r="N121" s="17">
        <f>IF(M121&gt;0,L121,Factores!$B$7)</f>
        <v/>
      </c>
      <c r="O121">
        <f>IF(M121&gt;0,"OK","sin PEA -&gt; peor")</f>
        <v/>
      </c>
    </row>
    <row r="122">
      <c r="A122" t="inlineStr">
        <is>
          <t>110502</t>
        </is>
      </c>
      <c r="B122" t="inlineStr">
        <is>
          <t>HUANCANO</t>
        </is>
      </c>
      <c r="C122" s="14">
        <f>'Empleo Censo'!G122-'Empleo Censo'!F122</f>
        <v/>
      </c>
      <c r="D122" s="14">
        <f>'Empleo Censo'!F122</f>
        <v/>
      </c>
      <c r="E122" s="14">
        <f>'Empleo Censo'!H122</f>
        <v/>
      </c>
      <c r="F122" s="14">
        <f>'Empleo Censo'!I122</f>
        <v/>
      </c>
      <c r="G122" s="14">
        <f>'Empleo Censo'!J122+'Empleo Censo'!K122</f>
        <v/>
      </c>
      <c r="H122" s="14">
        <f>'Empleo Censo'!L122</f>
        <v/>
      </c>
      <c r="I122" s="14">
        <f>'Empleo Censo'!M122</f>
        <v/>
      </c>
      <c r="J122" s="14">
        <f>SUM('Empleo Censo'!N122:AA122)</f>
        <v/>
      </c>
      <c r="K122" s="14">
        <f>SUM(C122:J122)</f>
        <v/>
      </c>
      <c r="L122" s="15">
        <f>SUMPRODUCT(C122:J122,Factores!$B$3:$I$3)</f>
        <v/>
      </c>
      <c r="M122" s="16">
        <f>'Empleo Censo'!E122</f>
        <v/>
      </c>
      <c r="N122" s="17">
        <f>IF(M122&gt;0,L122,Factores!$B$7)</f>
        <v/>
      </c>
      <c r="O122">
        <f>IF(M122&gt;0,"OK","sin PEA -&gt; peor")</f>
        <v/>
      </c>
    </row>
    <row r="123">
      <c r="A123" t="inlineStr">
        <is>
          <t>110503</t>
        </is>
      </c>
      <c r="B123" t="inlineStr">
        <is>
          <t>HUMAY</t>
        </is>
      </c>
      <c r="C123" s="14">
        <f>'Empleo Censo'!G123-'Empleo Censo'!F123</f>
        <v/>
      </c>
      <c r="D123" s="14">
        <f>'Empleo Censo'!F123</f>
        <v/>
      </c>
      <c r="E123" s="14">
        <f>'Empleo Censo'!H123</f>
        <v/>
      </c>
      <c r="F123" s="14">
        <f>'Empleo Censo'!I123</f>
        <v/>
      </c>
      <c r="G123" s="14">
        <f>'Empleo Censo'!J123+'Empleo Censo'!K123</f>
        <v/>
      </c>
      <c r="H123" s="14">
        <f>'Empleo Censo'!L123</f>
        <v/>
      </c>
      <c r="I123" s="14">
        <f>'Empleo Censo'!M123</f>
        <v/>
      </c>
      <c r="J123" s="14">
        <f>SUM('Empleo Censo'!N123:AA123)</f>
        <v/>
      </c>
      <c r="K123" s="14">
        <f>SUM(C123:J123)</f>
        <v/>
      </c>
      <c r="L123" s="15">
        <f>SUMPRODUCT(C123:J123,Factores!$B$3:$I$3)</f>
        <v/>
      </c>
      <c r="M123" s="16">
        <f>'Empleo Censo'!E123</f>
        <v/>
      </c>
      <c r="N123" s="17">
        <f>IF(M123&gt;0,L123,Factores!$B$7)</f>
        <v/>
      </c>
      <c r="O123">
        <f>IF(M123&gt;0,"OK","sin PEA -&gt; peor")</f>
        <v/>
      </c>
    </row>
    <row r="124">
      <c r="A124" t="inlineStr">
        <is>
          <t>110504</t>
        </is>
      </c>
      <c r="B124" t="inlineStr">
        <is>
          <t>INDEPENDENCIA</t>
        </is>
      </c>
      <c r="C124" s="14">
        <f>'Empleo Censo'!G124-'Empleo Censo'!F124</f>
        <v/>
      </c>
      <c r="D124" s="14">
        <f>'Empleo Censo'!F124</f>
        <v/>
      </c>
      <c r="E124" s="14">
        <f>'Empleo Censo'!H124</f>
        <v/>
      </c>
      <c r="F124" s="14">
        <f>'Empleo Censo'!I124</f>
        <v/>
      </c>
      <c r="G124" s="14">
        <f>'Empleo Censo'!J124+'Empleo Censo'!K124</f>
        <v/>
      </c>
      <c r="H124" s="14">
        <f>'Empleo Censo'!L124</f>
        <v/>
      </c>
      <c r="I124" s="14">
        <f>'Empleo Censo'!M124</f>
        <v/>
      </c>
      <c r="J124" s="14">
        <f>SUM('Empleo Censo'!N124:AA124)</f>
        <v/>
      </c>
      <c r="K124" s="14">
        <f>SUM(C124:J124)</f>
        <v/>
      </c>
      <c r="L124" s="15">
        <f>SUMPRODUCT(C124:J124,Factores!$B$3:$I$3)</f>
        <v/>
      </c>
      <c r="M124" s="16">
        <f>'Empleo Censo'!E124</f>
        <v/>
      </c>
      <c r="N124" s="17">
        <f>IF(M124&gt;0,L124,Factores!$B$7)</f>
        <v/>
      </c>
      <c r="O124">
        <f>IF(M124&gt;0,"OK","sin PEA -&gt; peor")</f>
        <v/>
      </c>
    </row>
    <row r="125">
      <c r="A125" t="inlineStr">
        <is>
          <t>110505</t>
        </is>
      </c>
      <c r="B125" t="inlineStr">
        <is>
          <t>PARACAS</t>
        </is>
      </c>
      <c r="C125" s="14">
        <f>'Empleo Censo'!G125-'Empleo Censo'!F125</f>
        <v/>
      </c>
      <c r="D125" s="14">
        <f>'Empleo Censo'!F125</f>
        <v/>
      </c>
      <c r="E125" s="14">
        <f>'Empleo Censo'!H125</f>
        <v/>
      </c>
      <c r="F125" s="14">
        <f>'Empleo Censo'!I125</f>
        <v/>
      </c>
      <c r="G125" s="14">
        <f>'Empleo Censo'!J125+'Empleo Censo'!K125</f>
        <v/>
      </c>
      <c r="H125" s="14">
        <f>'Empleo Censo'!L125</f>
        <v/>
      </c>
      <c r="I125" s="14">
        <f>'Empleo Censo'!M125</f>
        <v/>
      </c>
      <c r="J125" s="14">
        <f>SUM('Empleo Censo'!N125:AA125)</f>
        <v/>
      </c>
      <c r="K125" s="14">
        <f>SUM(C125:J125)</f>
        <v/>
      </c>
      <c r="L125" s="15">
        <f>SUMPRODUCT(C125:J125,Factores!$B$3:$I$3)</f>
        <v/>
      </c>
      <c r="M125" s="16">
        <f>'Empleo Censo'!E125</f>
        <v/>
      </c>
      <c r="N125" s="17">
        <f>IF(M125&gt;0,L125,Factores!$B$7)</f>
        <v/>
      </c>
      <c r="O125">
        <f>IF(M125&gt;0,"OK","sin PEA -&gt; peor")</f>
        <v/>
      </c>
    </row>
    <row r="126">
      <c r="A126" t="inlineStr">
        <is>
          <t>110506</t>
        </is>
      </c>
      <c r="B126" t="inlineStr">
        <is>
          <t>SAN ANDRES</t>
        </is>
      </c>
      <c r="C126" s="14">
        <f>'Empleo Censo'!G126-'Empleo Censo'!F126</f>
        <v/>
      </c>
      <c r="D126" s="14">
        <f>'Empleo Censo'!F126</f>
        <v/>
      </c>
      <c r="E126" s="14">
        <f>'Empleo Censo'!H126</f>
        <v/>
      </c>
      <c r="F126" s="14">
        <f>'Empleo Censo'!I126</f>
        <v/>
      </c>
      <c r="G126" s="14">
        <f>'Empleo Censo'!J126+'Empleo Censo'!K126</f>
        <v/>
      </c>
      <c r="H126" s="14">
        <f>'Empleo Censo'!L126</f>
        <v/>
      </c>
      <c r="I126" s="14">
        <f>'Empleo Censo'!M126</f>
        <v/>
      </c>
      <c r="J126" s="14">
        <f>SUM('Empleo Censo'!N126:AA126)</f>
        <v/>
      </c>
      <c r="K126" s="14">
        <f>SUM(C126:J126)</f>
        <v/>
      </c>
      <c r="L126" s="15">
        <f>SUMPRODUCT(C126:J126,Factores!$B$3:$I$3)</f>
        <v/>
      </c>
      <c r="M126" s="16">
        <f>'Empleo Censo'!E126</f>
        <v/>
      </c>
      <c r="N126" s="17">
        <f>IF(M126&gt;0,L126,Factores!$B$7)</f>
        <v/>
      </c>
      <c r="O126">
        <f>IF(M126&gt;0,"OK","sin PEA -&gt; peor")</f>
        <v/>
      </c>
    </row>
    <row r="127">
      <c r="A127" t="inlineStr">
        <is>
          <t>110507</t>
        </is>
      </c>
      <c r="B127" t="inlineStr">
        <is>
          <t>SAN CLEMENTE</t>
        </is>
      </c>
      <c r="C127" s="14">
        <f>'Empleo Censo'!G127-'Empleo Censo'!F127</f>
        <v/>
      </c>
      <c r="D127" s="14">
        <f>'Empleo Censo'!F127</f>
        <v/>
      </c>
      <c r="E127" s="14">
        <f>'Empleo Censo'!H127</f>
        <v/>
      </c>
      <c r="F127" s="14">
        <f>'Empleo Censo'!I127</f>
        <v/>
      </c>
      <c r="G127" s="14">
        <f>'Empleo Censo'!J127+'Empleo Censo'!K127</f>
        <v/>
      </c>
      <c r="H127" s="14">
        <f>'Empleo Censo'!L127</f>
        <v/>
      </c>
      <c r="I127" s="14">
        <f>'Empleo Censo'!M127</f>
        <v/>
      </c>
      <c r="J127" s="14">
        <f>SUM('Empleo Censo'!N127:AA127)</f>
        <v/>
      </c>
      <c r="K127" s="14">
        <f>SUM(C127:J127)</f>
        <v/>
      </c>
      <c r="L127" s="15">
        <f>SUMPRODUCT(C127:J127,Factores!$B$3:$I$3)</f>
        <v/>
      </c>
      <c r="M127" s="16">
        <f>'Empleo Censo'!E127</f>
        <v/>
      </c>
      <c r="N127" s="17">
        <f>IF(M127&gt;0,L127,Factores!$B$7)</f>
        <v/>
      </c>
      <c r="O127">
        <f>IF(M127&gt;0,"OK","sin PEA -&gt; peor")</f>
        <v/>
      </c>
    </row>
    <row r="128">
      <c r="A128" t="inlineStr">
        <is>
          <t>110508</t>
        </is>
      </c>
      <c r="B128" t="inlineStr">
        <is>
          <t>TUPAC AMARU INCA</t>
        </is>
      </c>
      <c r="C128" s="14">
        <f>'Empleo Censo'!G128-'Empleo Censo'!F128</f>
        <v/>
      </c>
      <c r="D128" s="14">
        <f>'Empleo Censo'!F128</f>
        <v/>
      </c>
      <c r="E128" s="14">
        <f>'Empleo Censo'!H128</f>
        <v/>
      </c>
      <c r="F128" s="14">
        <f>'Empleo Censo'!I128</f>
        <v/>
      </c>
      <c r="G128" s="14">
        <f>'Empleo Censo'!J128+'Empleo Censo'!K128</f>
        <v/>
      </c>
      <c r="H128" s="14">
        <f>'Empleo Censo'!L128</f>
        <v/>
      </c>
      <c r="I128" s="14">
        <f>'Empleo Censo'!M128</f>
        <v/>
      </c>
      <c r="J128" s="14">
        <f>SUM('Empleo Censo'!N128:AA128)</f>
        <v/>
      </c>
      <c r="K128" s="14">
        <f>SUM(C128:J128)</f>
        <v/>
      </c>
      <c r="L128" s="15">
        <f>SUMPRODUCT(C128:J128,Factores!$B$3:$I$3)</f>
        <v/>
      </c>
      <c r="M128" s="16">
        <f>'Empleo Censo'!E128</f>
        <v/>
      </c>
      <c r="N128" s="17">
        <f>IF(M128&gt;0,L128,Factores!$B$7)</f>
        <v/>
      </c>
      <c r="O128">
        <f>IF(M128&gt;0,"OK","sin PEA -&gt; peor")</f>
        <v/>
      </c>
    </row>
    <row r="129">
      <c r="A129" t="inlineStr">
        <is>
          <t>120101</t>
        </is>
      </c>
      <c r="B129" t="inlineStr">
        <is>
          <t>HUANCAYO</t>
        </is>
      </c>
      <c r="C129" s="14">
        <f>'Empleo Censo'!G129-'Empleo Censo'!F129</f>
        <v/>
      </c>
      <c r="D129" s="14">
        <f>'Empleo Censo'!F129</f>
        <v/>
      </c>
      <c r="E129" s="14">
        <f>'Empleo Censo'!H129</f>
        <v/>
      </c>
      <c r="F129" s="14">
        <f>'Empleo Censo'!I129</f>
        <v/>
      </c>
      <c r="G129" s="14">
        <f>'Empleo Censo'!J129+'Empleo Censo'!K129</f>
        <v/>
      </c>
      <c r="H129" s="14">
        <f>'Empleo Censo'!L129</f>
        <v/>
      </c>
      <c r="I129" s="14">
        <f>'Empleo Censo'!M129</f>
        <v/>
      </c>
      <c r="J129" s="14">
        <f>SUM('Empleo Censo'!N129:AA129)</f>
        <v/>
      </c>
      <c r="K129" s="14">
        <f>SUM(C129:J129)</f>
        <v/>
      </c>
      <c r="L129" s="15">
        <f>SUMPRODUCT(C129:J129,Factores!$B$3:$I$3)</f>
        <v/>
      </c>
      <c r="M129" s="16">
        <f>'Empleo Censo'!E129</f>
        <v/>
      </c>
      <c r="N129" s="17">
        <f>IF(M129&gt;0,L129,Factores!$B$7)</f>
        <v/>
      </c>
      <c r="O129">
        <f>IF(M129&gt;0,"OK","sin PEA -&gt; peor")</f>
        <v/>
      </c>
    </row>
    <row r="130">
      <c r="A130" t="inlineStr">
        <is>
          <t>120104</t>
        </is>
      </c>
      <c r="B130" t="inlineStr">
        <is>
          <t>CARHUACALLANGA</t>
        </is>
      </c>
      <c r="C130" s="14">
        <f>'Empleo Censo'!G130-'Empleo Censo'!F130</f>
        <v/>
      </c>
      <c r="D130" s="14">
        <f>'Empleo Censo'!F130</f>
        <v/>
      </c>
      <c r="E130" s="14">
        <f>'Empleo Censo'!H130</f>
        <v/>
      </c>
      <c r="F130" s="14">
        <f>'Empleo Censo'!I130</f>
        <v/>
      </c>
      <c r="G130" s="14">
        <f>'Empleo Censo'!J130+'Empleo Censo'!K130</f>
        <v/>
      </c>
      <c r="H130" s="14">
        <f>'Empleo Censo'!L130</f>
        <v/>
      </c>
      <c r="I130" s="14">
        <f>'Empleo Censo'!M130</f>
        <v/>
      </c>
      <c r="J130" s="14">
        <f>SUM('Empleo Censo'!N130:AA130)</f>
        <v/>
      </c>
      <c r="K130" s="14">
        <f>SUM(C130:J130)</f>
        <v/>
      </c>
      <c r="L130" s="15">
        <f>SUMPRODUCT(C130:J130,Factores!$B$3:$I$3)</f>
        <v/>
      </c>
      <c r="M130" s="16">
        <f>'Empleo Censo'!E130</f>
        <v/>
      </c>
      <c r="N130" s="17">
        <f>IF(M130&gt;0,L130,Factores!$B$7)</f>
        <v/>
      </c>
      <c r="O130">
        <f>IF(M130&gt;0,"OK","sin PEA -&gt; peor")</f>
        <v/>
      </c>
    </row>
    <row r="131">
      <c r="A131" t="inlineStr">
        <is>
          <t>120105</t>
        </is>
      </c>
      <c r="B131" t="inlineStr">
        <is>
          <t>CHACAPAMPA</t>
        </is>
      </c>
      <c r="C131" s="14">
        <f>'Empleo Censo'!G131-'Empleo Censo'!F131</f>
        <v/>
      </c>
      <c r="D131" s="14">
        <f>'Empleo Censo'!F131</f>
        <v/>
      </c>
      <c r="E131" s="14">
        <f>'Empleo Censo'!H131</f>
        <v/>
      </c>
      <c r="F131" s="14">
        <f>'Empleo Censo'!I131</f>
        <v/>
      </c>
      <c r="G131" s="14">
        <f>'Empleo Censo'!J131+'Empleo Censo'!K131</f>
        <v/>
      </c>
      <c r="H131" s="14">
        <f>'Empleo Censo'!L131</f>
        <v/>
      </c>
      <c r="I131" s="14">
        <f>'Empleo Censo'!M131</f>
        <v/>
      </c>
      <c r="J131" s="14">
        <f>SUM('Empleo Censo'!N131:AA131)</f>
        <v/>
      </c>
      <c r="K131" s="14">
        <f>SUM(C131:J131)</f>
        <v/>
      </c>
      <c r="L131" s="15">
        <f>SUMPRODUCT(C131:J131,Factores!$B$3:$I$3)</f>
        <v/>
      </c>
      <c r="M131" s="16">
        <f>'Empleo Censo'!E131</f>
        <v/>
      </c>
      <c r="N131" s="17">
        <f>IF(M131&gt;0,L131,Factores!$B$7)</f>
        <v/>
      </c>
      <c r="O131">
        <f>IF(M131&gt;0,"OK","sin PEA -&gt; peor")</f>
        <v/>
      </c>
    </row>
    <row r="132">
      <c r="A132" t="inlineStr">
        <is>
          <t>120106</t>
        </is>
      </c>
      <c r="B132" t="inlineStr">
        <is>
          <t>CHICCHE</t>
        </is>
      </c>
      <c r="C132" s="14">
        <f>'Empleo Censo'!G132-'Empleo Censo'!F132</f>
        <v/>
      </c>
      <c r="D132" s="14">
        <f>'Empleo Censo'!F132</f>
        <v/>
      </c>
      <c r="E132" s="14">
        <f>'Empleo Censo'!H132</f>
        <v/>
      </c>
      <c r="F132" s="14">
        <f>'Empleo Censo'!I132</f>
        <v/>
      </c>
      <c r="G132" s="14">
        <f>'Empleo Censo'!J132+'Empleo Censo'!K132</f>
        <v/>
      </c>
      <c r="H132" s="14">
        <f>'Empleo Censo'!L132</f>
        <v/>
      </c>
      <c r="I132" s="14">
        <f>'Empleo Censo'!M132</f>
        <v/>
      </c>
      <c r="J132" s="14">
        <f>SUM('Empleo Censo'!N132:AA132)</f>
        <v/>
      </c>
      <c r="K132" s="14">
        <f>SUM(C132:J132)</f>
        <v/>
      </c>
      <c r="L132" s="15">
        <f>SUMPRODUCT(C132:J132,Factores!$B$3:$I$3)</f>
        <v/>
      </c>
      <c r="M132" s="16">
        <f>'Empleo Censo'!E132</f>
        <v/>
      </c>
      <c r="N132" s="17">
        <f>IF(M132&gt;0,L132,Factores!$B$7)</f>
        <v/>
      </c>
      <c r="O132">
        <f>IF(M132&gt;0,"OK","sin PEA -&gt; peor")</f>
        <v/>
      </c>
    </row>
    <row r="133">
      <c r="A133" t="inlineStr">
        <is>
          <t>120107</t>
        </is>
      </c>
      <c r="B133" t="inlineStr">
        <is>
          <t>CHILCA</t>
        </is>
      </c>
      <c r="C133" s="14">
        <f>'Empleo Censo'!G133-'Empleo Censo'!F133</f>
        <v/>
      </c>
      <c r="D133" s="14">
        <f>'Empleo Censo'!F133</f>
        <v/>
      </c>
      <c r="E133" s="14">
        <f>'Empleo Censo'!H133</f>
        <v/>
      </c>
      <c r="F133" s="14">
        <f>'Empleo Censo'!I133</f>
        <v/>
      </c>
      <c r="G133" s="14">
        <f>'Empleo Censo'!J133+'Empleo Censo'!K133</f>
        <v/>
      </c>
      <c r="H133" s="14">
        <f>'Empleo Censo'!L133</f>
        <v/>
      </c>
      <c r="I133" s="14">
        <f>'Empleo Censo'!M133</f>
        <v/>
      </c>
      <c r="J133" s="14">
        <f>SUM('Empleo Censo'!N133:AA133)</f>
        <v/>
      </c>
      <c r="K133" s="14">
        <f>SUM(C133:J133)</f>
        <v/>
      </c>
      <c r="L133" s="15">
        <f>SUMPRODUCT(C133:J133,Factores!$B$3:$I$3)</f>
        <v/>
      </c>
      <c r="M133" s="16">
        <f>'Empleo Censo'!E133</f>
        <v/>
      </c>
      <c r="N133" s="17">
        <f>IF(M133&gt;0,L133,Factores!$B$7)</f>
        <v/>
      </c>
      <c r="O133">
        <f>IF(M133&gt;0,"OK","sin PEA -&gt; peor")</f>
        <v/>
      </c>
    </row>
    <row r="134">
      <c r="A134" t="inlineStr">
        <is>
          <t>120108</t>
        </is>
      </c>
      <c r="B134" t="inlineStr">
        <is>
          <t>CHONGOS ALTO</t>
        </is>
      </c>
      <c r="C134" s="14">
        <f>'Empleo Censo'!G134-'Empleo Censo'!F134</f>
        <v/>
      </c>
      <c r="D134" s="14">
        <f>'Empleo Censo'!F134</f>
        <v/>
      </c>
      <c r="E134" s="14">
        <f>'Empleo Censo'!H134</f>
        <v/>
      </c>
      <c r="F134" s="14">
        <f>'Empleo Censo'!I134</f>
        <v/>
      </c>
      <c r="G134" s="14">
        <f>'Empleo Censo'!J134+'Empleo Censo'!K134</f>
        <v/>
      </c>
      <c r="H134" s="14">
        <f>'Empleo Censo'!L134</f>
        <v/>
      </c>
      <c r="I134" s="14">
        <f>'Empleo Censo'!M134</f>
        <v/>
      </c>
      <c r="J134" s="14">
        <f>SUM('Empleo Censo'!N134:AA134)</f>
        <v/>
      </c>
      <c r="K134" s="14">
        <f>SUM(C134:J134)</f>
        <v/>
      </c>
      <c r="L134" s="15">
        <f>SUMPRODUCT(C134:J134,Factores!$B$3:$I$3)</f>
        <v/>
      </c>
      <c r="M134" s="16">
        <f>'Empleo Censo'!E134</f>
        <v/>
      </c>
      <c r="N134" s="17">
        <f>IF(M134&gt;0,L134,Factores!$B$7)</f>
        <v/>
      </c>
      <c r="O134">
        <f>IF(M134&gt;0,"OK","sin PEA -&gt; peor")</f>
        <v/>
      </c>
    </row>
    <row r="135">
      <c r="A135" t="inlineStr">
        <is>
          <t>120111</t>
        </is>
      </c>
      <c r="B135" t="inlineStr">
        <is>
          <t>CHUPURO</t>
        </is>
      </c>
      <c r="C135" s="14">
        <f>'Empleo Censo'!G135-'Empleo Censo'!F135</f>
        <v/>
      </c>
      <c r="D135" s="14">
        <f>'Empleo Censo'!F135</f>
        <v/>
      </c>
      <c r="E135" s="14">
        <f>'Empleo Censo'!H135</f>
        <v/>
      </c>
      <c r="F135" s="14">
        <f>'Empleo Censo'!I135</f>
        <v/>
      </c>
      <c r="G135" s="14">
        <f>'Empleo Censo'!J135+'Empleo Censo'!K135</f>
        <v/>
      </c>
      <c r="H135" s="14">
        <f>'Empleo Censo'!L135</f>
        <v/>
      </c>
      <c r="I135" s="14">
        <f>'Empleo Censo'!M135</f>
        <v/>
      </c>
      <c r="J135" s="14">
        <f>SUM('Empleo Censo'!N135:AA135)</f>
        <v/>
      </c>
      <c r="K135" s="14">
        <f>SUM(C135:J135)</f>
        <v/>
      </c>
      <c r="L135" s="15">
        <f>SUMPRODUCT(C135:J135,Factores!$B$3:$I$3)</f>
        <v/>
      </c>
      <c r="M135" s="16">
        <f>'Empleo Censo'!E135</f>
        <v/>
      </c>
      <c r="N135" s="17">
        <f>IF(M135&gt;0,L135,Factores!$B$7)</f>
        <v/>
      </c>
      <c r="O135">
        <f>IF(M135&gt;0,"OK","sin PEA -&gt; peor")</f>
        <v/>
      </c>
    </row>
    <row r="136">
      <c r="A136" t="inlineStr">
        <is>
          <t>120112</t>
        </is>
      </c>
      <c r="B136" t="inlineStr">
        <is>
          <t>COLCA</t>
        </is>
      </c>
      <c r="C136" s="14">
        <f>'Empleo Censo'!G136-'Empleo Censo'!F136</f>
        <v/>
      </c>
      <c r="D136" s="14">
        <f>'Empleo Censo'!F136</f>
        <v/>
      </c>
      <c r="E136" s="14">
        <f>'Empleo Censo'!H136</f>
        <v/>
      </c>
      <c r="F136" s="14">
        <f>'Empleo Censo'!I136</f>
        <v/>
      </c>
      <c r="G136" s="14">
        <f>'Empleo Censo'!J136+'Empleo Censo'!K136</f>
        <v/>
      </c>
      <c r="H136" s="14">
        <f>'Empleo Censo'!L136</f>
        <v/>
      </c>
      <c r="I136" s="14">
        <f>'Empleo Censo'!M136</f>
        <v/>
      </c>
      <c r="J136" s="14">
        <f>SUM('Empleo Censo'!N136:AA136)</f>
        <v/>
      </c>
      <c r="K136" s="14">
        <f>SUM(C136:J136)</f>
        <v/>
      </c>
      <c r="L136" s="15">
        <f>SUMPRODUCT(C136:J136,Factores!$B$3:$I$3)</f>
        <v/>
      </c>
      <c r="M136" s="16">
        <f>'Empleo Censo'!E136</f>
        <v/>
      </c>
      <c r="N136" s="17">
        <f>IF(M136&gt;0,L136,Factores!$B$7)</f>
        <v/>
      </c>
      <c r="O136">
        <f>IF(M136&gt;0,"OK","sin PEA -&gt; peor")</f>
        <v/>
      </c>
    </row>
    <row r="137">
      <c r="A137" t="inlineStr">
        <is>
          <t>120113</t>
        </is>
      </c>
      <c r="B137" t="inlineStr">
        <is>
          <t>CULLHUAS</t>
        </is>
      </c>
      <c r="C137" s="14">
        <f>'Empleo Censo'!G137-'Empleo Censo'!F137</f>
        <v/>
      </c>
      <c r="D137" s="14">
        <f>'Empleo Censo'!F137</f>
        <v/>
      </c>
      <c r="E137" s="14">
        <f>'Empleo Censo'!H137</f>
        <v/>
      </c>
      <c r="F137" s="14">
        <f>'Empleo Censo'!I137</f>
        <v/>
      </c>
      <c r="G137" s="14">
        <f>'Empleo Censo'!J137+'Empleo Censo'!K137</f>
        <v/>
      </c>
      <c r="H137" s="14">
        <f>'Empleo Censo'!L137</f>
        <v/>
      </c>
      <c r="I137" s="14">
        <f>'Empleo Censo'!M137</f>
        <v/>
      </c>
      <c r="J137" s="14">
        <f>SUM('Empleo Censo'!N137:AA137)</f>
        <v/>
      </c>
      <c r="K137" s="14">
        <f>SUM(C137:J137)</f>
        <v/>
      </c>
      <c r="L137" s="15">
        <f>SUMPRODUCT(C137:J137,Factores!$B$3:$I$3)</f>
        <v/>
      </c>
      <c r="M137" s="16">
        <f>'Empleo Censo'!E137</f>
        <v/>
      </c>
      <c r="N137" s="17">
        <f>IF(M137&gt;0,L137,Factores!$B$7)</f>
        <v/>
      </c>
      <c r="O137">
        <f>IF(M137&gt;0,"OK","sin PEA -&gt; peor")</f>
        <v/>
      </c>
    </row>
    <row r="138">
      <c r="A138" t="inlineStr">
        <is>
          <t>120114</t>
        </is>
      </c>
      <c r="B138" t="inlineStr">
        <is>
          <t>EL TAMBO</t>
        </is>
      </c>
      <c r="C138" s="14">
        <f>'Empleo Censo'!G138-'Empleo Censo'!F138</f>
        <v/>
      </c>
      <c r="D138" s="14">
        <f>'Empleo Censo'!F138</f>
        <v/>
      </c>
      <c r="E138" s="14">
        <f>'Empleo Censo'!H138</f>
        <v/>
      </c>
      <c r="F138" s="14">
        <f>'Empleo Censo'!I138</f>
        <v/>
      </c>
      <c r="G138" s="14">
        <f>'Empleo Censo'!J138+'Empleo Censo'!K138</f>
        <v/>
      </c>
      <c r="H138" s="14">
        <f>'Empleo Censo'!L138</f>
        <v/>
      </c>
      <c r="I138" s="14">
        <f>'Empleo Censo'!M138</f>
        <v/>
      </c>
      <c r="J138" s="14">
        <f>SUM('Empleo Censo'!N138:AA138)</f>
        <v/>
      </c>
      <c r="K138" s="14">
        <f>SUM(C138:J138)</f>
        <v/>
      </c>
      <c r="L138" s="15">
        <f>SUMPRODUCT(C138:J138,Factores!$B$3:$I$3)</f>
        <v/>
      </c>
      <c r="M138" s="16">
        <f>'Empleo Censo'!E138</f>
        <v/>
      </c>
      <c r="N138" s="17">
        <f>IF(M138&gt;0,L138,Factores!$B$7)</f>
        <v/>
      </c>
      <c r="O138">
        <f>IF(M138&gt;0,"OK","sin PEA -&gt; peor")</f>
        <v/>
      </c>
    </row>
    <row r="139">
      <c r="A139" t="inlineStr">
        <is>
          <t>120116</t>
        </is>
      </c>
      <c r="B139" t="inlineStr">
        <is>
          <t>HUACRAPUQUIO</t>
        </is>
      </c>
      <c r="C139" s="14">
        <f>'Empleo Censo'!G139-'Empleo Censo'!F139</f>
        <v/>
      </c>
      <c r="D139" s="14">
        <f>'Empleo Censo'!F139</f>
        <v/>
      </c>
      <c r="E139" s="14">
        <f>'Empleo Censo'!H139</f>
        <v/>
      </c>
      <c r="F139" s="14">
        <f>'Empleo Censo'!I139</f>
        <v/>
      </c>
      <c r="G139" s="14">
        <f>'Empleo Censo'!J139+'Empleo Censo'!K139</f>
        <v/>
      </c>
      <c r="H139" s="14">
        <f>'Empleo Censo'!L139</f>
        <v/>
      </c>
      <c r="I139" s="14">
        <f>'Empleo Censo'!M139</f>
        <v/>
      </c>
      <c r="J139" s="14">
        <f>SUM('Empleo Censo'!N139:AA139)</f>
        <v/>
      </c>
      <c r="K139" s="14">
        <f>SUM(C139:J139)</f>
        <v/>
      </c>
      <c r="L139" s="15">
        <f>SUMPRODUCT(C139:J139,Factores!$B$3:$I$3)</f>
        <v/>
      </c>
      <c r="M139" s="16">
        <f>'Empleo Censo'!E139</f>
        <v/>
      </c>
      <c r="N139" s="17">
        <f>IF(M139&gt;0,L139,Factores!$B$7)</f>
        <v/>
      </c>
      <c r="O139">
        <f>IF(M139&gt;0,"OK","sin PEA -&gt; peor")</f>
        <v/>
      </c>
    </row>
    <row r="140">
      <c r="A140" t="inlineStr">
        <is>
          <t>120117</t>
        </is>
      </c>
      <c r="B140" t="inlineStr">
        <is>
          <t>HUALHUAS</t>
        </is>
      </c>
      <c r="C140" s="14">
        <f>'Empleo Censo'!G140-'Empleo Censo'!F140</f>
        <v/>
      </c>
      <c r="D140" s="14">
        <f>'Empleo Censo'!F140</f>
        <v/>
      </c>
      <c r="E140" s="14">
        <f>'Empleo Censo'!H140</f>
        <v/>
      </c>
      <c r="F140" s="14">
        <f>'Empleo Censo'!I140</f>
        <v/>
      </c>
      <c r="G140" s="14">
        <f>'Empleo Censo'!J140+'Empleo Censo'!K140</f>
        <v/>
      </c>
      <c r="H140" s="14">
        <f>'Empleo Censo'!L140</f>
        <v/>
      </c>
      <c r="I140" s="14">
        <f>'Empleo Censo'!M140</f>
        <v/>
      </c>
      <c r="J140" s="14">
        <f>SUM('Empleo Censo'!N140:AA140)</f>
        <v/>
      </c>
      <c r="K140" s="14">
        <f>SUM(C140:J140)</f>
        <v/>
      </c>
      <c r="L140" s="15">
        <f>SUMPRODUCT(C140:J140,Factores!$B$3:$I$3)</f>
        <v/>
      </c>
      <c r="M140" s="16">
        <f>'Empleo Censo'!E140</f>
        <v/>
      </c>
      <c r="N140" s="17">
        <f>IF(M140&gt;0,L140,Factores!$B$7)</f>
        <v/>
      </c>
      <c r="O140">
        <f>IF(M140&gt;0,"OK","sin PEA -&gt; peor")</f>
        <v/>
      </c>
    </row>
    <row r="141">
      <c r="A141" t="inlineStr">
        <is>
          <t>120119</t>
        </is>
      </c>
      <c r="B141" t="inlineStr">
        <is>
          <t>HUANCAN</t>
        </is>
      </c>
      <c r="C141" s="14">
        <f>'Empleo Censo'!G141-'Empleo Censo'!F141</f>
        <v/>
      </c>
      <c r="D141" s="14">
        <f>'Empleo Censo'!F141</f>
        <v/>
      </c>
      <c r="E141" s="14">
        <f>'Empleo Censo'!H141</f>
        <v/>
      </c>
      <c r="F141" s="14">
        <f>'Empleo Censo'!I141</f>
        <v/>
      </c>
      <c r="G141" s="14">
        <f>'Empleo Censo'!J141+'Empleo Censo'!K141</f>
        <v/>
      </c>
      <c r="H141" s="14">
        <f>'Empleo Censo'!L141</f>
        <v/>
      </c>
      <c r="I141" s="14">
        <f>'Empleo Censo'!M141</f>
        <v/>
      </c>
      <c r="J141" s="14">
        <f>SUM('Empleo Censo'!N141:AA141)</f>
        <v/>
      </c>
      <c r="K141" s="14">
        <f>SUM(C141:J141)</f>
        <v/>
      </c>
      <c r="L141" s="15">
        <f>SUMPRODUCT(C141:J141,Factores!$B$3:$I$3)</f>
        <v/>
      </c>
      <c r="M141" s="16">
        <f>'Empleo Censo'!E141</f>
        <v/>
      </c>
      <c r="N141" s="17">
        <f>IF(M141&gt;0,L141,Factores!$B$7)</f>
        <v/>
      </c>
      <c r="O141">
        <f>IF(M141&gt;0,"OK","sin PEA -&gt; peor")</f>
        <v/>
      </c>
    </row>
    <row r="142">
      <c r="A142" t="inlineStr">
        <is>
          <t>120120</t>
        </is>
      </c>
      <c r="B142" t="inlineStr">
        <is>
          <t>HUASICANCHA</t>
        </is>
      </c>
      <c r="C142" s="14">
        <f>'Empleo Censo'!G142-'Empleo Censo'!F142</f>
        <v/>
      </c>
      <c r="D142" s="14">
        <f>'Empleo Censo'!F142</f>
        <v/>
      </c>
      <c r="E142" s="14">
        <f>'Empleo Censo'!H142</f>
        <v/>
      </c>
      <c r="F142" s="14">
        <f>'Empleo Censo'!I142</f>
        <v/>
      </c>
      <c r="G142" s="14">
        <f>'Empleo Censo'!J142+'Empleo Censo'!K142</f>
        <v/>
      </c>
      <c r="H142" s="14">
        <f>'Empleo Censo'!L142</f>
        <v/>
      </c>
      <c r="I142" s="14">
        <f>'Empleo Censo'!M142</f>
        <v/>
      </c>
      <c r="J142" s="14">
        <f>SUM('Empleo Censo'!N142:AA142)</f>
        <v/>
      </c>
      <c r="K142" s="14">
        <f>SUM(C142:J142)</f>
        <v/>
      </c>
      <c r="L142" s="15">
        <f>SUMPRODUCT(C142:J142,Factores!$B$3:$I$3)</f>
        <v/>
      </c>
      <c r="M142" s="16">
        <f>'Empleo Censo'!E142</f>
        <v/>
      </c>
      <c r="N142" s="17">
        <f>IF(M142&gt;0,L142,Factores!$B$7)</f>
        <v/>
      </c>
      <c r="O142">
        <f>IF(M142&gt;0,"OK","sin PEA -&gt; peor")</f>
        <v/>
      </c>
    </row>
    <row r="143">
      <c r="A143" t="inlineStr">
        <is>
          <t>120121</t>
        </is>
      </c>
      <c r="B143" t="inlineStr">
        <is>
          <t>HUAYUCACHI</t>
        </is>
      </c>
      <c r="C143" s="14">
        <f>'Empleo Censo'!G143-'Empleo Censo'!F143</f>
        <v/>
      </c>
      <c r="D143" s="14">
        <f>'Empleo Censo'!F143</f>
        <v/>
      </c>
      <c r="E143" s="14">
        <f>'Empleo Censo'!H143</f>
        <v/>
      </c>
      <c r="F143" s="14">
        <f>'Empleo Censo'!I143</f>
        <v/>
      </c>
      <c r="G143" s="14">
        <f>'Empleo Censo'!J143+'Empleo Censo'!K143</f>
        <v/>
      </c>
      <c r="H143" s="14">
        <f>'Empleo Censo'!L143</f>
        <v/>
      </c>
      <c r="I143" s="14">
        <f>'Empleo Censo'!M143</f>
        <v/>
      </c>
      <c r="J143" s="14">
        <f>SUM('Empleo Censo'!N143:AA143)</f>
        <v/>
      </c>
      <c r="K143" s="14">
        <f>SUM(C143:J143)</f>
        <v/>
      </c>
      <c r="L143" s="15">
        <f>SUMPRODUCT(C143:J143,Factores!$B$3:$I$3)</f>
        <v/>
      </c>
      <c r="M143" s="16">
        <f>'Empleo Censo'!E143</f>
        <v/>
      </c>
      <c r="N143" s="17">
        <f>IF(M143&gt;0,L143,Factores!$B$7)</f>
        <v/>
      </c>
      <c r="O143">
        <f>IF(M143&gt;0,"OK","sin PEA -&gt; peor")</f>
        <v/>
      </c>
    </row>
    <row r="144">
      <c r="A144" t="inlineStr">
        <is>
          <t>120122</t>
        </is>
      </c>
      <c r="B144" t="inlineStr">
        <is>
          <t>INGENIO</t>
        </is>
      </c>
      <c r="C144" s="14">
        <f>'Empleo Censo'!G144-'Empleo Censo'!F144</f>
        <v/>
      </c>
      <c r="D144" s="14">
        <f>'Empleo Censo'!F144</f>
        <v/>
      </c>
      <c r="E144" s="14">
        <f>'Empleo Censo'!H144</f>
        <v/>
      </c>
      <c r="F144" s="14">
        <f>'Empleo Censo'!I144</f>
        <v/>
      </c>
      <c r="G144" s="14">
        <f>'Empleo Censo'!J144+'Empleo Censo'!K144</f>
        <v/>
      </c>
      <c r="H144" s="14">
        <f>'Empleo Censo'!L144</f>
        <v/>
      </c>
      <c r="I144" s="14">
        <f>'Empleo Censo'!M144</f>
        <v/>
      </c>
      <c r="J144" s="14">
        <f>SUM('Empleo Censo'!N144:AA144)</f>
        <v/>
      </c>
      <c r="K144" s="14">
        <f>SUM(C144:J144)</f>
        <v/>
      </c>
      <c r="L144" s="15">
        <f>SUMPRODUCT(C144:J144,Factores!$B$3:$I$3)</f>
        <v/>
      </c>
      <c r="M144" s="16">
        <f>'Empleo Censo'!E144</f>
        <v/>
      </c>
      <c r="N144" s="17">
        <f>IF(M144&gt;0,L144,Factores!$B$7)</f>
        <v/>
      </c>
      <c r="O144">
        <f>IF(M144&gt;0,"OK","sin PEA -&gt; peor")</f>
        <v/>
      </c>
    </row>
    <row r="145">
      <c r="A145" t="inlineStr">
        <is>
          <t>120124</t>
        </is>
      </c>
      <c r="B145" t="inlineStr">
        <is>
          <t>PARIAHUANCA</t>
        </is>
      </c>
      <c r="C145" s="14">
        <f>'Empleo Censo'!G145-'Empleo Censo'!F145</f>
        <v/>
      </c>
      <c r="D145" s="14">
        <f>'Empleo Censo'!F145</f>
        <v/>
      </c>
      <c r="E145" s="14">
        <f>'Empleo Censo'!H145</f>
        <v/>
      </c>
      <c r="F145" s="14">
        <f>'Empleo Censo'!I145</f>
        <v/>
      </c>
      <c r="G145" s="14">
        <f>'Empleo Censo'!J145+'Empleo Censo'!K145</f>
        <v/>
      </c>
      <c r="H145" s="14">
        <f>'Empleo Censo'!L145</f>
        <v/>
      </c>
      <c r="I145" s="14">
        <f>'Empleo Censo'!M145</f>
        <v/>
      </c>
      <c r="J145" s="14">
        <f>SUM('Empleo Censo'!N145:AA145)</f>
        <v/>
      </c>
      <c r="K145" s="14">
        <f>SUM(C145:J145)</f>
        <v/>
      </c>
      <c r="L145" s="15">
        <f>SUMPRODUCT(C145:J145,Factores!$B$3:$I$3)</f>
        <v/>
      </c>
      <c r="M145" s="16">
        <f>'Empleo Censo'!E145</f>
        <v/>
      </c>
      <c r="N145" s="17">
        <f>IF(M145&gt;0,L145,Factores!$B$7)</f>
        <v/>
      </c>
      <c r="O145">
        <f>IF(M145&gt;0,"OK","sin PEA -&gt; peor")</f>
        <v/>
      </c>
    </row>
    <row r="146">
      <c r="A146" t="inlineStr">
        <is>
          <t>120125</t>
        </is>
      </c>
      <c r="B146" t="inlineStr">
        <is>
          <t>PILCOMAYO</t>
        </is>
      </c>
      <c r="C146" s="14">
        <f>'Empleo Censo'!G146-'Empleo Censo'!F146</f>
        <v/>
      </c>
      <c r="D146" s="14">
        <f>'Empleo Censo'!F146</f>
        <v/>
      </c>
      <c r="E146" s="14">
        <f>'Empleo Censo'!H146</f>
        <v/>
      </c>
      <c r="F146" s="14">
        <f>'Empleo Censo'!I146</f>
        <v/>
      </c>
      <c r="G146" s="14">
        <f>'Empleo Censo'!J146+'Empleo Censo'!K146</f>
        <v/>
      </c>
      <c r="H146" s="14">
        <f>'Empleo Censo'!L146</f>
        <v/>
      </c>
      <c r="I146" s="14">
        <f>'Empleo Censo'!M146</f>
        <v/>
      </c>
      <c r="J146" s="14">
        <f>SUM('Empleo Censo'!N146:AA146)</f>
        <v/>
      </c>
      <c r="K146" s="14">
        <f>SUM(C146:J146)</f>
        <v/>
      </c>
      <c r="L146" s="15">
        <f>SUMPRODUCT(C146:J146,Factores!$B$3:$I$3)</f>
        <v/>
      </c>
      <c r="M146" s="16">
        <f>'Empleo Censo'!E146</f>
        <v/>
      </c>
      <c r="N146" s="17">
        <f>IF(M146&gt;0,L146,Factores!$B$7)</f>
        <v/>
      </c>
      <c r="O146">
        <f>IF(M146&gt;0,"OK","sin PEA -&gt; peor")</f>
        <v/>
      </c>
    </row>
    <row r="147">
      <c r="A147" t="inlineStr">
        <is>
          <t>120126</t>
        </is>
      </c>
      <c r="B147" t="inlineStr">
        <is>
          <t>PUCARA</t>
        </is>
      </c>
      <c r="C147" s="14">
        <f>'Empleo Censo'!G147-'Empleo Censo'!F147</f>
        <v/>
      </c>
      <c r="D147" s="14">
        <f>'Empleo Censo'!F147</f>
        <v/>
      </c>
      <c r="E147" s="14">
        <f>'Empleo Censo'!H147</f>
        <v/>
      </c>
      <c r="F147" s="14">
        <f>'Empleo Censo'!I147</f>
        <v/>
      </c>
      <c r="G147" s="14">
        <f>'Empleo Censo'!J147+'Empleo Censo'!K147</f>
        <v/>
      </c>
      <c r="H147" s="14">
        <f>'Empleo Censo'!L147</f>
        <v/>
      </c>
      <c r="I147" s="14">
        <f>'Empleo Censo'!M147</f>
        <v/>
      </c>
      <c r="J147" s="14">
        <f>SUM('Empleo Censo'!N147:AA147)</f>
        <v/>
      </c>
      <c r="K147" s="14">
        <f>SUM(C147:J147)</f>
        <v/>
      </c>
      <c r="L147" s="15">
        <f>SUMPRODUCT(C147:J147,Factores!$B$3:$I$3)</f>
        <v/>
      </c>
      <c r="M147" s="16">
        <f>'Empleo Censo'!E147</f>
        <v/>
      </c>
      <c r="N147" s="17">
        <f>IF(M147&gt;0,L147,Factores!$B$7)</f>
        <v/>
      </c>
      <c r="O147">
        <f>IF(M147&gt;0,"OK","sin PEA -&gt; peor")</f>
        <v/>
      </c>
    </row>
    <row r="148">
      <c r="A148" t="inlineStr">
        <is>
          <t>120127</t>
        </is>
      </c>
      <c r="B148" t="inlineStr">
        <is>
          <t>QUICHUAY</t>
        </is>
      </c>
      <c r="C148" s="14">
        <f>'Empleo Censo'!G148-'Empleo Censo'!F148</f>
        <v/>
      </c>
      <c r="D148" s="14">
        <f>'Empleo Censo'!F148</f>
        <v/>
      </c>
      <c r="E148" s="14">
        <f>'Empleo Censo'!H148</f>
        <v/>
      </c>
      <c r="F148" s="14">
        <f>'Empleo Censo'!I148</f>
        <v/>
      </c>
      <c r="G148" s="14">
        <f>'Empleo Censo'!J148+'Empleo Censo'!K148</f>
        <v/>
      </c>
      <c r="H148" s="14">
        <f>'Empleo Censo'!L148</f>
        <v/>
      </c>
      <c r="I148" s="14">
        <f>'Empleo Censo'!M148</f>
        <v/>
      </c>
      <c r="J148" s="14">
        <f>SUM('Empleo Censo'!N148:AA148)</f>
        <v/>
      </c>
      <c r="K148" s="14">
        <f>SUM(C148:J148)</f>
        <v/>
      </c>
      <c r="L148" s="15">
        <f>SUMPRODUCT(C148:J148,Factores!$B$3:$I$3)</f>
        <v/>
      </c>
      <c r="M148" s="16">
        <f>'Empleo Censo'!E148</f>
        <v/>
      </c>
      <c r="N148" s="17">
        <f>IF(M148&gt;0,L148,Factores!$B$7)</f>
        <v/>
      </c>
      <c r="O148">
        <f>IF(M148&gt;0,"OK","sin PEA -&gt; peor")</f>
        <v/>
      </c>
    </row>
    <row r="149">
      <c r="A149" t="inlineStr">
        <is>
          <t>120128</t>
        </is>
      </c>
      <c r="B149" t="inlineStr">
        <is>
          <t>QUILCAS</t>
        </is>
      </c>
      <c r="C149" s="14">
        <f>'Empleo Censo'!G149-'Empleo Censo'!F149</f>
        <v/>
      </c>
      <c r="D149" s="14">
        <f>'Empleo Censo'!F149</f>
        <v/>
      </c>
      <c r="E149" s="14">
        <f>'Empleo Censo'!H149</f>
        <v/>
      </c>
      <c r="F149" s="14">
        <f>'Empleo Censo'!I149</f>
        <v/>
      </c>
      <c r="G149" s="14">
        <f>'Empleo Censo'!J149+'Empleo Censo'!K149</f>
        <v/>
      </c>
      <c r="H149" s="14">
        <f>'Empleo Censo'!L149</f>
        <v/>
      </c>
      <c r="I149" s="14">
        <f>'Empleo Censo'!M149</f>
        <v/>
      </c>
      <c r="J149" s="14">
        <f>SUM('Empleo Censo'!N149:AA149)</f>
        <v/>
      </c>
      <c r="K149" s="14">
        <f>SUM(C149:J149)</f>
        <v/>
      </c>
      <c r="L149" s="15">
        <f>SUMPRODUCT(C149:J149,Factores!$B$3:$I$3)</f>
        <v/>
      </c>
      <c r="M149" s="16">
        <f>'Empleo Censo'!E149</f>
        <v/>
      </c>
      <c r="N149" s="17">
        <f>IF(M149&gt;0,L149,Factores!$B$7)</f>
        <v/>
      </c>
      <c r="O149">
        <f>IF(M149&gt;0,"OK","sin PEA -&gt; peor")</f>
        <v/>
      </c>
    </row>
    <row r="150">
      <c r="A150" t="inlineStr">
        <is>
          <t>120129</t>
        </is>
      </c>
      <c r="B150" t="inlineStr">
        <is>
          <t>SAN AGUSTIN</t>
        </is>
      </c>
      <c r="C150" s="14">
        <f>'Empleo Censo'!G150-'Empleo Censo'!F150</f>
        <v/>
      </c>
      <c r="D150" s="14">
        <f>'Empleo Censo'!F150</f>
        <v/>
      </c>
      <c r="E150" s="14">
        <f>'Empleo Censo'!H150</f>
        <v/>
      </c>
      <c r="F150" s="14">
        <f>'Empleo Censo'!I150</f>
        <v/>
      </c>
      <c r="G150" s="14">
        <f>'Empleo Censo'!J150+'Empleo Censo'!K150</f>
        <v/>
      </c>
      <c r="H150" s="14">
        <f>'Empleo Censo'!L150</f>
        <v/>
      </c>
      <c r="I150" s="14">
        <f>'Empleo Censo'!M150</f>
        <v/>
      </c>
      <c r="J150" s="14">
        <f>SUM('Empleo Censo'!N150:AA150)</f>
        <v/>
      </c>
      <c r="K150" s="14">
        <f>SUM(C150:J150)</f>
        <v/>
      </c>
      <c r="L150" s="15">
        <f>SUMPRODUCT(C150:J150,Factores!$B$3:$I$3)</f>
        <v/>
      </c>
      <c r="M150" s="16">
        <f>'Empleo Censo'!E150</f>
        <v/>
      </c>
      <c r="N150" s="17">
        <f>IF(M150&gt;0,L150,Factores!$B$7)</f>
        <v/>
      </c>
      <c r="O150">
        <f>IF(M150&gt;0,"OK","sin PEA -&gt; peor")</f>
        <v/>
      </c>
    </row>
    <row r="151">
      <c r="A151" t="inlineStr">
        <is>
          <t>120130</t>
        </is>
      </c>
      <c r="B151" t="inlineStr">
        <is>
          <t>SAN JERONIMO DE TUNAN</t>
        </is>
      </c>
      <c r="C151" s="14">
        <f>'Empleo Censo'!G151-'Empleo Censo'!F151</f>
        <v/>
      </c>
      <c r="D151" s="14">
        <f>'Empleo Censo'!F151</f>
        <v/>
      </c>
      <c r="E151" s="14">
        <f>'Empleo Censo'!H151</f>
        <v/>
      </c>
      <c r="F151" s="14">
        <f>'Empleo Censo'!I151</f>
        <v/>
      </c>
      <c r="G151" s="14">
        <f>'Empleo Censo'!J151+'Empleo Censo'!K151</f>
        <v/>
      </c>
      <c r="H151" s="14">
        <f>'Empleo Censo'!L151</f>
        <v/>
      </c>
      <c r="I151" s="14">
        <f>'Empleo Censo'!M151</f>
        <v/>
      </c>
      <c r="J151" s="14">
        <f>SUM('Empleo Censo'!N151:AA151)</f>
        <v/>
      </c>
      <c r="K151" s="14">
        <f>SUM(C151:J151)</f>
        <v/>
      </c>
      <c r="L151" s="15">
        <f>SUMPRODUCT(C151:J151,Factores!$B$3:$I$3)</f>
        <v/>
      </c>
      <c r="M151" s="16">
        <f>'Empleo Censo'!E151</f>
        <v/>
      </c>
      <c r="N151" s="17">
        <f>IF(M151&gt;0,L151,Factores!$B$7)</f>
        <v/>
      </c>
      <c r="O151">
        <f>IF(M151&gt;0,"OK","sin PEA -&gt; peor")</f>
        <v/>
      </c>
    </row>
    <row r="152">
      <c r="A152" t="inlineStr">
        <is>
          <t>120132</t>
        </is>
      </c>
      <c r="B152" t="inlineStr">
        <is>
          <t>SAÑO</t>
        </is>
      </c>
      <c r="C152" s="14">
        <f>'Empleo Censo'!G152-'Empleo Censo'!F152</f>
        <v/>
      </c>
      <c r="D152" s="14">
        <f>'Empleo Censo'!F152</f>
        <v/>
      </c>
      <c r="E152" s="14">
        <f>'Empleo Censo'!H152</f>
        <v/>
      </c>
      <c r="F152" s="14">
        <f>'Empleo Censo'!I152</f>
        <v/>
      </c>
      <c r="G152" s="14">
        <f>'Empleo Censo'!J152+'Empleo Censo'!K152</f>
        <v/>
      </c>
      <c r="H152" s="14">
        <f>'Empleo Censo'!L152</f>
        <v/>
      </c>
      <c r="I152" s="14">
        <f>'Empleo Censo'!M152</f>
        <v/>
      </c>
      <c r="J152" s="14">
        <f>SUM('Empleo Censo'!N152:AA152)</f>
        <v/>
      </c>
      <c r="K152" s="14">
        <f>SUM(C152:J152)</f>
        <v/>
      </c>
      <c r="L152" s="15">
        <f>SUMPRODUCT(C152:J152,Factores!$B$3:$I$3)</f>
        <v/>
      </c>
      <c r="M152" s="16">
        <f>'Empleo Censo'!E152</f>
        <v/>
      </c>
      <c r="N152" s="17">
        <f>IF(M152&gt;0,L152,Factores!$B$7)</f>
        <v/>
      </c>
      <c r="O152">
        <f>IF(M152&gt;0,"OK","sin PEA -&gt; peor")</f>
        <v/>
      </c>
    </row>
    <row r="153">
      <c r="A153" t="inlineStr">
        <is>
          <t>120133</t>
        </is>
      </c>
      <c r="B153" t="inlineStr">
        <is>
          <t>SAPALLANGA</t>
        </is>
      </c>
      <c r="C153" s="14">
        <f>'Empleo Censo'!G153-'Empleo Censo'!F153</f>
        <v/>
      </c>
      <c r="D153" s="14">
        <f>'Empleo Censo'!F153</f>
        <v/>
      </c>
      <c r="E153" s="14">
        <f>'Empleo Censo'!H153</f>
        <v/>
      </c>
      <c r="F153" s="14">
        <f>'Empleo Censo'!I153</f>
        <v/>
      </c>
      <c r="G153" s="14">
        <f>'Empleo Censo'!J153+'Empleo Censo'!K153</f>
        <v/>
      </c>
      <c r="H153" s="14">
        <f>'Empleo Censo'!L153</f>
        <v/>
      </c>
      <c r="I153" s="14">
        <f>'Empleo Censo'!M153</f>
        <v/>
      </c>
      <c r="J153" s="14">
        <f>SUM('Empleo Censo'!N153:AA153)</f>
        <v/>
      </c>
      <c r="K153" s="14">
        <f>SUM(C153:J153)</f>
        <v/>
      </c>
      <c r="L153" s="15">
        <f>SUMPRODUCT(C153:J153,Factores!$B$3:$I$3)</f>
        <v/>
      </c>
      <c r="M153" s="16">
        <f>'Empleo Censo'!E153</f>
        <v/>
      </c>
      <c r="N153" s="17">
        <f>IF(M153&gt;0,L153,Factores!$B$7)</f>
        <v/>
      </c>
      <c r="O153">
        <f>IF(M153&gt;0,"OK","sin PEA -&gt; peor")</f>
        <v/>
      </c>
    </row>
    <row r="154">
      <c r="A154" t="inlineStr">
        <is>
          <t>120134</t>
        </is>
      </c>
      <c r="B154" t="inlineStr">
        <is>
          <t>SICAYA</t>
        </is>
      </c>
      <c r="C154" s="14">
        <f>'Empleo Censo'!G154-'Empleo Censo'!F154</f>
        <v/>
      </c>
      <c r="D154" s="14">
        <f>'Empleo Censo'!F154</f>
        <v/>
      </c>
      <c r="E154" s="14">
        <f>'Empleo Censo'!H154</f>
        <v/>
      </c>
      <c r="F154" s="14">
        <f>'Empleo Censo'!I154</f>
        <v/>
      </c>
      <c r="G154" s="14">
        <f>'Empleo Censo'!J154+'Empleo Censo'!K154</f>
        <v/>
      </c>
      <c r="H154" s="14">
        <f>'Empleo Censo'!L154</f>
        <v/>
      </c>
      <c r="I154" s="14">
        <f>'Empleo Censo'!M154</f>
        <v/>
      </c>
      <c r="J154" s="14">
        <f>SUM('Empleo Censo'!N154:AA154)</f>
        <v/>
      </c>
      <c r="K154" s="14">
        <f>SUM(C154:J154)</f>
        <v/>
      </c>
      <c r="L154" s="15">
        <f>SUMPRODUCT(C154:J154,Factores!$B$3:$I$3)</f>
        <v/>
      </c>
      <c r="M154" s="16">
        <f>'Empleo Censo'!E154</f>
        <v/>
      </c>
      <c r="N154" s="17">
        <f>IF(M154&gt;0,L154,Factores!$B$7)</f>
        <v/>
      </c>
      <c r="O154">
        <f>IF(M154&gt;0,"OK","sin PEA -&gt; peor")</f>
        <v/>
      </c>
    </row>
    <row r="155">
      <c r="A155" t="inlineStr">
        <is>
          <t>120135</t>
        </is>
      </c>
      <c r="B155" t="inlineStr">
        <is>
          <t>SANTO DOMINGO DE ACOBAMBA</t>
        </is>
      </c>
      <c r="C155" s="14">
        <f>'Empleo Censo'!G155-'Empleo Censo'!F155</f>
        <v/>
      </c>
      <c r="D155" s="14">
        <f>'Empleo Censo'!F155</f>
        <v/>
      </c>
      <c r="E155" s="14">
        <f>'Empleo Censo'!H155</f>
        <v/>
      </c>
      <c r="F155" s="14">
        <f>'Empleo Censo'!I155</f>
        <v/>
      </c>
      <c r="G155" s="14">
        <f>'Empleo Censo'!J155+'Empleo Censo'!K155</f>
        <v/>
      </c>
      <c r="H155" s="14">
        <f>'Empleo Censo'!L155</f>
        <v/>
      </c>
      <c r="I155" s="14">
        <f>'Empleo Censo'!M155</f>
        <v/>
      </c>
      <c r="J155" s="14">
        <f>SUM('Empleo Censo'!N155:AA155)</f>
        <v/>
      </c>
      <c r="K155" s="14">
        <f>SUM(C155:J155)</f>
        <v/>
      </c>
      <c r="L155" s="15">
        <f>SUMPRODUCT(C155:J155,Factores!$B$3:$I$3)</f>
        <v/>
      </c>
      <c r="M155" s="16">
        <f>'Empleo Censo'!E155</f>
        <v/>
      </c>
      <c r="N155" s="17">
        <f>IF(M155&gt;0,L155,Factores!$B$7)</f>
        <v/>
      </c>
      <c r="O155">
        <f>IF(M155&gt;0,"OK","sin PEA -&gt; peor")</f>
        <v/>
      </c>
    </row>
    <row r="156">
      <c r="A156" t="inlineStr">
        <is>
          <t>120136</t>
        </is>
      </c>
      <c r="B156" t="inlineStr">
        <is>
          <t>VIQUES</t>
        </is>
      </c>
      <c r="C156" s="14">
        <f>'Empleo Censo'!G156-'Empleo Censo'!F156</f>
        <v/>
      </c>
      <c r="D156" s="14">
        <f>'Empleo Censo'!F156</f>
        <v/>
      </c>
      <c r="E156" s="14">
        <f>'Empleo Censo'!H156</f>
        <v/>
      </c>
      <c r="F156" s="14">
        <f>'Empleo Censo'!I156</f>
        <v/>
      </c>
      <c r="G156" s="14">
        <f>'Empleo Censo'!J156+'Empleo Censo'!K156</f>
        <v/>
      </c>
      <c r="H156" s="14">
        <f>'Empleo Censo'!L156</f>
        <v/>
      </c>
      <c r="I156" s="14">
        <f>'Empleo Censo'!M156</f>
        <v/>
      </c>
      <c r="J156" s="14">
        <f>SUM('Empleo Censo'!N156:AA156)</f>
        <v/>
      </c>
      <c r="K156" s="14">
        <f>SUM(C156:J156)</f>
        <v/>
      </c>
      <c r="L156" s="15">
        <f>SUMPRODUCT(C156:J156,Factores!$B$3:$I$3)</f>
        <v/>
      </c>
      <c r="M156" s="16">
        <f>'Empleo Censo'!E156</f>
        <v/>
      </c>
      <c r="N156" s="17">
        <f>IF(M156&gt;0,L156,Factores!$B$7)</f>
        <v/>
      </c>
      <c r="O156">
        <f>IF(M156&gt;0,"OK","sin PEA -&gt; peor")</f>
        <v/>
      </c>
    </row>
    <row r="157">
      <c r="A157" t="inlineStr">
        <is>
          <t>120201</t>
        </is>
      </c>
      <c r="B157" t="inlineStr">
        <is>
          <t>CONCEPCION</t>
        </is>
      </c>
      <c r="C157" s="14">
        <f>'Empleo Censo'!G157-'Empleo Censo'!F157</f>
        <v/>
      </c>
      <c r="D157" s="14">
        <f>'Empleo Censo'!F157</f>
        <v/>
      </c>
      <c r="E157" s="14">
        <f>'Empleo Censo'!H157</f>
        <v/>
      </c>
      <c r="F157" s="14">
        <f>'Empleo Censo'!I157</f>
        <v/>
      </c>
      <c r="G157" s="14">
        <f>'Empleo Censo'!J157+'Empleo Censo'!K157</f>
        <v/>
      </c>
      <c r="H157" s="14">
        <f>'Empleo Censo'!L157</f>
        <v/>
      </c>
      <c r="I157" s="14">
        <f>'Empleo Censo'!M157</f>
        <v/>
      </c>
      <c r="J157" s="14">
        <f>SUM('Empleo Censo'!N157:AA157)</f>
        <v/>
      </c>
      <c r="K157" s="14">
        <f>SUM(C157:J157)</f>
        <v/>
      </c>
      <c r="L157" s="15">
        <f>SUMPRODUCT(C157:J157,Factores!$B$3:$I$3)</f>
        <v/>
      </c>
      <c r="M157" s="16">
        <f>'Empleo Censo'!E157</f>
        <v/>
      </c>
      <c r="N157" s="17">
        <f>IF(M157&gt;0,L157,Factores!$B$7)</f>
        <v/>
      </c>
      <c r="O157">
        <f>IF(M157&gt;0,"OK","sin PEA -&gt; peor")</f>
        <v/>
      </c>
    </row>
    <row r="158">
      <c r="A158" t="inlineStr">
        <is>
          <t>120202</t>
        </is>
      </c>
      <c r="B158" t="inlineStr">
        <is>
          <t>ACO</t>
        </is>
      </c>
      <c r="C158" s="14">
        <f>'Empleo Censo'!G158-'Empleo Censo'!F158</f>
        <v/>
      </c>
      <c r="D158" s="14">
        <f>'Empleo Censo'!F158</f>
        <v/>
      </c>
      <c r="E158" s="14">
        <f>'Empleo Censo'!H158</f>
        <v/>
      </c>
      <c r="F158" s="14">
        <f>'Empleo Censo'!I158</f>
        <v/>
      </c>
      <c r="G158" s="14">
        <f>'Empleo Censo'!J158+'Empleo Censo'!K158</f>
        <v/>
      </c>
      <c r="H158" s="14">
        <f>'Empleo Censo'!L158</f>
        <v/>
      </c>
      <c r="I158" s="14">
        <f>'Empleo Censo'!M158</f>
        <v/>
      </c>
      <c r="J158" s="14">
        <f>SUM('Empleo Censo'!N158:AA158)</f>
        <v/>
      </c>
      <c r="K158" s="14">
        <f>SUM(C158:J158)</f>
        <v/>
      </c>
      <c r="L158" s="15">
        <f>SUMPRODUCT(C158:J158,Factores!$B$3:$I$3)</f>
        <v/>
      </c>
      <c r="M158" s="16">
        <f>'Empleo Censo'!E158</f>
        <v/>
      </c>
      <c r="N158" s="17">
        <f>IF(M158&gt;0,L158,Factores!$B$7)</f>
        <v/>
      </c>
      <c r="O158">
        <f>IF(M158&gt;0,"OK","sin PEA -&gt; peor")</f>
        <v/>
      </c>
    </row>
    <row r="159">
      <c r="A159" t="inlineStr">
        <is>
          <t>120203</t>
        </is>
      </c>
      <c r="B159" t="inlineStr">
        <is>
          <t>ANDAMARCA</t>
        </is>
      </c>
      <c r="C159" s="14">
        <f>'Empleo Censo'!G159-'Empleo Censo'!F159</f>
        <v/>
      </c>
      <c r="D159" s="14">
        <f>'Empleo Censo'!F159</f>
        <v/>
      </c>
      <c r="E159" s="14">
        <f>'Empleo Censo'!H159</f>
        <v/>
      </c>
      <c r="F159" s="14">
        <f>'Empleo Censo'!I159</f>
        <v/>
      </c>
      <c r="G159" s="14">
        <f>'Empleo Censo'!J159+'Empleo Censo'!K159</f>
        <v/>
      </c>
      <c r="H159" s="14">
        <f>'Empleo Censo'!L159</f>
        <v/>
      </c>
      <c r="I159" s="14">
        <f>'Empleo Censo'!M159</f>
        <v/>
      </c>
      <c r="J159" s="14">
        <f>SUM('Empleo Censo'!N159:AA159)</f>
        <v/>
      </c>
      <c r="K159" s="14">
        <f>SUM(C159:J159)</f>
        <v/>
      </c>
      <c r="L159" s="15">
        <f>SUMPRODUCT(C159:J159,Factores!$B$3:$I$3)</f>
        <v/>
      </c>
      <c r="M159" s="16">
        <f>'Empleo Censo'!E159</f>
        <v/>
      </c>
      <c r="N159" s="17">
        <f>IF(M159&gt;0,L159,Factores!$B$7)</f>
        <v/>
      </c>
      <c r="O159">
        <f>IF(M159&gt;0,"OK","sin PEA -&gt; peor")</f>
        <v/>
      </c>
    </row>
    <row r="160">
      <c r="A160" t="inlineStr">
        <is>
          <t>120204</t>
        </is>
      </c>
      <c r="B160" t="inlineStr">
        <is>
          <t>CHAMBARA</t>
        </is>
      </c>
      <c r="C160" s="14">
        <f>'Empleo Censo'!G160-'Empleo Censo'!F160</f>
        <v/>
      </c>
      <c r="D160" s="14">
        <f>'Empleo Censo'!F160</f>
        <v/>
      </c>
      <c r="E160" s="14">
        <f>'Empleo Censo'!H160</f>
        <v/>
      </c>
      <c r="F160" s="14">
        <f>'Empleo Censo'!I160</f>
        <v/>
      </c>
      <c r="G160" s="14">
        <f>'Empleo Censo'!J160+'Empleo Censo'!K160</f>
        <v/>
      </c>
      <c r="H160" s="14">
        <f>'Empleo Censo'!L160</f>
        <v/>
      </c>
      <c r="I160" s="14">
        <f>'Empleo Censo'!M160</f>
        <v/>
      </c>
      <c r="J160" s="14">
        <f>SUM('Empleo Censo'!N160:AA160)</f>
        <v/>
      </c>
      <c r="K160" s="14">
        <f>SUM(C160:J160)</f>
        <v/>
      </c>
      <c r="L160" s="15">
        <f>SUMPRODUCT(C160:J160,Factores!$B$3:$I$3)</f>
        <v/>
      </c>
      <c r="M160" s="16">
        <f>'Empleo Censo'!E160</f>
        <v/>
      </c>
      <c r="N160" s="17">
        <f>IF(M160&gt;0,L160,Factores!$B$7)</f>
        <v/>
      </c>
      <c r="O160">
        <f>IF(M160&gt;0,"OK","sin PEA -&gt; peor")</f>
        <v/>
      </c>
    </row>
    <row r="161">
      <c r="A161" t="inlineStr">
        <is>
          <t>120205</t>
        </is>
      </c>
      <c r="B161" t="inlineStr">
        <is>
          <t>COCHAS</t>
        </is>
      </c>
      <c r="C161" s="14">
        <f>'Empleo Censo'!G161-'Empleo Censo'!F161</f>
        <v/>
      </c>
      <c r="D161" s="14">
        <f>'Empleo Censo'!F161</f>
        <v/>
      </c>
      <c r="E161" s="14">
        <f>'Empleo Censo'!H161</f>
        <v/>
      </c>
      <c r="F161" s="14">
        <f>'Empleo Censo'!I161</f>
        <v/>
      </c>
      <c r="G161" s="14">
        <f>'Empleo Censo'!J161+'Empleo Censo'!K161</f>
        <v/>
      </c>
      <c r="H161" s="14">
        <f>'Empleo Censo'!L161</f>
        <v/>
      </c>
      <c r="I161" s="14">
        <f>'Empleo Censo'!M161</f>
        <v/>
      </c>
      <c r="J161" s="14">
        <f>SUM('Empleo Censo'!N161:AA161)</f>
        <v/>
      </c>
      <c r="K161" s="14">
        <f>SUM(C161:J161)</f>
        <v/>
      </c>
      <c r="L161" s="15">
        <f>SUMPRODUCT(C161:J161,Factores!$B$3:$I$3)</f>
        <v/>
      </c>
      <c r="M161" s="16">
        <f>'Empleo Censo'!E161</f>
        <v/>
      </c>
      <c r="N161" s="17">
        <f>IF(M161&gt;0,L161,Factores!$B$7)</f>
        <v/>
      </c>
      <c r="O161">
        <f>IF(M161&gt;0,"OK","sin PEA -&gt; peor")</f>
        <v/>
      </c>
    </row>
    <row r="162">
      <c r="A162" t="inlineStr">
        <is>
          <t>120206</t>
        </is>
      </c>
      <c r="B162" t="inlineStr">
        <is>
          <t>COMAS</t>
        </is>
      </c>
      <c r="C162" s="14">
        <f>'Empleo Censo'!G162-'Empleo Censo'!F162</f>
        <v/>
      </c>
      <c r="D162" s="14">
        <f>'Empleo Censo'!F162</f>
        <v/>
      </c>
      <c r="E162" s="14">
        <f>'Empleo Censo'!H162</f>
        <v/>
      </c>
      <c r="F162" s="14">
        <f>'Empleo Censo'!I162</f>
        <v/>
      </c>
      <c r="G162" s="14">
        <f>'Empleo Censo'!J162+'Empleo Censo'!K162</f>
        <v/>
      </c>
      <c r="H162" s="14">
        <f>'Empleo Censo'!L162</f>
        <v/>
      </c>
      <c r="I162" s="14">
        <f>'Empleo Censo'!M162</f>
        <v/>
      </c>
      <c r="J162" s="14">
        <f>SUM('Empleo Censo'!N162:AA162)</f>
        <v/>
      </c>
      <c r="K162" s="14">
        <f>SUM(C162:J162)</f>
        <v/>
      </c>
      <c r="L162" s="15">
        <f>SUMPRODUCT(C162:J162,Factores!$B$3:$I$3)</f>
        <v/>
      </c>
      <c r="M162" s="16">
        <f>'Empleo Censo'!E162</f>
        <v/>
      </c>
      <c r="N162" s="17">
        <f>IF(M162&gt;0,L162,Factores!$B$7)</f>
        <v/>
      </c>
      <c r="O162">
        <f>IF(M162&gt;0,"OK","sin PEA -&gt; peor")</f>
        <v/>
      </c>
    </row>
    <row r="163">
      <c r="A163" t="inlineStr">
        <is>
          <t>120207</t>
        </is>
      </c>
      <c r="B163" t="inlineStr">
        <is>
          <t>HEROINAS TOLEDO</t>
        </is>
      </c>
      <c r="C163" s="14">
        <f>'Empleo Censo'!G163-'Empleo Censo'!F163</f>
        <v/>
      </c>
      <c r="D163" s="14">
        <f>'Empleo Censo'!F163</f>
        <v/>
      </c>
      <c r="E163" s="14">
        <f>'Empleo Censo'!H163</f>
        <v/>
      </c>
      <c r="F163" s="14">
        <f>'Empleo Censo'!I163</f>
        <v/>
      </c>
      <c r="G163" s="14">
        <f>'Empleo Censo'!J163+'Empleo Censo'!K163</f>
        <v/>
      </c>
      <c r="H163" s="14">
        <f>'Empleo Censo'!L163</f>
        <v/>
      </c>
      <c r="I163" s="14">
        <f>'Empleo Censo'!M163</f>
        <v/>
      </c>
      <c r="J163" s="14">
        <f>SUM('Empleo Censo'!N163:AA163)</f>
        <v/>
      </c>
      <c r="K163" s="14">
        <f>SUM(C163:J163)</f>
        <v/>
      </c>
      <c r="L163" s="15">
        <f>SUMPRODUCT(C163:J163,Factores!$B$3:$I$3)</f>
        <v/>
      </c>
      <c r="M163" s="16">
        <f>'Empleo Censo'!E163</f>
        <v/>
      </c>
      <c r="N163" s="17">
        <f>IF(M163&gt;0,L163,Factores!$B$7)</f>
        <v/>
      </c>
      <c r="O163">
        <f>IF(M163&gt;0,"OK","sin PEA -&gt; peor")</f>
        <v/>
      </c>
    </row>
    <row r="164">
      <c r="A164" t="inlineStr">
        <is>
          <t>120208</t>
        </is>
      </c>
      <c r="B164" t="inlineStr">
        <is>
          <t>MANZANARES</t>
        </is>
      </c>
      <c r="C164" s="14">
        <f>'Empleo Censo'!G164-'Empleo Censo'!F164</f>
        <v/>
      </c>
      <c r="D164" s="14">
        <f>'Empleo Censo'!F164</f>
        <v/>
      </c>
      <c r="E164" s="14">
        <f>'Empleo Censo'!H164</f>
        <v/>
      </c>
      <c r="F164" s="14">
        <f>'Empleo Censo'!I164</f>
        <v/>
      </c>
      <c r="G164" s="14">
        <f>'Empleo Censo'!J164+'Empleo Censo'!K164</f>
        <v/>
      </c>
      <c r="H164" s="14">
        <f>'Empleo Censo'!L164</f>
        <v/>
      </c>
      <c r="I164" s="14">
        <f>'Empleo Censo'!M164</f>
        <v/>
      </c>
      <c r="J164" s="14">
        <f>SUM('Empleo Censo'!N164:AA164)</f>
        <v/>
      </c>
      <c r="K164" s="14">
        <f>SUM(C164:J164)</f>
        <v/>
      </c>
      <c r="L164" s="15">
        <f>SUMPRODUCT(C164:J164,Factores!$B$3:$I$3)</f>
        <v/>
      </c>
      <c r="M164" s="16">
        <f>'Empleo Censo'!E164</f>
        <v/>
      </c>
      <c r="N164" s="17">
        <f>IF(M164&gt;0,L164,Factores!$B$7)</f>
        <v/>
      </c>
      <c r="O164">
        <f>IF(M164&gt;0,"OK","sin PEA -&gt; peor")</f>
        <v/>
      </c>
    </row>
    <row r="165">
      <c r="A165" t="inlineStr">
        <is>
          <t>120209</t>
        </is>
      </c>
      <c r="B165" t="inlineStr">
        <is>
          <t>MARISCAL CASTILLA</t>
        </is>
      </c>
      <c r="C165" s="14">
        <f>'Empleo Censo'!G165-'Empleo Censo'!F165</f>
        <v/>
      </c>
      <c r="D165" s="14">
        <f>'Empleo Censo'!F165</f>
        <v/>
      </c>
      <c r="E165" s="14">
        <f>'Empleo Censo'!H165</f>
        <v/>
      </c>
      <c r="F165" s="14">
        <f>'Empleo Censo'!I165</f>
        <v/>
      </c>
      <c r="G165" s="14">
        <f>'Empleo Censo'!J165+'Empleo Censo'!K165</f>
        <v/>
      </c>
      <c r="H165" s="14">
        <f>'Empleo Censo'!L165</f>
        <v/>
      </c>
      <c r="I165" s="14">
        <f>'Empleo Censo'!M165</f>
        <v/>
      </c>
      <c r="J165" s="14">
        <f>SUM('Empleo Censo'!N165:AA165)</f>
        <v/>
      </c>
      <c r="K165" s="14">
        <f>SUM(C165:J165)</f>
        <v/>
      </c>
      <c r="L165" s="15">
        <f>SUMPRODUCT(C165:J165,Factores!$B$3:$I$3)</f>
        <v/>
      </c>
      <c r="M165" s="16">
        <f>'Empleo Censo'!E165</f>
        <v/>
      </c>
      <c r="N165" s="17">
        <f>IF(M165&gt;0,L165,Factores!$B$7)</f>
        <v/>
      </c>
      <c r="O165">
        <f>IF(M165&gt;0,"OK","sin PEA -&gt; peor")</f>
        <v/>
      </c>
    </row>
    <row r="166">
      <c r="A166" t="inlineStr">
        <is>
          <t>120210</t>
        </is>
      </c>
      <c r="B166" t="inlineStr">
        <is>
          <t>MATAHUASI</t>
        </is>
      </c>
      <c r="C166" s="14">
        <f>'Empleo Censo'!G166-'Empleo Censo'!F166</f>
        <v/>
      </c>
      <c r="D166" s="14">
        <f>'Empleo Censo'!F166</f>
        <v/>
      </c>
      <c r="E166" s="14">
        <f>'Empleo Censo'!H166</f>
        <v/>
      </c>
      <c r="F166" s="14">
        <f>'Empleo Censo'!I166</f>
        <v/>
      </c>
      <c r="G166" s="14">
        <f>'Empleo Censo'!J166+'Empleo Censo'!K166</f>
        <v/>
      </c>
      <c r="H166" s="14">
        <f>'Empleo Censo'!L166</f>
        <v/>
      </c>
      <c r="I166" s="14">
        <f>'Empleo Censo'!M166</f>
        <v/>
      </c>
      <c r="J166" s="14">
        <f>SUM('Empleo Censo'!N166:AA166)</f>
        <v/>
      </c>
      <c r="K166" s="14">
        <f>SUM(C166:J166)</f>
        <v/>
      </c>
      <c r="L166" s="15">
        <f>SUMPRODUCT(C166:J166,Factores!$B$3:$I$3)</f>
        <v/>
      </c>
      <c r="M166" s="16">
        <f>'Empleo Censo'!E166</f>
        <v/>
      </c>
      <c r="N166" s="17">
        <f>IF(M166&gt;0,L166,Factores!$B$7)</f>
        <v/>
      </c>
      <c r="O166">
        <f>IF(M166&gt;0,"OK","sin PEA -&gt; peor")</f>
        <v/>
      </c>
    </row>
    <row r="167">
      <c r="A167" t="inlineStr">
        <is>
          <t>120211</t>
        </is>
      </c>
      <c r="B167" t="inlineStr">
        <is>
          <t>MITO</t>
        </is>
      </c>
      <c r="C167" s="14">
        <f>'Empleo Censo'!G167-'Empleo Censo'!F167</f>
        <v/>
      </c>
      <c r="D167" s="14">
        <f>'Empleo Censo'!F167</f>
        <v/>
      </c>
      <c r="E167" s="14">
        <f>'Empleo Censo'!H167</f>
        <v/>
      </c>
      <c r="F167" s="14">
        <f>'Empleo Censo'!I167</f>
        <v/>
      </c>
      <c r="G167" s="14">
        <f>'Empleo Censo'!J167+'Empleo Censo'!K167</f>
        <v/>
      </c>
      <c r="H167" s="14">
        <f>'Empleo Censo'!L167</f>
        <v/>
      </c>
      <c r="I167" s="14">
        <f>'Empleo Censo'!M167</f>
        <v/>
      </c>
      <c r="J167" s="14">
        <f>SUM('Empleo Censo'!N167:AA167)</f>
        <v/>
      </c>
      <c r="K167" s="14">
        <f>SUM(C167:J167)</f>
        <v/>
      </c>
      <c r="L167" s="15">
        <f>SUMPRODUCT(C167:J167,Factores!$B$3:$I$3)</f>
        <v/>
      </c>
      <c r="M167" s="16">
        <f>'Empleo Censo'!E167</f>
        <v/>
      </c>
      <c r="N167" s="17">
        <f>IF(M167&gt;0,L167,Factores!$B$7)</f>
        <v/>
      </c>
      <c r="O167">
        <f>IF(M167&gt;0,"OK","sin PEA -&gt; peor")</f>
        <v/>
      </c>
    </row>
    <row r="168">
      <c r="A168" t="inlineStr">
        <is>
          <t>120212</t>
        </is>
      </c>
      <c r="B168" t="inlineStr">
        <is>
          <t>NUEVE DE JULIO</t>
        </is>
      </c>
      <c r="C168" s="14">
        <f>'Empleo Censo'!G168-'Empleo Censo'!F168</f>
        <v/>
      </c>
      <c r="D168" s="14">
        <f>'Empleo Censo'!F168</f>
        <v/>
      </c>
      <c r="E168" s="14">
        <f>'Empleo Censo'!H168</f>
        <v/>
      </c>
      <c r="F168" s="14">
        <f>'Empleo Censo'!I168</f>
        <v/>
      </c>
      <c r="G168" s="14">
        <f>'Empleo Censo'!J168+'Empleo Censo'!K168</f>
        <v/>
      </c>
      <c r="H168" s="14">
        <f>'Empleo Censo'!L168</f>
        <v/>
      </c>
      <c r="I168" s="14">
        <f>'Empleo Censo'!M168</f>
        <v/>
      </c>
      <c r="J168" s="14">
        <f>SUM('Empleo Censo'!N168:AA168)</f>
        <v/>
      </c>
      <c r="K168" s="14">
        <f>SUM(C168:J168)</f>
        <v/>
      </c>
      <c r="L168" s="15">
        <f>SUMPRODUCT(C168:J168,Factores!$B$3:$I$3)</f>
        <v/>
      </c>
      <c r="M168" s="16">
        <f>'Empleo Censo'!E168</f>
        <v/>
      </c>
      <c r="N168" s="17">
        <f>IF(M168&gt;0,L168,Factores!$B$7)</f>
        <v/>
      </c>
      <c r="O168">
        <f>IF(M168&gt;0,"OK","sin PEA -&gt; peor")</f>
        <v/>
      </c>
    </row>
    <row r="169">
      <c r="A169" t="inlineStr">
        <is>
          <t>120213</t>
        </is>
      </c>
      <c r="B169" t="inlineStr">
        <is>
          <t>ORCOTUNA</t>
        </is>
      </c>
      <c r="C169" s="14">
        <f>'Empleo Censo'!G169-'Empleo Censo'!F169</f>
        <v/>
      </c>
      <c r="D169" s="14">
        <f>'Empleo Censo'!F169</f>
        <v/>
      </c>
      <c r="E169" s="14">
        <f>'Empleo Censo'!H169</f>
        <v/>
      </c>
      <c r="F169" s="14">
        <f>'Empleo Censo'!I169</f>
        <v/>
      </c>
      <c r="G169" s="14">
        <f>'Empleo Censo'!J169+'Empleo Censo'!K169</f>
        <v/>
      </c>
      <c r="H169" s="14">
        <f>'Empleo Censo'!L169</f>
        <v/>
      </c>
      <c r="I169" s="14">
        <f>'Empleo Censo'!M169</f>
        <v/>
      </c>
      <c r="J169" s="14">
        <f>SUM('Empleo Censo'!N169:AA169)</f>
        <v/>
      </c>
      <c r="K169" s="14">
        <f>SUM(C169:J169)</f>
        <v/>
      </c>
      <c r="L169" s="15">
        <f>SUMPRODUCT(C169:J169,Factores!$B$3:$I$3)</f>
        <v/>
      </c>
      <c r="M169" s="16">
        <f>'Empleo Censo'!E169</f>
        <v/>
      </c>
      <c r="N169" s="17">
        <f>IF(M169&gt;0,L169,Factores!$B$7)</f>
        <v/>
      </c>
      <c r="O169">
        <f>IF(M169&gt;0,"OK","sin PEA -&gt; peor")</f>
        <v/>
      </c>
    </row>
    <row r="170">
      <c r="A170" t="inlineStr">
        <is>
          <t>120214</t>
        </is>
      </c>
      <c r="B170" t="inlineStr">
        <is>
          <t>SAN JOSE DE QUERO</t>
        </is>
      </c>
      <c r="C170" s="14">
        <f>'Empleo Censo'!G170-'Empleo Censo'!F170</f>
        <v/>
      </c>
      <c r="D170" s="14">
        <f>'Empleo Censo'!F170</f>
        <v/>
      </c>
      <c r="E170" s="14">
        <f>'Empleo Censo'!H170</f>
        <v/>
      </c>
      <c r="F170" s="14">
        <f>'Empleo Censo'!I170</f>
        <v/>
      </c>
      <c r="G170" s="14">
        <f>'Empleo Censo'!J170+'Empleo Censo'!K170</f>
        <v/>
      </c>
      <c r="H170" s="14">
        <f>'Empleo Censo'!L170</f>
        <v/>
      </c>
      <c r="I170" s="14">
        <f>'Empleo Censo'!M170</f>
        <v/>
      </c>
      <c r="J170" s="14">
        <f>SUM('Empleo Censo'!N170:AA170)</f>
        <v/>
      </c>
      <c r="K170" s="14">
        <f>SUM(C170:J170)</f>
        <v/>
      </c>
      <c r="L170" s="15">
        <f>SUMPRODUCT(C170:J170,Factores!$B$3:$I$3)</f>
        <v/>
      </c>
      <c r="M170" s="16">
        <f>'Empleo Censo'!E170</f>
        <v/>
      </c>
      <c r="N170" s="17">
        <f>IF(M170&gt;0,L170,Factores!$B$7)</f>
        <v/>
      </c>
      <c r="O170">
        <f>IF(M170&gt;0,"OK","sin PEA -&gt; peor")</f>
        <v/>
      </c>
    </row>
    <row r="171">
      <c r="A171" t="inlineStr">
        <is>
          <t>120215</t>
        </is>
      </c>
      <c r="B171" t="inlineStr">
        <is>
          <t>SANTA ROSA DE OCOPA</t>
        </is>
      </c>
      <c r="C171" s="14">
        <f>'Empleo Censo'!G171-'Empleo Censo'!F171</f>
        <v/>
      </c>
      <c r="D171" s="14">
        <f>'Empleo Censo'!F171</f>
        <v/>
      </c>
      <c r="E171" s="14">
        <f>'Empleo Censo'!H171</f>
        <v/>
      </c>
      <c r="F171" s="14">
        <f>'Empleo Censo'!I171</f>
        <v/>
      </c>
      <c r="G171" s="14">
        <f>'Empleo Censo'!J171+'Empleo Censo'!K171</f>
        <v/>
      </c>
      <c r="H171" s="14">
        <f>'Empleo Censo'!L171</f>
        <v/>
      </c>
      <c r="I171" s="14">
        <f>'Empleo Censo'!M171</f>
        <v/>
      </c>
      <c r="J171" s="14">
        <f>SUM('Empleo Censo'!N171:AA171)</f>
        <v/>
      </c>
      <c r="K171" s="14">
        <f>SUM(C171:J171)</f>
        <v/>
      </c>
      <c r="L171" s="15">
        <f>SUMPRODUCT(C171:J171,Factores!$B$3:$I$3)</f>
        <v/>
      </c>
      <c r="M171" s="16">
        <f>'Empleo Censo'!E171</f>
        <v/>
      </c>
      <c r="N171" s="17">
        <f>IF(M171&gt;0,L171,Factores!$B$7)</f>
        <v/>
      </c>
      <c r="O171">
        <f>IF(M171&gt;0,"OK","sin PEA -&gt; peor")</f>
        <v/>
      </c>
    </row>
    <row r="172">
      <c r="A172" t="inlineStr">
        <is>
          <t>120301</t>
        </is>
      </c>
      <c r="B172" t="inlineStr">
        <is>
          <t>CHANCHAMAYO</t>
        </is>
      </c>
      <c r="C172" s="14">
        <f>'Empleo Censo'!G172-'Empleo Censo'!F172</f>
        <v/>
      </c>
      <c r="D172" s="14">
        <f>'Empleo Censo'!F172</f>
        <v/>
      </c>
      <c r="E172" s="14">
        <f>'Empleo Censo'!H172</f>
        <v/>
      </c>
      <c r="F172" s="14">
        <f>'Empleo Censo'!I172</f>
        <v/>
      </c>
      <c r="G172" s="14">
        <f>'Empleo Censo'!J172+'Empleo Censo'!K172</f>
        <v/>
      </c>
      <c r="H172" s="14">
        <f>'Empleo Censo'!L172</f>
        <v/>
      </c>
      <c r="I172" s="14">
        <f>'Empleo Censo'!M172</f>
        <v/>
      </c>
      <c r="J172" s="14">
        <f>SUM('Empleo Censo'!N172:AA172)</f>
        <v/>
      </c>
      <c r="K172" s="14">
        <f>SUM(C172:J172)</f>
        <v/>
      </c>
      <c r="L172" s="15">
        <f>SUMPRODUCT(C172:J172,Factores!$B$3:$I$3)</f>
        <v/>
      </c>
      <c r="M172" s="16">
        <f>'Empleo Censo'!E172</f>
        <v/>
      </c>
      <c r="N172" s="17">
        <f>IF(M172&gt;0,L172,Factores!$B$7)</f>
        <v/>
      </c>
      <c r="O172">
        <f>IF(M172&gt;0,"OK","sin PEA -&gt; peor")</f>
        <v/>
      </c>
    </row>
    <row r="173">
      <c r="A173" t="inlineStr">
        <is>
          <t>120302</t>
        </is>
      </c>
      <c r="B173" t="inlineStr">
        <is>
          <t>PERENE</t>
        </is>
      </c>
      <c r="C173" s="14">
        <f>'Empleo Censo'!G173-'Empleo Censo'!F173</f>
        <v/>
      </c>
      <c r="D173" s="14">
        <f>'Empleo Censo'!F173</f>
        <v/>
      </c>
      <c r="E173" s="14">
        <f>'Empleo Censo'!H173</f>
        <v/>
      </c>
      <c r="F173" s="14">
        <f>'Empleo Censo'!I173</f>
        <v/>
      </c>
      <c r="G173" s="14">
        <f>'Empleo Censo'!J173+'Empleo Censo'!K173</f>
        <v/>
      </c>
      <c r="H173" s="14">
        <f>'Empleo Censo'!L173</f>
        <v/>
      </c>
      <c r="I173" s="14">
        <f>'Empleo Censo'!M173</f>
        <v/>
      </c>
      <c r="J173" s="14">
        <f>SUM('Empleo Censo'!N173:AA173)</f>
        <v/>
      </c>
      <c r="K173" s="14">
        <f>SUM(C173:J173)</f>
        <v/>
      </c>
      <c r="L173" s="15">
        <f>SUMPRODUCT(C173:J173,Factores!$B$3:$I$3)</f>
        <v/>
      </c>
      <c r="M173" s="16">
        <f>'Empleo Censo'!E173</f>
        <v/>
      </c>
      <c r="N173" s="17">
        <f>IF(M173&gt;0,L173,Factores!$B$7)</f>
        <v/>
      </c>
      <c r="O173">
        <f>IF(M173&gt;0,"OK","sin PEA -&gt; peor")</f>
        <v/>
      </c>
    </row>
    <row r="174">
      <c r="A174" t="inlineStr">
        <is>
          <t>120303</t>
        </is>
      </c>
      <c r="B174" t="inlineStr">
        <is>
          <t>PICHANAQUI</t>
        </is>
      </c>
      <c r="C174" s="14">
        <f>'Empleo Censo'!G174-'Empleo Censo'!F174</f>
        <v/>
      </c>
      <c r="D174" s="14">
        <f>'Empleo Censo'!F174</f>
        <v/>
      </c>
      <c r="E174" s="14">
        <f>'Empleo Censo'!H174</f>
        <v/>
      </c>
      <c r="F174" s="14">
        <f>'Empleo Censo'!I174</f>
        <v/>
      </c>
      <c r="G174" s="14">
        <f>'Empleo Censo'!J174+'Empleo Censo'!K174</f>
        <v/>
      </c>
      <c r="H174" s="14">
        <f>'Empleo Censo'!L174</f>
        <v/>
      </c>
      <c r="I174" s="14">
        <f>'Empleo Censo'!M174</f>
        <v/>
      </c>
      <c r="J174" s="14">
        <f>SUM('Empleo Censo'!N174:AA174)</f>
        <v/>
      </c>
      <c r="K174" s="14">
        <f>SUM(C174:J174)</f>
        <v/>
      </c>
      <c r="L174" s="15">
        <f>SUMPRODUCT(C174:J174,Factores!$B$3:$I$3)</f>
        <v/>
      </c>
      <c r="M174" s="16">
        <f>'Empleo Censo'!E174</f>
        <v/>
      </c>
      <c r="N174" s="17">
        <f>IF(M174&gt;0,L174,Factores!$B$7)</f>
        <v/>
      </c>
      <c r="O174">
        <f>IF(M174&gt;0,"OK","sin PEA -&gt; peor")</f>
        <v/>
      </c>
    </row>
    <row r="175">
      <c r="A175" t="inlineStr">
        <is>
          <t>120304</t>
        </is>
      </c>
      <c r="B175" t="inlineStr">
        <is>
          <t>SAN LUIS DE SHUARO</t>
        </is>
      </c>
      <c r="C175" s="14">
        <f>'Empleo Censo'!G175-'Empleo Censo'!F175</f>
        <v/>
      </c>
      <c r="D175" s="14">
        <f>'Empleo Censo'!F175</f>
        <v/>
      </c>
      <c r="E175" s="14">
        <f>'Empleo Censo'!H175</f>
        <v/>
      </c>
      <c r="F175" s="14">
        <f>'Empleo Censo'!I175</f>
        <v/>
      </c>
      <c r="G175" s="14">
        <f>'Empleo Censo'!J175+'Empleo Censo'!K175</f>
        <v/>
      </c>
      <c r="H175" s="14">
        <f>'Empleo Censo'!L175</f>
        <v/>
      </c>
      <c r="I175" s="14">
        <f>'Empleo Censo'!M175</f>
        <v/>
      </c>
      <c r="J175" s="14">
        <f>SUM('Empleo Censo'!N175:AA175)</f>
        <v/>
      </c>
      <c r="K175" s="14">
        <f>SUM(C175:J175)</f>
        <v/>
      </c>
      <c r="L175" s="15">
        <f>SUMPRODUCT(C175:J175,Factores!$B$3:$I$3)</f>
        <v/>
      </c>
      <c r="M175" s="16">
        <f>'Empleo Censo'!E175</f>
        <v/>
      </c>
      <c r="N175" s="17">
        <f>IF(M175&gt;0,L175,Factores!$B$7)</f>
        <v/>
      </c>
      <c r="O175">
        <f>IF(M175&gt;0,"OK","sin PEA -&gt; peor")</f>
        <v/>
      </c>
    </row>
    <row r="176">
      <c r="A176" t="inlineStr">
        <is>
          <t>120305</t>
        </is>
      </c>
      <c r="B176" t="inlineStr">
        <is>
          <t>SAN RAMON</t>
        </is>
      </c>
      <c r="C176" s="14">
        <f>'Empleo Censo'!G176-'Empleo Censo'!F176</f>
        <v/>
      </c>
      <c r="D176" s="14">
        <f>'Empleo Censo'!F176</f>
        <v/>
      </c>
      <c r="E176" s="14">
        <f>'Empleo Censo'!H176</f>
        <v/>
      </c>
      <c r="F176" s="14">
        <f>'Empleo Censo'!I176</f>
        <v/>
      </c>
      <c r="G176" s="14">
        <f>'Empleo Censo'!J176+'Empleo Censo'!K176</f>
        <v/>
      </c>
      <c r="H176" s="14">
        <f>'Empleo Censo'!L176</f>
        <v/>
      </c>
      <c r="I176" s="14">
        <f>'Empleo Censo'!M176</f>
        <v/>
      </c>
      <c r="J176" s="14">
        <f>SUM('Empleo Censo'!N176:AA176)</f>
        <v/>
      </c>
      <c r="K176" s="14">
        <f>SUM(C176:J176)</f>
        <v/>
      </c>
      <c r="L176" s="15">
        <f>SUMPRODUCT(C176:J176,Factores!$B$3:$I$3)</f>
        <v/>
      </c>
      <c r="M176" s="16">
        <f>'Empleo Censo'!E176</f>
        <v/>
      </c>
      <c r="N176" s="17">
        <f>IF(M176&gt;0,L176,Factores!$B$7)</f>
        <v/>
      </c>
      <c r="O176">
        <f>IF(M176&gt;0,"OK","sin PEA -&gt; peor")</f>
        <v/>
      </c>
    </row>
    <row r="177">
      <c r="A177" t="inlineStr">
        <is>
          <t>120306</t>
        </is>
      </c>
      <c r="B177" t="inlineStr">
        <is>
          <t>VITOC</t>
        </is>
      </c>
      <c r="C177" s="14">
        <f>'Empleo Censo'!G177-'Empleo Censo'!F177</f>
        <v/>
      </c>
      <c r="D177" s="14">
        <f>'Empleo Censo'!F177</f>
        <v/>
      </c>
      <c r="E177" s="14">
        <f>'Empleo Censo'!H177</f>
        <v/>
      </c>
      <c r="F177" s="14">
        <f>'Empleo Censo'!I177</f>
        <v/>
      </c>
      <c r="G177" s="14">
        <f>'Empleo Censo'!J177+'Empleo Censo'!K177</f>
        <v/>
      </c>
      <c r="H177" s="14">
        <f>'Empleo Censo'!L177</f>
        <v/>
      </c>
      <c r="I177" s="14">
        <f>'Empleo Censo'!M177</f>
        <v/>
      </c>
      <c r="J177" s="14">
        <f>SUM('Empleo Censo'!N177:AA177)</f>
        <v/>
      </c>
      <c r="K177" s="14">
        <f>SUM(C177:J177)</f>
        <v/>
      </c>
      <c r="L177" s="15">
        <f>SUMPRODUCT(C177:J177,Factores!$B$3:$I$3)</f>
        <v/>
      </c>
      <c r="M177" s="16">
        <f>'Empleo Censo'!E177</f>
        <v/>
      </c>
      <c r="N177" s="17">
        <f>IF(M177&gt;0,L177,Factores!$B$7)</f>
        <v/>
      </c>
      <c r="O177">
        <f>IF(M177&gt;0,"OK","sin PEA -&gt; peor")</f>
        <v/>
      </c>
    </row>
    <row r="178">
      <c r="A178" t="inlineStr">
        <is>
          <t>120401</t>
        </is>
      </c>
      <c r="B178" t="inlineStr">
        <is>
          <t>JAUJA</t>
        </is>
      </c>
      <c r="C178" s="14">
        <f>'Empleo Censo'!G178-'Empleo Censo'!F178</f>
        <v/>
      </c>
      <c r="D178" s="14">
        <f>'Empleo Censo'!F178</f>
        <v/>
      </c>
      <c r="E178" s="14">
        <f>'Empleo Censo'!H178</f>
        <v/>
      </c>
      <c r="F178" s="14">
        <f>'Empleo Censo'!I178</f>
        <v/>
      </c>
      <c r="G178" s="14">
        <f>'Empleo Censo'!J178+'Empleo Censo'!K178</f>
        <v/>
      </c>
      <c r="H178" s="14">
        <f>'Empleo Censo'!L178</f>
        <v/>
      </c>
      <c r="I178" s="14">
        <f>'Empleo Censo'!M178</f>
        <v/>
      </c>
      <c r="J178" s="14">
        <f>SUM('Empleo Censo'!N178:AA178)</f>
        <v/>
      </c>
      <c r="K178" s="14">
        <f>SUM(C178:J178)</f>
        <v/>
      </c>
      <c r="L178" s="15">
        <f>SUMPRODUCT(C178:J178,Factores!$B$3:$I$3)</f>
        <v/>
      </c>
      <c r="M178" s="16">
        <f>'Empleo Censo'!E178</f>
        <v/>
      </c>
      <c r="N178" s="17">
        <f>IF(M178&gt;0,L178,Factores!$B$7)</f>
        <v/>
      </c>
      <c r="O178">
        <f>IF(M178&gt;0,"OK","sin PEA -&gt; peor")</f>
        <v/>
      </c>
    </row>
    <row r="179">
      <c r="A179" t="inlineStr">
        <is>
          <t>120402</t>
        </is>
      </c>
      <c r="B179" t="inlineStr">
        <is>
          <t>ACOLLA</t>
        </is>
      </c>
      <c r="C179" s="14">
        <f>'Empleo Censo'!G179-'Empleo Censo'!F179</f>
        <v/>
      </c>
      <c r="D179" s="14">
        <f>'Empleo Censo'!F179</f>
        <v/>
      </c>
      <c r="E179" s="14">
        <f>'Empleo Censo'!H179</f>
        <v/>
      </c>
      <c r="F179" s="14">
        <f>'Empleo Censo'!I179</f>
        <v/>
      </c>
      <c r="G179" s="14">
        <f>'Empleo Censo'!J179+'Empleo Censo'!K179</f>
        <v/>
      </c>
      <c r="H179" s="14">
        <f>'Empleo Censo'!L179</f>
        <v/>
      </c>
      <c r="I179" s="14">
        <f>'Empleo Censo'!M179</f>
        <v/>
      </c>
      <c r="J179" s="14">
        <f>SUM('Empleo Censo'!N179:AA179)</f>
        <v/>
      </c>
      <c r="K179" s="14">
        <f>SUM(C179:J179)</f>
        <v/>
      </c>
      <c r="L179" s="15">
        <f>SUMPRODUCT(C179:J179,Factores!$B$3:$I$3)</f>
        <v/>
      </c>
      <c r="M179" s="16">
        <f>'Empleo Censo'!E179</f>
        <v/>
      </c>
      <c r="N179" s="17">
        <f>IF(M179&gt;0,L179,Factores!$B$7)</f>
        <v/>
      </c>
      <c r="O179">
        <f>IF(M179&gt;0,"OK","sin PEA -&gt; peor")</f>
        <v/>
      </c>
    </row>
    <row r="180">
      <c r="A180" t="inlineStr">
        <is>
          <t>120403</t>
        </is>
      </c>
      <c r="B180" t="inlineStr">
        <is>
          <t>APATA</t>
        </is>
      </c>
      <c r="C180" s="14">
        <f>'Empleo Censo'!G180-'Empleo Censo'!F180</f>
        <v/>
      </c>
      <c r="D180" s="14">
        <f>'Empleo Censo'!F180</f>
        <v/>
      </c>
      <c r="E180" s="14">
        <f>'Empleo Censo'!H180</f>
        <v/>
      </c>
      <c r="F180" s="14">
        <f>'Empleo Censo'!I180</f>
        <v/>
      </c>
      <c r="G180" s="14">
        <f>'Empleo Censo'!J180+'Empleo Censo'!K180</f>
        <v/>
      </c>
      <c r="H180" s="14">
        <f>'Empleo Censo'!L180</f>
        <v/>
      </c>
      <c r="I180" s="14">
        <f>'Empleo Censo'!M180</f>
        <v/>
      </c>
      <c r="J180" s="14">
        <f>SUM('Empleo Censo'!N180:AA180)</f>
        <v/>
      </c>
      <c r="K180" s="14">
        <f>SUM(C180:J180)</f>
        <v/>
      </c>
      <c r="L180" s="15">
        <f>SUMPRODUCT(C180:J180,Factores!$B$3:$I$3)</f>
        <v/>
      </c>
      <c r="M180" s="16">
        <f>'Empleo Censo'!E180</f>
        <v/>
      </c>
      <c r="N180" s="17">
        <f>IF(M180&gt;0,L180,Factores!$B$7)</f>
        <v/>
      </c>
      <c r="O180">
        <f>IF(M180&gt;0,"OK","sin PEA -&gt; peor")</f>
        <v/>
      </c>
    </row>
    <row r="181">
      <c r="A181" t="inlineStr">
        <is>
          <t>120404</t>
        </is>
      </c>
      <c r="B181" t="inlineStr">
        <is>
          <t>ATAURA</t>
        </is>
      </c>
      <c r="C181" s="14">
        <f>'Empleo Censo'!G181-'Empleo Censo'!F181</f>
        <v/>
      </c>
      <c r="D181" s="14">
        <f>'Empleo Censo'!F181</f>
        <v/>
      </c>
      <c r="E181" s="14">
        <f>'Empleo Censo'!H181</f>
        <v/>
      </c>
      <c r="F181" s="14">
        <f>'Empleo Censo'!I181</f>
        <v/>
      </c>
      <c r="G181" s="14">
        <f>'Empleo Censo'!J181+'Empleo Censo'!K181</f>
        <v/>
      </c>
      <c r="H181" s="14">
        <f>'Empleo Censo'!L181</f>
        <v/>
      </c>
      <c r="I181" s="14">
        <f>'Empleo Censo'!M181</f>
        <v/>
      </c>
      <c r="J181" s="14">
        <f>SUM('Empleo Censo'!N181:AA181)</f>
        <v/>
      </c>
      <c r="K181" s="14">
        <f>SUM(C181:J181)</f>
        <v/>
      </c>
      <c r="L181" s="15">
        <f>SUMPRODUCT(C181:J181,Factores!$B$3:$I$3)</f>
        <v/>
      </c>
      <c r="M181" s="16">
        <f>'Empleo Censo'!E181</f>
        <v/>
      </c>
      <c r="N181" s="17">
        <f>IF(M181&gt;0,L181,Factores!$B$7)</f>
        <v/>
      </c>
      <c r="O181">
        <f>IF(M181&gt;0,"OK","sin PEA -&gt; peor")</f>
        <v/>
      </c>
    </row>
    <row r="182">
      <c r="A182" t="inlineStr">
        <is>
          <t>120405</t>
        </is>
      </c>
      <c r="B182" t="inlineStr">
        <is>
          <t>CANCHAYLLO</t>
        </is>
      </c>
      <c r="C182" s="14">
        <f>'Empleo Censo'!G182-'Empleo Censo'!F182</f>
        <v/>
      </c>
      <c r="D182" s="14">
        <f>'Empleo Censo'!F182</f>
        <v/>
      </c>
      <c r="E182" s="14">
        <f>'Empleo Censo'!H182</f>
        <v/>
      </c>
      <c r="F182" s="14">
        <f>'Empleo Censo'!I182</f>
        <v/>
      </c>
      <c r="G182" s="14">
        <f>'Empleo Censo'!J182+'Empleo Censo'!K182</f>
        <v/>
      </c>
      <c r="H182" s="14">
        <f>'Empleo Censo'!L182</f>
        <v/>
      </c>
      <c r="I182" s="14">
        <f>'Empleo Censo'!M182</f>
        <v/>
      </c>
      <c r="J182" s="14">
        <f>SUM('Empleo Censo'!N182:AA182)</f>
        <v/>
      </c>
      <c r="K182" s="14">
        <f>SUM(C182:J182)</f>
        <v/>
      </c>
      <c r="L182" s="15">
        <f>SUMPRODUCT(C182:J182,Factores!$B$3:$I$3)</f>
        <v/>
      </c>
      <c r="M182" s="16">
        <f>'Empleo Censo'!E182</f>
        <v/>
      </c>
      <c r="N182" s="17">
        <f>IF(M182&gt;0,L182,Factores!$B$7)</f>
        <v/>
      </c>
      <c r="O182">
        <f>IF(M182&gt;0,"OK","sin PEA -&gt; peor")</f>
        <v/>
      </c>
    </row>
    <row r="183">
      <c r="A183" t="inlineStr">
        <is>
          <t>120406</t>
        </is>
      </c>
      <c r="B183" t="inlineStr">
        <is>
          <t>CURICACA</t>
        </is>
      </c>
      <c r="C183" s="14">
        <f>'Empleo Censo'!G183-'Empleo Censo'!F183</f>
        <v/>
      </c>
      <c r="D183" s="14">
        <f>'Empleo Censo'!F183</f>
        <v/>
      </c>
      <c r="E183" s="14">
        <f>'Empleo Censo'!H183</f>
        <v/>
      </c>
      <c r="F183" s="14">
        <f>'Empleo Censo'!I183</f>
        <v/>
      </c>
      <c r="G183" s="14">
        <f>'Empleo Censo'!J183+'Empleo Censo'!K183</f>
        <v/>
      </c>
      <c r="H183" s="14">
        <f>'Empleo Censo'!L183</f>
        <v/>
      </c>
      <c r="I183" s="14">
        <f>'Empleo Censo'!M183</f>
        <v/>
      </c>
      <c r="J183" s="14">
        <f>SUM('Empleo Censo'!N183:AA183)</f>
        <v/>
      </c>
      <c r="K183" s="14">
        <f>SUM(C183:J183)</f>
        <v/>
      </c>
      <c r="L183" s="15">
        <f>SUMPRODUCT(C183:J183,Factores!$B$3:$I$3)</f>
        <v/>
      </c>
      <c r="M183" s="16">
        <f>'Empleo Censo'!E183</f>
        <v/>
      </c>
      <c r="N183" s="17">
        <f>IF(M183&gt;0,L183,Factores!$B$7)</f>
        <v/>
      </c>
      <c r="O183">
        <f>IF(M183&gt;0,"OK","sin PEA -&gt; peor")</f>
        <v/>
      </c>
    </row>
    <row r="184">
      <c r="A184" t="inlineStr">
        <is>
          <t>120407</t>
        </is>
      </c>
      <c r="B184" t="inlineStr">
        <is>
          <t>EL MANTARO</t>
        </is>
      </c>
      <c r="C184" s="14">
        <f>'Empleo Censo'!G184-'Empleo Censo'!F184</f>
        <v/>
      </c>
      <c r="D184" s="14">
        <f>'Empleo Censo'!F184</f>
        <v/>
      </c>
      <c r="E184" s="14">
        <f>'Empleo Censo'!H184</f>
        <v/>
      </c>
      <c r="F184" s="14">
        <f>'Empleo Censo'!I184</f>
        <v/>
      </c>
      <c r="G184" s="14">
        <f>'Empleo Censo'!J184+'Empleo Censo'!K184</f>
        <v/>
      </c>
      <c r="H184" s="14">
        <f>'Empleo Censo'!L184</f>
        <v/>
      </c>
      <c r="I184" s="14">
        <f>'Empleo Censo'!M184</f>
        <v/>
      </c>
      <c r="J184" s="14">
        <f>SUM('Empleo Censo'!N184:AA184)</f>
        <v/>
      </c>
      <c r="K184" s="14">
        <f>SUM(C184:J184)</f>
        <v/>
      </c>
      <c r="L184" s="15">
        <f>SUMPRODUCT(C184:J184,Factores!$B$3:$I$3)</f>
        <v/>
      </c>
      <c r="M184" s="16">
        <f>'Empleo Censo'!E184</f>
        <v/>
      </c>
      <c r="N184" s="17">
        <f>IF(M184&gt;0,L184,Factores!$B$7)</f>
        <v/>
      </c>
      <c r="O184">
        <f>IF(M184&gt;0,"OK","sin PEA -&gt; peor")</f>
        <v/>
      </c>
    </row>
    <row r="185">
      <c r="A185" t="inlineStr">
        <is>
          <t>120408</t>
        </is>
      </c>
      <c r="B185" t="inlineStr">
        <is>
          <t>HUAMALI</t>
        </is>
      </c>
      <c r="C185" s="14">
        <f>'Empleo Censo'!G185-'Empleo Censo'!F185</f>
        <v/>
      </c>
      <c r="D185" s="14">
        <f>'Empleo Censo'!F185</f>
        <v/>
      </c>
      <c r="E185" s="14">
        <f>'Empleo Censo'!H185</f>
        <v/>
      </c>
      <c r="F185" s="14">
        <f>'Empleo Censo'!I185</f>
        <v/>
      </c>
      <c r="G185" s="14">
        <f>'Empleo Censo'!J185+'Empleo Censo'!K185</f>
        <v/>
      </c>
      <c r="H185" s="14">
        <f>'Empleo Censo'!L185</f>
        <v/>
      </c>
      <c r="I185" s="14">
        <f>'Empleo Censo'!M185</f>
        <v/>
      </c>
      <c r="J185" s="14">
        <f>SUM('Empleo Censo'!N185:AA185)</f>
        <v/>
      </c>
      <c r="K185" s="14">
        <f>SUM(C185:J185)</f>
        <v/>
      </c>
      <c r="L185" s="15">
        <f>SUMPRODUCT(C185:J185,Factores!$B$3:$I$3)</f>
        <v/>
      </c>
      <c r="M185" s="16">
        <f>'Empleo Censo'!E185</f>
        <v/>
      </c>
      <c r="N185" s="17">
        <f>IF(M185&gt;0,L185,Factores!$B$7)</f>
        <v/>
      </c>
      <c r="O185">
        <f>IF(M185&gt;0,"OK","sin PEA -&gt; peor")</f>
        <v/>
      </c>
    </row>
    <row r="186">
      <c r="A186" t="inlineStr">
        <is>
          <t>120409</t>
        </is>
      </c>
      <c r="B186" t="inlineStr">
        <is>
          <t>HUARIPAMPA</t>
        </is>
      </c>
      <c r="C186" s="14">
        <f>'Empleo Censo'!G186-'Empleo Censo'!F186</f>
        <v/>
      </c>
      <c r="D186" s="14">
        <f>'Empleo Censo'!F186</f>
        <v/>
      </c>
      <c r="E186" s="14">
        <f>'Empleo Censo'!H186</f>
        <v/>
      </c>
      <c r="F186" s="14">
        <f>'Empleo Censo'!I186</f>
        <v/>
      </c>
      <c r="G186" s="14">
        <f>'Empleo Censo'!J186+'Empleo Censo'!K186</f>
        <v/>
      </c>
      <c r="H186" s="14">
        <f>'Empleo Censo'!L186</f>
        <v/>
      </c>
      <c r="I186" s="14">
        <f>'Empleo Censo'!M186</f>
        <v/>
      </c>
      <c r="J186" s="14">
        <f>SUM('Empleo Censo'!N186:AA186)</f>
        <v/>
      </c>
      <c r="K186" s="14">
        <f>SUM(C186:J186)</f>
        <v/>
      </c>
      <c r="L186" s="15">
        <f>SUMPRODUCT(C186:J186,Factores!$B$3:$I$3)</f>
        <v/>
      </c>
      <c r="M186" s="16">
        <f>'Empleo Censo'!E186</f>
        <v/>
      </c>
      <c r="N186" s="17">
        <f>IF(M186&gt;0,L186,Factores!$B$7)</f>
        <v/>
      </c>
      <c r="O186">
        <f>IF(M186&gt;0,"OK","sin PEA -&gt; peor")</f>
        <v/>
      </c>
    </row>
    <row r="187">
      <c r="A187" t="inlineStr">
        <is>
          <t>120410</t>
        </is>
      </c>
      <c r="B187" t="inlineStr">
        <is>
          <t>HUERTAS</t>
        </is>
      </c>
      <c r="C187" s="14">
        <f>'Empleo Censo'!G187-'Empleo Censo'!F187</f>
        <v/>
      </c>
      <c r="D187" s="14">
        <f>'Empleo Censo'!F187</f>
        <v/>
      </c>
      <c r="E187" s="14">
        <f>'Empleo Censo'!H187</f>
        <v/>
      </c>
      <c r="F187" s="14">
        <f>'Empleo Censo'!I187</f>
        <v/>
      </c>
      <c r="G187" s="14">
        <f>'Empleo Censo'!J187+'Empleo Censo'!K187</f>
        <v/>
      </c>
      <c r="H187" s="14">
        <f>'Empleo Censo'!L187</f>
        <v/>
      </c>
      <c r="I187" s="14">
        <f>'Empleo Censo'!M187</f>
        <v/>
      </c>
      <c r="J187" s="14">
        <f>SUM('Empleo Censo'!N187:AA187)</f>
        <v/>
      </c>
      <c r="K187" s="14">
        <f>SUM(C187:J187)</f>
        <v/>
      </c>
      <c r="L187" s="15">
        <f>SUMPRODUCT(C187:J187,Factores!$B$3:$I$3)</f>
        <v/>
      </c>
      <c r="M187" s="16">
        <f>'Empleo Censo'!E187</f>
        <v/>
      </c>
      <c r="N187" s="17">
        <f>IF(M187&gt;0,L187,Factores!$B$7)</f>
        <v/>
      </c>
      <c r="O187">
        <f>IF(M187&gt;0,"OK","sin PEA -&gt; peor")</f>
        <v/>
      </c>
    </row>
    <row r="188">
      <c r="A188" t="inlineStr">
        <is>
          <t>120411</t>
        </is>
      </c>
      <c r="B188" t="inlineStr">
        <is>
          <t>JANJAILLO</t>
        </is>
      </c>
      <c r="C188" s="14">
        <f>'Empleo Censo'!G188-'Empleo Censo'!F188</f>
        <v/>
      </c>
      <c r="D188" s="14">
        <f>'Empleo Censo'!F188</f>
        <v/>
      </c>
      <c r="E188" s="14">
        <f>'Empleo Censo'!H188</f>
        <v/>
      </c>
      <c r="F188" s="14">
        <f>'Empleo Censo'!I188</f>
        <v/>
      </c>
      <c r="G188" s="14">
        <f>'Empleo Censo'!J188+'Empleo Censo'!K188</f>
        <v/>
      </c>
      <c r="H188" s="14">
        <f>'Empleo Censo'!L188</f>
        <v/>
      </c>
      <c r="I188" s="14">
        <f>'Empleo Censo'!M188</f>
        <v/>
      </c>
      <c r="J188" s="14">
        <f>SUM('Empleo Censo'!N188:AA188)</f>
        <v/>
      </c>
      <c r="K188" s="14">
        <f>SUM(C188:J188)</f>
        <v/>
      </c>
      <c r="L188" s="15">
        <f>SUMPRODUCT(C188:J188,Factores!$B$3:$I$3)</f>
        <v/>
      </c>
      <c r="M188" s="16">
        <f>'Empleo Censo'!E188</f>
        <v/>
      </c>
      <c r="N188" s="17">
        <f>IF(M188&gt;0,L188,Factores!$B$7)</f>
        <v/>
      </c>
      <c r="O188">
        <f>IF(M188&gt;0,"OK","sin PEA -&gt; peor")</f>
        <v/>
      </c>
    </row>
    <row r="189">
      <c r="A189" t="inlineStr">
        <is>
          <t>120412</t>
        </is>
      </c>
      <c r="B189" t="inlineStr">
        <is>
          <t>JULCAN</t>
        </is>
      </c>
      <c r="C189" s="14">
        <f>'Empleo Censo'!G189-'Empleo Censo'!F189</f>
        <v/>
      </c>
      <c r="D189" s="14">
        <f>'Empleo Censo'!F189</f>
        <v/>
      </c>
      <c r="E189" s="14">
        <f>'Empleo Censo'!H189</f>
        <v/>
      </c>
      <c r="F189" s="14">
        <f>'Empleo Censo'!I189</f>
        <v/>
      </c>
      <c r="G189" s="14">
        <f>'Empleo Censo'!J189+'Empleo Censo'!K189</f>
        <v/>
      </c>
      <c r="H189" s="14">
        <f>'Empleo Censo'!L189</f>
        <v/>
      </c>
      <c r="I189" s="14">
        <f>'Empleo Censo'!M189</f>
        <v/>
      </c>
      <c r="J189" s="14">
        <f>SUM('Empleo Censo'!N189:AA189)</f>
        <v/>
      </c>
      <c r="K189" s="14">
        <f>SUM(C189:J189)</f>
        <v/>
      </c>
      <c r="L189" s="15">
        <f>SUMPRODUCT(C189:J189,Factores!$B$3:$I$3)</f>
        <v/>
      </c>
      <c r="M189" s="16">
        <f>'Empleo Censo'!E189</f>
        <v/>
      </c>
      <c r="N189" s="17">
        <f>IF(M189&gt;0,L189,Factores!$B$7)</f>
        <v/>
      </c>
      <c r="O189">
        <f>IF(M189&gt;0,"OK","sin PEA -&gt; peor")</f>
        <v/>
      </c>
    </row>
    <row r="190">
      <c r="A190" t="inlineStr">
        <is>
          <t>120413</t>
        </is>
      </c>
      <c r="B190" t="inlineStr">
        <is>
          <t>LEONOR ORDOÑEZ</t>
        </is>
      </c>
      <c r="C190" s="14">
        <f>'Empleo Censo'!G190-'Empleo Censo'!F190</f>
        <v/>
      </c>
      <c r="D190" s="14">
        <f>'Empleo Censo'!F190</f>
        <v/>
      </c>
      <c r="E190" s="14">
        <f>'Empleo Censo'!H190</f>
        <v/>
      </c>
      <c r="F190" s="14">
        <f>'Empleo Censo'!I190</f>
        <v/>
      </c>
      <c r="G190" s="14">
        <f>'Empleo Censo'!J190+'Empleo Censo'!K190</f>
        <v/>
      </c>
      <c r="H190" s="14">
        <f>'Empleo Censo'!L190</f>
        <v/>
      </c>
      <c r="I190" s="14">
        <f>'Empleo Censo'!M190</f>
        <v/>
      </c>
      <c r="J190" s="14">
        <f>SUM('Empleo Censo'!N190:AA190)</f>
        <v/>
      </c>
      <c r="K190" s="14">
        <f>SUM(C190:J190)</f>
        <v/>
      </c>
      <c r="L190" s="15">
        <f>SUMPRODUCT(C190:J190,Factores!$B$3:$I$3)</f>
        <v/>
      </c>
      <c r="M190" s="16">
        <f>'Empleo Censo'!E190</f>
        <v/>
      </c>
      <c r="N190" s="17">
        <f>IF(M190&gt;0,L190,Factores!$B$7)</f>
        <v/>
      </c>
      <c r="O190">
        <f>IF(M190&gt;0,"OK","sin PEA -&gt; peor")</f>
        <v/>
      </c>
    </row>
    <row r="191">
      <c r="A191" t="inlineStr">
        <is>
          <t>120414</t>
        </is>
      </c>
      <c r="B191" t="inlineStr">
        <is>
          <t>LLOCLLAPAMPA</t>
        </is>
      </c>
      <c r="C191" s="14">
        <f>'Empleo Censo'!G191-'Empleo Censo'!F191</f>
        <v/>
      </c>
      <c r="D191" s="14">
        <f>'Empleo Censo'!F191</f>
        <v/>
      </c>
      <c r="E191" s="14">
        <f>'Empleo Censo'!H191</f>
        <v/>
      </c>
      <c r="F191" s="14">
        <f>'Empleo Censo'!I191</f>
        <v/>
      </c>
      <c r="G191" s="14">
        <f>'Empleo Censo'!J191+'Empleo Censo'!K191</f>
        <v/>
      </c>
      <c r="H191" s="14">
        <f>'Empleo Censo'!L191</f>
        <v/>
      </c>
      <c r="I191" s="14">
        <f>'Empleo Censo'!M191</f>
        <v/>
      </c>
      <c r="J191" s="14">
        <f>SUM('Empleo Censo'!N191:AA191)</f>
        <v/>
      </c>
      <c r="K191" s="14">
        <f>SUM(C191:J191)</f>
        <v/>
      </c>
      <c r="L191" s="15">
        <f>SUMPRODUCT(C191:J191,Factores!$B$3:$I$3)</f>
        <v/>
      </c>
      <c r="M191" s="16">
        <f>'Empleo Censo'!E191</f>
        <v/>
      </c>
      <c r="N191" s="17">
        <f>IF(M191&gt;0,L191,Factores!$B$7)</f>
        <v/>
      </c>
      <c r="O191">
        <f>IF(M191&gt;0,"OK","sin PEA -&gt; peor")</f>
        <v/>
      </c>
    </row>
    <row r="192">
      <c r="A192" t="inlineStr">
        <is>
          <t>120415</t>
        </is>
      </c>
      <c r="B192" t="inlineStr">
        <is>
          <t>MARCO</t>
        </is>
      </c>
      <c r="C192" s="14">
        <f>'Empleo Censo'!G192-'Empleo Censo'!F192</f>
        <v/>
      </c>
      <c r="D192" s="14">
        <f>'Empleo Censo'!F192</f>
        <v/>
      </c>
      <c r="E192" s="14">
        <f>'Empleo Censo'!H192</f>
        <v/>
      </c>
      <c r="F192" s="14">
        <f>'Empleo Censo'!I192</f>
        <v/>
      </c>
      <c r="G192" s="14">
        <f>'Empleo Censo'!J192+'Empleo Censo'!K192</f>
        <v/>
      </c>
      <c r="H192" s="14">
        <f>'Empleo Censo'!L192</f>
        <v/>
      </c>
      <c r="I192" s="14">
        <f>'Empleo Censo'!M192</f>
        <v/>
      </c>
      <c r="J192" s="14">
        <f>SUM('Empleo Censo'!N192:AA192)</f>
        <v/>
      </c>
      <c r="K192" s="14">
        <f>SUM(C192:J192)</f>
        <v/>
      </c>
      <c r="L192" s="15">
        <f>SUMPRODUCT(C192:J192,Factores!$B$3:$I$3)</f>
        <v/>
      </c>
      <c r="M192" s="16">
        <f>'Empleo Censo'!E192</f>
        <v/>
      </c>
      <c r="N192" s="17">
        <f>IF(M192&gt;0,L192,Factores!$B$7)</f>
        <v/>
      </c>
      <c r="O192">
        <f>IF(M192&gt;0,"OK","sin PEA -&gt; peor")</f>
        <v/>
      </c>
    </row>
    <row r="193">
      <c r="A193" t="inlineStr">
        <is>
          <t>120416</t>
        </is>
      </c>
      <c r="B193" t="inlineStr">
        <is>
          <t>MASMA</t>
        </is>
      </c>
      <c r="C193" s="14">
        <f>'Empleo Censo'!G193-'Empleo Censo'!F193</f>
        <v/>
      </c>
      <c r="D193" s="14">
        <f>'Empleo Censo'!F193</f>
        <v/>
      </c>
      <c r="E193" s="14">
        <f>'Empleo Censo'!H193</f>
        <v/>
      </c>
      <c r="F193" s="14">
        <f>'Empleo Censo'!I193</f>
        <v/>
      </c>
      <c r="G193" s="14">
        <f>'Empleo Censo'!J193+'Empleo Censo'!K193</f>
        <v/>
      </c>
      <c r="H193" s="14">
        <f>'Empleo Censo'!L193</f>
        <v/>
      </c>
      <c r="I193" s="14">
        <f>'Empleo Censo'!M193</f>
        <v/>
      </c>
      <c r="J193" s="14">
        <f>SUM('Empleo Censo'!N193:AA193)</f>
        <v/>
      </c>
      <c r="K193" s="14">
        <f>SUM(C193:J193)</f>
        <v/>
      </c>
      <c r="L193" s="15">
        <f>SUMPRODUCT(C193:J193,Factores!$B$3:$I$3)</f>
        <v/>
      </c>
      <c r="M193" s="16">
        <f>'Empleo Censo'!E193</f>
        <v/>
      </c>
      <c r="N193" s="17">
        <f>IF(M193&gt;0,L193,Factores!$B$7)</f>
        <v/>
      </c>
      <c r="O193">
        <f>IF(M193&gt;0,"OK","sin PEA -&gt; peor")</f>
        <v/>
      </c>
    </row>
    <row r="194">
      <c r="A194" t="inlineStr">
        <is>
          <t>120417</t>
        </is>
      </c>
      <c r="B194" t="inlineStr">
        <is>
          <t>MASMA CHICCHE</t>
        </is>
      </c>
      <c r="C194" s="14">
        <f>'Empleo Censo'!G194-'Empleo Censo'!F194</f>
        <v/>
      </c>
      <c r="D194" s="14">
        <f>'Empleo Censo'!F194</f>
        <v/>
      </c>
      <c r="E194" s="14">
        <f>'Empleo Censo'!H194</f>
        <v/>
      </c>
      <c r="F194" s="14">
        <f>'Empleo Censo'!I194</f>
        <v/>
      </c>
      <c r="G194" s="14">
        <f>'Empleo Censo'!J194+'Empleo Censo'!K194</f>
        <v/>
      </c>
      <c r="H194" s="14">
        <f>'Empleo Censo'!L194</f>
        <v/>
      </c>
      <c r="I194" s="14">
        <f>'Empleo Censo'!M194</f>
        <v/>
      </c>
      <c r="J194" s="14">
        <f>SUM('Empleo Censo'!N194:AA194)</f>
        <v/>
      </c>
      <c r="K194" s="14">
        <f>SUM(C194:J194)</f>
        <v/>
      </c>
      <c r="L194" s="15">
        <f>SUMPRODUCT(C194:J194,Factores!$B$3:$I$3)</f>
        <v/>
      </c>
      <c r="M194" s="16">
        <f>'Empleo Censo'!E194</f>
        <v/>
      </c>
      <c r="N194" s="17">
        <f>IF(M194&gt;0,L194,Factores!$B$7)</f>
        <v/>
      </c>
      <c r="O194">
        <f>IF(M194&gt;0,"OK","sin PEA -&gt; peor")</f>
        <v/>
      </c>
    </row>
    <row r="195">
      <c r="A195" t="inlineStr">
        <is>
          <t>120418</t>
        </is>
      </c>
      <c r="B195" t="inlineStr">
        <is>
          <t>MOLINOS</t>
        </is>
      </c>
      <c r="C195" s="14">
        <f>'Empleo Censo'!G195-'Empleo Censo'!F195</f>
        <v/>
      </c>
      <c r="D195" s="14">
        <f>'Empleo Censo'!F195</f>
        <v/>
      </c>
      <c r="E195" s="14">
        <f>'Empleo Censo'!H195</f>
        <v/>
      </c>
      <c r="F195" s="14">
        <f>'Empleo Censo'!I195</f>
        <v/>
      </c>
      <c r="G195" s="14">
        <f>'Empleo Censo'!J195+'Empleo Censo'!K195</f>
        <v/>
      </c>
      <c r="H195" s="14">
        <f>'Empleo Censo'!L195</f>
        <v/>
      </c>
      <c r="I195" s="14">
        <f>'Empleo Censo'!M195</f>
        <v/>
      </c>
      <c r="J195" s="14">
        <f>SUM('Empleo Censo'!N195:AA195)</f>
        <v/>
      </c>
      <c r="K195" s="14">
        <f>SUM(C195:J195)</f>
        <v/>
      </c>
      <c r="L195" s="15">
        <f>SUMPRODUCT(C195:J195,Factores!$B$3:$I$3)</f>
        <v/>
      </c>
      <c r="M195" s="16">
        <f>'Empleo Censo'!E195</f>
        <v/>
      </c>
      <c r="N195" s="17">
        <f>IF(M195&gt;0,L195,Factores!$B$7)</f>
        <v/>
      </c>
      <c r="O195">
        <f>IF(M195&gt;0,"OK","sin PEA -&gt; peor")</f>
        <v/>
      </c>
    </row>
    <row r="196">
      <c r="A196" t="inlineStr">
        <is>
          <t>120419</t>
        </is>
      </c>
      <c r="B196" t="inlineStr">
        <is>
          <t>MONOBAMBA</t>
        </is>
      </c>
      <c r="C196" s="14">
        <f>'Empleo Censo'!G196-'Empleo Censo'!F196</f>
        <v/>
      </c>
      <c r="D196" s="14">
        <f>'Empleo Censo'!F196</f>
        <v/>
      </c>
      <c r="E196" s="14">
        <f>'Empleo Censo'!H196</f>
        <v/>
      </c>
      <c r="F196" s="14">
        <f>'Empleo Censo'!I196</f>
        <v/>
      </c>
      <c r="G196" s="14">
        <f>'Empleo Censo'!J196+'Empleo Censo'!K196</f>
        <v/>
      </c>
      <c r="H196" s="14">
        <f>'Empleo Censo'!L196</f>
        <v/>
      </c>
      <c r="I196" s="14">
        <f>'Empleo Censo'!M196</f>
        <v/>
      </c>
      <c r="J196" s="14">
        <f>SUM('Empleo Censo'!N196:AA196)</f>
        <v/>
      </c>
      <c r="K196" s="14">
        <f>SUM(C196:J196)</f>
        <v/>
      </c>
      <c r="L196" s="15">
        <f>SUMPRODUCT(C196:J196,Factores!$B$3:$I$3)</f>
        <v/>
      </c>
      <c r="M196" s="16">
        <f>'Empleo Censo'!E196</f>
        <v/>
      </c>
      <c r="N196" s="17">
        <f>IF(M196&gt;0,L196,Factores!$B$7)</f>
        <v/>
      </c>
      <c r="O196">
        <f>IF(M196&gt;0,"OK","sin PEA -&gt; peor")</f>
        <v/>
      </c>
    </row>
    <row r="197">
      <c r="A197" t="inlineStr">
        <is>
          <t>120420</t>
        </is>
      </c>
      <c r="B197" t="inlineStr">
        <is>
          <t>MUQUI</t>
        </is>
      </c>
      <c r="C197" s="14">
        <f>'Empleo Censo'!G197-'Empleo Censo'!F197</f>
        <v/>
      </c>
      <c r="D197" s="14">
        <f>'Empleo Censo'!F197</f>
        <v/>
      </c>
      <c r="E197" s="14">
        <f>'Empleo Censo'!H197</f>
        <v/>
      </c>
      <c r="F197" s="14">
        <f>'Empleo Censo'!I197</f>
        <v/>
      </c>
      <c r="G197" s="14">
        <f>'Empleo Censo'!J197+'Empleo Censo'!K197</f>
        <v/>
      </c>
      <c r="H197" s="14">
        <f>'Empleo Censo'!L197</f>
        <v/>
      </c>
      <c r="I197" s="14">
        <f>'Empleo Censo'!M197</f>
        <v/>
      </c>
      <c r="J197" s="14">
        <f>SUM('Empleo Censo'!N197:AA197)</f>
        <v/>
      </c>
      <c r="K197" s="14">
        <f>SUM(C197:J197)</f>
        <v/>
      </c>
      <c r="L197" s="15">
        <f>SUMPRODUCT(C197:J197,Factores!$B$3:$I$3)</f>
        <v/>
      </c>
      <c r="M197" s="16">
        <f>'Empleo Censo'!E197</f>
        <v/>
      </c>
      <c r="N197" s="17">
        <f>IF(M197&gt;0,L197,Factores!$B$7)</f>
        <v/>
      </c>
      <c r="O197">
        <f>IF(M197&gt;0,"OK","sin PEA -&gt; peor")</f>
        <v/>
      </c>
    </row>
    <row r="198">
      <c r="A198" t="inlineStr">
        <is>
          <t>120421</t>
        </is>
      </c>
      <c r="B198" t="inlineStr">
        <is>
          <t>MUQUIYAUYO</t>
        </is>
      </c>
      <c r="C198" s="14">
        <f>'Empleo Censo'!G198-'Empleo Censo'!F198</f>
        <v/>
      </c>
      <c r="D198" s="14">
        <f>'Empleo Censo'!F198</f>
        <v/>
      </c>
      <c r="E198" s="14">
        <f>'Empleo Censo'!H198</f>
        <v/>
      </c>
      <c r="F198" s="14">
        <f>'Empleo Censo'!I198</f>
        <v/>
      </c>
      <c r="G198" s="14">
        <f>'Empleo Censo'!J198+'Empleo Censo'!K198</f>
        <v/>
      </c>
      <c r="H198" s="14">
        <f>'Empleo Censo'!L198</f>
        <v/>
      </c>
      <c r="I198" s="14">
        <f>'Empleo Censo'!M198</f>
        <v/>
      </c>
      <c r="J198" s="14">
        <f>SUM('Empleo Censo'!N198:AA198)</f>
        <v/>
      </c>
      <c r="K198" s="14">
        <f>SUM(C198:J198)</f>
        <v/>
      </c>
      <c r="L198" s="15">
        <f>SUMPRODUCT(C198:J198,Factores!$B$3:$I$3)</f>
        <v/>
      </c>
      <c r="M198" s="16">
        <f>'Empleo Censo'!E198</f>
        <v/>
      </c>
      <c r="N198" s="17">
        <f>IF(M198&gt;0,L198,Factores!$B$7)</f>
        <v/>
      </c>
      <c r="O198">
        <f>IF(M198&gt;0,"OK","sin PEA -&gt; peor")</f>
        <v/>
      </c>
    </row>
    <row r="199">
      <c r="A199" t="inlineStr">
        <is>
          <t>120422</t>
        </is>
      </c>
      <c r="B199" t="inlineStr">
        <is>
          <t>PACA</t>
        </is>
      </c>
      <c r="C199" s="14">
        <f>'Empleo Censo'!G199-'Empleo Censo'!F199</f>
        <v/>
      </c>
      <c r="D199" s="14">
        <f>'Empleo Censo'!F199</f>
        <v/>
      </c>
      <c r="E199" s="14">
        <f>'Empleo Censo'!H199</f>
        <v/>
      </c>
      <c r="F199" s="14">
        <f>'Empleo Censo'!I199</f>
        <v/>
      </c>
      <c r="G199" s="14">
        <f>'Empleo Censo'!J199+'Empleo Censo'!K199</f>
        <v/>
      </c>
      <c r="H199" s="14">
        <f>'Empleo Censo'!L199</f>
        <v/>
      </c>
      <c r="I199" s="14">
        <f>'Empleo Censo'!M199</f>
        <v/>
      </c>
      <c r="J199" s="14">
        <f>SUM('Empleo Censo'!N199:AA199)</f>
        <v/>
      </c>
      <c r="K199" s="14">
        <f>SUM(C199:J199)</f>
        <v/>
      </c>
      <c r="L199" s="15">
        <f>SUMPRODUCT(C199:J199,Factores!$B$3:$I$3)</f>
        <v/>
      </c>
      <c r="M199" s="16">
        <f>'Empleo Censo'!E199</f>
        <v/>
      </c>
      <c r="N199" s="17">
        <f>IF(M199&gt;0,L199,Factores!$B$7)</f>
        <v/>
      </c>
      <c r="O199">
        <f>IF(M199&gt;0,"OK","sin PEA -&gt; peor")</f>
        <v/>
      </c>
    </row>
    <row r="200">
      <c r="A200" t="inlineStr">
        <is>
          <t>120423</t>
        </is>
      </c>
      <c r="B200" t="inlineStr">
        <is>
          <t>PACCHA</t>
        </is>
      </c>
      <c r="C200" s="14">
        <f>'Empleo Censo'!G200-'Empleo Censo'!F200</f>
        <v/>
      </c>
      <c r="D200" s="14">
        <f>'Empleo Censo'!F200</f>
        <v/>
      </c>
      <c r="E200" s="14">
        <f>'Empleo Censo'!H200</f>
        <v/>
      </c>
      <c r="F200" s="14">
        <f>'Empleo Censo'!I200</f>
        <v/>
      </c>
      <c r="G200" s="14">
        <f>'Empleo Censo'!J200+'Empleo Censo'!K200</f>
        <v/>
      </c>
      <c r="H200" s="14">
        <f>'Empleo Censo'!L200</f>
        <v/>
      </c>
      <c r="I200" s="14">
        <f>'Empleo Censo'!M200</f>
        <v/>
      </c>
      <c r="J200" s="14">
        <f>SUM('Empleo Censo'!N200:AA200)</f>
        <v/>
      </c>
      <c r="K200" s="14">
        <f>SUM(C200:J200)</f>
        <v/>
      </c>
      <c r="L200" s="15">
        <f>SUMPRODUCT(C200:J200,Factores!$B$3:$I$3)</f>
        <v/>
      </c>
      <c r="M200" s="16">
        <f>'Empleo Censo'!E200</f>
        <v/>
      </c>
      <c r="N200" s="17">
        <f>IF(M200&gt;0,L200,Factores!$B$7)</f>
        <v/>
      </c>
      <c r="O200">
        <f>IF(M200&gt;0,"OK","sin PEA -&gt; peor")</f>
        <v/>
      </c>
    </row>
    <row r="201">
      <c r="A201" t="inlineStr">
        <is>
          <t>120424</t>
        </is>
      </c>
      <c r="B201" t="inlineStr">
        <is>
          <t>PANCAN</t>
        </is>
      </c>
      <c r="C201" s="14">
        <f>'Empleo Censo'!G201-'Empleo Censo'!F201</f>
        <v/>
      </c>
      <c r="D201" s="14">
        <f>'Empleo Censo'!F201</f>
        <v/>
      </c>
      <c r="E201" s="14">
        <f>'Empleo Censo'!H201</f>
        <v/>
      </c>
      <c r="F201" s="14">
        <f>'Empleo Censo'!I201</f>
        <v/>
      </c>
      <c r="G201" s="14">
        <f>'Empleo Censo'!J201+'Empleo Censo'!K201</f>
        <v/>
      </c>
      <c r="H201" s="14">
        <f>'Empleo Censo'!L201</f>
        <v/>
      </c>
      <c r="I201" s="14">
        <f>'Empleo Censo'!M201</f>
        <v/>
      </c>
      <c r="J201" s="14">
        <f>SUM('Empleo Censo'!N201:AA201)</f>
        <v/>
      </c>
      <c r="K201" s="14">
        <f>SUM(C201:J201)</f>
        <v/>
      </c>
      <c r="L201" s="15">
        <f>SUMPRODUCT(C201:J201,Factores!$B$3:$I$3)</f>
        <v/>
      </c>
      <c r="M201" s="16">
        <f>'Empleo Censo'!E201</f>
        <v/>
      </c>
      <c r="N201" s="17">
        <f>IF(M201&gt;0,L201,Factores!$B$7)</f>
        <v/>
      </c>
      <c r="O201">
        <f>IF(M201&gt;0,"OK","sin PEA -&gt; peor")</f>
        <v/>
      </c>
    </row>
    <row r="202">
      <c r="A202" t="inlineStr">
        <is>
          <t>120425</t>
        </is>
      </c>
      <c r="B202" t="inlineStr">
        <is>
          <t>PARCO</t>
        </is>
      </c>
      <c r="C202" s="14">
        <f>'Empleo Censo'!G202-'Empleo Censo'!F202</f>
        <v/>
      </c>
      <c r="D202" s="14">
        <f>'Empleo Censo'!F202</f>
        <v/>
      </c>
      <c r="E202" s="14">
        <f>'Empleo Censo'!H202</f>
        <v/>
      </c>
      <c r="F202" s="14">
        <f>'Empleo Censo'!I202</f>
        <v/>
      </c>
      <c r="G202" s="14">
        <f>'Empleo Censo'!J202+'Empleo Censo'!K202</f>
        <v/>
      </c>
      <c r="H202" s="14">
        <f>'Empleo Censo'!L202</f>
        <v/>
      </c>
      <c r="I202" s="14">
        <f>'Empleo Censo'!M202</f>
        <v/>
      </c>
      <c r="J202" s="14">
        <f>SUM('Empleo Censo'!N202:AA202)</f>
        <v/>
      </c>
      <c r="K202" s="14">
        <f>SUM(C202:J202)</f>
        <v/>
      </c>
      <c r="L202" s="15">
        <f>SUMPRODUCT(C202:J202,Factores!$B$3:$I$3)</f>
        <v/>
      </c>
      <c r="M202" s="16">
        <f>'Empleo Censo'!E202</f>
        <v/>
      </c>
      <c r="N202" s="17">
        <f>IF(M202&gt;0,L202,Factores!$B$7)</f>
        <v/>
      </c>
      <c r="O202">
        <f>IF(M202&gt;0,"OK","sin PEA -&gt; peor")</f>
        <v/>
      </c>
    </row>
    <row r="203">
      <c r="A203" t="inlineStr">
        <is>
          <t>120426</t>
        </is>
      </c>
      <c r="B203" t="inlineStr">
        <is>
          <t>POMACANCHA</t>
        </is>
      </c>
      <c r="C203" s="14">
        <f>'Empleo Censo'!G203-'Empleo Censo'!F203</f>
        <v/>
      </c>
      <c r="D203" s="14">
        <f>'Empleo Censo'!F203</f>
        <v/>
      </c>
      <c r="E203" s="14">
        <f>'Empleo Censo'!H203</f>
        <v/>
      </c>
      <c r="F203" s="14">
        <f>'Empleo Censo'!I203</f>
        <v/>
      </c>
      <c r="G203" s="14">
        <f>'Empleo Censo'!J203+'Empleo Censo'!K203</f>
        <v/>
      </c>
      <c r="H203" s="14">
        <f>'Empleo Censo'!L203</f>
        <v/>
      </c>
      <c r="I203" s="14">
        <f>'Empleo Censo'!M203</f>
        <v/>
      </c>
      <c r="J203" s="14">
        <f>SUM('Empleo Censo'!N203:AA203)</f>
        <v/>
      </c>
      <c r="K203" s="14">
        <f>SUM(C203:J203)</f>
        <v/>
      </c>
      <c r="L203" s="15">
        <f>SUMPRODUCT(C203:J203,Factores!$B$3:$I$3)</f>
        <v/>
      </c>
      <c r="M203" s="16">
        <f>'Empleo Censo'!E203</f>
        <v/>
      </c>
      <c r="N203" s="17">
        <f>IF(M203&gt;0,L203,Factores!$B$7)</f>
        <v/>
      </c>
      <c r="O203">
        <f>IF(M203&gt;0,"OK","sin PEA -&gt; peor")</f>
        <v/>
      </c>
    </row>
    <row r="204">
      <c r="A204" t="inlineStr">
        <is>
          <t>120427</t>
        </is>
      </c>
      <c r="B204" t="inlineStr">
        <is>
          <t>RICRAN</t>
        </is>
      </c>
      <c r="C204" s="14">
        <f>'Empleo Censo'!G204-'Empleo Censo'!F204</f>
        <v/>
      </c>
      <c r="D204" s="14">
        <f>'Empleo Censo'!F204</f>
        <v/>
      </c>
      <c r="E204" s="14">
        <f>'Empleo Censo'!H204</f>
        <v/>
      </c>
      <c r="F204" s="14">
        <f>'Empleo Censo'!I204</f>
        <v/>
      </c>
      <c r="G204" s="14">
        <f>'Empleo Censo'!J204+'Empleo Censo'!K204</f>
        <v/>
      </c>
      <c r="H204" s="14">
        <f>'Empleo Censo'!L204</f>
        <v/>
      </c>
      <c r="I204" s="14">
        <f>'Empleo Censo'!M204</f>
        <v/>
      </c>
      <c r="J204" s="14">
        <f>SUM('Empleo Censo'!N204:AA204)</f>
        <v/>
      </c>
      <c r="K204" s="14">
        <f>SUM(C204:J204)</f>
        <v/>
      </c>
      <c r="L204" s="15">
        <f>SUMPRODUCT(C204:J204,Factores!$B$3:$I$3)</f>
        <v/>
      </c>
      <c r="M204" s="16">
        <f>'Empleo Censo'!E204</f>
        <v/>
      </c>
      <c r="N204" s="17">
        <f>IF(M204&gt;0,L204,Factores!$B$7)</f>
        <v/>
      </c>
      <c r="O204">
        <f>IF(M204&gt;0,"OK","sin PEA -&gt; peor")</f>
        <v/>
      </c>
    </row>
    <row r="205">
      <c r="A205" t="inlineStr">
        <is>
          <t>120428</t>
        </is>
      </c>
      <c r="B205" t="inlineStr">
        <is>
          <t>SAN LORENZO</t>
        </is>
      </c>
      <c r="C205" s="14">
        <f>'Empleo Censo'!G205-'Empleo Censo'!F205</f>
        <v/>
      </c>
      <c r="D205" s="14">
        <f>'Empleo Censo'!F205</f>
        <v/>
      </c>
      <c r="E205" s="14">
        <f>'Empleo Censo'!H205</f>
        <v/>
      </c>
      <c r="F205" s="14">
        <f>'Empleo Censo'!I205</f>
        <v/>
      </c>
      <c r="G205" s="14">
        <f>'Empleo Censo'!J205+'Empleo Censo'!K205</f>
        <v/>
      </c>
      <c r="H205" s="14">
        <f>'Empleo Censo'!L205</f>
        <v/>
      </c>
      <c r="I205" s="14">
        <f>'Empleo Censo'!M205</f>
        <v/>
      </c>
      <c r="J205" s="14">
        <f>SUM('Empleo Censo'!N205:AA205)</f>
        <v/>
      </c>
      <c r="K205" s="14">
        <f>SUM(C205:J205)</f>
        <v/>
      </c>
      <c r="L205" s="15">
        <f>SUMPRODUCT(C205:J205,Factores!$B$3:$I$3)</f>
        <v/>
      </c>
      <c r="M205" s="16">
        <f>'Empleo Censo'!E205</f>
        <v/>
      </c>
      <c r="N205" s="17">
        <f>IF(M205&gt;0,L205,Factores!$B$7)</f>
        <v/>
      </c>
      <c r="O205">
        <f>IF(M205&gt;0,"OK","sin PEA -&gt; peor")</f>
        <v/>
      </c>
    </row>
    <row r="206">
      <c r="A206" t="inlineStr">
        <is>
          <t>120429</t>
        </is>
      </c>
      <c r="B206" t="inlineStr">
        <is>
          <t>SAN PEDRO DE CHUNAN</t>
        </is>
      </c>
      <c r="C206" s="14">
        <f>'Empleo Censo'!G206-'Empleo Censo'!F206</f>
        <v/>
      </c>
      <c r="D206" s="14">
        <f>'Empleo Censo'!F206</f>
        <v/>
      </c>
      <c r="E206" s="14">
        <f>'Empleo Censo'!H206</f>
        <v/>
      </c>
      <c r="F206" s="14">
        <f>'Empleo Censo'!I206</f>
        <v/>
      </c>
      <c r="G206" s="14">
        <f>'Empleo Censo'!J206+'Empleo Censo'!K206</f>
        <v/>
      </c>
      <c r="H206" s="14">
        <f>'Empleo Censo'!L206</f>
        <v/>
      </c>
      <c r="I206" s="14">
        <f>'Empleo Censo'!M206</f>
        <v/>
      </c>
      <c r="J206" s="14">
        <f>SUM('Empleo Censo'!N206:AA206)</f>
        <v/>
      </c>
      <c r="K206" s="14">
        <f>SUM(C206:J206)</f>
        <v/>
      </c>
      <c r="L206" s="15">
        <f>SUMPRODUCT(C206:J206,Factores!$B$3:$I$3)</f>
        <v/>
      </c>
      <c r="M206" s="16">
        <f>'Empleo Censo'!E206</f>
        <v/>
      </c>
      <c r="N206" s="17">
        <f>IF(M206&gt;0,L206,Factores!$B$7)</f>
        <v/>
      </c>
      <c r="O206">
        <f>IF(M206&gt;0,"OK","sin PEA -&gt; peor")</f>
        <v/>
      </c>
    </row>
    <row r="207">
      <c r="A207" t="inlineStr">
        <is>
          <t>120430</t>
        </is>
      </c>
      <c r="B207" t="inlineStr">
        <is>
          <t>SAUSA</t>
        </is>
      </c>
      <c r="C207" s="14">
        <f>'Empleo Censo'!G207-'Empleo Censo'!F207</f>
        <v/>
      </c>
      <c r="D207" s="14">
        <f>'Empleo Censo'!F207</f>
        <v/>
      </c>
      <c r="E207" s="14">
        <f>'Empleo Censo'!H207</f>
        <v/>
      </c>
      <c r="F207" s="14">
        <f>'Empleo Censo'!I207</f>
        <v/>
      </c>
      <c r="G207" s="14">
        <f>'Empleo Censo'!J207+'Empleo Censo'!K207</f>
        <v/>
      </c>
      <c r="H207" s="14">
        <f>'Empleo Censo'!L207</f>
        <v/>
      </c>
      <c r="I207" s="14">
        <f>'Empleo Censo'!M207</f>
        <v/>
      </c>
      <c r="J207" s="14">
        <f>SUM('Empleo Censo'!N207:AA207)</f>
        <v/>
      </c>
      <c r="K207" s="14">
        <f>SUM(C207:J207)</f>
        <v/>
      </c>
      <c r="L207" s="15">
        <f>SUMPRODUCT(C207:J207,Factores!$B$3:$I$3)</f>
        <v/>
      </c>
      <c r="M207" s="16">
        <f>'Empleo Censo'!E207</f>
        <v/>
      </c>
      <c r="N207" s="17">
        <f>IF(M207&gt;0,L207,Factores!$B$7)</f>
        <v/>
      </c>
      <c r="O207">
        <f>IF(M207&gt;0,"OK","sin PEA -&gt; peor")</f>
        <v/>
      </c>
    </row>
    <row r="208">
      <c r="A208" t="inlineStr">
        <is>
          <t>120431</t>
        </is>
      </c>
      <c r="B208" t="inlineStr">
        <is>
          <t>SINCOS</t>
        </is>
      </c>
      <c r="C208" s="14">
        <f>'Empleo Censo'!G208-'Empleo Censo'!F208</f>
        <v/>
      </c>
      <c r="D208" s="14">
        <f>'Empleo Censo'!F208</f>
        <v/>
      </c>
      <c r="E208" s="14">
        <f>'Empleo Censo'!H208</f>
        <v/>
      </c>
      <c r="F208" s="14">
        <f>'Empleo Censo'!I208</f>
        <v/>
      </c>
      <c r="G208" s="14">
        <f>'Empleo Censo'!J208+'Empleo Censo'!K208</f>
        <v/>
      </c>
      <c r="H208" s="14">
        <f>'Empleo Censo'!L208</f>
        <v/>
      </c>
      <c r="I208" s="14">
        <f>'Empleo Censo'!M208</f>
        <v/>
      </c>
      <c r="J208" s="14">
        <f>SUM('Empleo Censo'!N208:AA208)</f>
        <v/>
      </c>
      <c r="K208" s="14">
        <f>SUM(C208:J208)</f>
        <v/>
      </c>
      <c r="L208" s="15">
        <f>SUMPRODUCT(C208:J208,Factores!$B$3:$I$3)</f>
        <v/>
      </c>
      <c r="M208" s="16">
        <f>'Empleo Censo'!E208</f>
        <v/>
      </c>
      <c r="N208" s="17">
        <f>IF(M208&gt;0,L208,Factores!$B$7)</f>
        <v/>
      </c>
      <c r="O208">
        <f>IF(M208&gt;0,"OK","sin PEA -&gt; peor")</f>
        <v/>
      </c>
    </row>
    <row r="209">
      <c r="A209" t="inlineStr">
        <is>
          <t>120432</t>
        </is>
      </c>
      <c r="B209" t="inlineStr">
        <is>
          <t>TUNAN MARCA</t>
        </is>
      </c>
      <c r="C209" s="14">
        <f>'Empleo Censo'!G209-'Empleo Censo'!F209</f>
        <v/>
      </c>
      <c r="D209" s="14">
        <f>'Empleo Censo'!F209</f>
        <v/>
      </c>
      <c r="E209" s="14">
        <f>'Empleo Censo'!H209</f>
        <v/>
      </c>
      <c r="F209" s="14">
        <f>'Empleo Censo'!I209</f>
        <v/>
      </c>
      <c r="G209" s="14">
        <f>'Empleo Censo'!J209+'Empleo Censo'!K209</f>
        <v/>
      </c>
      <c r="H209" s="14">
        <f>'Empleo Censo'!L209</f>
        <v/>
      </c>
      <c r="I209" s="14">
        <f>'Empleo Censo'!M209</f>
        <v/>
      </c>
      <c r="J209" s="14">
        <f>SUM('Empleo Censo'!N209:AA209)</f>
        <v/>
      </c>
      <c r="K209" s="14">
        <f>SUM(C209:J209)</f>
        <v/>
      </c>
      <c r="L209" s="15">
        <f>SUMPRODUCT(C209:J209,Factores!$B$3:$I$3)</f>
        <v/>
      </c>
      <c r="M209" s="16">
        <f>'Empleo Censo'!E209</f>
        <v/>
      </c>
      <c r="N209" s="17">
        <f>IF(M209&gt;0,L209,Factores!$B$7)</f>
        <v/>
      </c>
      <c r="O209">
        <f>IF(M209&gt;0,"OK","sin PEA -&gt; peor")</f>
        <v/>
      </c>
    </row>
    <row r="210">
      <c r="A210" t="inlineStr">
        <is>
          <t>120433</t>
        </is>
      </c>
      <c r="B210" t="inlineStr">
        <is>
          <t>YAULI</t>
        </is>
      </c>
      <c r="C210" s="14">
        <f>'Empleo Censo'!G210-'Empleo Censo'!F210</f>
        <v/>
      </c>
      <c r="D210" s="14">
        <f>'Empleo Censo'!F210</f>
        <v/>
      </c>
      <c r="E210" s="14">
        <f>'Empleo Censo'!H210</f>
        <v/>
      </c>
      <c r="F210" s="14">
        <f>'Empleo Censo'!I210</f>
        <v/>
      </c>
      <c r="G210" s="14">
        <f>'Empleo Censo'!J210+'Empleo Censo'!K210</f>
        <v/>
      </c>
      <c r="H210" s="14">
        <f>'Empleo Censo'!L210</f>
        <v/>
      </c>
      <c r="I210" s="14">
        <f>'Empleo Censo'!M210</f>
        <v/>
      </c>
      <c r="J210" s="14">
        <f>SUM('Empleo Censo'!N210:AA210)</f>
        <v/>
      </c>
      <c r="K210" s="14">
        <f>SUM(C210:J210)</f>
        <v/>
      </c>
      <c r="L210" s="15">
        <f>SUMPRODUCT(C210:J210,Factores!$B$3:$I$3)</f>
        <v/>
      </c>
      <c r="M210" s="16">
        <f>'Empleo Censo'!E210</f>
        <v/>
      </c>
      <c r="N210" s="17">
        <f>IF(M210&gt;0,L210,Factores!$B$7)</f>
        <v/>
      </c>
      <c r="O210">
        <f>IF(M210&gt;0,"OK","sin PEA -&gt; peor")</f>
        <v/>
      </c>
    </row>
    <row r="211">
      <c r="A211" t="inlineStr">
        <is>
          <t>120434</t>
        </is>
      </c>
      <c r="B211" t="inlineStr">
        <is>
          <t>YAUYOS</t>
        </is>
      </c>
      <c r="C211" s="14">
        <f>'Empleo Censo'!G211-'Empleo Censo'!F211</f>
        <v/>
      </c>
      <c r="D211" s="14">
        <f>'Empleo Censo'!F211</f>
        <v/>
      </c>
      <c r="E211" s="14">
        <f>'Empleo Censo'!H211</f>
        <v/>
      </c>
      <c r="F211" s="14">
        <f>'Empleo Censo'!I211</f>
        <v/>
      </c>
      <c r="G211" s="14">
        <f>'Empleo Censo'!J211+'Empleo Censo'!K211</f>
        <v/>
      </c>
      <c r="H211" s="14">
        <f>'Empleo Censo'!L211</f>
        <v/>
      </c>
      <c r="I211" s="14">
        <f>'Empleo Censo'!M211</f>
        <v/>
      </c>
      <c r="J211" s="14">
        <f>SUM('Empleo Censo'!N211:AA211)</f>
        <v/>
      </c>
      <c r="K211" s="14">
        <f>SUM(C211:J211)</f>
        <v/>
      </c>
      <c r="L211" s="15">
        <f>SUMPRODUCT(C211:J211,Factores!$B$3:$I$3)</f>
        <v/>
      </c>
      <c r="M211" s="16">
        <f>'Empleo Censo'!E211</f>
        <v/>
      </c>
      <c r="N211" s="17">
        <f>IF(M211&gt;0,L211,Factores!$B$7)</f>
        <v/>
      </c>
      <c r="O211">
        <f>IF(M211&gt;0,"OK","sin PEA -&gt; peor")</f>
        <v/>
      </c>
    </row>
    <row r="212">
      <c r="A212" t="inlineStr">
        <is>
          <t>120501</t>
        </is>
      </c>
      <c r="B212" t="inlineStr">
        <is>
          <t>JUNIN</t>
        </is>
      </c>
      <c r="C212" s="14">
        <f>'Empleo Censo'!G212-'Empleo Censo'!F212</f>
        <v/>
      </c>
      <c r="D212" s="14">
        <f>'Empleo Censo'!F212</f>
        <v/>
      </c>
      <c r="E212" s="14">
        <f>'Empleo Censo'!H212</f>
        <v/>
      </c>
      <c r="F212" s="14">
        <f>'Empleo Censo'!I212</f>
        <v/>
      </c>
      <c r="G212" s="14">
        <f>'Empleo Censo'!J212+'Empleo Censo'!K212</f>
        <v/>
      </c>
      <c r="H212" s="14">
        <f>'Empleo Censo'!L212</f>
        <v/>
      </c>
      <c r="I212" s="14">
        <f>'Empleo Censo'!M212</f>
        <v/>
      </c>
      <c r="J212" s="14">
        <f>SUM('Empleo Censo'!N212:AA212)</f>
        <v/>
      </c>
      <c r="K212" s="14">
        <f>SUM(C212:J212)</f>
        <v/>
      </c>
      <c r="L212" s="15">
        <f>SUMPRODUCT(C212:J212,Factores!$B$3:$I$3)</f>
        <v/>
      </c>
      <c r="M212" s="16">
        <f>'Empleo Censo'!E212</f>
        <v/>
      </c>
      <c r="N212" s="17">
        <f>IF(M212&gt;0,L212,Factores!$B$7)</f>
        <v/>
      </c>
      <c r="O212">
        <f>IF(M212&gt;0,"OK","sin PEA -&gt; peor")</f>
        <v/>
      </c>
    </row>
    <row r="213">
      <c r="A213" t="inlineStr">
        <is>
          <t>120502</t>
        </is>
      </c>
      <c r="B213" t="inlineStr">
        <is>
          <t>CARHUAMAYO</t>
        </is>
      </c>
      <c r="C213" s="14">
        <f>'Empleo Censo'!G213-'Empleo Censo'!F213</f>
        <v/>
      </c>
      <c r="D213" s="14">
        <f>'Empleo Censo'!F213</f>
        <v/>
      </c>
      <c r="E213" s="14">
        <f>'Empleo Censo'!H213</f>
        <v/>
      </c>
      <c r="F213" s="14">
        <f>'Empleo Censo'!I213</f>
        <v/>
      </c>
      <c r="G213" s="14">
        <f>'Empleo Censo'!J213+'Empleo Censo'!K213</f>
        <v/>
      </c>
      <c r="H213" s="14">
        <f>'Empleo Censo'!L213</f>
        <v/>
      </c>
      <c r="I213" s="14">
        <f>'Empleo Censo'!M213</f>
        <v/>
      </c>
      <c r="J213" s="14">
        <f>SUM('Empleo Censo'!N213:AA213)</f>
        <v/>
      </c>
      <c r="K213" s="14">
        <f>SUM(C213:J213)</f>
        <v/>
      </c>
      <c r="L213" s="15">
        <f>SUMPRODUCT(C213:J213,Factores!$B$3:$I$3)</f>
        <v/>
      </c>
      <c r="M213" s="16">
        <f>'Empleo Censo'!E213</f>
        <v/>
      </c>
      <c r="N213" s="17">
        <f>IF(M213&gt;0,L213,Factores!$B$7)</f>
        <v/>
      </c>
      <c r="O213">
        <f>IF(M213&gt;0,"OK","sin PEA -&gt; peor")</f>
        <v/>
      </c>
    </row>
    <row r="214">
      <c r="A214" t="inlineStr">
        <is>
          <t>120503</t>
        </is>
      </c>
      <c r="B214" t="inlineStr">
        <is>
          <t>ONDORES</t>
        </is>
      </c>
      <c r="C214" s="14">
        <f>'Empleo Censo'!G214-'Empleo Censo'!F214</f>
        <v/>
      </c>
      <c r="D214" s="14">
        <f>'Empleo Censo'!F214</f>
        <v/>
      </c>
      <c r="E214" s="14">
        <f>'Empleo Censo'!H214</f>
        <v/>
      </c>
      <c r="F214" s="14">
        <f>'Empleo Censo'!I214</f>
        <v/>
      </c>
      <c r="G214" s="14">
        <f>'Empleo Censo'!J214+'Empleo Censo'!K214</f>
        <v/>
      </c>
      <c r="H214" s="14">
        <f>'Empleo Censo'!L214</f>
        <v/>
      </c>
      <c r="I214" s="14">
        <f>'Empleo Censo'!M214</f>
        <v/>
      </c>
      <c r="J214" s="14">
        <f>SUM('Empleo Censo'!N214:AA214)</f>
        <v/>
      </c>
      <c r="K214" s="14">
        <f>SUM(C214:J214)</f>
        <v/>
      </c>
      <c r="L214" s="15">
        <f>SUMPRODUCT(C214:J214,Factores!$B$3:$I$3)</f>
        <v/>
      </c>
      <c r="M214" s="16">
        <f>'Empleo Censo'!E214</f>
        <v/>
      </c>
      <c r="N214" s="17">
        <f>IF(M214&gt;0,L214,Factores!$B$7)</f>
        <v/>
      </c>
      <c r="O214">
        <f>IF(M214&gt;0,"OK","sin PEA -&gt; peor")</f>
        <v/>
      </c>
    </row>
    <row r="215">
      <c r="A215" t="inlineStr">
        <is>
          <t>120504</t>
        </is>
      </c>
      <c r="B215" t="inlineStr">
        <is>
          <t>ULCUMAYO</t>
        </is>
      </c>
      <c r="C215" s="14">
        <f>'Empleo Censo'!G215-'Empleo Censo'!F215</f>
        <v/>
      </c>
      <c r="D215" s="14">
        <f>'Empleo Censo'!F215</f>
        <v/>
      </c>
      <c r="E215" s="14">
        <f>'Empleo Censo'!H215</f>
        <v/>
      </c>
      <c r="F215" s="14">
        <f>'Empleo Censo'!I215</f>
        <v/>
      </c>
      <c r="G215" s="14">
        <f>'Empleo Censo'!J215+'Empleo Censo'!K215</f>
        <v/>
      </c>
      <c r="H215" s="14">
        <f>'Empleo Censo'!L215</f>
        <v/>
      </c>
      <c r="I215" s="14">
        <f>'Empleo Censo'!M215</f>
        <v/>
      </c>
      <c r="J215" s="14">
        <f>SUM('Empleo Censo'!N215:AA215)</f>
        <v/>
      </c>
      <c r="K215" s="14">
        <f>SUM(C215:J215)</f>
        <v/>
      </c>
      <c r="L215" s="15">
        <f>SUMPRODUCT(C215:J215,Factores!$B$3:$I$3)</f>
        <v/>
      </c>
      <c r="M215" s="16">
        <f>'Empleo Censo'!E215</f>
        <v/>
      </c>
      <c r="N215" s="17">
        <f>IF(M215&gt;0,L215,Factores!$B$7)</f>
        <v/>
      </c>
      <c r="O215">
        <f>IF(M215&gt;0,"OK","sin PEA -&gt; peor")</f>
        <v/>
      </c>
    </row>
    <row r="216">
      <c r="A216" t="inlineStr">
        <is>
          <t>120601</t>
        </is>
      </c>
      <c r="B216" t="inlineStr">
        <is>
          <t>SATIPO</t>
        </is>
      </c>
      <c r="C216" s="14">
        <f>'Empleo Censo'!G216-'Empleo Censo'!F216</f>
        <v/>
      </c>
      <c r="D216" s="14">
        <f>'Empleo Censo'!F216</f>
        <v/>
      </c>
      <c r="E216" s="14">
        <f>'Empleo Censo'!H216</f>
        <v/>
      </c>
      <c r="F216" s="14">
        <f>'Empleo Censo'!I216</f>
        <v/>
      </c>
      <c r="G216" s="14">
        <f>'Empleo Censo'!J216+'Empleo Censo'!K216</f>
        <v/>
      </c>
      <c r="H216" s="14">
        <f>'Empleo Censo'!L216</f>
        <v/>
      </c>
      <c r="I216" s="14">
        <f>'Empleo Censo'!M216</f>
        <v/>
      </c>
      <c r="J216" s="14">
        <f>SUM('Empleo Censo'!N216:AA216)</f>
        <v/>
      </c>
      <c r="K216" s="14">
        <f>SUM(C216:J216)</f>
        <v/>
      </c>
      <c r="L216" s="15">
        <f>SUMPRODUCT(C216:J216,Factores!$B$3:$I$3)</f>
        <v/>
      </c>
      <c r="M216" s="16">
        <f>'Empleo Censo'!E216</f>
        <v/>
      </c>
      <c r="N216" s="17">
        <f>IF(M216&gt;0,L216,Factores!$B$7)</f>
        <v/>
      </c>
      <c r="O216">
        <f>IF(M216&gt;0,"OK","sin PEA -&gt; peor")</f>
        <v/>
      </c>
    </row>
    <row r="217">
      <c r="A217" t="inlineStr">
        <is>
          <t>120602</t>
        </is>
      </c>
      <c r="B217" t="inlineStr">
        <is>
          <t>COVIRIALI</t>
        </is>
      </c>
      <c r="C217" s="14">
        <f>'Empleo Censo'!G217-'Empleo Censo'!F217</f>
        <v/>
      </c>
      <c r="D217" s="14">
        <f>'Empleo Censo'!F217</f>
        <v/>
      </c>
      <c r="E217" s="14">
        <f>'Empleo Censo'!H217</f>
        <v/>
      </c>
      <c r="F217" s="14">
        <f>'Empleo Censo'!I217</f>
        <v/>
      </c>
      <c r="G217" s="14">
        <f>'Empleo Censo'!J217+'Empleo Censo'!K217</f>
        <v/>
      </c>
      <c r="H217" s="14">
        <f>'Empleo Censo'!L217</f>
        <v/>
      </c>
      <c r="I217" s="14">
        <f>'Empleo Censo'!M217</f>
        <v/>
      </c>
      <c r="J217" s="14">
        <f>SUM('Empleo Censo'!N217:AA217)</f>
        <v/>
      </c>
      <c r="K217" s="14">
        <f>SUM(C217:J217)</f>
        <v/>
      </c>
      <c r="L217" s="15">
        <f>SUMPRODUCT(C217:J217,Factores!$B$3:$I$3)</f>
        <v/>
      </c>
      <c r="M217" s="16">
        <f>'Empleo Censo'!E217</f>
        <v/>
      </c>
      <c r="N217" s="17">
        <f>IF(M217&gt;0,L217,Factores!$B$7)</f>
        <v/>
      </c>
      <c r="O217">
        <f>IF(M217&gt;0,"OK","sin PEA -&gt; peor")</f>
        <v/>
      </c>
    </row>
    <row r="218">
      <c r="A218" t="inlineStr">
        <is>
          <t>120603</t>
        </is>
      </c>
      <c r="B218" t="inlineStr">
        <is>
          <t>LLAYLLA</t>
        </is>
      </c>
      <c r="C218" s="14">
        <f>'Empleo Censo'!G218-'Empleo Censo'!F218</f>
        <v/>
      </c>
      <c r="D218" s="14">
        <f>'Empleo Censo'!F218</f>
        <v/>
      </c>
      <c r="E218" s="14">
        <f>'Empleo Censo'!H218</f>
        <v/>
      </c>
      <c r="F218" s="14">
        <f>'Empleo Censo'!I218</f>
        <v/>
      </c>
      <c r="G218" s="14">
        <f>'Empleo Censo'!J218+'Empleo Censo'!K218</f>
        <v/>
      </c>
      <c r="H218" s="14">
        <f>'Empleo Censo'!L218</f>
        <v/>
      </c>
      <c r="I218" s="14">
        <f>'Empleo Censo'!M218</f>
        <v/>
      </c>
      <c r="J218" s="14">
        <f>SUM('Empleo Censo'!N218:AA218)</f>
        <v/>
      </c>
      <c r="K218" s="14">
        <f>SUM(C218:J218)</f>
        <v/>
      </c>
      <c r="L218" s="15">
        <f>SUMPRODUCT(C218:J218,Factores!$B$3:$I$3)</f>
        <v/>
      </c>
      <c r="M218" s="16">
        <f>'Empleo Censo'!E218</f>
        <v/>
      </c>
      <c r="N218" s="17">
        <f>IF(M218&gt;0,L218,Factores!$B$7)</f>
        <v/>
      </c>
      <c r="O218">
        <f>IF(M218&gt;0,"OK","sin PEA -&gt; peor")</f>
        <v/>
      </c>
    </row>
    <row r="219">
      <c r="A219" t="inlineStr">
        <is>
          <t>120604</t>
        </is>
      </c>
      <c r="B219" t="inlineStr">
        <is>
          <t>MAZAMARI</t>
        </is>
      </c>
      <c r="C219" s="14">
        <f>'Empleo Censo'!G219-'Empleo Censo'!F219</f>
        <v/>
      </c>
      <c r="D219" s="14">
        <f>'Empleo Censo'!F219</f>
        <v/>
      </c>
      <c r="E219" s="14">
        <f>'Empleo Censo'!H219</f>
        <v/>
      </c>
      <c r="F219" s="14">
        <f>'Empleo Censo'!I219</f>
        <v/>
      </c>
      <c r="G219" s="14">
        <f>'Empleo Censo'!J219+'Empleo Censo'!K219</f>
        <v/>
      </c>
      <c r="H219" s="14">
        <f>'Empleo Censo'!L219</f>
        <v/>
      </c>
      <c r="I219" s="14">
        <f>'Empleo Censo'!M219</f>
        <v/>
      </c>
      <c r="J219" s="14">
        <f>SUM('Empleo Censo'!N219:AA219)</f>
        <v/>
      </c>
      <c r="K219" s="14">
        <f>SUM(C219:J219)</f>
        <v/>
      </c>
      <c r="L219" s="15">
        <f>SUMPRODUCT(C219:J219,Factores!$B$3:$I$3)</f>
        <v/>
      </c>
      <c r="M219" s="16">
        <f>'Empleo Censo'!E219</f>
        <v/>
      </c>
      <c r="N219" s="17">
        <f>IF(M219&gt;0,L219,Factores!$B$7)</f>
        <v/>
      </c>
      <c r="O219">
        <f>IF(M219&gt;0,"OK","sin PEA -&gt; peor")</f>
        <v/>
      </c>
    </row>
    <row r="220">
      <c r="A220" t="inlineStr">
        <is>
          <t>120605</t>
        </is>
      </c>
      <c r="B220" t="inlineStr">
        <is>
          <t>PAMPA HERMOSA</t>
        </is>
      </c>
      <c r="C220" s="14">
        <f>'Empleo Censo'!G220-'Empleo Censo'!F220</f>
        <v/>
      </c>
      <c r="D220" s="14">
        <f>'Empleo Censo'!F220</f>
        <v/>
      </c>
      <c r="E220" s="14">
        <f>'Empleo Censo'!H220</f>
        <v/>
      </c>
      <c r="F220" s="14">
        <f>'Empleo Censo'!I220</f>
        <v/>
      </c>
      <c r="G220" s="14">
        <f>'Empleo Censo'!J220+'Empleo Censo'!K220</f>
        <v/>
      </c>
      <c r="H220" s="14">
        <f>'Empleo Censo'!L220</f>
        <v/>
      </c>
      <c r="I220" s="14">
        <f>'Empleo Censo'!M220</f>
        <v/>
      </c>
      <c r="J220" s="14">
        <f>SUM('Empleo Censo'!N220:AA220)</f>
        <v/>
      </c>
      <c r="K220" s="14">
        <f>SUM(C220:J220)</f>
        <v/>
      </c>
      <c r="L220" s="15">
        <f>SUMPRODUCT(C220:J220,Factores!$B$3:$I$3)</f>
        <v/>
      </c>
      <c r="M220" s="16">
        <f>'Empleo Censo'!E220</f>
        <v/>
      </c>
      <c r="N220" s="17">
        <f>IF(M220&gt;0,L220,Factores!$B$7)</f>
        <v/>
      </c>
      <c r="O220">
        <f>IF(M220&gt;0,"OK","sin PEA -&gt; peor")</f>
        <v/>
      </c>
    </row>
    <row r="221">
      <c r="A221" t="inlineStr">
        <is>
          <t>120606</t>
        </is>
      </c>
      <c r="B221" t="inlineStr">
        <is>
          <t>PANGOA</t>
        </is>
      </c>
      <c r="C221" s="14">
        <f>'Empleo Censo'!G221-'Empleo Censo'!F221</f>
        <v/>
      </c>
      <c r="D221" s="14">
        <f>'Empleo Censo'!F221</f>
        <v/>
      </c>
      <c r="E221" s="14">
        <f>'Empleo Censo'!H221</f>
        <v/>
      </c>
      <c r="F221" s="14">
        <f>'Empleo Censo'!I221</f>
        <v/>
      </c>
      <c r="G221" s="14">
        <f>'Empleo Censo'!J221+'Empleo Censo'!K221</f>
        <v/>
      </c>
      <c r="H221" s="14">
        <f>'Empleo Censo'!L221</f>
        <v/>
      </c>
      <c r="I221" s="14">
        <f>'Empleo Censo'!M221</f>
        <v/>
      </c>
      <c r="J221" s="14">
        <f>SUM('Empleo Censo'!N221:AA221)</f>
        <v/>
      </c>
      <c r="K221" s="14">
        <f>SUM(C221:J221)</f>
        <v/>
      </c>
      <c r="L221" s="15">
        <f>SUMPRODUCT(C221:J221,Factores!$B$3:$I$3)</f>
        <v/>
      </c>
      <c r="M221" s="16">
        <f>'Empleo Censo'!E221</f>
        <v/>
      </c>
      <c r="N221" s="17">
        <f>IF(M221&gt;0,L221,Factores!$B$7)</f>
        <v/>
      </c>
      <c r="O221">
        <f>IF(M221&gt;0,"OK","sin PEA -&gt; peor")</f>
        <v/>
      </c>
    </row>
    <row r="222">
      <c r="A222" t="inlineStr">
        <is>
          <t>120607</t>
        </is>
      </c>
      <c r="B222" t="inlineStr">
        <is>
          <t>RIO NEGRO</t>
        </is>
      </c>
      <c r="C222" s="14">
        <f>'Empleo Censo'!G222-'Empleo Censo'!F222</f>
        <v/>
      </c>
      <c r="D222" s="14">
        <f>'Empleo Censo'!F222</f>
        <v/>
      </c>
      <c r="E222" s="14">
        <f>'Empleo Censo'!H222</f>
        <v/>
      </c>
      <c r="F222" s="14">
        <f>'Empleo Censo'!I222</f>
        <v/>
      </c>
      <c r="G222" s="14">
        <f>'Empleo Censo'!J222+'Empleo Censo'!K222</f>
        <v/>
      </c>
      <c r="H222" s="14">
        <f>'Empleo Censo'!L222</f>
        <v/>
      </c>
      <c r="I222" s="14">
        <f>'Empleo Censo'!M222</f>
        <v/>
      </c>
      <c r="J222" s="14">
        <f>SUM('Empleo Censo'!N222:AA222)</f>
        <v/>
      </c>
      <c r="K222" s="14">
        <f>SUM(C222:J222)</f>
        <v/>
      </c>
      <c r="L222" s="15">
        <f>SUMPRODUCT(C222:J222,Factores!$B$3:$I$3)</f>
        <v/>
      </c>
      <c r="M222" s="16">
        <f>'Empleo Censo'!E222</f>
        <v/>
      </c>
      <c r="N222" s="17">
        <f>IF(M222&gt;0,L222,Factores!$B$7)</f>
        <v/>
      </c>
      <c r="O222">
        <f>IF(M222&gt;0,"OK","sin PEA -&gt; peor")</f>
        <v/>
      </c>
    </row>
    <row r="223">
      <c r="A223" t="inlineStr">
        <is>
          <t>120608</t>
        </is>
      </c>
      <c r="B223" t="inlineStr">
        <is>
          <t>RIO TAMBO</t>
        </is>
      </c>
      <c r="C223" s="14">
        <f>'Empleo Censo'!G223-'Empleo Censo'!F223</f>
        <v/>
      </c>
      <c r="D223" s="14">
        <f>'Empleo Censo'!F223</f>
        <v/>
      </c>
      <c r="E223" s="14">
        <f>'Empleo Censo'!H223</f>
        <v/>
      </c>
      <c r="F223" s="14">
        <f>'Empleo Censo'!I223</f>
        <v/>
      </c>
      <c r="G223" s="14">
        <f>'Empleo Censo'!J223+'Empleo Censo'!K223</f>
        <v/>
      </c>
      <c r="H223" s="14">
        <f>'Empleo Censo'!L223</f>
        <v/>
      </c>
      <c r="I223" s="14">
        <f>'Empleo Censo'!M223</f>
        <v/>
      </c>
      <c r="J223" s="14">
        <f>SUM('Empleo Censo'!N223:AA223)</f>
        <v/>
      </c>
      <c r="K223" s="14">
        <f>SUM(C223:J223)</f>
        <v/>
      </c>
      <c r="L223" s="15">
        <f>SUMPRODUCT(C223:J223,Factores!$B$3:$I$3)</f>
        <v/>
      </c>
      <c r="M223" s="16">
        <f>'Empleo Censo'!E223</f>
        <v/>
      </c>
      <c r="N223" s="17">
        <f>IF(M223&gt;0,L223,Factores!$B$7)</f>
        <v/>
      </c>
      <c r="O223">
        <f>IF(M223&gt;0,"OK","sin PEA -&gt; peor")</f>
        <v/>
      </c>
    </row>
    <row r="224">
      <c r="A224" t="inlineStr">
        <is>
          <t>120609</t>
        </is>
      </c>
      <c r="B224" t="inlineStr">
        <is>
          <t>VIZCATAN DEL ENE</t>
        </is>
      </c>
      <c r="C224" s="14">
        <f>'Empleo Censo'!G224-'Empleo Censo'!F224</f>
        <v/>
      </c>
      <c r="D224" s="14">
        <f>'Empleo Censo'!F224</f>
        <v/>
      </c>
      <c r="E224" s="14">
        <f>'Empleo Censo'!H224</f>
        <v/>
      </c>
      <c r="F224" s="14">
        <f>'Empleo Censo'!I224</f>
        <v/>
      </c>
      <c r="G224" s="14">
        <f>'Empleo Censo'!J224+'Empleo Censo'!K224</f>
        <v/>
      </c>
      <c r="H224" s="14">
        <f>'Empleo Censo'!L224</f>
        <v/>
      </c>
      <c r="I224" s="14">
        <f>'Empleo Censo'!M224</f>
        <v/>
      </c>
      <c r="J224" s="14">
        <f>SUM('Empleo Censo'!N224:AA224)</f>
        <v/>
      </c>
      <c r="K224" s="14">
        <f>SUM(C224:J224)</f>
        <v/>
      </c>
      <c r="L224" s="15">
        <f>SUMPRODUCT(C224:J224,Factores!$B$3:$I$3)</f>
        <v/>
      </c>
      <c r="M224" s="16">
        <f>'Empleo Censo'!E224</f>
        <v/>
      </c>
      <c r="N224" s="17">
        <f>IF(M224&gt;0,L224,Factores!$B$7)</f>
        <v/>
      </c>
      <c r="O224">
        <f>IF(M224&gt;0,"OK","sin PEA -&gt; peor")</f>
        <v/>
      </c>
    </row>
    <row r="225">
      <c r="A225" t="inlineStr">
        <is>
          <t>120701</t>
        </is>
      </c>
      <c r="B225" t="inlineStr">
        <is>
          <t>TARMA</t>
        </is>
      </c>
      <c r="C225" s="14">
        <f>'Empleo Censo'!G225-'Empleo Censo'!F225</f>
        <v/>
      </c>
      <c r="D225" s="14">
        <f>'Empleo Censo'!F225</f>
        <v/>
      </c>
      <c r="E225" s="14">
        <f>'Empleo Censo'!H225</f>
        <v/>
      </c>
      <c r="F225" s="14">
        <f>'Empleo Censo'!I225</f>
        <v/>
      </c>
      <c r="G225" s="14">
        <f>'Empleo Censo'!J225+'Empleo Censo'!K225</f>
        <v/>
      </c>
      <c r="H225" s="14">
        <f>'Empleo Censo'!L225</f>
        <v/>
      </c>
      <c r="I225" s="14">
        <f>'Empleo Censo'!M225</f>
        <v/>
      </c>
      <c r="J225" s="14">
        <f>SUM('Empleo Censo'!N225:AA225)</f>
        <v/>
      </c>
      <c r="K225" s="14">
        <f>SUM(C225:J225)</f>
        <v/>
      </c>
      <c r="L225" s="15">
        <f>SUMPRODUCT(C225:J225,Factores!$B$3:$I$3)</f>
        <v/>
      </c>
      <c r="M225" s="16">
        <f>'Empleo Censo'!E225</f>
        <v/>
      </c>
      <c r="N225" s="17">
        <f>IF(M225&gt;0,L225,Factores!$B$7)</f>
        <v/>
      </c>
      <c r="O225">
        <f>IF(M225&gt;0,"OK","sin PEA -&gt; peor")</f>
        <v/>
      </c>
    </row>
    <row r="226">
      <c r="A226" t="inlineStr">
        <is>
          <t>120702</t>
        </is>
      </c>
      <c r="B226" t="inlineStr">
        <is>
          <t>ACOBAMBA</t>
        </is>
      </c>
      <c r="C226" s="14">
        <f>'Empleo Censo'!G226-'Empleo Censo'!F226</f>
        <v/>
      </c>
      <c r="D226" s="14">
        <f>'Empleo Censo'!F226</f>
        <v/>
      </c>
      <c r="E226" s="14">
        <f>'Empleo Censo'!H226</f>
        <v/>
      </c>
      <c r="F226" s="14">
        <f>'Empleo Censo'!I226</f>
        <v/>
      </c>
      <c r="G226" s="14">
        <f>'Empleo Censo'!J226+'Empleo Censo'!K226</f>
        <v/>
      </c>
      <c r="H226" s="14">
        <f>'Empleo Censo'!L226</f>
        <v/>
      </c>
      <c r="I226" s="14">
        <f>'Empleo Censo'!M226</f>
        <v/>
      </c>
      <c r="J226" s="14">
        <f>SUM('Empleo Censo'!N226:AA226)</f>
        <v/>
      </c>
      <c r="K226" s="14">
        <f>SUM(C226:J226)</f>
        <v/>
      </c>
      <c r="L226" s="15">
        <f>SUMPRODUCT(C226:J226,Factores!$B$3:$I$3)</f>
        <v/>
      </c>
      <c r="M226" s="16">
        <f>'Empleo Censo'!E226</f>
        <v/>
      </c>
      <c r="N226" s="17">
        <f>IF(M226&gt;0,L226,Factores!$B$7)</f>
        <v/>
      </c>
      <c r="O226">
        <f>IF(M226&gt;0,"OK","sin PEA -&gt; peor")</f>
        <v/>
      </c>
    </row>
    <row r="227">
      <c r="A227" t="inlineStr">
        <is>
          <t>120703</t>
        </is>
      </c>
      <c r="B227" t="inlineStr">
        <is>
          <t>HUARICOLCA</t>
        </is>
      </c>
      <c r="C227" s="14">
        <f>'Empleo Censo'!G227-'Empleo Censo'!F227</f>
        <v/>
      </c>
      <c r="D227" s="14">
        <f>'Empleo Censo'!F227</f>
        <v/>
      </c>
      <c r="E227" s="14">
        <f>'Empleo Censo'!H227</f>
        <v/>
      </c>
      <c r="F227" s="14">
        <f>'Empleo Censo'!I227</f>
        <v/>
      </c>
      <c r="G227" s="14">
        <f>'Empleo Censo'!J227+'Empleo Censo'!K227</f>
        <v/>
      </c>
      <c r="H227" s="14">
        <f>'Empleo Censo'!L227</f>
        <v/>
      </c>
      <c r="I227" s="14">
        <f>'Empleo Censo'!M227</f>
        <v/>
      </c>
      <c r="J227" s="14">
        <f>SUM('Empleo Censo'!N227:AA227)</f>
        <v/>
      </c>
      <c r="K227" s="14">
        <f>SUM(C227:J227)</f>
        <v/>
      </c>
      <c r="L227" s="15">
        <f>SUMPRODUCT(C227:J227,Factores!$B$3:$I$3)</f>
        <v/>
      </c>
      <c r="M227" s="16">
        <f>'Empleo Censo'!E227</f>
        <v/>
      </c>
      <c r="N227" s="17">
        <f>IF(M227&gt;0,L227,Factores!$B$7)</f>
        <v/>
      </c>
      <c r="O227">
        <f>IF(M227&gt;0,"OK","sin PEA -&gt; peor")</f>
        <v/>
      </c>
    </row>
    <row r="228">
      <c r="A228" t="inlineStr">
        <is>
          <t>120704</t>
        </is>
      </c>
      <c r="B228" t="inlineStr">
        <is>
          <t>HUASAHUASI</t>
        </is>
      </c>
      <c r="C228" s="14">
        <f>'Empleo Censo'!G228-'Empleo Censo'!F228</f>
        <v/>
      </c>
      <c r="D228" s="14">
        <f>'Empleo Censo'!F228</f>
        <v/>
      </c>
      <c r="E228" s="14">
        <f>'Empleo Censo'!H228</f>
        <v/>
      </c>
      <c r="F228" s="14">
        <f>'Empleo Censo'!I228</f>
        <v/>
      </c>
      <c r="G228" s="14">
        <f>'Empleo Censo'!J228+'Empleo Censo'!K228</f>
        <v/>
      </c>
      <c r="H228" s="14">
        <f>'Empleo Censo'!L228</f>
        <v/>
      </c>
      <c r="I228" s="14">
        <f>'Empleo Censo'!M228</f>
        <v/>
      </c>
      <c r="J228" s="14">
        <f>SUM('Empleo Censo'!N228:AA228)</f>
        <v/>
      </c>
      <c r="K228" s="14">
        <f>SUM(C228:J228)</f>
        <v/>
      </c>
      <c r="L228" s="15">
        <f>SUMPRODUCT(C228:J228,Factores!$B$3:$I$3)</f>
        <v/>
      </c>
      <c r="M228" s="16">
        <f>'Empleo Censo'!E228</f>
        <v/>
      </c>
      <c r="N228" s="17">
        <f>IF(M228&gt;0,L228,Factores!$B$7)</f>
        <v/>
      </c>
      <c r="O228">
        <f>IF(M228&gt;0,"OK","sin PEA -&gt; peor")</f>
        <v/>
      </c>
    </row>
    <row r="229">
      <c r="A229" t="inlineStr">
        <is>
          <t>120705</t>
        </is>
      </c>
      <c r="B229" t="inlineStr">
        <is>
          <t>LA UNION</t>
        </is>
      </c>
      <c r="C229" s="14">
        <f>'Empleo Censo'!G229-'Empleo Censo'!F229</f>
        <v/>
      </c>
      <c r="D229" s="14">
        <f>'Empleo Censo'!F229</f>
        <v/>
      </c>
      <c r="E229" s="14">
        <f>'Empleo Censo'!H229</f>
        <v/>
      </c>
      <c r="F229" s="14">
        <f>'Empleo Censo'!I229</f>
        <v/>
      </c>
      <c r="G229" s="14">
        <f>'Empleo Censo'!J229+'Empleo Censo'!K229</f>
        <v/>
      </c>
      <c r="H229" s="14">
        <f>'Empleo Censo'!L229</f>
        <v/>
      </c>
      <c r="I229" s="14">
        <f>'Empleo Censo'!M229</f>
        <v/>
      </c>
      <c r="J229" s="14">
        <f>SUM('Empleo Censo'!N229:AA229)</f>
        <v/>
      </c>
      <c r="K229" s="14">
        <f>SUM(C229:J229)</f>
        <v/>
      </c>
      <c r="L229" s="15">
        <f>SUMPRODUCT(C229:J229,Factores!$B$3:$I$3)</f>
        <v/>
      </c>
      <c r="M229" s="16">
        <f>'Empleo Censo'!E229</f>
        <v/>
      </c>
      <c r="N229" s="17">
        <f>IF(M229&gt;0,L229,Factores!$B$7)</f>
        <v/>
      </c>
      <c r="O229">
        <f>IF(M229&gt;0,"OK","sin PEA -&gt; peor")</f>
        <v/>
      </c>
    </row>
    <row r="230">
      <c r="A230" t="inlineStr">
        <is>
          <t>120706</t>
        </is>
      </c>
      <c r="B230" t="inlineStr">
        <is>
          <t>PALCA</t>
        </is>
      </c>
      <c r="C230" s="14">
        <f>'Empleo Censo'!G230-'Empleo Censo'!F230</f>
        <v/>
      </c>
      <c r="D230" s="14">
        <f>'Empleo Censo'!F230</f>
        <v/>
      </c>
      <c r="E230" s="14">
        <f>'Empleo Censo'!H230</f>
        <v/>
      </c>
      <c r="F230" s="14">
        <f>'Empleo Censo'!I230</f>
        <v/>
      </c>
      <c r="G230" s="14">
        <f>'Empleo Censo'!J230+'Empleo Censo'!K230</f>
        <v/>
      </c>
      <c r="H230" s="14">
        <f>'Empleo Censo'!L230</f>
        <v/>
      </c>
      <c r="I230" s="14">
        <f>'Empleo Censo'!M230</f>
        <v/>
      </c>
      <c r="J230" s="14">
        <f>SUM('Empleo Censo'!N230:AA230)</f>
        <v/>
      </c>
      <c r="K230" s="14">
        <f>SUM(C230:J230)</f>
        <v/>
      </c>
      <c r="L230" s="15">
        <f>SUMPRODUCT(C230:J230,Factores!$B$3:$I$3)</f>
        <v/>
      </c>
      <c r="M230" s="16">
        <f>'Empleo Censo'!E230</f>
        <v/>
      </c>
      <c r="N230" s="17">
        <f>IF(M230&gt;0,L230,Factores!$B$7)</f>
        <v/>
      </c>
      <c r="O230">
        <f>IF(M230&gt;0,"OK","sin PEA -&gt; peor")</f>
        <v/>
      </c>
    </row>
    <row r="231">
      <c r="A231" t="inlineStr">
        <is>
          <t>120707</t>
        </is>
      </c>
      <c r="B231" t="inlineStr">
        <is>
          <t>PALCAMAYO</t>
        </is>
      </c>
      <c r="C231" s="14">
        <f>'Empleo Censo'!G231-'Empleo Censo'!F231</f>
        <v/>
      </c>
      <c r="D231" s="14">
        <f>'Empleo Censo'!F231</f>
        <v/>
      </c>
      <c r="E231" s="14">
        <f>'Empleo Censo'!H231</f>
        <v/>
      </c>
      <c r="F231" s="14">
        <f>'Empleo Censo'!I231</f>
        <v/>
      </c>
      <c r="G231" s="14">
        <f>'Empleo Censo'!J231+'Empleo Censo'!K231</f>
        <v/>
      </c>
      <c r="H231" s="14">
        <f>'Empleo Censo'!L231</f>
        <v/>
      </c>
      <c r="I231" s="14">
        <f>'Empleo Censo'!M231</f>
        <v/>
      </c>
      <c r="J231" s="14">
        <f>SUM('Empleo Censo'!N231:AA231)</f>
        <v/>
      </c>
      <c r="K231" s="14">
        <f>SUM(C231:J231)</f>
        <v/>
      </c>
      <c r="L231" s="15">
        <f>SUMPRODUCT(C231:J231,Factores!$B$3:$I$3)</f>
        <v/>
      </c>
      <c r="M231" s="16">
        <f>'Empleo Censo'!E231</f>
        <v/>
      </c>
      <c r="N231" s="17">
        <f>IF(M231&gt;0,L231,Factores!$B$7)</f>
        <v/>
      </c>
      <c r="O231">
        <f>IF(M231&gt;0,"OK","sin PEA -&gt; peor")</f>
        <v/>
      </c>
    </row>
    <row r="232">
      <c r="A232" t="inlineStr">
        <is>
          <t>120708</t>
        </is>
      </c>
      <c r="B232" t="inlineStr">
        <is>
          <t>SAN PEDRO DE CAJAS</t>
        </is>
      </c>
      <c r="C232" s="14">
        <f>'Empleo Censo'!G232-'Empleo Censo'!F232</f>
        <v/>
      </c>
      <c r="D232" s="14">
        <f>'Empleo Censo'!F232</f>
        <v/>
      </c>
      <c r="E232" s="14">
        <f>'Empleo Censo'!H232</f>
        <v/>
      </c>
      <c r="F232" s="14">
        <f>'Empleo Censo'!I232</f>
        <v/>
      </c>
      <c r="G232" s="14">
        <f>'Empleo Censo'!J232+'Empleo Censo'!K232</f>
        <v/>
      </c>
      <c r="H232" s="14">
        <f>'Empleo Censo'!L232</f>
        <v/>
      </c>
      <c r="I232" s="14">
        <f>'Empleo Censo'!M232</f>
        <v/>
      </c>
      <c r="J232" s="14">
        <f>SUM('Empleo Censo'!N232:AA232)</f>
        <v/>
      </c>
      <c r="K232" s="14">
        <f>SUM(C232:J232)</f>
        <v/>
      </c>
      <c r="L232" s="15">
        <f>SUMPRODUCT(C232:J232,Factores!$B$3:$I$3)</f>
        <v/>
      </c>
      <c r="M232" s="16">
        <f>'Empleo Censo'!E232</f>
        <v/>
      </c>
      <c r="N232" s="17">
        <f>IF(M232&gt;0,L232,Factores!$B$7)</f>
        <v/>
      </c>
      <c r="O232">
        <f>IF(M232&gt;0,"OK","sin PEA -&gt; peor")</f>
        <v/>
      </c>
    </row>
    <row r="233">
      <c r="A233" t="inlineStr">
        <is>
          <t>120709</t>
        </is>
      </c>
      <c r="B233" t="inlineStr">
        <is>
          <t>TAPO</t>
        </is>
      </c>
      <c r="C233" s="14">
        <f>'Empleo Censo'!G233-'Empleo Censo'!F233</f>
        <v/>
      </c>
      <c r="D233" s="14">
        <f>'Empleo Censo'!F233</f>
        <v/>
      </c>
      <c r="E233" s="14">
        <f>'Empleo Censo'!H233</f>
        <v/>
      </c>
      <c r="F233" s="14">
        <f>'Empleo Censo'!I233</f>
        <v/>
      </c>
      <c r="G233" s="14">
        <f>'Empleo Censo'!J233+'Empleo Censo'!K233</f>
        <v/>
      </c>
      <c r="H233" s="14">
        <f>'Empleo Censo'!L233</f>
        <v/>
      </c>
      <c r="I233" s="14">
        <f>'Empleo Censo'!M233</f>
        <v/>
      </c>
      <c r="J233" s="14">
        <f>SUM('Empleo Censo'!N233:AA233)</f>
        <v/>
      </c>
      <c r="K233" s="14">
        <f>SUM(C233:J233)</f>
        <v/>
      </c>
      <c r="L233" s="15">
        <f>SUMPRODUCT(C233:J233,Factores!$B$3:$I$3)</f>
        <v/>
      </c>
      <c r="M233" s="16">
        <f>'Empleo Censo'!E233</f>
        <v/>
      </c>
      <c r="N233" s="17">
        <f>IF(M233&gt;0,L233,Factores!$B$7)</f>
        <v/>
      </c>
      <c r="O233">
        <f>IF(M233&gt;0,"OK","sin PEA -&gt; peor")</f>
        <v/>
      </c>
    </row>
    <row r="234">
      <c r="A234" t="inlineStr">
        <is>
          <t>120801</t>
        </is>
      </c>
      <c r="B234" t="inlineStr">
        <is>
          <t>LA OROYA</t>
        </is>
      </c>
      <c r="C234" s="14">
        <f>'Empleo Censo'!G234-'Empleo Censo'!F234</f>
        <v/>
      </c>
      <c r="D234" s="14">
        <f>'Empleo Censo'!F234</f>
        <v/>
      </c>
      <c r="E234" s="14">
        <f>'Empleo Censo'!H234</f>
        <v/>
      </c>
      <c r="F234" s="14">
        <f>'Empleo Censo'!I234</f>
        <v/>
      </c>
      <c r="G234" s="14">
        <f>'Empleo Censo'!J234+'Empleo Censo'!K234</f>
        <v/>
      </c>
      <c r="H234" s="14">
        <f>'Empleo Censo'!L234</f>
        <v/>
      </c>
      <c r="I234" s="14">
        <f>'Empleo Censo'!M234</f>
        <v/>
      </c>
      <c r="J234" s="14">
        <f>SUM('Empleo Censo'!N234:AA234)</f>
        <v/>
      </c>
      <c r="K234" s="14">
        <f>SUM(C234:J234)</f>
        <v/>
      </c>
      <c r="L234" s="15">
        <f>SUMPRODUCT(C234:J234,Factores!$B$3:$I$3)</f>
        <v/>
      </c>
      <c r="M234" s="16">
        <f>'Empleo Censo'!E234</f>
        <v/>
      </c>
      <c r="N234" s="17">
        <f>IF(M234&gt;0,L234,Factores!$B$7)</f>
        <v/>
      </c>
      <c r="O234">
        <f>IF(M234&gt;0,"OK","sin PEA -&gt; peor")</f>
        <v/>
      </c>
    </row>
    <row r="235">
      <c r="A235" t="inlineStr">
        <is>
          <t>120802</t>
        </is>
      </c>
      <c r="B235" t="inlineStr">
        <is>
          <t>CHACAPALPA</t>
        </is>
      </c>
      <c r="C235" s="14">
        <f>'Empleo Censo'!G235-'Empleo Censo'!F235</f>
        <v/>
      </c>
      <c r="D235" s="14">
        <f>'Empleo Censo'!F235</f>
        <v/>
      </c>
      <c r="E235" s="14">
        <f>'Empleo Censo'!H235</f>
        <v/>
      </c>
      <c r="F235" s="14">
        <f>'Empleo Censo'!I235</f>
        <v/>
      </c>
      <c r="G235" s="14">
        <f>'Empleo Censo'!J235+'Empleo Censo'!K235</f>
        <v/>
      </c>
      <c r="H235" s="14">
        <f>'Empleo Censo'!L235</f>
        <v/>
      </c>
      <c r="I235" s="14">
        <f>'Empleo Censo'!M235</f>
        <v/>
      </c>
      <c r="J235" s="14">
        <f>SUM('Empleo Censo'!N235:AA235)</f>
        <v/>
      </c>
      <c r="K235" s="14">
        <f>SUM(C235:J235)</f>
        <v/>
      </c>
      <c r="L235" s="15">
        <f>SUMPRODUCT(C235:J235,Factores!$B$3:$I$3)</f>
        <v/>
      </c>
      <c r="M235" s="16">
        <f>'Empleo Censo'!E235</f>
        <v/>
      </c>
      <c r="N235" s="17">
        <f>IF(M235&gt;0,L235,Factores!$B$7)</f>
        <v/>
      </c>
      <c r="O235">
        <f>IF(M235&gt;0,"OK","sin PEA -&gt; peor")</f>
        <v/>
      </c>
    </row>
    <row r="236">
      <c r="A236" t="inlineStr">
        <is>
          <t>120803</t>
        </is>
      </c>
      <c r="B236" t="inlineStr">
        <is>
          <t>HUAY-HUAY</t>
        </is>
      </c>
      <c r="C236" s="14">
        <f>'Empleo Censo'!G236-'Empleo Censo'!F236</f>
        <v/>
      </c>
      <c r="D236" s="14">
        <f>'Empleo Censo'!F236</f>
        <v/>
      </c>
      <c r="E236" s="14">
        <f>'Empleo Censo'!H236</f>
        <v/>
      </c>
      <c r="F236" s="14">
        <f>'Empleo Censo'!I236</f>
        <v/>
      </c>
      <c r="G236" s="14">
        <f>'Empleo Censo'!J236+'Empleo Censo'!K236</f>
        <v/>
      </c>
      <c r="H236" s="14">
        <f>'Empleo Censo'!L236</f>
        <v/>
      </c>
      <c r="I236" s="14">
        <f>'Empleo Censo'!M236</f>
        <v/>
      </c>
      <c r="J236" s="14">
        <f>SUM('Empleo Censo'!N236:AA236)</f>
        <v/>
      </c>
      <c r="K236" s="14">
        <f>SUM(C236:J236)</f>
        <v/>
      </c>
      <c r="L236" s="15">
        <f>SUMPRODUCT(C236:J236,Factores!$B$3:$I$3)</f>
        <v/>
      </c>
      <c r="M236" s="16">
        <f>'Empleo Censo'!E236</f>
        <v/>
      </c>
      <c r="N236" s="17">
        <f>IF(M236&gt;0,L236,Factores!$B$7)</f>
        <v/>
      </c>
      <c r="O236">
        <f>IF(M236&gt;0,"OK","sin PEA -&gt; peor")</f>
        <v/>
      </c>
    </row>
    <row r="237">
      <c r="A237" t="inlineStr">
        <is>
          <t>120804</t>
        </is>
      </c>
      <c r="B237" t="inlineStr">
        <is>
          <t>MARCAPOMACOCHA</t>
        </is>
      </c>
      <c r="C237" s="14">
        <f>'Empleo Censo'!G237-'Empleo Censo'!F237</f>
        <v/>
      </c>
      <c r="D237" s="14">
        <f>'Empleo Censo'!F237</f>
        <v/>
      </c>
      <c r="E237" s="14">
        <f>'Empleo Censo'!H237</f>
        <v/>
      </c>
      <c r="F237" s="14">
        <f>'Empleo Censo'!I237</f>
        <v/>
      </c>
      <c r="G237" s="14">
        <f>'Empleo Censo'!J237+'Empleo Censo'!K237</f>
        <v/>
      </c>
      <c r="H237" s="14">
        <f>'Empleo Censo'!L237</f>
        <v/>
      </c>
      <c r="I237" s="14">
        <f>'Empleo Censo'!M237</f>
        <v/>
      </c>
      <c r="J237" s="14">
        <f>SUM('Empleo Censo'!N237:AA237)</f>
        <v/>
      </c>
      <c r="K237" s="14">
        <f>SUM(C237:J237)</f>
        <v/>
      </c>
      <c r="L237" s="15">
        <f>SUMPRODUCT(C237:J237,Factores!$B$3:$I$3)</f>
        <v/>
      </c>
      <c r="M237" s="16">
        <f>'Empleo Censo'!E237</f>
        <v/>
      </c>
      <c r="N237" s="17">
        <f>IF(M237&gt;0,L237,Factores!$B$7)</f>
        <v/>
      </c>
      <c r="O237">
        <f>IF(M237&gt;0,"OK","sin PEA -&gt; peor")</f>
        <v/>
      </c>
    </row>
    <row r="238">
      <c r="A238" t="inlineStr">
        <is>
          <t>120805</t>
        </is>
      </c>
      <c r="B238" t="inlineStr">
        <is>
          <t>MOROCOCHA</t>
        </is>
      </c>
      <c r="C238" s="14">
        <f>'Empleo Censo'!G238-'Empleo Censo'!F238</f>
        <v/>
      </c>
      <c r="D238" s="14">
        <f>'Empleo Censo'!F238</f>
        <v/>
      </c>
      <c r="E238" s="14">
        <f>'Empleo Censo'!H238</f>
        <v/>
      </c>
      <c r="F238" s="14">
        <f>'Empleo Censo'!I238</f>
        <v/>
      </c>
      <c r="G238" s="14">
        <f>'Empleo Censo'!J238+'Empleo Censo'!K238</f>
        <v/>
      </c>
      <c r="H238" s="14">
        <f>'Empleo Censo'!L238</f>
        <v/>
      </c>
      <c r="I238" s="14">
        <f>'Empleo Censo'!M238</f>
        <v/>
      </c>
      <c r="J238" s="14">
        <f>SUM('Empleo Censo'!N238:AA238)</f>
        <v/>
      </c>
      <c r="K238" s="14">
        <f>SUM(C238:J238)</f>
        <v/>
      </c>
      <c r="L238" s="15">
        <f>SUMPRODUCT(C238:J238,Factores!$B$3:$I$3)</f>
        <v/>
      </c>
      <c r="M238" s="16">
        <f>'Empleo Censo'!E238</f>
        <v/>
      </c>
      <c r="N238" s="17">
        <f>IF(M238&gt;0,L238,Factores!$B$7)</f>
        <v/>
      </c>
      <c r="O238">
        <f>IF(M238&gt;0,"OK","sin PEA -&gt; peor")</f>
        <v/>
      </c>
    </row>
    <row r="239">
      <c r="A239" t="inlineStr">
        <is>
          <t>120806</t>
        </is>
      </c>
      <c r="B239" t="inlineStr">
        <is>
          <t>PACCHA</t>
        </is>
      </c>
      <c r="C239" s="14">
        <f>'Empleo Censo'!G239-'Empleo Censo'!F239</f>
        <v/>
      </c>
      <c r="D239" s="14">
        <f>'Empleo Censo'!F239</f>
        <v/>
      </c>
      <c r="E239" s="14">
        <f>'Empleo Censo'!H239</f>
        <v/>
      </c>
      <c r="F239" s="14">
        <f>'Empleo Censo'!I239</f>
        <v/>
      </c>
      <c r="G239" s="14">
        <f>'Empleo Censo'!J239+'Empleo Censo'!K239</f>
        <v/>
      </c>
      <c r="H239" s="14">
        <f>'Empleo Censo'!L239</f>
        <v/>
      </c>
      <c r="I239" s="14">
        <f>'Empleo Censo'!M239</f>
        <v/>
      </c>
      <c r="J239" s="14">
        <f>SUM('Empleo Censo'!N239:AA239)</f>
        <v/>
      </c>
      <c r="K239" s="14">
        <f>SUM(C239:J239)</f>
        <v/>
      </c>
      <c r="L239" s="15">
        <f>SUMPRODUCT(C239:J239,Factores!$B$3:$I$3)</f>
        <v/>
      </c>
      <c r="M239" s="16">
        <f>'Empleo Censo'!E239</f>
        <v/>
      </c>
      <c r="N239" s="17">
        <f>IF(M239&gt;0,L239,Factores!$B$7)</f>
        <v/>
      </c>
      <c r="O239">
        <f>IF(M239&gt;0,"OK","sin PEA -&gt; peor")</f>
        <v/>
      </c>
    </row>
    <row r="240">
      <c r="A240" t="inlineStr">
        <is>
          <t>120807</t>
        </is>
      </c>
      <c r="B240" t="inlineStr">
        <is>
          <t>SANTA BARBARA DE CARHUACAYAN</t>
        </is>
      </c>
      <c r="C240" s="14">
        <f>'Empleo Censo'!G240-'Empleo Censo'!F240</f>
        <v/>
      </c>
      <c r="D240" s="14">
        <f>'Empleo Censo'!F240</f>
        <v/>
      </c>
      <c r="E240" s="14">
        <f>'Empleo Censo'!H240</f>
        <v/>
      </c>
      <c r="F240" s="14">
        <f>'Empleo Censo'!I240</f>
        <v/>
      </c>
      <c r="G240" s="14">
        <f>'Empleo Censo'!J240+'Empleo Censo'!K240</f>
        <v/>
      </c>
      <c r="H240" s="14">
        <f>'Empleo Censo'!L240</f>
        <v/>
      </c>
      <c r="I240" s="14">
        <f>'Empleo Censo'!M240</f>
        <v/>
      </c>
      <c r="J240" s="14">
        <f>SUM('Empleo Censo'!N240:AA240)</f>
        <v/>
      </c>
      <c r="K240" s="14">
        <f>SUM(C240:J240)</f>
        <v/>
      </c>
      <c r="L240" s="15">
        <f>SUMPRODUCT(C240:J240,Factores!$B$3:$I$3)</f>
        <v/>
      </c>
      <c r="M240" s="16">
        <f>'Empleo Censo'!E240</f>
        <v/>
      </c>
      <c r="N240" s="17">
        <f>IF(M240&gt;0,L240,Factores!$B$7)</f>
        <v/>
      </c>
      <c r="O240">
        <f>IF(M240&gt;0,"OK","sin PEA -&gt; peor")</f>
        <v/>
      </c>
    </row>
    <row r="241">
      <c r="A241" t="inlineStr">
        <is>
          <t>120808</t>
        </is>
      </c>
      <c r="B241" t="inlineStr">
        <is>
          <t>SANTA ROSA DE SACCO</t>
        </is>
      </c>
      <c r="C241" s="14">
        <f>'Empleo Censo'!G241-'Empleo Censo'!F241</f>
        <v/>
      </c>
      <c r="D241" s="14">
        <f>'Empleo Censo'!F241</f>
        <v/>
      </c>
      <c r="E241" s="14">
        <f>'Empleo Censo'!H241</f>
        <v/>
      </c>
      <c r="F241" s="14">
        <f>'Empleo Censo'!I241</f>
        <v/>
      </c>
      <c r="G241" s="14">
        <f>'Empleo Censo'!J241+'Empleo Censo'!K241</f>
        <v/>
      </c>
      <c r="H241" s="14">
        <f>'Empleo Censo'!L241</f>
        <v/>
      </c>
      <c r="I241" s="14">
        <f>'Empleo Censo'!M241</f>
        <v/>
      </c>
      <c r="J241" s="14">
        <f>SUM('Empleo Censo'!N241:AA241)</f>
        <v/>
      </c>
      <c r="K241" s="14">
        <f>SUM(C241:J241)</f>
        <v/>
      </c>
      <c r="L241" s="15">
        <f>SUMPRODUCT(C241:J241,Factores!$B$3:$I$3)</f>
        <v/>
      </c>
      <c r="M241" s="16">
        <f>'Empleo Censo'!E241</f>
        <v/>
      </c>
      <c r="N241" s="17">
        <f>IF(M241&gt;0,L241,Factores!$B$7)</f>
        <v/>
      </c>
      <c r="O241">
        <f>IF(M241&gt;0,"OK","sin PEA -&gt; peor")</f>
        <v/>
      </c>
    </row>
    <row r="242">
      <c r="A242" t="inlineStr">
        <is>
          <t>120809</t>
        </is>
      </c>
      <c r="B242" t="inlineStr">
        <is>
          <t>SUITUCANCHA</t>
        </is>
      </c>
      <c r="C242" s="14">
        <f>'Empleo Censo'!G242-'Empleo Censo'!F242</f>
        <v/>
      </c>
      <c r="D242" s="14">
        <f>'Empleo Censo'!F242</f>
        <v/>
      </c>
      <c r="E242" s="14">
        <f>'Empleo Censo'!H242</f>
        <v/>
      </c>
      <c r="F242" s="14">
        <f>'Empleo Censo'!I242</f>
        <v/>
      </c>
      <c r="G242" s="14">
        <f>'Empleo Censo'!J242+'Empleo Censo'!K242</f>
        <v/>
      </c>
      <c r="H242" s="14">
        <f>'Empleo Censo'!L242</f>
        <v/>
      </c>
      <c r="I242" s="14">
        <f>'Empleo Censo'!M242</f>
        <v/>
      </c>
      <c r="J242" s="14">
        <f>SUM('Empleo Censo'!N242:AA242)</f>
        <v/>
      </c>
      <c r="K242" s="14">
        <f>SUM(C242:J242)</f>
        <v/>
      </c>
      <c r="L242" s="15">
        <f>SUMPRODUCT(C242:J242,Factores!$B$3:$I$3)</f>
        <v/>
      </c>
      <c r="M242" s="16">
        <f>'Empleo Censo'!E242</f>
        <v/>
      </c>
      <c r="N242" s="17">
        <f>IF(M242&gt;0,L242,Factores!$B$7)</f>
        <v/>
      </c>
      <c r="O242">
        <f>IF(M242&gt;0,"OK","sin PEA -&gt; peor")</f>
        <v/>
      </c>
    </row>
    <row r="243">
      <c r="A243" t="inlineStr">
        <is>
          <t>120810</t>
        </is>
      </c>
      <c r="B243" t="inlineStr">
        <is>
          <t>YAULI</t>
        </is>
      </c>
      <c r="C243" s="14">
        <f>'Empleo Censo'!G243-'Empleo Censo'!F243</f>
        <v/>
      </c>
      <c r="D243" s="14">
        <f>'Empleo Censo'!F243</f>
        <v/>
      </c>
      <c r="E243" s="14">
        <f>'Empleo Censo'!H243</f>
        <v/>
      </c>
      <c r="F243" s="14">
        <f>'Empleo Censo'!I243</f>
        <v/>
      </c>
      <c r="G243" s="14">
        <f>'Empleo Censo'!J243+'Empleo Censo'!K243</f>
        <v/>
      </c>
      <c r="H243" s="14">
        <f>'Empleo Censo'!L243</f>
        <v/>
      </c>
      <c r="I243" s="14">
        <f>'Empleo Censo'!M243</f>
        <v/>
      </c>
      <c r="J243" s="14">
        <f>SUM('Empleo Censo'!N243:AA243)</f>
        <v/>
      </c>
      <c r="K243" s="14">
        <f>SUM(C243:J243)</f>
        <v/>
      </c>
      <c r="L243" s="15">
        <f>SUMPRODUCT(C243:J243,Factores!$B$3:$I$3)</f>
        <v/>
      </c>
      <c r="M243" s="16">
        <f>'Empleo Censo'!E243</f>
        <v/>
      </c>
      <c r="N243" s="17">
        <f>IF(M243&gt;0,L243,Factores!$B$7)</f>
        <v/>
      </c>
      <c r="O243">
        <f>IF(M243&gt;0,"OK","sin PEA -&gt; peor")</f>
        <v/>
      </c>
    </row>
    <row r="244">
      <c r="A244" t="inlineStr">
        <is>
          <t>120901</t>
        </is>
      </c>
      <c r="B244" t="inlineStr">
        <is>
          <t>CHUPACA</t>
        </is>
      </c>
      <c r="C244" s="14">
        <f>'Empleo Censo'!G244-'Empleo Censo'!F244</f>
        <v/>
      </c>
      <c r="D244" s="14">
        <f>'Empleo Censo'!F244</f>
        <v/>
      </c>
      <c r="E244" s="14">
        <f>'Empleo Censo'!H244</f>
        <v/>
      </c>
      <c r="F244" s="14">
        <f>'Empleo Censo'!I244</f>
        <v/>
      </c>
      <c r="G244" s="14">
        <f>'Empleo Censo'!J244+'Empleo Censo'!K244</f>
        <v/>
      </c>
      <c r="H244" s="14">
        <f>'Empleo Censo'!L244</f>
        <v/>
      </c>
      <c r="I244" s="14">
        <f>'Empleo Censo'!M244</f>
        <v/>
      </c>
      <c r="J244" s="14">
        <f>SUM('Empleo Censo'!N244:AA244)</f>
        <v/>
      </c>
      <c r="K244" s="14">
        <f>SUM(C244:J244)</f>
        <v/>
      </c>
      <c r="L244" s="15">
        <f>SUMPRODUCT(C244:J244,Factores!$B$3:$I$3)</f>
        <v/>
      </c>
      <c r="M244" s="16">
        <f>'Empleo Censo'!E244</f>
        <v/>
      </c>
      <c r="N244" s="17">
        <f>IF(M244&gt;0,L244,Factores!$B$7)</f>
        <v/>
      </c>
      <c r="O244">
        <f>IF(M244&gt;0,"OK","sin PEA -&gt; peor")</f>
        <v/>
      </c>
    </row>
    <row r="245">
      <c r="A245" t="inlineStr">
        <is>
          <t>120902</t>
        </is>
      </c>
      <c r="B245" t="inlineStr">
        <is>
          <t>AHUAC</t>
        </is>
      </c>
      <c r="C245" s="14">
        <f>'Empleo Censo'!G245-'Empleo Censo'!F245</f>
        <v/>
      </c>
      <c r="D245" s="14">
        <f>'Empleo Censo'!F245</f>
        <v/>
      </c>
      <c r="E245" s="14">
        <f>'Empleo Censo'!H245</f>
        <v/>
      </c>
      <c r="F245" s="14">
        <f>'Empleo Censo'!I245</f>
        <v/>
      </c>
      <c r="G245" s="14">
        <f>'Empleo Censo'!J245+'Empleo Censo'!K245</f>
        <v/>
      </c>
      <c r="H245" s="14">
        <f>'Empleo Censo'!L245</f>
        <v/>
      </c>
      <c r="I245" s="14">
        <f>'Empleo Censo'!M245</f>
        <v/>
      </c>
      <c r="J245" s="14">
        <f>SUM('Empleo Censo'!N245:AA245)</f>
        <v/>
      </c>
      <c r="K245" s="14">
        <f>SUM(C245:J245)</f>
        <v/>
      </c>
      <c r="L245" s="15">
        <f>SUMPRODUCT(C245:J245,Factores!$B$3:$I$3)</f>
        <v/>
      </c>
      <c r="M245" s="16">
        <f>'Empleo Censo'!E245</f>
        <v/>
      </c>
      <c r="N245" s="17">
        <f>IF(M245&gt;0,L245,Factores!$B$7)</f>
        <v/>
      </c>
      <c r="O245">
        <f>IF(M245&gt;0,"OK","sin PEA -&gt; peor")</f>
        <v/>
      </c>
    </row>
    <row r="246">
      <c r="A246" t="inlineStr">
        <is>
          <t>120903</t>
        </is>
      </c>
      <c r="B246" t="inlineStr">
        <is>
          <t>CHONGOS BAJO</t>
        </is>
      </c>
      <c r="C246" s="14">
        <f>'Empleo Censo'!G246-'Empleo Censo'!F246</f>
        <v/>
      </c>
      <c r="D246" s="14">
        <f>'Empleo Censo'!F246</f>
        <v/>
      </c>
      <c r="E246" s="14">
        <f>'Empleo Censo'!H246</f>
        <v/>
      </c>
      <c r="F246" s="14">
        <f>'Empleo Censo'!I246</f>
        <v/>
      </c>
      <c r="G246" s="14">
        <f>'Empleo Censo'!J246+'Empleo Censo'!K246</f>
        <v/>
      </c>
      <c r="H246" s="14">
        <f>'Empleo Censo'!L246</f>
        <v/>
      </c>
      <c r="I246" s="14">
        <f>'Empleo Censo'!M246</f>
        <v/>
      </c>
      <c r="J246" s="14">
        <f>SUM('Empleo Censo'!N246:AA246)</f>
        <v/>
      </c>
      <c r="K246" s="14">
        <f>SUM(C246:J246)</f>
        <v/>
      </c>
      <c r="L246" s="15">
        <f>SUMPRODUCT(C246:J246,Factores!$B$3:$I$3)</f>
        <v/>
      </c>
      <c r="M246" s="16">
        <f>'Empleo Censo'!E246</f>
        <v/>
      </c>
      <c r="N246" s="17">
        <f>IF(M246&gt;0,L246,Factores!$B$7)</f>
        <v/>
      </c>
      <c r="O246">
        <f>IF(M246&gt;0,"OK","sin PEA -&gt; peor")</f>
        <v/>
      </c>
    </row>
    <row r="247">
      <c r="A247" t="inlineStr">
        <is>
          <t>120904</t>
        </is>
      </c>
      <c r="B247" t="inlineStr">
        <is>
          <t>HUACHAC</t>
        </is>
      </c>
      <c r="C247" s="14">
        <f>'Empleo Censo'!G247-'Empleo Censo'!F247</f>
        <v/>
      </c>
      <c r="D247" s="14">
        <f>'Empleo Censo'!F247</f>
        <v/>
      </c>
      <c r="E247" s="14">
        <f>'Empleo Censo'!H247</f>
        <v/>
      </c>
      <c r="F247" s="14">
        <f>'Empleo Censo'!I247</f>
        <v/>
      </c>
      <c r="G247" s="14">
        <f>'Empleo Censo'!J247+'Empleo Censo'!K247</f>
        <v/>
      </c>
      <c r="H247" s="14">
        <f>'Empleo Censo'!L247</f>
        <v/>
      </c>
      <c r="I247" s="14">
        <f>'Empleo Censo'!M247</f>
        <v/>
      </c>
      <c r="J247" s="14">
        <f>SUM('Empleo Censo'!N247:AA247)</f>
        <v/>
      </c>
      <c r="K247" s="14">
        <f>SUM(C247:J247)</f>
        <v/>
      </c>
      <c r="L247" s="15">
        <f>SUMPRODUCT(C247:J247,Factores!$B$3:$I$3)</f>
        <v/>
      </c>
      <c r="M247" s="16">
        <f>'Empleo Censo'!E247</f>
        <v/>
      </c>
      <c r="N247" s="17">
        <f>IF(M247&gt;0,L247,Factores!$B$7)</f>
        <v/>
      </c>
      <c r="O247">
        <f>IF(M247&gt;0,"OK","sin PEA -&gt; peor")</f>
        <v/>
      </c>
    </row>
    <row r="248">
      <c r="A248" t="inlineStr">
        <is>
          <t>120905</t>
        </is>
      </c>
      <c r="B248" t="inlineStr">
        <is>
          <t>HUAMANCACA CHICO</t>
        </is>
      </c>
      <c r="C248" s="14">
        <f>'Empleo Censo'!G248-'Empleo Censo'!F248</f>
        <v/>
      </c>
      <c r="D248" s="14">
        <f>'Empleo Censo'!F248</f>
        <v/>
      </c>
      <c r="E248" s="14">
        <f>'Empleo Censo'!H248</f>
        <v/>
      </c>
      <c r="F248" s="14">
        <f>'Empleo Censo'!I248</f>
        <v/>
      </c>
      <c r="G248" s="14">
        <f>'Empleo Censo'!J248+'Empleo Censo'!K248</f>
        <v/>
      </c>
      <c r="H248" s="14">
        <f>'Empleo Censo'!L248</f>
        <v/>
      </c>
      <c r="I248" s="14">
        <f>'Empleo Censo'!M248</f>
        <v/>
      </c>
      <c r="J248" s="14">
        <f>SUM('Empleo Censo'!N248:AA248)</f>
        <v/>
      </c>
      <c r="K248" s="14">
        <f>SUM(C248:J248)</f>
        <v/>
      </c>
      <c r="L248" s="15">
        <f>SUMPRODUCT(C248:J248,Factores!$B$3:$I$3)</f>
        <v/>
      </c>
      <c r="M248" s="16">
        <f>'Empleo Censo'!E248</f>
        <v/>
      </c>
      <c r="N248" s="17">
        <f>IF(M248&gt;0,L248,Factores!$B$7)</f>
        <v/>
      </c>
      <c r="O248">
        <f>IF(M248&gt;0,"OK","sin PEA -&gt; peor")</f>
        <v/>
      </c>
    </row>
    <row r="249">
      <c r="A249" t="inlineStr">
        <is>
          <t>120906</t>
        </is>
      </c>
      <c r="B249" t="inlineStr">
        <is>
          <t>SAN JUAN DE YSCOS</t>
        </is>
      </c>
      <c r="C249" s="14">
        <f>'Empleo Censo'!G249-'Empleo Censo'!F249</f>
        <v/>
      </c>
      <c r="D249" s="14">
        <f>'Empleo Censo'!F249</f>
        <v/>
      </c>
      <c r="E249" s="14">
        <f>'Empleo Censo'!H249</f>
        <v/>
      </c>
      <c r="F249" s="14">
        <f>'Empleo Censo'!I249</f>
        <v/>
      </c>
      <c r="G249" s="14">
        <f>'Empleo Censo'!J249+'Empleo Censo'!K249</f>
        <v/>
      </c>
      <c r="H249" s="14">
        <f>'Empleo Censo'!L249</f>
        <v/>
      </c>
      <c r="I249" s="14">
        <f>'Empleo Censo'!M249</f>
        <v/>
      </c>
      <c r="J249" s="14">
        <f>SUM('Empleo Censo'!N249:AA249)</f>
        <v/>
      </c>
      <c r="K249" s="14">
        <f>SUM(C249:J249)</f>
        <v/>
      </c>
      <c r="L249" s="15">
        <f>SUMPRODUCT(C249:J249,Factores!$B$3:$I$3)</f>
        <v/>
      </c>
      <c r="M249" s="16">
        <f>'Empleo Censo'!E249</f>
        <v/>
      </c>
      <c r="N249" s="17">
        <f>IF(M249&gt;0,L249,Factores!$B$7)</f>
        <v/>
      </c>
      <c r="O249">
        <f>IF(M249&gt;0,"OK","sin PEA -&gt; peor")</f>
        <v/>
      </c>
    </row>
    <row r="250">
      <c r="A250" t="inlineStr">
        <is>
          <t>120907</t>
        </is>
      </c>
      <c r="B250" t="inlineStr">
        <is>
          <t>SAN JUAN DE JARPA</t>
        </is>
      </c>
      <c r="C250" s="14">
        <f>'Empleo Censo'!G250-'Empleo Censo'!F250</f>
        <v/>
      </c>
      <c r="D250" s="14">
        <f>'Empleo Censo'!F250</f>
        <v/>
      </c>
      <c r="E250" s="14">
        <f>'Empleo Censo'!H250</f>
        <v/>
      </c>
      <c r="F250" s="14">
        <f>'Empleo Censo'!I250</f>
        <v/>
      </c>
      <c r="G250" s="14">
        <f>'Empleo Censo'!J250+'Empleo Censo'!K250</f>
        <v/>
      </c>
      <c r="H250" s="14">
        <f>'Empleo Censo'!L250</f>
        <v/>
      </c>
      <c r="I250" s="14">
        <f>'Empleo Censo'!M250</f>
        <v/>
      </c>
      <c r="J250" s="14">
        <f>SUM('Empleo Censo'!N250:AA250)</f>
        <v/>
      </c>
      <c r="K250" s="14">
        <f>SUM(C250:J250)</f>
        <v/>
      </c>
      <c r="L250" s="15">
        <f>SUMPRODUCT(C250:J250,Factores!$B$3:$I$3)</f>
        <v/>
      </c>
      <c r="M250" s="16">
        <f>'Empleo Censo'!E250</f>
        <v/>
      </c>
      <c r="N250" s="17">
        <f>IF(M250&gt;0,L250,Factores!$B$7)</f>
        <v/>
      </c>
      <c r="O250">
        <f>IF(M250&gt;0,"OK","sin PEA -&gt; peor")</f>
        <v/>
      </c>
    </row>
    <row r="251">
      <c r="A251" t="inlineStr">
        <is>
          <t>120908</t>
        </is>
      </c>
      <c r="B251" t="inlineStr">
        <is>
          <t>TRES DE DICIEMBRE</t>
        </is>
      </c>
      <c r="C251" s="14">
        <f>'Empleo Censo'!G251-'Empleo Censo'!F251</f>
        <v/>
      </c>
      <c r="D251" s="14">
        <f>'Empleo Censo'!F251</f>
        <v/>
      </c>
      <c r="E251" s="14">
        <f>'Empleo Censo'!H251</f>
        <v/>
      </c>
      <c r="F251" s="14">
        <f>'Empleo Censo'!I251</f>
        <v/>
      </c>
      <c r="G251" s="14">
        <f>'Empleo Censo'!J251+'Empleo Censo'!K251</f>
        <v/>
      </c>
      <c r="H251" s="14">
        <f>'Empleo Censo'!L251</f>
        <v/>
      </c>
      <c r="I251" s="14">
        <f>'Empleo Censo'!M251</f>
        <v/>
      </c>
      <c r="J251" s="14">
        <f>SUM('Empleo Censo'!N251:AA251)</f>
        <v/>
      </c>
      <c r="K251" s="14">
        <f>SUM(C251:J251)</f>
        <v/>
      </c>
      <c r="L251" s="15">
        <f>SUMPRODUCT(C251:J251,Factores!$B$3:$I$3)</f>
        <v/>
      </c>
      <c r="M251" s="16">
        <f>'Empleo Censo'!E251</f>
        <v/>
      </c>
      <c r="N251" s="17">
        <f>IF(M251&gt;0,L251,Factores!$B$7)</f>
        <v/>
      </c>
      <c r="O251">
        <f>IF(M251&gt;0,"OK","sin PEA -&gt; peor")</f>
        <v/>
      </c>
    </row>
    <row r="252">
      <c r="A252" t="inlineStr">
        <is>
          <t>120909</t>
        </is>
      </c>
      <c r="B252" t="inlineStr">
        <is>
          <t>YANACANCHA</t>
        </is>
      </c>
      <c r="C252" s="14">
        <f>'Empleo Censo'!G252-'Empleo Censo'!F252</f>
        <v/>
      </c>
      <c r="D252" s="14">
        <f>'Empleo Censo'!F252</f>
        <v/>
      </c>
      <c r="E252" s="14">
        <f>'Empleo Censo'!H252</f>
        <v/>
      </c>
      <c r="F252" s="14">
        <f>'Empleo Censo'!I252</f>
        <v/>
      </c>
      <c r="G252" s="14">
        <f>'Empleo Censo'!J252+'Empleo Censo'!K252</f>
        <v/>
      </c>
      <c r="H252" s="14">
        <f>'Empleo Censo'!L252</f>
        <v/>
      </c>
      <c r="I252" s="14">
        <f>'Empleo Censo'!M252</f>
        <v/>
      </c>
      <c r="J252" s="14">
        <f>SUM('Empleo Censo'!N252:AA252)</f>
        <v/>
      </c>
      <c r="K252" s="14">
        <f>SUM(C252:J252)</f>
        <v/>
      </c>
      <c r="L252" s="15">
        <f>SUMPRODUCT(C252:J252,Factores!$B$3:$I$3)</f>
        <v/>
      </c>
      <c r="M252" s="16">
        <f>'Empleo Censo'!E252</f>
        <v/>
      </c>
      <c r="N252" s="17">
        <f>IF(M252&gt;0,L252,Factores!$B$7)</f>
        <v/>
      </c>
      <c r="O252">
        <f>IF(M252&gt;0,"OK","sin PEA -&gt; peor")</f>
        <v/>
      </c>
    </row>
    <row r="253">
      <c r="A253" t="inlineStr">
        <is>
          <t>130101</t>
        </is>
      </c>
      <c r="B253" t="inlineStr">
        <is>
          <t>TRUJILLO</t>
        </is>
      </c>
      <c r="C253" s="14">
        <f>'Empleo Censo'!G253-'Empleo Censo'!F253</f>
        <v/>
      </c>
      <c r="D253" s="14">
        <f>'Empleo Censo'!F253</f>
        <v/>
      </c>
      <c r="E253" s="14">
        <f>'Empleo Censo'!H253</f>
        <v/>
      </c>
      <c r="F253" s="14">
        <f>'Empleo Censo'!I253</f>
        <v/>
      </c>
      <c r="G253" s="14">
        <f>'Empleo Censo'!J253+'Empleo Censo'!K253</f>
        <v/>
      </c>
      <c r="H253" s="14">
        <f>'Empleo Censo'!L253</f>
        <v/>
      </c>
      <c r="I253" s="14">
        <f>'Empleo Censo'!M253</f>
        <v/>
      </c>
      <c r="J253" s="14">
        <f>SUM('Empleo Censo'!N253:AA253)</f>
        <v/>
      </c>
      <c r="K253" s="14">
        <f>SUM(C253:J253)</f>
        <v/>
      </c>
      <c r="L253" s="15">
        <f>SUMPRODUCT(C253:J253,Factores!$B$3:$I$3)</f>
        <v/>
      </c>
      <c r="M253" s="16">
        <f>'Empleo Censo'!E253</f>
        <v/>
      </c>
      <c r="N253" s="17">
        <f>IF(M253&gt;0,L253,Factores!$B$7)</f>
        <v/>
      </c>
      <c r="O253">
        <f>IF(M253&gt;0,"OK","sin PEA -&gt; peor")</f>
        <v/>
      </c>
    </row>
    <row r="254">
      <c r="A254" t="inlineStr">
        <is>
          <t>130102</t>
        </is>
      </c>
      <c r="B254" t="inlineStr">
        <is>
          <t>EL PORVENIR</t>
        </is>
      </c>
      <c r="C254" s="14">
        <f>'Empleo Censo'!G254-'Empleo Censo'!F254</f>
        <v/>
      </c>
      <c r="D254" s="14">
        <f>'Empleo Censo'!F254</f>
        <v/>
      </c>
      <c r="E254" s="14">
        <f>'Empleo Censo'!H254</f>
        <v/>
      </c>
      <c r="F254" s="14">
        <f>'Empleo Censo'!I254</f>
        <v/>
      </c>
      <c r="G254" s="14">
        <f>'Empleo Censo'!J254+'Empleo Censo'!K254</f>
        <v/>
      </c>
      <c r="H254" s="14">
        <f>'Empleo Censo'!L254</f>
        <v/>
      </c>
      <c r="I254" s="14">
        <f>'Empleo Censo'!M254</f>
        <v/>
      </c>
      <c r="J254" s="14">
        <f>SUM('Empleo Censo'!N254:AA254)</f>
        <v/>
      </c>
      <c r="K254" s="14">
        <f>SUM(C254:J254)</f>
        <v/>
      </c>
      <c r="L254" s="15">
        <f>SUMPRODUCT(C254:J254,Factores!$B$3:$I$3)</f>
        <v/>
      </c>
      <c r="M254" s="16">
        <f>'Empleo Censo'!E254</f>
        <v/>
      </c>
      <c r="N254" s="17">
        <f>IF(M254&gt;0,L254,Factores!$B$7)</f>
        <v/>
      </c>
      <c r="O254">
        <f>IF(M254&gt;0,"OK","sin PEA -&gt; peor")</f>
        <v/>
      </c>
    </row>
    <row r="255">
      <c r="A255" t="inlineStr">
        <is>
          <t>130103</t>
        </is>
      </c>
      <c r="B255" t="inlineStr">
        <is>
          <t>FLORENCIA DE MORA</t>
        </is>
      </c>
      <c r="C255" s="14">
        <f>'Empleo Censo'!G255-'Empleo Censo'!F255</f>
        <v/>
      </c>
      <c r="D255" s="14">
        <f>'Empleo Censo'!F255</f>
        <v/>
      </c>
      <c r="E255" s="14">
        <f>'Empleo Censo'!H255</f>
        <v/>
      </c>
      <c r="F255" s="14">
        <f>'Empleo Censo'!I255</f>
        <v/>
      </c>
      <c r="G255" s="14">
        <f>'Empleo Censo'!J255+'Empleo Censo'!K255</f>
        <v/>
      </c>
      <c r="H255" s="14">
        <f>'Empleo Censo'!L255</f>
        <v/>
      </c>
      <c r="I255" s="14">
        <f>'Empleo Censo'!M255</f>
        <v/>
      </c>
      <c r="J255" s="14">
        <f>SUM('Empleo Censo'!N255:AA255)</f>
        <v/>
      </c>
      <c r="K255" s="14">
        <f>SUM(C255:J255)</f>
        <v/>
      </c>
      <c r="L255" s="15">
        <f>SUMPRODUCT(C255:J255,Factores!$B$3:$I$3)</f>
        <v/>
      </c>
      <c r="M255" s="16">
        <f>'Empleo Censo'!E255</f>
        <v/>
      </c>
      <c r="N255" s="17">
        <f>IF(M255&gt;0,L255,Factores!$B$7)</f>
        <v/>
      </c>
      <c r="O255">
        <f>IF(M255&gt;0,"OK","sin PEA -&gt; peor")</f>
        <v/>
      </c>
    </row>
    <row r="256">
      <c r="A256" t="inlineStr">
        <is>
          <t>130104</t>
        </is>
      </c>
      <c r="B256" t="inlineStr">
        <is>
          <t>HUANCHACO</t>
        </is>
      </c>
      <c r="C256" s="14">
        <f>'Empleo Censo'!G256-'Empleo Censo'!F256</f>
        <v/>
      </c>
      <c r="D256" s="14">
        <f>'Empleo Censo'!F256</f>
        <v/>
      </c>
      <c r="E256" s="14">
        <f>'Empleo Censo'!H256</f>
        <v/>
      </c>
      <c r="F256" s="14">
        <f>'Empleo Censo'!I256</f>
        <v/>
      </c>
      <c r="G256" s="14">
        <f>'Empleo Censo'!J256+'Empleo Censo'!K256</f>
        <v/>
      </c>
      <c r="H256" s="14">
        <f>'Empleo Censo'!L256</f>
        <v/>
      </c>
      <c r="I256" s="14">
        <f>'Empleo Censo'!M256</f>
        <v/>
      </c>
      <c r="J256" s="14">
        <f>SUM('Empleo Censo'!N256:AA256)</f>
        <v/>
      </c>
      <c r="K256" s="14">
        <f>SUM(C256:J256)</f>
        <v/>
      </c>
      <c r="L256" s="15">
        <f>SUMPRODUCT(C256:J256,Factores!$B$3:$I$3)</f>
        <v/>
      </c>
      <c r="M256" s="16">
        <f>'Empleo Censo'!E256</f>
        <v/>
      </c>
      <c r="N256" s="17">
        <f>IF(M256&gt;0,L256,Factores!$B$7)</f>
        <v/>
      </c>
      <c r="O256">
        <f>IF(M256&gt;0,"OK","sin PEA -&gt; peor")</f>
        <v/>
      </c>
    </row>
    <row r="257">
      <c r="A257" t="inlineStr">
        <is>
          <t>130105</t>
        </is>
      </c>
      <c r="B257" t="inlineStr">
        <is>
          <t>LA ESPERANZA</t>
        </is>
      </c>
      <c r="C257" s="14">
        <f>'Empleo Censo'!G257-'Empleo Censo'!F257</f>
        <v/>
      </c>
      <c r="D257" s="14">
        <f>'Empleo Censo'!F257</f>
        <v/>
      </c>
      <c r="E257" s="14">
        <f>'Empleo Censo'!H257</f>
        <v/>
      </c>
      <c r="F257" s="14">
        <f>'Empleo Censo'!I257</f>
        <v/>
      </c>
      <c r="G257" s="14">
        <f>'Empleo Censo'!J257+'Empleo Censo'!K257</f>
        <v/>
      </c>
      <c r="H257" s="14">
        <f>'Empleo Censo'!L257</f>
        <v/>
      </c>
      <c r="I257" s="14">
        <f>'Empleo Censo'!M257</f>
        <v/>
      </c>
      <c r="J257" s="14">
        <f>SUM('Empleo Censo'!N257:AA257)</f>
        <v/>
      </c>
      <c r="K257" s="14">
        <f>SUM(C257:J257)</f>
        <v/>
      </c>
      <c r="L257" s="15">
        <f>SUMPRODUCT(C257:J257,Factores!$B$3:$I$3)</f>
        <v/>
      </c>
      <c r="M257" s="16">
        <f>'Empleo Censo'!E257</f>
        <v/>
      </c>
      <c r="N257" s="17">
        <f>IF(M257&gt;0,L257,Factores!$B$7)</f>
        <v/>
      </c>
      <c r="O257">
        <f>IF(M257&gt;0,"OK","sin PEA -&gt; peor")</f>
        <v/>
      </c>
    </row>
    <row r="258">
      <c r="A258" t="inlineStr">
        <is>
          <t>130106</t>
        </is>
      </c>
      <c r="B258" t="inlineStr">
        <is>
          <t>LAREDO</t>
        </is>
      </c>
      <c r="C258" s="14">
        <f>'Empleo Censo'!G258-'Empleo Censo'!F258</f>
        <v/>
      </c>
      <c r="D258" s="14">
        <f>'Empleo Censo'!F258</f>
        <v/>
      </c>
      <c r="E258" s="14">
        <f>'Empleo Censo'!H258</f>
        <v/>
      </c>
      <c r="F258" s="14">
        <f>'Empleo Censo'!I258</f>
        <v/>
      </c>
      <c r="G258" s="14">
        <f>'Empleo Censo'!J258+'Empleo Censo'!K258</f>
        <v/>
      </c>
      <c r="H258" s="14">
        <f>'Empleo Censo'!L258</f>
        <v/>
      </c>
      <c r="I258" s="14">
        <f>'Empleo Censo'!M258</f>
        <v/>
      </c>
      <c r="J258" s="14">
        <f>SUM('Empleo Censo'!N258:AA258)</f>
        <v/>
      </c>
      <c r="K258" s="14">
        <f>SUM(C258:J258)</f>
        <v/>
      </c>
      <c r="L258" s="15">
        <f>SUMPRODUCT(C258:J258,Factores!$B$3:$I$3)</f>
        <v/>
      </c>
      <c r="M258" s="16">
        <f>'Empleo Censo'!E258</f>
        <v/>
      </c>
      <c r="N258" s="17">
        <f>IF(M258&gt;0,L258,Factores!$B$7)</f>
        <v/>
      </c>
      <c r="O258">
        <f>IF(M258&gt;0,"OK","sin PEA -&gt; peor")</f>
        <v/>
      </c>
    </row>
    <row r="259">
      <c r="A259" t="inlineStr">
        <is>
          <t>130107</t>
        </is>
      </c>
      <c r="B259" t="inlineStr">
        <is>
          <t>MOCHE</t>
        </is>
      </c>
      <c r="C259" s="14">
        <f>'Empleo Censo'!G259-'Empleo Censo'!F259</f>
        <v/>
      </c>
      <c r="D259" s="14">
        <f>'Empleo Censo'!F259</f>
        <v/>
      </c>
      <c r="E259" s="14">
        <f>'Empleo Censo'!H259</f>
        <v/>
      </c>
      <c r="F259" s="14">
        <f>'Empleo Censo'!I259</f>
        <v/>
      </c>
      <c r="G259" s="14">
        <f>'Empleo Censo'!J259+'Empleo Censo'!K259</f>
        <v/>
      </c>
      <c r="H259" s="14">
        <f>'Empleo Censo'!L259</f>
        <v/>
      </c>
      <c r="I259" s="14">
        <f>'Empleo Censo'!M259</f>
        <v/>
      </c>
      <c r="J259" s="14">
        <f>SUM('Empleo Censo'!N259:AA259)</f>
        <v/>
      </c>
      <c r="K259" s="14">
        <f>SUM(C259:J259)</f>
        <v/>
      </c>
      <c r="L259" s="15">
        <f>SUMPRODUCT(C259:J259,Factores!$B$3:$I$3)</f>
        <v/>
      </c>
      <c r="M259" s="16">
        <f>'Empleo Censo'!E259</f>
        <v/>
      </c>
      <c r="N259" s="17">
        <f>IF(M259&gt;0,L259,Factores!$B$7)</f>
        <v/>
      </c>
      <c r="O259">
        <f>IF(M259&gt;0,"OK","sin PEA -&gt; peor")</f>
        <v/>
      </c>
    </row>
    <row r="260">
      <c r="A260" t="inlineStr">
        <is>
          <t>130108</t>
        </is>
      </c>
      <c r="B260" t="inlineStr">
        <is>
          <t>POROTO</t>
        </is>
      </c>
      <c r="C260" s="14">
        <f>'Empleo Censo'!G260-'Empleo Censo'!F260</f>
        <v/>
      </c>
      <c r="D260" s="14">
        <f>'Empleo Censo'!F260</f>
        <v/>
      </c>
      <c r="E260" s="14">
        <f>'Empleo Censo'!H260</f>
        <v/>
      </c>
      <c r="F260" s="14">
        <f>'Empleo Censo'!I260</f>
        <v/>
      </c>
      <c r="G260" s="14">
        <f>'Empleo Censo'!J260+'Empleo Censo'!K260</f>
        <v/>
      </c>
      <c r="H260" s="14">
        <f>'Empleo Censo'!L260</f>
        <v/>
      </c>
      <c r="I260" s="14">
        <f>'Empleo Censo'!M260</f>
        <v/>
      </c>
      <c r="J260" s="14">
        <f>SUM('Empleo Censo'!N260:AA260)</f>
        <v/>
      </c>
      <c r="K260" s="14">
        <f>SUM(C260:J260)</f>
        <v/>
      </c>
      <c r="L260" s="15">
        <f>SUMPRODUCT(C260:J260,Factores!$B$3:$I$3)</f>
        <v/>
      </c>
      <c r="M260" s="16">
        <f>'Empleo Censo'!E260</f>
        <v/>
      </c>
      <c r="N260" s="17">
        <f>IF(M260&gt;0,L260,Factores!$B$7)</f>
        <v/>
      </c>
      <c r="O260">
        <f>IF(M260&gt;0,"OK","sin PEA -&gt; peor")</f>
        <v/>
      </c>
    </row>
    <row r="261">
      <c r="A261" t="inlineStr">
        <is>
          <t>130109</t>
        </is>
      </c>
      <c r="B261" t="inlineStr">
        <is>
          <t>SALAVERRY</t>
        </is>
      </c>
      <c r="C261" s="14">
        <f>'Empleo Censo'!G261-'Empleo Censo'!F261</f>
        <v/>
      </c>
      <c r="D261" s="14">
        <f>'Empleo Censo'!F261</f>
        <v/>
      </c>
      <c r="E261" s="14">
        <f>'Empleo Censo'!H261</f>
        <v/>
      </c>
      <c r="F261" s="14">
        <f>'Empleo Censo'!I261</f>
        <v/>
      </c>
      <c r="G261" s="14">
        <f>'Empleo Censo'!J261+'Empleo Censo'!K261</f>
        <v/>
      </c>
      <c r="H261" s="14">
        <f>'Empleo Censo'!L261</f>
        <v/>
      </c>
      <c r="I261" s="14">
        <f>'Empleo Censo'!M261</f>
        <v/>
      </c>
      <c r="J261" s="14">
        <f>SUM('Empleo Censo'!N261:AA261)</f>
        <v/>
      </c>
      <c r="K261" s="14">
        <f>SUM(C261:J261)</f>
        <v/>
      </c>
      <c r="L261" s="15">
        <f>SUMPRODUCT(C261:J261,Factores!$B$3:$I$3)</f>
        <v/>
      </c>
      <c r="M261" s="16">
        <f>'Empleo Censo'!E261</f>
        <v/>
      </c>
      <c r="N261" s="17">
        <f>IF(M261&gt;0,L261,Factores!$B$7)</f>
        <v/>
      </c>
      <c r="O261">
        <f>IF(M261&gt;0,"OK","sin PEA -&gt; peor")</f>
        <v/>
      </c>
    </row>
    <row r="262">
      <c r="A262" t="inlineStr">
        <is>
          <t>130110</t>
        </is>
      </c>
      <c r="B262" t="inlineStr">
        <is>
          <t>SIMBAL</t>
        </is>
      </c>
      <c r="C262" s="14">
        <f>'Empleo Censo'!G262-'Empleo Censo'!F262</f>
        <v/>
      </c>
      <c r="D262" s="14">
        <f>'Empleo Censo'!F262</f>
        <v/>
      </c>
      <c r="E262" s="14">
        <f>'Empleo Censo'!H262</f>
        <v/>
      </c>
      <c r="F262" s="14">
        <f>'Empleo Censo'!I262</f>
        <v/>
      </c>
      <c r="G262" s="14">
        <f>'Empleo Censo'!J262+'Empleo Censo'!K262</f>
        <v/>
      </c>
      <c r="H262" s="14">
        <f>'Empleo Censo'!L262</f>
        <v/>
      </c>
      <c r="I262" s="14">
        <f>'Empleo Censo'!M262</f>
        <v/>
      </c>
      <c r="J262" s="14">
        <f>SUM('Empleo Censo'!N262:AA262)</f>
        <v/>
      </c>
      <c r="K262" s="14">
        <f>SUM(C262:J262)</f>
        <v/>
      </c>
      <c r="L262" s="15">
        <f>SUMPRODUCT(C262:J262,Factores!$B$3:$I$3)</f>
        <v/>
      </c>
      <c r="M262" s="16">
        <f>'Empleo Censo'!E262</f>
        <v/>
      </c>
      <c r="N262" s="17">
        <f>IF(M262&gt;0,L262,Factores!$B$7)</f>
        <v/>
      </c>
      <c r="O262">
        <f>IF(M262&gt;0,"OK","sin PEA -&gt; peor")</f>
        <v/>
      </c>
    </row>
    <row r="263">
      <c r="A263" t="inlineStr">
        <is>
          <t>130111</t>
        </is>
      </c>
      <c r="B263" t="inlineStr">
        <is>
          <t>VICTOR LARCO HERRERA</t>
        </is>
      </c>
      <c r="C263" s="14">
        <f>'Empleo Censo'!G263-'Empleo Censo'!F263</f>
        <v/>
      </c>
      <c r="D263" s="14">
        <f>'Empleo Censo'!F263</f>
        <v/>
      </c>
      <c r="E263" s="14">
        <f>'Empleo Censo'!H263</f>
        <v/>
      </c>
      <c r="F263" s="14">
        <f>'Empleo Censo'!I263</f>
        <v/>
      </c>
      <c r="G263" s="14">
        <f>'Empleo Censo'!J263+'Empleo Censo'!K263</f>
        <v/>
      </c>
      <c r="H263" s="14">
        <f>'Empleo Censo'!L263</f>
        <v/>
      </c>
      <c r="I263" s="14">
        <f>'Empleo Censo'!M263</f>
        <v/>
      </c>
      <c r="J263" s="14">
        <f>SUM('Empleo Censo'!N263:AA263)</f>
        <v/>
      </c>
      <c r="K263" s="14">
        <f>SUM(C263:J263)</f>
        <v/>
      </c>
      <c r="L263" s="15">
        <f>SUMPRODUCT(C263:J263,Factores!$B$3:$I$3)</f>
        <v/>
      </c>
      <c r="M263" s="16">
        <f>'Empleo Censo'!E263</f>
        <v/>
      </c>
      <c r="N263" s="17">
        <f>IF(M263&gt;0,L263,Factores!$B$7)</f>
        <v/>
      </c>
      <c r="O263">
        <f>IF(M263&gt;0,"OK","sin PEA -&gt; peor")</f>
        <v/>
      </c>
    </row>
    <row r="264">
      <c r="A264" t="inlineStr">
        <is>
          <t>130112</t>
        </is>
      </c>
      <c r="B264" t="inlineStr">
        <is>
          <t>ALTO TRUJILLO</t>
        </is>
      </c>
      <c r="C264" s="14">
        <f>'Empleo Censo'!G264-'Empleo Censo'!F264</f>
        <v/>
      </c>
      <c r="D264" s="14">
        <f>'Empleo Censo'!F264</f>
        <v/>
      </c>
      <c r="E264" s="14">
        <f>'Empleo Censo'!H264</f>
        <v/>
      </c>
      <c r="F264" s="14">
        <f>'Empleo Censo'!I264</f>
        <v/>
      </c>
      <c r="G264" s="14">
        <f>'Empleo Censo'!J264+'Empleo Censo'!K264</f>
        <v/>
      </c>
      <c r="H264" s="14">
        <f>'Empleo Censo'!L264</f>
        <v/>
      </c>
      <c r="I264" s="14">
        <f>'Empleo Censo'!M264</f>
        <v/>
      </c>
      <c r="J264" s="14">
        <f>SUM('Empleo Censo'!N264:AA264)</f>
        <v/>
      </c>
      <c r="K264" s="14">
        <f>SUM(C264:J264)</f>
        <v/>
      </c>
      <c r="L264" s="15">
        <f>SUMPRODUCT(C264:J264,Factores!$B$3:$I$3)</f>
        <v/>
      </c>
      <c r="M264" s="16">
        <f>'Empleo Censo'!E264</f>
        <v/>
      </c>
      <c r="N264" s="17">
        <f>IF(M264&gt;0,L264,Factores!$B$7)</f>
        <v/>
      </c>
      <c r="O264">
        <f>IF(M264&gt;0,"OK","sin PEA -&gt; peor")</f>
        <v/>
      </c>
    </row>
    <row r="265">
      <c r="A265" t="inlineStr">
        <is>
          <t>130201</t>
        </is>
      </c>
      <c r="B265" t="inlineStr">
        <is>
          <t>ASCOPE</t>
        </is>
      </c>
      <c r="C265" s="14">
        <f>'Empleo Censo'!G265-'Empleo Censo'!F265</f>
        <v/>
      </c>
      <c r="D265" s="14">
        <f>'Empleo Censo'!F265</f>
        <v/>
      </c>
      <c r="E265" s="14">
        <f>'Empleo Censo'!H265</f>
        <v/>
      </c>
      <c r="F265" s="14">
        <f>'Empleo Censo'!I265</f>
        <v/>
      </c>
      <c r="G265" s="14">
        <f>'Empleo Censo'!J265+'Empleo Censo'!K265</f>
        <v/>
      </c>
      <c r="H265" s="14">
        <f>'Empleo Censo'!L265</f>
        <v/>
      </c>
      <c r="I265" s="14">
        <f>'Empleo Censo'!M265</f>
        <v/>
      </c>
      <c r="J265" s="14">
        <f>SUM('Empleo Censo'!N265:AA265)</f>
        <v/>
      </c>
      <c r="K265" s="14">
        <f>SUM(C265:J265)</f>
        <v/>
      </c>
      <c r="L265" s="15">
        <f>SUMPRODUCT(C265:J265,Factores!$B$3:$I$3)</f>
        <v/>
      </c>
      <c r="M265" s="16">
        <f>'Empleo Censo'!E265</f>
        <v/>
      </c>
      <c r="N265" s="17">
        <f>IF(M265&gt;0,L265,Factores!$B$7)</f>
        <v/>
      </c>
      <c r="O265">
        <f>IF(M265&gt;0,"OK","sin PEA -&gt; peor")</f>
        <v/>
      </c>
    </row>
    <row r="266">
      <c r="A266" t="inlineStr">
        <is>
          <t>130202</t>
        </is>
      </c>
      <c r="B266" t="inlineStr">
        <is>
          <t>CHICAMA</t>
        </is>
      </c>
      <c r="C266" s="14">
        <f>'Empleo Censo'!G266-'Empleo Censo'!F266</f>
        <v/>
      </c>
      <c r="D266" s="14">
        <f>'Empleo Censo'!F266</f>
        <v/>
      </c>
      <c r="E266" s="14">
        <f>'Empleo Censo'!H266</f>
        <v/>
      </c>
      <c r="F266" s="14">
        <f>'Empleo Censo'!I266</f>
        <v/>
      </c>
      <c r="G266" s="14">
        <f>'Empleo Censo'!J266+'Empleo Censo'!K266</f>
        <v/>
      </c>
      <c r="H266" s="14">
        <f>'Empleo Censo'!L266</f>
        <v/>
      </c>
      <c r="I266" s="14">
        <f>'Empleo Censo'!M266</f>
        <v/>
      </c>
      <c r="J266" s="14">
        <f>SUM('Empleo Censo'!N266:AA266)</f>
        <v/>
      </c>
      <c r="K266" s="14">
        <f>SUM(C266:J266)</f>
        <v/>
      </c>
      <c r="L266" s="15">
        <f>SUMPRODUCT(C266:J266,Factores!$B$3:$I$3)</f>
        <v/>
      </c>
      <c r="M266" s="16">
        <f>'Empleo Censo'!E266</f>
        <v/>
      </c>
      <c r="N266" s="17">
        <f>IF(M266&gt;0,L266,Factores!$B$7)</f>
        <v/>
      </c>
      <c r="O266">
        <f>IF(M266&gt;0,"OK","sin PEA -&gt; peor")</f>
        <v/>
      </c>
    </row>
    <row r="267">
      <c r="A267" t="inlineStr">
        <is>
          <t>130203</t>
        </is>
      </c>
      <c r="B267" t="inlineStr">
        <is>
          <t>CHOCOPE</t>
        </is>
      </c>
      <c r="C267" s="14">
        <f>'Empleo Censo'!G267-'Empleo Censo'!F267</f>
        <v/>
      </c>
      <c r="D267" s="14">
        <f>'Empleo Censo'!F267</f>
        <v/>
      </c>
      <c r="E267" s="14">
        <f>'Empleo Censo'!H267</f>
        <v/>
      </c>
      <c r="F267" s="14">
        <f>'Empleo Censo'!I267</f>
        <v/>
      </c>
      <c r="G267" s="14">
        <f>'Empleo Censo'!J267+'Empleo Censo'!K267</f>
        <v/>
      </c>
      <c r="H267" s="14">
        <f>'Empleo Censo'!L267</f>
        <v/>
      </c>
      <c r="I267" s="14">
        <f>'Empleo Censo'!M267</f>
        <v/>
      </c>
      <c r="J267" s="14">
        <f>SUM('Empleo Censo'!N267:AA267)</f>
        <v/>
      </c>
      <c r="K267" s="14">
        <f>SUM(C267:J267)</f>
        <v/>
      </c>
      <c r="L267" s="15">
        <f>SUMPRODUCT(C267:J267,Factores!$B$3:$I$3)</f>
        <v/>
      </c>
      <c r="M267" s="16">
        <f>'Empleo Censo'!E267</f>
        <v/>
      </c>
      <c r="N267" s="17">
        <f>IF(M267&gt;0,L267,Factores!$B$7)</f>
        <v/>
      </c>
      <c r="O267">
        <f>IF(M267&gt;0,"OK","sin PEA -&gt; peor")</f>
        <v/>
      </c>
    </row>
    <row r="268">
      <c r="A268" t="inlineStr">
        <is>
          <t>130204</t>
        </is>
      </c>
      <c r="B268" t="inlineStr">
        <is>
          <t>MAGDALENA DE CAO</t>
        </is>
      </c>
      <c r="C268" s="14">
        <f>'Empleo Censo'!G268-'Empleo Censo'!F268</f>
        <v/>
      </c>
      <c r="D268" s="14">
        <f>'Empleo Censo'!F268</f>
        <v/>
      </c>
      <c r="E268" s="14">
        <f>'Empleo Censo'!H268</f>
        <v/>
      </c>
      <c r="F268" s="14">
        <f>'Empleo Censo'!I268</f>
        <v/>
      </c>
      <c r="G268" s="14">
        <f>'Empleo Censo'!J268+'Empleo Censo'!K268</f>
        <v/>
      </c>
      <c r="H268" s="14">
        <f>'Empleo Censo'!L268</f>
        <v/>
      </c>
      <c r="I268" s="14">
        <f>'Empleo Censo'!M268</f>
        <v/>
      </c>
      <c r="J268" s="14">
        <f>SUM('Empleo Censo'!N268:AA268)</f>
        <v/>
      </c>
      <c r="K268" s="14">
        <f>SUM(C268:J268)</f>
        <v/>
      </c>
      <c r="L268" s="15">
        <f>SUMPRODUCT(C268:J268,Factores!$B$3:$I$3)</f>
        <v/>
      </c>
      <c r="M268" s="16">
        <f>'Empleo Censo'!E268</f>
        <v/>
      </c>
      <c r="N268" s="17">
        <f>IF(M268&gt;0,L268,Factores!$B$7)</f>
        <v/>
      </c>
      <c r="O268">
        <f>IF(M268&gt;0,"OK","sin PEA -&gt; peor")</f>
        <v/>
      </c>
    </row>
    <row r="269">
      <c r="A269" t="inlineStr">
        <is>
          <t>130205</t>
        </is>
      </c>
      <c r="B269" t="inlineStr">
        <is>
          <t>PAIJAN</t>
        </is>
      </c>
      <c r="C269" s="14">
        <f>'Empleo Censo'!G269-'Empleo Censo'!F269</f>
        <v/>
      </c>
      <c r="D269" s="14">
        <f>'Empleo Censo'!F269</f>
        <v/>
      </c>
      <c r="E269" s="14">
        <f>'Empleo Censo'!H269</f>
        <v/>
      </c>
      <c r="F269" s="14">
        <f>'Empleo Censo'!I269</f>
        <v/>
      </c>
      <c r="G269" s="14">
        <f>'Empleo Censo'!J269+'Empleo Censo'!K269</f>
        <v/>
      </c>
      <c r="H269" s="14">
        <f>'Empleo Censo'!L269</f>
        <v/>
      </c>
      <c r="I269" s="14">
        <f>'Empleo Censo'!M269</f>
        <v/>
      </c>
      <c r="J269" s="14">
        <f>SUM('Empleo Censo'!N269:AA269)</f>
        <v/>
      </c>
      <c r="K269" s="14">
        <f>SUM(C269:J269)</f>
        <v/>
      </c>
      <c r="L269" s="15">
        <f>SUMPRODUCT(C269:J269,Factores!$B$3:$I$3)</f>
        <v/>
      </c>
      <c r="M269" s="16">
        <f>'Empleo Censo'!E269</f>
        <v/>
      </c>
      <c r="N269" s="17">
        <f>IF(M269&gt;0,L269,Factores!$B$7)</f>
        <v/>
      </c>
      <c r="O269">
        <f>IF(M269&gt;0,"OK","sin PEA -&gt; peor")</f>
        <v/>
      </c>
    </row>
    <row r="270">
      <c r="A270" t="inlineStr">
        <is>
          <t>130206</t>
        </is>
      </c>
      <c r="B270" t="inlineStr">
        <is>
          <t>RAZURI</t>
        </is>
      </c>
      <c r="C270" s="14">
        <f>'Empleo Censo'!G270-'Empleo Censo'!F270</f>
        <v/>
      </c>
      <c r="D270" s="14">
        <f>'Empleo Censo'!F270</f>
        <v/>
      </c>
      <c r="E270" s="14">
        <f>'Empleo Censo'!H270</f>
        <v/>
      </c>
      <c r="F270" s="14">
        <f>'Empleo Censo'!I270</f>
        <v/>
      </c>
      <c r="G270" s="14">
        <f>'Empleo Censo'!J270+'Empleo Censo'!K270</f>
        <v/>
      </c>
      <c r="H270" s="14">
        <f>'Empleo Censo'!L270</f>
        <v/>
      </c>
      <c r="I270" s="14">
        <f>'Empleo Censo'!M270</f>
        <v/>
      </c>
      <c r="J270" s="14">
        <f>SUM('Empleo Censo'!N270:AA270)</f>
        <v/>
      </c>
      <c r="K270" s="14">
        <f>SUM(C270:J270)</f>
        <v/>
      </c>
      <c r="L270" s="15">
        <f>SUMPRODUCT(C270:J270,Factores!$B$3:$I$3)</f>
        <v/>
      </c>
      <c r="M270" s="16">
        <f>'Empleo Censo'!E270</f>
        <v/>
      </c>
      <c r="N270" s="17">
        <f>IF(M270&gt;0,L270,Factores!$B$7)</f>
        <v/>
      </c>
      <c r="O270">
        <f>IF(M270&gt;0,"OK","sin PEA -&gt; peor")</f>
        <v/>
      </c>
    </row>
    <row r="271">
      <c r="A271" t="inlineStr">
        <is>
          <t>130207</t>
        </is>
      </c>
      <c r="B271" t="inlineStr">
        <is>
          <t>SANTIAGO DE CAO</t>
        </is>
      </c>
      <c r="C271" s="14">
        <f>'Empleo Censo'!G271-'Empleo Censo'!F271</f>
        <v/>
      </c>
      <c r="D271" s="14">
        <f>'Empleo Censo'!F271</f>
        <v/>
      </c>
      <c r="E271" s="14">
        <f>'Empleo Censo'!H271</f>
        <v/>
      </c>
      <c r="F271" s="14">
        <f>'Empleo Censo'!I271</f>
        <v/>
      </c>
      <c r="G271" s="14">
        <f>'Empleo Censo'!J271+'Empleo Censo'!K271</f>
        <v/>
      </c>
      <c r="H271" s="14">
        <f>'Empleo Censo'!L271</f>
        <v/>
      </c>
      <c r="I271" s="14">
        <f>'Empleo Censo'!M271</f>
        <v/>
      </c>
      <c r="J271" s="14">
        <f>SUM('Empleo Censo'!N271:AA271)</f>
        <v/>
      </c>
      <c r="K271" s="14">
        <f>SUM(C271:J271)</f>
        <v/>
      </c>
      <c r="L271" s="15">
        <f>SUMPRODUCT(C271:J271,Factores!$B$3:$I$3)</f>
        <v/>
      </c>
      <c r="M271" s="16">
        <f>'Empleo Censo'!E271</f>
        <v/>
      </c>
      <c r="N271" s="17">
        <f>IF(M271&gt;0,L271,Factores!$B$7)</f>
        <v/>
      </c>
      <c r="O271">
        <f>IF(M271&gt;0,"OK","sin PEA -&gt; peor")</f>
        <v/>
      </c>
    </row>
    <row r="272">
      <c r="A272" t="inlineStr">
        <is>
          <t>130208</t>
        </is>
      </c>
      <c r="B272" t="inlineStr">
        <is>
          <t>CASA GRANDE</t>
        </is>
      </c>
      <c r="C272" s="14">
        <f>'Empleo Censo'!G272-'Empleo Censo'!F272</f>
        <v/>
      </c>
      <c r="D272" s="14">
        <f>'Empleo Censo'!F272</f>
        <v/>
      </c>
      <c r="E272" s="14">
        <f>'Empleo Censo'!H272</f>
        <v/>
      </c>
      <c r="F272" s="14">
        <f>'Empleo Censo'!I272</f>
        <v/>
      </c>
      <c r="G272" s="14">
        <f>'Empleo Censo'!J272+'Empleo Censo'!K272</f>
        <v/>
      </c>
      <c r="H272" s="14">
        <f>'Empleo Censo'!L272</f>
        <v/>
      </c>
      <c r="I272" s="14">
        <f>'Empleo Censo'!M272</f>
        <v/>
      </c>
      <c r="J272" s="14">
        <f>SUM('Empleo Censo'!N272:AA272)</f>
        <v/>
      </c>
      <c r="K272" s="14">
        <f>SUM(C272:J272)</f>
        <v/>
      </c>
      <c r="L272" s="15">
        <f>SUMPRODUCT(C272:J272,Factores!$B$3:$I$3)</f>
        <v/>
      </c>
      <c r="M272" s="16">
        <f>'Empleo Censo'!E272</f>
        <v/>
      </c>
      <c r="N272" s="17">
        <f>IF(M272&gt;0,L272,Factores!$B$7)</f>
        <v/>
      </c>
      <c r="O272">
        <f>IF(M272&gt;0,"OK","sin PEA -&gt; peor")</f>
        <v/>
      </c>
    </row>
    <row r="273">
      <c r="A273" t="inlineStr">
        <is>
          <t>130301</t>
        </is>
      </c>
      <c r="B273" t="inlineStr">
        <is>
          <t>BOLIVAR</t>
        </is>
      </c>
      <c r="C273" s="14">
        <f>'Empleo Censo'!G273-'Empleo Censo'!F273</f>
        <v/>
      </c>
      <c r="D273" s="14">
        <f>'Empleo Censo'!F273</f>
        <v/>
      </c>
      <c r="E273" s="14">
        <f>'Empleo Censo'!H273</f>
        <v/>
      </c>
      <c r="F273" s="14">
        <f>'Empleo Censo'!I273</f>
        <v/>
      </c>
      <c r="G273" s="14">
        <f>'Empleo Censo'!J273+'Empleo Censo'!K273</f>
        <v/>
      </c>
      <c r="H273" s="14">
        <f>'Empleo Censo'!L273</f>
        <v/>
      </c>
      <c r="I273" s="14">
        <f>'Empleo Censo'!M273</f>
        <v/>
      </c>
      <c r="J273" s="14">
        <f>SUM('Empleo Censo'!N273:AA273)</f>
        <v/>
      </c>
      <c r="K273" s="14">
        <f>SUM(C273:J273)</f>
        <v/>
      </c>
      <c r="L273" s="15">
        <f>SUMPRODUCT(C273:J273,Factores!$B$3:$I$3)</f>
        <v/>
      </c>
      <c r="M273" s="16">
        <f>'Empleo Censo'!E273</f>
        <v/>
      </c>
      <c r="N273" s="17">
        <f>IF(M273&gt;0,L273,Factores!$B$7)</f>
        <v/>
      </c>
      <c r="O273">
        <f>IF(M273&gt;0,"OK","sin PEA -&gt; peor")</f>
        <v/>
      </c>
    </row>
    <row r="274">
      <c r="A274" t="inlineStr">
        <is>
          <t>130302</t>
        </is>
      </c>
      <c r="B274" t="inlineStr">
        <is>
          <t>BAMBAMARCA</t>
        </is>
      </c>
      <c r="C274" s="14">
        <f>'Empleo Censo'!G274-'Empleo Censo'!F274</f>
        <v/>
      </c>
      <c r="D274" s="14">
        <f>'Empleo Censo'!F274</f>
        <v/>
      </c>
      <c r="E274" s="14">
        <f>'Empleo Censo'!H274</f>
        <v/>
      </c>
      <c r="F274" s="14">
        <f>'Empleo Censo'!I274</f>
        <v/>
      </c>
      <c r="G274" s="14">
        <f>'Empleo Censo'!J274+'Empleo Censo'!K274</f>
        <v/>
      </c>
      <c r="H274" s="14">
        <f>'Empleo Censo'!L274</f>
        <v/>
      </c>
      <c r="I274" s="14">
        <f>'Empleo Censo'!M274</f>
        <v/>
      </c>
      <c r="J274" s="14">
        <f>SUM('Empleo Censo'!N274:AA274)</f>
        <v/>
      </c>
      <c r="K274" s="14">
        <f>SUM(C274:J274)</f>
        <v/>
      </c>
      <c r="L274" s="15">
        <f>SUMPRODUCT(C274:J274,Factores!$B$3:$I$3)</f>
        <v/>
      </c>
      <c r="M274" s="16">
        <f>'Empleo Censo'!E274</f>
        <v/>
      </c>
      <c r="N274" s="17">
        <f>IF(M274&gt;0,L274,Factores!$B$7)</f>
        <v/>
      </c>
      <c r="O274">
        <f>IF(M274&gt;0,"OK","sin PEA -&gt; peor")</f>
        <v/>
      </c>
    </row>
    <row r="275">
      <c r="A275" t="inlineStr">
        <is>
          <t>130303</t>
        </is>
      </c>
      <c r="B275" t="inlineStr">
        <is>
          <t>CONDORMARCA</t>
        </is>
      </c>
      <c r="C275" s="14">
        <f>'Empleo Censo'!G275-'Empleo Censo'!F275</f>
        <v/>
      </c>
      <c r="D275" s="14">
        <f>'Empleo Censo'!F275</f>
        <v/>
      </c>
      <c r="E275" s="14">
        <f>'Empleo Censo'!H275</f>
        <v/>
      </c>
      <c r="F275" s="14">
        <f>'Empleo Censo'!I275</f>
        <v/>
      </c>
      <c r="G275" s="14">
        <f>'Empleo Censo'!J275+'Empleo Censo'!K275</f>
        <v/>
      </c>
      <c r="H275" s="14">
        <f>'Empleo Censo'!L275</f>
        <v/>
      </c>
      <c r="I275" s="14">
        <f>'Empleo Censo'!M275</f>
        <v/>
      </c>
      <c r="J275" s="14">
        <f>SUM('Empleo Censo'!N275:AA275)</f>
        <v/>
      </c>
      <c r="K275" s="14">
        <f>SUM(C275:J275)</f>
        <v/>
      </c>
      <c r="L275" s="15">
        <f>SUMPRODUCT(C275:J275,Factores!$B$3:$I$3)</f>
        <v/>
      </c>
      <c r="M275" s="16">
        <f>'Empleo Censo'!E275</f>
        <v/>
      </c>
      <c r="N275" s="17">
        <f>IF(M275&gt;0,L275,Factores!$B$7)</f>
        <v/>
      </c>
      <c r="O275">
        <f>IF(M275&gt;0,"OK","sin PEA -&gt; peor")</f>
        <v/>
      </c>
    </row>
    <row r="276">
      <c r="A276" t="inlineStr">
        <is>
          <t>130304</t>
        </is>
      </c>
      <c r="B276" t="inlineStr">
        <is>
          <t>LONGOTEA</t>
        </is>
      </c>
      <c r="C276" s="14">
        <f>'Empleo Censo'!G276-'Empleo Censo'!F276</f>
        <v/>
      </c>
      <c r="D276" s="14">
        <f>'Empleo Censo'!F276</f>
        <v/>
      </c>
      <c r="E276" s="14">
        <f>'Empleo Censo'!H276</f>
        <v/>
      </c>
      <c r="F276" s="14">
        <f>'Empleo Censo'!I276</f>
        <v/>
      </c>
      <c r="G276" s="14">
        <f>'Empleo Censo'!J276+'Empleo Censo'!K276</f>
        <v/>
      </c>
      <c r="H276" s="14">
        <f>'Empleo Censo'!L276</f>
        <v/>
      </c>
      <c r="I276" s="14">
        <f>'Empleo Censo'!M276</f>
        <v/>
      </c>
      <c r="J276" s="14">
        <f>SUM('Empleo Censo'!N276:AA276)</f>
        <v/>
      </c>
      <c r="K276" s="14">
        <f>SUM(C276:J276)</f>
        <v/>
      </c>
      <c r="L276" s="15">
        <f>SUMPRODUCT(C276:J276,Factores!$B$3:$I$3)</f>
        <v/>
      </c>
      <c r="M276" s="16">
        <f>'Empleo Censo'!E276</f>
        <v/>
      </c>
      <c r="N276" s="17">
        <f>IF(M276&gt;0,L276,Factores!$B$7)</f>
        <v/>
      </c>
      <c r="O276">
        <f>IF(M276&gt;0,"OK","sin PEA -&gt; peor")</f>
        <v/>
      </c>
    </row>
    <row r="277">
      <c r="A277" t="inlineStr">
        <is>
          <t>130305</t>
        </is>
      </c>
      <c r="B277" t="inlineStr">
        <is>
          <t>UCHUMARCA</t>
        </is>
      </c>
      <c r="C277" s="14">
        <f>'Empleo Censo'!G277-'Empleo Censo'!F277</f>
        <v/>
      </c>
      <c r="D277" s="14">
        <f>'Empleo Censo'!F277</f>
        <v/>
      </c>
      <c r="E277" s="14">
        <f>'Empleo Censo'!H277</f>
        <v/>
      </c>
      <c r="F277" s="14">
        <f>'Empleo Censo'!I277</f>
        <v/>
      </c>
      <c r="G277" s="14">
        <f>'Empleo Censo'!J277+'Empleo Censo'!K277</f>
        <v/>
      </c>
      <c r="H277" s="14">
        <f>'Empleo Censo'!L277</f>
        <v/>
      </c>
      <c r="I277" s="14">
        <f>'Empleo Censo'!M277</f>
        <v/>
      </c>
      <c r="J277" s="14">
        <f>SUM('Empleo Censo'!N277:AA277)</f>
        <v/>
      </c>
      <c r="K277" s="14">
        <f>SUM(C277:J277)</f>
        <v/>
      </c>
      <c r="L277" s="15">
        <f>SUMPRODUCT(C277:J277,Factores!$B$3:$I$3)</f>
        <v/>
      </c>
      <c r="M277" s="16">
        <f>'Empleo Censo'!E277</f>
        <v/>
      </c>
      <c r="N277" s="17">
        <f>IF(M277&gt;0,L277,Factores!$B$7)</f>
        <v/>
      </c>
      <c r="O277">
        <f>IF(M277&gt;0,"OK","sin PEA -&gt; peor")</f>
        <v/>
      </c>
    </row>
    <row r="278">
      <c r="A278" t="inlineStr">
        <is>
          <t>130306</t>
        </is>
      </c>
      <c r="B278" t="inlineStr">
        <is>
          <t>UCUNCHA</t>
        </is>
      </c>
      <c r="C278" s="14">
        <f>'Empleo Censo'!G278-'Empleo Censo'!F278</f>
        <v/>
      </c>
      <c r="D278" s="14">
        <f>'Empleo Censo'!F278</f>
        <v/>
      </c>
      <c r="E278" s="14">
        <f>'Empleo Censo'!H278</f>
        <v/>
      </c>
      <c r="F278" s="14">
        <f>'Empleo Censo'!I278</f>
        <v/>
      </c>
      <c r="G278" s="14">
        <f>'Empleo Censo'!J278+'Empleo Censo'!K278</f>
        <v/>
      </c>
      <c r="H278" s="14">
        <f>'Empleo Censo'!L278</f>
        <v/>
      </c>
      <c r="I278" s="14">
        <f>'Empleo Censo'!M278</f>
        <v/>
      </c>
      <c r="J278" s="14">
        <f>SUM('Empleo Censo'!N278:AA278)</f>
        <v/>
      </c>
      <c r="K278" s="14">
        <f>SUM(C278:J278)</f>
        <v/>
      </c>
      <c r="L278" s="15">
        <f>SUMPRODUCT(C278:J278,Factores!$B$3:$I$3)</f>
        <v/>
      </c>
      <c r="M278" s="16">
        <f>'Empleo Censo'!E278</f>
        <v/>
      </c>
      <c r="N278" s="17">
        <f>IF(M278&gt;0,L278,Factores!$B$7)</f>
        <v/>
      </c>
      <c r="O278">
        <f>IF(M278&gt;0,"OK","sin PEA -&gt; peor")</f>
        <v/>
      </c>
    </row>
    <row r="279">
      <c r="A279" t="inlineStr">
        <is>
          <t>130401</t>
        </is>
      </c>
      <c r="B279" t="inlineStr">
        <is>
          <t>CHEPEN</t>
        </is>
      </c>
      <c r="C279" s="14">
        <f>'Empleo Censo'!G279-'Empleo Censo'!F279</f>
        <v/>
      </c>
      <c r="D279" s="14">
        <f>'Empleo Censo'!F279</f>
        <v/>
      </c>
      <c r="E279" s="14">
        <f>'Empleo Censo'!H279</f>
        <v/>
      </c>
      <c r="F279" s="14">
        <f>'Empleo Censo'!I279</f>
        <v/>
      </c>
      <c r="G279" s="14">
        <f>'Empleo Censo'!J279+'Empleo Censo'!K279</f>
        <v/>
      </c>
      <c r="H279" s="14">
        <f>'Empleo Censo'!L279</f>
        <v/>
      </c>
      <c r="I279" s="14">
        <f>'Empleo Censo'!M279</f>
        <v/>
      </c>
      <c r="J279" s="14">
        <f>SUM('Empleo Censo'!N279:AA279)</f>
        <v/>
      </c>
      <c r="K279" s="14">
        <f>SUM(C279:J279)</f>
        <v/>
      </c>
      <c r="L279" s="15">
        <f>SUMPRODUCT(C279:J279,Factores!$B$3:$I$3)</f>
        <v/>
      </c>
      <c r="M279" s="16">
        <f>'Empleo Censo'!E279</f>
        <v/>
      </c>
      <c r="N279" s="17">
        <f>IF(M279&gt;0,L279,Factores!$B$7)</f>
        <v/>
      </c>
      <c r="O279">
        <f>IF(M279&gt;0,"OK","sin PEA -&gt; peor")</f>
        <v/>
      </c>
    </row>
    <row r="280">
      <c r="A280" t="inlineStr">
        <is>
          <t>130402</t>
        </is>
      </c>
      <c r="B280" t="inlineStr">
        <is>
          <t>PACANGA</t>
        </is>
      </c>
      <c r="C280" s="14">
        <f>'Empleo Censo'!G280-'Empleo Censo'!F280</f>
        <v/>
      </c>
      <c r="D280" s="14">
        <f>'Empleo Censo'!F280</f>
        <v/>
      </c>
      <c r="E280" s="14">
        <f>'Empleo Censo'!H280</f>
        <v/>
      </c>
      <c r="F280" s="14">
        <f>'Empleo Censo'!I280</f>
        <v/>
      </c>
      <c r="G280" s="14">
        <f>'Empleo Censo'!J280+'Empleo Censo'!K280</f>
        <v/>
      </c>
      <c r="H280" s="14">
        <f>'Empleo Censo'!L280</f>
        <v/>
      </c>
      <c r="I280" s="14">
        <f>'Empleo Censo'!M280</f>
        <v/>
      </c>
      <c r="J280" s="14">
        <f>SUM('Empleo Censo'!N280:AA280)</f>
        <v/>
      </c>
      <c r="K280" s="14">
        <f>SUM(C280:J280)</f>
        <v/>
      </c>
      <c r="L280" s="15">
        <f>SUMPRODUCT(C280:J280,Factores!$B$3:$I$3)</f>
        <v/>
      </c>
      <c r="M280" s="16">
        <f>'Empleo Censo'!E280</f>
        <v/>
      </c>
      <c r="N280" s="17">
        <f>IF(M280&gt;0,L280,Factores!$B$7)</f>
        <v/>
      </c>
      <c r="O280">
        <f>IF(M280&gt;0,"OK","sin PEA -&gt; peor")</f>
        <v/>
      </c>
    </row>
    <row r="281">
      <c r="A281" t="inlineStr">
        <is>
          <t>130403</t>
        </is>
      </c>
      <c r="B281" t="inlineStr">
        <is>
          <t>PUEBLO NUEVO</t>
        </is>
      </c>
      <c r="C281" s="14">
        <f>'Empleo Censo'!G281-'Empleo Censo'!F281</f>
        <v/>
      </c>
      <c r="D281" s="14">
        <f>'Empleo Censo'!F281</f>
        <v/>
      </c>
      <c r="E281" s="14">
        <f>'Empleo Censo'!H281</f>
        <v/>
      </c>
      <c r="F281" s="14">
        <f>'Empleo Censo'!I281</f>
        <v/>
      </c>
      <c r="G281" s="14">
        <f>'Empleo Censo'!J281+'Empleo Censo'!K281</f>
        <v/>
      </c>
      <c r="H281" s="14">
        <f>'Empleo Censo'!L281</f>
        <v/>
      </c>
      <c r="I281" s="14">
        <f>'Empleo Censo'!M281</f>
        <v/>
      </c>
      <c r="J281" s="14">
        <f>SUM('Empleo Censo'!N281:AA281)</f>
        <v/>
      </c>
      <c r="K281" s="14">
        <f>SUM(C281:J281)</f>
        <v/>
      </c>
      <c r="L281" s="15">
        <f>SUMPRODUCT(C281:J281,Factores!$B$3:$I$3)</f>
        <v/>
      </c>
      <c r="M281" s="16">
        <f>'Empleo Censo'!E281</f>
        <v/>
      </c>
      <c r="N281" s="17">
        <f>IF(M281&gt;0,L281,Factores!$B$7)</f>
        <v/>
      </c>
      <c r="O281">
        <f>IF(M281&gt;0,"OK","sin PEA -&gt; peor")</f>
        <v/>
      </c>
    </row>
    <row r="282">
      <c r="A282" t="inlineStr">
        <is>
          <t>130501</t>
        </is>
      </c>
      <c r="B282" t="inlineStr">
        <is>
          <t>JULCAN</t>
        </is>
      </c>
      <c r="C282" s="14">
        <f>'Empleo Censo'!G282-'Empleo Censo'!F282</f>
        <v/>
      </c>
      <c r="D282" s="14">
        <f>'Empleo Censo'!F282</f>
        <v/>
      </c>
      <c r="E282" s="14">
        <f>'Empleo Censo'!H282</f>
        <v/>
      </c>
      <c r="F282" s="14">
        <f>'Empleo Censo'!I282</f>
        <v/>
      </c>
      <c r="G282" s="14">
        <f>'Empleo Censo'!J282+'Empleo Censo'!K282</f>
        <v/>
      </c>
      <c r="H282" s="14">
        <f>'Empleo Censo'!L282</f>
        <v/>
      </c>
      <c r="I282" s="14">
        <f>'Empleo Censo'!M282</f>
        <v/>
      </c>
      <c r="J282" s="14">
        <f>SUM('Empleo Censo'!N282:AA282)</f>
        <v/>
      </c>
      <c r="K282" s="14">
        <f>SUM(C282:J282)</f>
        <v/>
      </c>
      <c r="L282" s="15">
        <f>SUMPRODUCT(C282:J282,Factores!$B$3:$I$3)</f>
        <v/>
      </c>
      <c r="M282" s="16">
        <f>'Empleo Censo'!E282</f>
        <v/>
      </c>
      <c r="N282" s="17">
        <f>IF(M282&gt;0,L282,Factores!$B$7)</f>
        <v/>
      </c>
      <c r="O282">
        <f>IF(M282&gt;0,"OK","sin PEA -&gt; peor")</f>
        <v/>
      </c>
    </row>
    <row r="283">
      <c r="A283" t="inlineStr">
        <is>
          <t>130502</t>
        </is>
      </c>
      <c r="B283" t="inlineStr">
        <is>
          <t>CALAMARCA</t>
        </is>
      </c>
      <c r="C283" s="14">
        <f>'Empleo Censo'!G283-'Empleo Censo'!F283</f>
        <v/>
      </c>
      <c r="D283" s="14">
        <f>'Empleo Censo'!F283</f>
        <v/>
      </c>
      <c r="E283" s="14">
        <f>'Empleo Censo'!H283</f>
        <v/>
      </c>
      <c r="F283" s="14">
        <f>'Empleo Censo'!I283</f>
        <v/>
      </c>
      <c r="G283" s="14">
        <f>'Empleo Censo'!J283+'Empleo Censo'!K283</f>
        <v/>
      </c>
      <c r="H283" s="14">
        <f>'Empleo Censo'!L283</f>
        <v/>
      </c>
      <c r="I283" s="14">
        <f>'Empleo Censo'!M283</f>
        <v/>
      </c>
      <c r="J283" s="14">
        <f>SUM('Empleo Censo'!N283:AA283)</f>
        <v/>
      </c>
      <c r="K283" s="14">
        <f>SUM(C283:J283)</f>
        <v/>
      </c>
      <c r="L283" s="15">
        <f>SUMPRODUCT(C283:J283,Factores!$B$3:$I$3)</f>
        <v/>
      </c>
      <c r="M283" s="16">
        <f>'Empleo Censo'!E283</f>
        <v/>
      </c>
      <c r="N283" s="17">
        <f>IF(M283&gt;0,L283,Factores!$B$7)</f>
        <v/>
      </c>
      <c r="O283">
        <f>IF(M283&gt;0,"OK","sin PEA -&gt; peor")</f>
        <v/>
      </c>
    </row>
    <row r="284">
      <c r="A284" t="inlineStr">
        <is>
          <t>130503</t>
        </is>
      </c>
      <c r="B284" t="inlineStr">
        <is>
          <t>CARABAMBA</t>
        </is>
      </c>
      <c r="C284" s="14">
        <f>'Empleo Censo'!G284-'Empleo Censo'!F284</f>
        <v/>
      </c>
      <c r="D284" s="14">
        <f>'Empleo Censo'!F284</f>
        <v/>
      </c>
      <c r="E284" s="14">
        <f>'Empleo Censo'!H284</f>
        <v/>
      </c>
      <c r="F284" s="14">
        <f>'Empleo Censo'!I284</f>
        <v/>
      </c>
      <c r="G284" s="14">
        <f>'Empleo Censo'!J284+'Empleo Censo'!K284</f>
        <v/>
      </c>
      <c r="H284" s="14">
        <f>'Empleo Censo'!L284</f>
        <v/>
      </c>
      <c r="I284" s="14">
        <f>'Empleo Censo'!M284</f>
        <v/>
      </c>
      <c r="J284" s="14">
        <f>SUM('Empleo Censo'!N284:AA284)</f>
        <v/>
      </c>
      <c r="K284" s="14">
        <f>SUM(C284:J284)</f>
        <v/>
      </c>
      <c r="L284" s="15">
        <f>SUMPRODUCT(C284:J284,Factores!$B$3:$I$3)</f>
        <v/>
      </c>
      <c r="M284" s="16">
        <f>'Empleo Censo'!E284</f>
        <v/>
      </c>
      <c r="N284" s="17">
        <f>IF(M284&gt;0,L284,Factores!$B$7)</f>
        <v/>
      </c>
      <c r="O284">
        <f>IF(M284&gt;0,"OK","sin PEA -&gt; peor")</f>
        <v/>
      </c>
    </row>
    <row r="285">
      <c r="A285" t="inlineStr">
        <is>
          <t>130504</t>
        </is>
      </c>
      <c r="B285" t="inlineStr">
        <is>
          <t>HUASO</t>
        </is>
      </c>
      <c r="C285" s="14">
        <f>'Empleo Censo'!G285-'Empleo Censo'!F285</f>
        <v/>
      </c>
      <c r="D285" s="14">
        <f>'Empleo Censo'!F285</f>
        <v/>
      </c>
      <c r="E285" s="14">
        <f>'Empleo Censo'!H285</f>
        <v/>
      </c>
      <c r="F285" s="14">
        <f>'Empleo Censo'!I285</f>
        <v/>
      </c>
      <c r="G285" s="14">
        <f>'Empleo Censo'!J285+'Empleo Censo'!K285</f>
        <v/>
      </c>
      <c r="H285" s="14">
        <f>'Empleo Censo'!L285</f>
        <v/>
      </c>
      <c r="I285" s="14">
        <f>'Empleo Censo'!M285</f>
        <v/>
      </c>
      <c r="J285" s="14">
        <f>SUM('Empleo Censo'!N285:AA285)</f>
        <v/>
      </c>
      <c r="K285" s="14">
        <f>SUM(C285:J285)</f>
        <v/>
      </c>
      <c r="L285" s="15">
        <f>SUMPRODUCT(C285:J285,Factores!$B$3:$I$3)</f>
        <v/>
      </c>
      <c r="M285" s="16">
        <f>'Empleo Censo'!E285</f>
        <v/>
      </c>
      <c r="N285" s="17">
        <f>IF(M285&gt;0,L285,Factores!$B$7)</f>
        <v/>
      </c>
      <c r="O285">
        <f>IF(M285&gt;0,"OK","sin PEA -&gt; peor")</f>
        <v/>
      </c>
    </row>
    <row r="286">
      <c r="A286" t="inlineStr">
        <is>
          <t>130601</t>
        </is>
      </c>
      <c r="B286" t="inlineStr">
        <is>
          <t>OTUZCO</t>
        </is>
      </c>
      <c r="C286" s="14">
        <f>'Empleo Censo'!G286-'Empleo Censo'!F286</f>
        <v/>
      </c>
      <c r="D286" s="14">
        <f>'Empleo Censo'!F286</f>
        <v/>
      </c>
      <c r="E286" s="14">
        <f>'Empleo Censo'!H286</f>
        <v/>
      </c>
      <c r="F286" s="14">
        <f>'Empleo Censo'!I286</f>
        <v/>
      </c>
      <c r="G286" s="14">
        <f>'Empleo Censo'!J286+'Empleo Censo'!K286</f>
        <v/>
      </c>
      <c r="H286" s="14">
        <f>'Empleo Censo'!L286</f>
        <v/>
      </c>
      <c r="I286" s="14">
        <f>'Empleo Censo'!M286</f>
        <v/>
      </c>
      <c r="J286" s="14">
        <f>SUM('Empleo Censo'!N286:AA286)</f>
        <v/>
      </c>
      <c r="K286" s="14">
        <f>SUM(C286:J286)</f>
        <v/>
      </c>
      <c r="L286" s="15">
        <f>SUMPRODUCT(C286:J286,Factores!$B$3:$I$3)</f>
        <v/>
      </c>
      <c r="M286" s="16">
        <f>'Empleo Censo'!E286</f>
        <v/>
      </c>
      <c r="N286" s="17">
        <f>IF(M286&gt;0,L286,Factores!$B$7)</f>
        <v/>
      </c>
      <c r="O286">
        <f>IF(M286&gt;0,"OK","sin PEA -&gt; peor")</f>
        <v/>
      </c>
    </row>
    <row r="287">
      <c r="A287" t="inlineStr">
        <is>
          <t>130602</t>
        </is>
      </c>
      <c r="B287" t="inlineStr">
        <is>
          <t>AGALLPAMPA</t>
        </is>
      </c>
      <c r="C287" s="14">
        <f>'Empleo Censo'!G287-'Empleo Censo'!F287</f>
        <v/>
      </c>
      <c r="D287" s="14">
        <f>'Empleo Censo'!F287</f>
        <v/>
      </c>
      <c r="E287" s="14">
        <f>'Empleo Censo'!H287</f>
        <v/>
      </c>
      <c r="F287" s="14">
        <f>'Empleo Censo'!I287</f>
        <v/>
      </c>
      <c r="G287" s="14">
        <f>'Empleo Censo'!J287+'Empleo Censo'!K287</f>
        <v/>
      </c>
      <c r="H287" s="14">
        <f>'Empleo Censo'!L287</f>
        <v/>
      </c>
      <c r="I287" s="14">
        <f>'Empleo Censo'!M287</f>
        <v/>
      </c>
      <c r="J287" s="14">
        <f>SUM('Empleo Censo'!N287:AA287)</f>
        <v/>
      </c>
      <c r="K287" s="14">
        <f>SUM(C287:J287)</f>
        <v/>
      </c>
      <c r="L287" s="15">
        <f>SUMPRODUCT(C287:J287,Factores!$B$3:$I$3)</f>
        <v/>
      </c>
      <c r="M287" s="16">
        <f>'Empleo Censo'!E287</f>
        <v/>
      </c>
      <c r="N287" s="17">
        <f>IF(M287&gt;0,L287,Factores!$B$7)</f>
        <v/>
      </c>
      <c r="O287">
        <f>IF(M287&gt;0,"OK","sin PEA -&gt; peor")</f>
        <v/>
      </c>
    </row>
    <row r="288">
      <c r="A288" t="inlineStr">
        <is>
          <t>130604</t>
        </is>
      </c>
      <c r="B288" t="inlineStr">
        <is>
          <t>CHARAT</t>
        </is>
      </c>
      <c r="C288" s="14">
        <f>'Empleo Censo'!G288-'Empleo Censo'!F288</f>
        <v/>
      </c>
      <c r="D288" s="14">
        <f>'Empleo Censo'!F288</f>
        <v/>
      </c>
      <c r="E288" s="14">
        <f>'Empleo Censo'!H288</f>
        <v/>
      </c>
      <c r="F288" s="14">
        <f>'Empleo Censo'!I288</f>
        <v/>
      </c>
      <c r="G288" s="14">
        <f>'Empleo Censo'!J288+'Empleo Censo'!K288</f>
        <v/>
      </c>
      <c r="H288" s="14">
        <f>'Empleo Censo'!L288</f>
        <v/>
      </c>
      <c r="I288" s="14">
        <f>'Empleo Censo'!M288</f>
        <v/>
      </c>
      <c r="J288" s="14">
        <f>SUM('Empleo Censo'!N288:AA288)</f>
        <v/>
      </c>
      <c r="K288" s="14">
        <f>SUM(C288:J288)</f>
        <v/>
      </c>
      <c r="L288" s="15">
        <f>SUMPRODUCT(C288:J288,Factores!$B$3:$I$3)</f>
        <v/>
      </c>
      <c r="M288" s="16">
        <f>'Empleo Censo'!E288</f>
        <v/>
      </c>
      <c r="N288" s="17">
        <f>IF(M288&gt;0,L288,Factores!$B$7)</f>
        <v/>
      </c>
      <c r="O288">
        <f>IF(M288&gt;0,"OK","sin PEA -&gt; peor")</f>
        <v/>
      </c>
    </row>
    <row r="289">
      <c r="A289" t="inlineStr">
        <is>
          <t>130605</t>
        </is>
      </c>
      <c r="B289" t="inlineStr">
        <is>
          <t>HUARANCHAL</t>
        </is>
      </c>
      <c r="C289" s="14">
        <f>'Empleo Censo'!G289-'Empleo Censo'!F289</f>
        <v/>
      </c>
      <c r="D289" s="14">
        <f>'Empleo Censo'!F289</f>
        <v/>
      </c>
      <c r="E289" s="14">
        <f>'Empleo Censo'!H289</f>
        <v/>
      </c>
      <c r="F289" s="14">
        <f>'Empleo Censo'!I289</f>
        <v/>
      </c>
      <c r="G289" s="14">
        <f>'Empleo Censo'!J289+'Empleo Censo'!K289</f>
        <v/>
      </c>
      <c r="H289" s="14">
        <f>'Empleo Censo'!L289</f>
        <v/>
      </c>
      <c r="I289" s="14">
        <f>'Empleo Censo'!M289</f>
        <v/>
      </c>
      <c r="J289" s="14">
        <f>SUM('Empleo Censo'!N289:AA289)</f>
        <v/>
      </c>
      <c r="K289" s="14">
        <f>SUM(C289:J289)</f>
        <v/>
      </c>
      <c r="L289" s="15">
        <f>SUMPRODUCT(C289:J289,Factores!$B$3:$I$3)</f>
        <v/>
      </c>
      <c r="M289" s="16">
        <f>'Empleo Censo'!E289</f>
        <v/>
      </c>
      <c r="N289" s="17">
        <f>IF(M289&gt;0,L289,Factores!$B$7)</f>
        <v/>
      </c>
      <c r="O289">
        <f>IF(M289&gt;0,"OK","sin PEA -&gt; peor")</f>
        <v/>
      </c>
    </row>
    <row r="290">
      <c r="A290" t="inlineStr">
        <is>
          <t>130606</t>
        </is>
      </c>
      <c r="B290" t="inlineStr">
        <is>
          <t>LA CUESTA</t>
        </is>
      </c>
      <c r="C290" s="14">
        <f>'Empleo Censo'!G290-'Empleo Censo'!F290</f>
        <v/>
      </c>
      <c r="D290" s="14">
        <f>'Empleo Censo'!F290</f>
        <v/>
      </c>
      <c r="E290" s="14">
        <f>'Empleo Censo'!H290</f>
        <v/>
      </c>
      <c r="F290" s="14">
        <f>'Empleo Censo'!I290</f>
        <v/>
      </c>
      <c r="G290" s="14">
        <f>'Empleo Censo'!J290+'Empleo Censo'!K290</f>
        <v/>
      </c>
      <c r="H290" s="14">
        <f>'Empleo Censo'!L290</f>
        <v/>
      </c>
      <c r="I290" s="14">
        <f>'Empleo Censo'!M290</f>
        <v/>
      </c>
      <c r="J290" s="14">
        <f>SUM('Empleo Censo'!N290:AA290)</f>
        <v/>
      </c>
      <c r="K290" s="14">
        <f>SUM(C290:J290)</f>
        <v/>
      </c>
      <c r="L290" s="15">
        <f>SUMPRODUCT(C290:J290,Factores!$B$3:$I$3)</f>
        <v/>
      </c>
      <c r="M290" s="16">
        <f>'Empleo Censo'!E290</f>
        <v/>
      </c>
      <c r="N290" s="17">
        <f>IF(M290&gt;0,L290,Factores!$B$7)</f>
        <v/>
      </c>
      <c r="O290">
        <f>IF(M290&gt;0,"OK","sin PEA -&gt; peor")</f>
        <v/>
      </c>
    </row>
    <row r="291">
      <c r="A291" t="inlineStr">
        <is>
          <t>130608</t>
        </is>
      </c>
      <c r="B291" t="inlineStr">
        <is>
          <t>MACHE</t>
        </is>
      </c>
      <c r="C291" s="14">
        <f>'Empleo Censo'!G291-'Empleo Censo'!F291</f>
        <v/>
      </c>
      <c r="D291" s="14">
        <f>'Empleo Censo'!F291</f>
        <v/>
      </c>
      <c r="E291" s="14">
        <f>'Empleo Censo'!H291</f>
        <v/>
      </c>
      <c r="F291" s="14">
        <f>'Empleo Censo'!I291</f>
        <v/>
      </c>
      <c r="G291" s="14">
        <f>'Empleo Censo'!J291+'Empleo Censo'!K291</f>
        <v/>
      </c>
      <c r="H291" s="14">
        <f>'Empleo Censo'!L291</f>
        <v/>
      </c>
      <c r="I291" s="14">
        <f>'Empleo Censo'!M291</f>
        <v/>
      </c>
      <c r="J291" s="14">
        <f>SUM('Empleo Censo'!N291:AA291)</f>
        <v/>
      </c>
      <c r="K291" s="14">
        <f>SUM(C291:J291)</f>
        <v/>
      </c>
      <c r="L291" s="15">
        <f>SUMPRODUCT(C291:J291,Factores!$B$3:$I$3)</f>
        <v/>
      </c>
      <c r="M291" s="16">
        <f>'Empleo Censo'!E291</f>
        <v/>
      </c>
      <c r="N291" s="17">
        <f>IF(M291&gt;0,L291,Factores!$B$7)</f>
        <v/>
      </c>
      <c r="O291">
        <f>IF(M291&gt;0,"OK","sin PEA -&gt; peor")</f>
        <v/>
      </c>
    </row>
    <row r="292">
      <c r="A292" t="inlineStr">
        <is>
          <t>130610</t>
        </is>
      </c>
      <c r="B292" t="inlineStr">
        <is>
          <t>PARANDAY</t>
        </is>
      </c>
      <c r="C292" s="14">
        <f>'Empleo Censo'!G292-'Empleo Censo'!F292</f>
        <v/>
      </c>
      <c r="D292" s="14">
        <f>'Empleo Censo'!F292</f>
        <v/>
      </c>
      <c r="E292" s="14">
        <f>'Empleo Censo'!H292</f>
        <v/>
      </c>
      <c r="F292" s="14">
        <f>'Empleo Censo'!I292</f>
        <v/>
      </c>
      <c r="G292" s="14">
        <f>'Empleo Censo'!J292+'Empleo Censo'!K292</f>
        <v/>
      </c>
      <c r="H292" s="14">
        <f>'Empleo Censo'!L292</f>
        <v/>
      </c>
      <c r="I292" s="14">
        <f>'Empleo Censo'!M292</f>
        <v/>
      </c>
      <c r="J292" s="14">
        <f>SUM('Empleo Censo'!N292:AA292)</f>
        <v/>
      </c>
      <c r="K292" s="14">
        <f>SUM(C292:J292)</f>
        <v/>
      </c>
      <c r="L292" s="15">
        <f>SUMPRODUCT(C292:J292,Factores!$B$3:$I$3)</f>
        <v/>
      </c>
      <c r="M292" s="16">
        <f>'Empleo Censo'!E292</f>
        <v/>
      </c>
      <c r="N292" s="17">
        <f>IF(M292&gt;0,L292,Factores!$B$7)</f>
        <v/>
      </c>
      <c r="O292">
        <f>IF(M292&gt;0,"OK","sin PEA -&gt; peor")</f>
        <v/>
      </c>
    </row>
    <row r="293">
      <c r="A293" t="inlineStr">
        <is>
          <t>130611</t>
        </is>
      </c>
      <c r="B293" t="inlineStr">
        <is>
          <t>SALPO</t>
        </is>
      </c>
      <c r="C293" s="14">
        <f>'Empleo Censo'!G293-'Empleo Censo'!F293</f>
        <v/>
      </c>
      <c r="D293" s="14">
        <f>'Empleo Censo'!F293</f>
        <v/>
      </c>
      <c r="E293" s="14">
        <f>'Empleo Censo'!H293</f>
        <v/>
      </c>
      <c r="F293" s="14">
        <f>'Empleo Censo'!I293</f>
        <v/>
      </c>
      <c r="G293" s="14">
        <f>'Empleo Censo'!J293+'Empleo Censo'!K293</f>
        <v/>
      </c>
      <c r="H293" s="14">
        <f>'Empleo Censo'!L293</f>
        <v/>
      </c>
      <c r="I293" s="14">
        <f>'Empleo Censo'!M293</f>
        <v/>
      </c>
      <c r="J293" s="14">
        <f>SUM('Empleo Censo'!N293:AA293)</f>
        <v/>
      </c>
      <c r="K293" s="14">
        <f>SUM(C293:J293)</f>
        <v/>
      </c>
      <c r="L293" s="15">
        <f>SUMPRODUCT(C293:J293,Factores!$B$3:$I$3)</f>
        <v/>
      </c>
      <c r="M293" s="16">
        <f>'Empleo Censo'!E293</f>
        <v/>
      </c>
      <c r="N293" s="17">
        <f>IF(M293&gt;0,L293,Factores!$B$7)</f>
        <v/>
      </c>
      <c r="O293">
        <f>IF(M293&gt;0,"OK","sin PEA -&gt; peor")</f>
        <v/>
      </c>
    </row>
    <row r="294">
      <c r="A294" t="inlineStr">
        <is>
          <t>130613</t>
        </is>
      </c>
      <c r="B294" t="inlineStr">
        <is>
          <t>SINSICAP</t>
        </is>
      </c>
      <c r="C294" s="14">
        <f>'Empleo Censo'!G294-'Empleo Censo'!F294</f>
        <v/>
      </c>
      <c r="D294" s="14">
        <f>'Empleo Censo'!F294</f>
        <v/>
      </c>
      <c r="E294" s="14">
        <f>'Empleo Censo'!H294</f>
        <v/>
      </c>
      <c r="F294" s="14">
        <f>'Empleo Censo'!I294</f>
        <v/>
      </c>
      <c r="G294" s="14">
        <f>'Empleo Censo'!J294+'Empleo Censo'!K294</f>
        <v/>
      </c>
      <c r="H294" s="14">
        <f>'Empleo Censo'!L294</f>
        <v/>
      </c>
      <c r="I294" s="14">
        <f>'Empleo Censo'!M294</f>
        <v/>
      </c>
      <c r="J294" s="14">
        <f>SUM('Empleo Censo'!N294:AA294)</f>
        <v/>
      </c>
      <c r="K294" s="14">
        <f>SUM(C294:J294)</f>
        <v/>
      </c>
      <c r="L294" s="15">
        <f>SUMPRODUCT(C294:J294,Factores!$B$3:$I$3)</f>
        <v/>
      </c>
      <c r="M294" s="16">
        <f>'Empleo Censo'!E294</f>
        <v/>
      </c>
      <c r="N294" s="17">
        <f>IF(M294&gt;0,L294,Factores!$B$7)</f>
        <v/>
      </c>
      <c r="O294">
        <f>IF(M294&gt;0,"OK","sin PEA -&gt; peor")</f>
        <v/>
      </c>
    </row>
    <row r="295">
      <c r="A295" t="inlineStr">
        <is>
          <t>130614</t>
        </is>
      </c>
      <c r="B295" t="inlineStr">
        <is>
          <t>USQUIL</t>
        </is>
      </c>
      <c r="C295" s="14">
        <f>'Empleo Censo'!G295-'Empleo Censo'!F295</f>
        <v/>
      </c>
      <c r="D295" s="14">
        <f>'Empleo Censo'!F295</f>
        <v/>
      </c>
      <c r="E295" s="14">
        <f>'Empleo Censo'!H295</f>
        <v/>
      </c>
      <c r="F295" s="14">
        <f>'Empleo Censo'!I295</f>
        <v/>
      </c>
      <c r="G295" s="14">
        <f>'Empleo Censo'!J295+'Empleo Censo'!K295</f>
        <v/>
      </c>
      <c r="H295" s="14">
        <f>'Empleo Censo'!L295</f>
        <v/>
      </c>
      <c r="I295" s="14">
        <f>'Empleo Censo'!M295</f>
        <v/>
      </c>
      <c r="J295" s="14">
        <f>SUM('Empleo Censo'!N295:AA295)</f>
        <v/>
      </c>
      <c r="K295" s="14">
        <f>SUM(C295:J295)</f>
        <v/>
      </c>
      <c r="L295" s="15">
        <f>SUMPRODUCT(C295:J295,Factores!$B$3:$I$3)</f>
        <v/>
      </c>
      <c r="M295" s="16">
        <f>'Empleo Censo'!E295</f>
        <v/>
      </c>
      <c r="N295" s="17">
        <f>IF(M295&gt;0,L295,Factores!$B$7)</f>
        <v/>
      </c>
      <c r="O295">
        <f>IF(M295&gt;0,"OK","sin PEA -&gt; peor")</f>
        <v/>
      </c>
    </row>
    <row r="296">
      <c r="A296" t="inlineStr">
        <is>
          <t>130701</t>
        </is>
      </c>
      <c r="B296" t="inlineStr">
        <is>
          <t>SAN PEDRO DE LLOC</t>
        </is>
      </c>
      <c r="C296" s="14">
        <f>'Empleo Censo'!G296-'Empleo Censo'!F296</f>
        <v/>
      </c>
      <c r="D296" s="14">
        <f>'Empleo Censo'!F296</f>
        <v/>
      </c>
      <c r="E296" s="14">
        <f>'Empleo Censo'!H296</f>
        <v/>
      </c>
      <c r="F296" s="14">
        <f>'Empleo Censo'!I296</f>
        <v/>
      </c>
      <c r="G296" s="14">
        <f>'Empleo Censo'!J296+'Empleo Censo'!K296</f>
        <v/>
      </c>
      <c r="H296" s="14">
        <f>'Empleo Censo'!L296</f>
        <v/>
      </c>
      <c r="I296" s="14">
        <f>'Empleo Censo'!M296</f>
        <v/>
      </c>
      <c r="J296" s="14">
        <f>SUM('Empleo Censo'!N296:AA296)</f>
        <v/>
      </c>
      <c r="K296" s="14">
        <f>SUM(C296:J296)</f>
        <v/>
      </c>
      <c r="L296" s="15">
        <f>SUMPRODUCT(C296:J296,Factores!$B$3:$I$3)</f>
        <v/>
      </c>
      <c r="M296" s="16">
        <f>'Empleo Censo'!E296</f>
        <v/>
      </c>
      <c r="N296" s="17">
        <f>IF(M296&gt;0,L296,Factores!$B$7)</f>
        <v/>
      </c>
      <c r="O296">
        <f>IF(M296&gt;0,"OK","sin PEA -&gt; peor")</f>
        <v/>
      </c>
    </row>
    <row r="297">
      <c r="A297" t="inlineStr">
        <is>
          <t>130702</t>
        </is>
      </c>
      <c r="B297" t="inlineStr">
        <is>
          <t>GUADALUPE</t>
        </is>
      </c>
      <c r="C297" s="14">
        <f>'Empleo Censo'!G297-'Empleo Censo'!F297</f>
        <v/>
      </c>
      <c r="D297" s="14">
        <f>'Empleo Censo'!F297</f>
        <v/>
      </c>
      <c r="E297" s="14">
        <f>'Empleo Censo'!H297</f>
        <v/>
      </c>
      <c r="F297" s="14">
        <f>'Empleo Censo'!I297</f>
        <v/>
      </c>
      <c r="G297" s="14">
        <f>'Empleo Censo'!J297+'Empleo Censo'!K297</f>
        <v/>
      </c>
      <c r="H297" s="14">
        <f>'Empleo Censo'!L297</f>
        <v/>
      </c>
      <c r="I297" s="14">
        <f>'Empleo Censo'!M297</f>
        <v/>
      </c>
      <c r="J297" s="14">
        <f>SUM('Empleo Censo'!N297:AA297)</f>
        <v/>
      </c>
      <c r="K297" s="14">
        <f>SUM(C297:J297)</f>
        <v/>
      </c>
      <c r="L297" s="15">
        <f>SUMPRODUCT(C297:J297,Factores!$B$3:$I$3)</f>
        <v/>
      </c>
      <c r="M297" s="16">
        <f>'Empleo Censo'!E297</f>
        <v/>
      </c>
      <c r="N297" s="17">
        <f>IF(M297&gt;0,L297,Factores!$B$7)</f>
        <v/>
      </c>
      <c r="O297">
        <f>IF(M297&gt;0,"OK","sin PEA -&gt; peor")</f>
        <v/>
      </c>
    </row>
    <row r="298">
      <c r="A298" t="inlineStr">
        <is>
          <t>130703</t>
        </is>
      </c>
      <c r="B298" t="inlineStr">
        <is>
          <t>JEQUETEPEQUE</t>
        </is>
      </c>
      <c r="C298" s="14">
        <f>'Empleo Censo'!G298-'Empleo Censo'!F298</f>
        <v/>
      </c>
      <c r="D298" s="14">
        <f>'Empleo Censo'!F298</f>
        <v/>
      </c>
      <c r="E298" s="14">
        <f>'Empleo Censo'!H298</f>
        <v/>
      </c>
      <c r="F298" s="14">
        <f>'Empleo Censo'!I298</f>
        <v/>
      </c>
      <c r="G298" s="14">
        <f>'Empleo Censo'!J298+'Empleo Censo'!K298</f>
        <v/>
      </c>
      <c r="H298" s="14">
        <f>'Empleo Censo'!L298</f>
        <v/>
      </c>
      <c r="I298" s="14">
        <f>'Empleo Censo'!M298</f>
        <v/>
      </c>
      <c r="J298" s="14">
        <f>SUM('Empleo Censo'!N298:AA298)</f>
        <v/>
      </c>
      <c r="K298" s="14">
        <f>SUM(C298:J298)</f>
        <v/>
      </c>
      <c r="L298" s="15">
        <f>SUMPRODUCT(C298:J298,Factores!$B$3:$I$3)</f>
        <v/>
      </c>
      <c r="M298" s="16">
        <f>'Empleo Censo'!E298</f>
        <v/>
      </c>
      <c r="N298" s="17">
        <f>IF(M298&gt;0,L298,Factores!$B$7)</f>
        <v/>
      </c>
      <c r="O298">
        <f>IF(M298&gt;0,"OK","sin PEA -&gt; peor")</f>
        <v/>
      </c>
    </row>
    <row r="299">
      <c r="A299" t="inlineStr">
        <is>
          <t>130704</t>
        </is>
      </c>
      <c r="B299" t="inlineStr">
        <is>
          <t>PACASMAYO</t>
        </is>
      </c>
      <c r="C299" s="14">
        <f>'Empleo Censo'!G299-'Empleo Censo'!F299</f>
        <v/>
      </c>
      <c r="D299" s="14">
        <f>'Empleo Censo'!F299</f>
        <v/>
      </c>
      <c r="E299" s="14">
        <f>'Empleo Censo'!H299</f>
        <v/>
      </c>
      <c r="F299" s="14">
        <f>'Empleo Censo'!I299</f>
        <v/>
      </c>
      <c r="G299" s="14">
        <f>'Empleo Censo'!J299+'Empleo Censo'!K299</f>
        <v/>
      </c>
      <c r="H299" s="14">
        <f>'Empleo Censo'!L299</f>
        <v/>
      </c>
      <c r="I299" s="14">
        <f>'Empleo Censo'!M299</f>
        <v/>
      </c>
      <c r="J299" s="14">
        <f>SUM('Empleo Censo'!N299:AA299)</f>
        <v/>
      </c>
      <c r="K299" s="14">
        <f>SUM(C299:J299)</f>
        <v/>
      </c>
      <c r="L299" s="15">
        <f>SUMPRODUCT(C299:J299,Factores!$B$3:$I$3)</f>
        <v/>
      </c>
      <c r="M299" s="16">
        <f>'Empleo Censo'!E299</f>
        <v/>
      </c>
      <c r="N299" s="17">
        <f>IF(M299&gt;0,L299,Factores!$B$7)</f>
        <v/>
      </c>
      <c r="O299">
        <f>IF(M299&gt;0,"OK","sin PEA -&gt; peor")</f>
        <v/>
      </c>
    </row>
    <row r="300">
      <c r="A300" t="inlineStr">
        <is>
          <t>130705</t>
        </is>
      </c>
      <c r="B300" t="inlineStr">
        <is>
          <t>SAN JOSE</t>
        </is>
      </c>
      <c r="C300" s="14">
        <f>'Empleo Censo'!G300-'Empleo Censo'!F300</f>
        <v/>
      </c>
      <c r="D300" s="14">
        <f>'Empleo Censo'!F300</f>
        <v/>
      </c>
      <c r="E300" s="14">
        <f>'Empleo Censo'!H300</f>
        <v/>
      </c>
      <c r="F300" s="14">
        <f>'Empleo Censo'!I300</f>
        <v/>
      </c>
      <c r="G300" s="14">
        <f>'Empleo Censo'!J300+'Empleo Censo'!K300</f>
        <v/>
      </c>
      <c r="H300" s="14">
        <f>'Empleo Censo'!L300</f>
        <v/>
      </c>
      <c r="I300" s="14">
        <f>'Empleo Censo'!M300</f>
        <v/>
      </c>
      <c r="J300" s="14">
        <f>SUM('Empleo Censo'!N300:AA300)</f>
        <v/>
      </c>
      <c r="K300" s="14">
        <f>SUM(C300:J300)</f>
        <v/>
      </c>
      <c r="L300" s="15">
        <f>SUMPRODUCT(C300:J300,Factores!$B$3:$I$3)</f>
        <v/>
      </c>
      <c r="M300" s="16">
        <f>'Empleo Censo'!E300</f>
        <v/>
      </c>
      <c r="N300" s="17">
        <f>IF(M300&gt;0,L300,Factores!$B$7)</f>
        <v/>
      </c>
      <c r="O300">
        <f>IF(M300&gt;0,"OK","sin PEA -&gt; peor")</f>
        <v/>
      </c>
    </row>
    <row r="301">
      <c r="A301" t="inlineStr">
        <is>
          <t>130801</t>
        </is>
      </c>
      <c r="B301" t="inlineStr">
        <is>
          <t>TAYABAMBA</t>
        </is>
      </c>
      <c r="C301" s="14">
        <f>'Empleo Censo'!G301-'Empleo Censo'!F301</f>
        <v/>
      </c>
      <c r="D301" s="14">
        <f>'Empleo Censo'!F301</f>
        <v/>
      </c>
      <c r="E301" s="14">
        <f>'Empleo Censo'!H301</f>
        <v/>
      </c>
      <c r="F301" s="14">
        <f>'Empleo Censo'!I301</f>
        <v/>
      </c>
      <c r="G301" s="14">
        <f>'Empleo Censo'!J301+'Empleo Censo'!K301</f>
        <v/>
      </c>
      <c r="H301" s="14">
        <f>'Empleo Censo'!L301</f>
        <v/>
      </c>
      <c r="I301" s="14">
        <f>'Empleo Censo'!M301</f>
        <v/>
      </c>
      <c r="J301" s="14">
        <f>SUM('Empleo Censo'!N301:AA301)</f>
        <v/>
      </c>
      <c r="K301" s="14">
        <f>SUM(C301:J301)</f>
        <v/>
      </c>
      <c r="L301" s="15">
        <f>SUMPRODUCT(C301:J301,Factores!$B$3:$I$3)</f>
        <v/>
      </c>
      <c r="M301" s="16">
        <f>'Empleo Censo'!E301</f>
        <v/>
      </c>
      <c r="N301" s="17">
        <f>IF(M301&gt;0,L301,Factores!$B$7)</f>
        <v/>
      </c>
      <c r="O301">
        <f>IF(M301&gt;0,"OK","sin PEA -&gt; peor")</f>
        <v/>
      </c>
    </row>
    <row r="302">
      <c r="A302" t="inlineStr">
        <is>
          <t>130802</t>
        </is>
      </c>
      <c r="B302" t="inlineStr">
        <is>
          <t>BULDIBUYO</t>
        </is>
      </c>
      <c r="C302" s="14">
        <f>'Empleo Censo'!G302-'Empleo Censo'!F302</f>
        <v/>
      </c>
      <c r="D302" s="14">
        <f>'Empleo Censo'!F302</f>
        <v/>
      </c>
      <c r="E302" s="14">
        <f>'Empleo Censo'!H302</f>
        <v/>
      </c>
      <c r="F302" s="14">
        <f>'Empleo Censo'!I302</f>
        <v/>
      </c>
      <c r="G302" s="14">
        <f>'Empleo Censo'!J302+'Empleo Censo'!K302</f>
        <v/>
      </c>
      <c r="H302" s="14">
        <f>'Empleo Censo'!L302</f>
        <v/>
      </c>
      <c r="I302" s="14">
        <f>'Empleo Censo'!M302</f>
        <v/>
      </c>
      <c r="J302" s="14">
        <f>SUM('Empleo Censo'!N302:AA302)</f>
        <v/>
      </c>
      <c r="K302" s="14">
        <f>SUM(C302:J302)</f>
        <v/>
      </c>
      <c r="L302" s="15">
        <f>SUMPRODUCT(C302:J302,Factores!$B$3:$I$3)</f>
        <v/>
      </c>
      <c r="M302" s="16">
        <f>'Empleo Censo'!E302</f>
        <v/>
      </c>
      <c r="N302" s="17">
        <f>IF(M302&gt;0,L302,Factores!$B$7)</f>
        <v/>
      </c>
      <c r="O302">
        <f>IF(M302&gt;0,"OK","sin PEA -&gt; peor")</f>
        <v/>
      </c>
    </row>
    <row r="303">
      <c r="A303" t="inlineStr">
        <is>
          <t>130803</t>
        </is>
      </c>
      <c r="B303" t="inlineStr">
        <is>
          <t>CHILLIA</t>
        </is>
      </c>
      <c r="C303" s="14">
        <f>'Empleo Censo'!G303-'Empleo Censo'!F303</f>
        <v/>
      </c>
      <c r="D303" s="14">
        <f>'Empleo Censo'!F303</f>
        <v/>
      </c>
      <c r="E303" s="14">
        <f>'Empleo Censo'!H303</f>
        <v/>
      </c>
      <c r="F303" s="14">
        <f>'Empleo Censo'!I303</f>
        <v/>
      </c>
      <c r="G303" s="14">
        <f>'Empleo Censo'!J303+'Empleo Censo'!K303</f>
        <v/>
      </c>
      <c r="H303" s="14">
        <f>'Empleo Censo'!L303</f>
        <v/>
      </c>
      <c r="I303" s="14">
        <f>'Empleo Censo'!M303</f>
        <v/>
      </c>
      <c r="J303" s="14">
        <f>SUM('Empleo Censo'!N303:AA303)</f>
        <v/>
      </c>
      <c r="K303" s="14">
        <f>SUM(C303:J303)</f>
        <v/>
      </c>
      <c r="L303" s="15">
        <f>SUMPRODUCT(C303:J303,Factores!$B$3:$I$3)</f>
        <v/>
      </c>
      <c r="M303" s="16">
        <f>'Empleo Censo'!E303</f>
        <v/>
      </c>
      <c r="N303" s="17">
        <f>IF(M303&gt;0,L303,Factores!$B$7)</f>
        <v/>
      </c>
      <c r="O303">
        <f>IF(M303&gt;0,"OK","sin PEA -&gt; peor")</f>
        <v/>
      </c>
    </row>
    <row r="304">
      <c r="A304" t="inlineStr">
        <is>
          <t>130804</t>
        </is>
      </c>
      <c r="B304" t="inlineStr">
        <is>
          <t>HUANCASPATA</t>
        </is>
      </c>
      <c r="C304" s="14">
        <f>'Empleo Censo'!G304-'Empleo Censo'!F304</f>
        <v/>
      </c>
      <c r="D304" s="14">
        <f>'Empleo Censo'!F304</f>
        <v/>
      </c>
      <c r="E304" s="14">
        <f>'Empleo Censo'!H304</f>
        <v/>
      </c>
      <c r="F304" s="14">
        <f>'Empleo Censo'!I304</f>
        <v/>
      </c>
      <c r="G304" s="14">
        <f>'Empleo Censo'!J304+'Empleo Censo'!K304</f>
        <v/>
      </c>
      <c r="H304" s="14">
        <f>'Empleo Censo'!L304</f>
        <v/>
      </c>
      <c r="I304" s="14">
        <f>'Empleo Censo'!M304</f>
        <v/>
      </c>
      <c r="J304" s="14">
        <f>SUM('Empleo Censo'!N304:AA304)</f>
        <v/>
      </c>
      <c r="K304" s="14">
        <f>SUM(C304:J304)</f>
        <v/>
      </c>
      <c r="L304" s="15">
        <f>SUMPRODUCT(C304:J304,Factores!$B$3:$I$3)</f>
        <v/>
      </c>
      <c r="M304" s="16">
        <f>'Empleo Censo'!E304</f>
        <v/>
      </c>
      <c r="N304" s="17">
        <f>IF(M304&gt;0,L304,Factores!$B$7)</f>
        <v/>
      </c>
      <c r="O304">
        <f>IF(M304&gt;0,"OK","sin PEA -&gt; peor")</f>
        <v/>
      </c>
    </row>
    <row r="305">
      <c r="A305" t="inlineStr">
        <is>
          <t>130805</t>
        </is>
      </c>
      <c r="B305" t="inlineStr">
        <is>
          <t>HUAYLILLAS</t>
        </is>
      </c>
      <c r="C305" s="14">
        <f>'Empleo Censo'!G305-'Empleo Censo'!F305</f>
        <v/>
      </c>
      <c r="D305" s="14">
        <f>'Empleo Censo'!F305</f>
        <v/>
      </c>
      <c r="E305" s="14">
        <f>'Empleo Censo'!H305</f>
        <v/>
      </c>
      <c r="F305" s="14">
        <f>'Empleo Censo'!I305</f>
        <v/>
      </c>
      <c r="G305" s="14">
        <f>'Empleo Censo'!J305+'Empleo Censo'!K305</f>
        <v/>
      </c>
      <c r="H305" s="14">
        <f>'Empleo Censo'!L305</f>
        <v/>
      </c>
      <c r="I305" s="14">
        <f>'Empleo Censo'!M305</f>
        <v/>
      </c>
      <c r="J305" s="14">
        <f>SUM('Empleo Censo'!N305:AA305)</f>
        <v/>
      </c>
      <c r="K305" s="14">
        <f>SUM(C305:J305)</f>
        <v/>
      </c>
      <c r="L305" s="15">
        <f>SUMPRODUCT(C305:J305,Factores!$B$3:$I$3)</f>
        <v/>
      </c>
      <c r="M305" s="16">
        <f>'Empleo Censo'!E305</f>
        <v/>
      </c>
      <c r="N305" s="17">
        <f>IF(M305&gt;0,L305,Factores!$B$7)</f>
        <v/>
      </c>
      <c r="O305">
        <f>IF(M305&gt;0,"OK","sin PEA -&gt; peor")</f>
        <v/>
      </c>
    </row>
    <row r="306">
      <c r="A306" t="inlineStr">
        <is>
          <t>130806</t>
        </is>
      </c>
      <c r="B306" t="inlineStr">
        <is>
          <t>HUAYO</t>
        </is>
      </c>
      <c r="C306" s="14">
        <f>'Empleo Censo'!G306-'Empleo Censo'!F306</f>
        <v/>
      </c>
      <c r="D306" s="14">
        <f>'Empleo Censo'!F306</f>
        <v/>
      </c>
      <c r="E306" s="14">
        <f>'Empleo Censo'!H306</f>
        <v/>
      </c>
      <c r="F306" s="14">
        <f>'Empleo Censo'!I306</f>
        <v/>
      </c>
      <c r="G306" s="14">
        <f>'Empleo Censo'!J306+'Empleo Censo'!K306</f>
        <v/>
      </c>
      <c r="H306" s="14">
        <f>'Empleo Censo'!L306</f>
        <v/>
      </c>
      <c r="I306" s="14">
        <f>'Empleo Censo'!M306</f>
        <v/>
      </c>
      <c r="J306" s="14">
        <f>SUM('Empleo Censo'!N306:AA306)</f>
        <v/>
      </c>
      <c r="K306" s="14">
        <f>SUM(C306:J306)</f>
        <v/>
      </c>
      <c r="L306" s="15">
        <f>SUMPRODUCT(C306:J306,Factores!$B$3:$I$3)</f>
        <v/>
      </c>
      <c r="M306" s="16">
        <f>'Empleo Censo'!E306</f>
        <v/>
      </c>
      <c r="N306" s="17">
        <f>IF(M306&gt;0,L306,Factores!$B$7)</f>
        <v/>
      </c>
      <c r="O306">
        <f>IF(M306&gt;0,"OK","sin PEA -&gt; peor")</f>
        <v/>
      </c>
    </row>
    <row r="307">
      <c r="A307" t="inlineStr">
        <is>
          <t>130807</t>
        </is>
      </c>
      <c r="B307" t="inlineStr">
        <is>
          <t>ONGON</t>
        </is>
      </c>
      <c r="C307" s="14">
        <f>'Empleo Censo'!G307-'Empleo Censo'!F307</f>
        <v/>
      </c>
      <c r="D307" s="14">
        <f>'Empleo Censo'!F307</f>
        <v/>
      </c>
      <c r="E307" s="14">
        <f>'Empleo Censo'!H307</f>
        <v/>
      </c>
      <c r="F307" s="14">
        <f>'Empleo Censo'!I307</f>
        <v/>
      </c>
      <c r="G307" s="14">
        <f>'Empleo Censo'!J307+'Empleo Censo'!K307</f>
        <v/>
      </c>
      <c r="H307" s="14">
        <f>'Empleo Censo'!L307</f>
        <v/>
      </c>
      <c r="I307" s="14">
        <f>'Empleo Censo'!M307</f>
        <v/>
      </c>
      <c r="J307" s="14">
        <f>SUM('Empleo Censo'!N307:AA307)</f>
        <v/>
      </c>
      <c r="K307" s="14">
        <f>SUM(C307:J307)</f>
        <v/>
      </c>
      <c r="L307" s="15">
        <f>SUMPRODUCT(C307:J307,Factores!$B$3:$I$3)</f>
        <v/>
      </c>
      <c r="M307" s="16">
        <f>'Empleo Censo'!E307</f>
        <v/>
      </c>
      <c r="N307" s="17">
        <f>IF(M307&gt;0,L307,Factores!$B$7)</f>
        <v/>
      </c>
      <c r="O307">
        <f>IF(M307&gt;0,"OK","sin PEA -&gt; peor")</f>
        <v/>
      </c>
    </row>
    <row r="308">
      <c r="A308" t="inlineStr">
        <is>
          <t>130808</t>
        </is>
      </c>
      <c r="B308" t="inlineStr">
        <is>
          <t>PARCOY</t>
        </is>
      </c>
      <c r="C308" s="14">
        <f>'Empleo Censo'!G308-'Empleo Censo'!F308</f>
        <v/>
      </c>
      <c r="D308" s="14">
        <f>'Empleo Censo'!F308</f>
        <v/>
      </c>
      <c r="E308" s="14">
        <f>'Empleo Censo'!H308</f>
        <v/>
      </c>
      <c r="F308" s="14">
        <f>'Empleo Censo'!I308</f>
        <v/>
      </c>
      <c r="G308" s="14">
        <f>'Empleo Censo'!J308+'Empleo Censo'!K308</f>
        <v/>
      </c>
      <c r="H308" s="14">
        <f>'Empleo Censo'!L308</f>
        <v/>
      </c>
      <c r="I308" s="14">
        <f>'Empleo Censo'!M308</f>
        <v/>
      </c>
      <c r="J308" s="14">
        <f>SUM('Empleo Censo'!N308:AA308)</f>
        <v/>
      </c>
      <c r="K308" s="14">
        <f>SUM(C308:J308)</f>
        <v/>
      </c>
      <c r="L308" s="15">
        <f>SUMPRODUCT(C308:J308,Factores!$B$3:$I$3)</f>
        <v/>
      </c>
      <c r="M308" s="16">
        <f>'Empleo Censo'!E308</f>
        <v/>
      </c>
      <c r="N308" s="17">
        <f>IF(M308&gt;0,L308,Factores!$B$7)</f>
        <v/>
      </c>
      <c r="O308">
        <f>IF(M308&gt;0,"OK","sin PEA -&gt; peor")</f>
        <v/>
      </c>
    </row>
    <row r="309">
      <c r="A309" t="inlineStr">
        <is>
          <t>130809</t>
        </is>
      </c>
      <c r="B309" t="inlineStr">
        <is>
          <t>PATAZ</t>
        </is>
      </c>
      <c r="C309" s="14">
        <f>'Empleo Censo'!G309-'Empleo Censo'!F309</f>
        <v/>
      </c>
      <c r="D309" s="14">
        <f>'Empleo Censo'!F309</f>
        <v/>
      </c>
      <c r="E309" s="14">
        <f>'Empleo Censo'!H309</f>
        <v/>
      </c>
      <c r="F309" s="14">
        <f>'Empleo Censo'!I309</f>
        <v/>
      </c>
      <c r="G309" s="14">
        <f>'Empleo Censo'!J309+'Empleo Censo'!K309</f>
        <v/>
      </c>
      <c r="H309" s="14">
        <f>'Empleo Censo'!L309</f>
        <v/>
      </c>
      <c r="I309" s="14">
        <f>'Empleo Censo'!M309</f>
        <v/>
      </c>
      <c r="J309" s="14">
        <f>SUM('Empleo Censo'!N309:AA309)</f>
        <v/>
      </c>
      <c r="K309" s="14">
        <f>SUM(C309:J309)</f>
        <v/>
      </c>
      <c r="L309" s="15">
        <f>SUMPRODUCT(C309:J309,Factores!$B$3:$I$3)</f>
        <v/>
      </c>
      <c r="M309" s="16">
        <f>'Empleo Censo'!E309</f>
        <v/>
      </c>
      <c r="N309" s="17">
        <f>IF(M309&gt;0,L309,Factores!$B$7)</f>
        <v/>
      </c>
      <c r="O309">
        <f>IF(M309&gt;0,"OK","sin PEA -&gt; peor")</f>
        <v/>
      </c>
    </row>
    <row r="310">
      <c r="A310" t="inlineStr">
        <is>
          <t>130810</t>
        </is>
      </c>
      <c r="B310" t="inlineStr">
        <is>
          <t>PIAS</t>
        </is>
      </c>
      <c r="C310" s="14">
        <f>'Empleo Censo'!G310-'Empleo Censo'!F310</f>
        <v/>
      </c>
      <c r="D310" s="14">
        <f>'Empleo Censo'!F310</f>
        <v/>
      </c>
      <c r="E310" s="14">
        <f>'Empleo Censo'!H310</f>
        <v/>
      </c>
      <c r="F310" s="14">
        <f>'Empleo Censo'!I310</f>
        <v/>
      </c>
      <c r="G310" s="14">
        <f>'Empleo Censo'!J310+'Empleo Censo'!K310</f>
        <v/>
      </c>
      <c r="H310" s="14">
        <f>'Empleo Censo'!L310</f>
        <v/>
      </c>
      <c r="I310" s="14">
        <f>'Empleo Censo'!M310</f>
        <v/>
      </c>
      <c r="J310" s="14">
        <f>SUM('Empleo Censo'!N310:AA310)</f>
        <v/>
      </c>
      <c r="K310" s="14">
        <f>SUM(C310:J310)</f>
        <v/>
      </c>
      <c r="L310" s="15">
        <f>SUMPRODUCT(C310:J310,Factores!$B$3:$I$3)</f>
        <v/>
      </c>
      <c r="M310" s="16">
        <f>'Empleo Censo'!E310</f>
        <v/>
      </c>
      <c r="N310" s="17">
        <f>IF(M310&gt;0,L310,Factores!$B$7)</f>
        <v/>
      </c>
      <c r="O310">
        <f>IF(M310&gt;0,"OK","sin PEA -&gt; peor")</f>
        <v/>
      </c>
    </row>
    <row r="311">
      <c r="A311" t="inlineStr">
        <is>
          <t>130811</t>
        </is>
      </c>
      <c r="B311" t="inlineStr">
        <is>
          <t>SANTIAGO DE CHALLAS</t>
        </is>
      </c>
      <c r="C311" s="14">
        <f>'Empleo Censo'!G311-'Empleo Censo'!F311</f>
        <v/>
      </c>
      <c r="D311" s="14">
        <f>'Empleo Censo'!F311</f>
        <v/>
      </c>
      <c r="E311" s="14">
        <f>'Empleo Censo'!H311</f>
        <v/>
      </c>
      <c r="F311" s="14">
        <f>'Empleo Censo'!I311</f>
        <v/>
      </c>
      <c r="G311" s="14">
        <f>'Empleo Censo'!J311+'Empleo Censo'!K311</f>
        <v/>
      </c>
      <c r="H311" s="14">
        <f>'Empleo Censo'!L311</f>
        <v/>
      </c>
      <c r="I311" s="14">
        <f>'Empleo Censo'!M311</f>
        <v/>
      </c>
      <c r="J311" s="14">
        <f>SUM('Empleo Censo'!N311:AA311)</f>
        <v/>
      </c>
      <c r="K311" s="14">
        <f>SUM(C311:J311)</f>
        <v/>
      </c>
      <c r="L311" s="15">
        <f>SUMPRODUCT(C311:J311,Factores!$B$3:$I$3)</f>
        <v/>
      </c>
      <c r="M311" s="16">
        <f>'Empleo Censo'!E311</f>
        <v/>
      </c>
      <c r="N311" s="17">
        <f>IF(M311&gt;0,L311,Factores!$B$7)</f>
        <v/>
      </c>
      <c r="O311">
        <f>IF(M311&gt;0,"OK","sin PEA -&gt; peor")</f>
        <v/>
      </c>
    </row>
    <row r="312">
      <c r="A312" t="inlineStr">
        <is>
          <t>130812</t>
        </is>
      </c>
      <c r="B312" t="inlineStr">
        <is>
          <t>TAURIJA</t>
        </is>
      </c>
      <c r="C312" s="14">
        <f>'Empleo Censo'!G312-'Empleo Censo'!F312</f>
        <v/>
      </c>
      <c r="D312" s="14">
        <f>'Empleo Censo'!F312</f>
        <v/>
      </c>
      <c r="E312" s="14">
        <f>'Empleo Censo'!H312</f>
        <v/>
      </c>
      <c r="F312" s="14">
        <f>'Empleo Censo'!I312</f>
        <v/>
      </c>
      <c r="G312" s="14">
        <f>'Empleo Censo'!J312+'Empleo Censo'!K312</f>
        <v/>
      </c>
      <c r="H312" s="14">
        <f>'Empleo Censo'!L312</f>
        <v/>
      </c>
      <c r="I312" s="14">
        <f>'Empleo Censo'!M312</f>
        <v/>
      </c>
      <c r="J312" s="14">
        <f>SUM('Empleo Censo'!N312:AA312)</f>
        <v/>
      </c>
      <c r="K312" s="14">
        <f>SUM(C312:J312)</f>
        <v/>
      </c>
      <c r="L312" s="15">
        <f>SUMPRODUCT(C312:J312,Factores!$B$3:$I$3)</f>
        <v/>
      </c>
      <c r="M312" s="16">
        <f>'Empleo Censo'!E312</f>
        <v/>
      </c>
      <c r="N312" s="17">
        <f>IF(M312&gt;0,L312,Factores!$B$7)</f>
        <v/>
      </c>
      <c r="O312">
        <f>IF(M312&gt;0,"OK","sin PEA -&gt; peor")</f>
        <v/>
      </c>
    </row>
    <row r="313">
      <c r="A313" t="inlineStr">
        <is>
          <t>130813</t>
        </is>
      </c>
      <c r="B313" t="inlineStr">
        <is>
          <t>URPAY</t>
        </is>
      </c>
      <c r="C313" s="14">
        <f>'Empleo Censo'!G313-'Empleo Censo'!F313</f>
        <v/>
      </c>
      <c r="D313" s="14">
        <f>'Empleo Censo'!F313</f>
        <v/>
      </c>
      <c r="E313" s="14">
        <f>'Empleo Censo'!H313</f>
        <v/>
      </c>
      <c r="F313" s="14">
        <f>'Empleo Censo'!I313</f>
        <v/>
      </c>
      <c r="G313" s="14">
        <f>'Empleo Censo'!J313+'Empleo Censo'!K313</f>
        <v/>
      </c>
      <c r="H313" s="14">
        <f>'Empleo Censo'!L313</f>
        <v/>
      </c>
      <c r="I313" s="14">
        <f>'Empleo Censo'!M313</f>
        <v/>
      </c>
      <c r="J313" s="14">
        <f>SUM('Empleo Censo'!N313:AA313)</f>
        <v/>
      </c>
      <c r="K313" s="14">
        <f>SUM(C313:J313)</f>
        <v/>
      </c>
      <c r="L313" s="15">
        <f>SUMPRODUCT(C313:J313,Factores!$B$3:$I$3)</f>
        <v/>
      </c>
      <c r="M313" s="16">
        <f>'Empleo Censo'!E313</f>
        <v/>
      </c>
      <c r="N313" s="17">
        <f>IF(M313&gt;0,L313,Factores!$B$7)</f>
        <v/>
      </c>
      <c r="O313">
        <f>IF(M313&gt;0,"OK","sin PEA -&gt; peor")</f>
        <v/>
      </c>
    </row>
    <row r="314">
      <c r="A314" t="inlineStr">
        <is>
          <t>130901</t>
        </is>
      </c>
      <c r="B314" t="inlineStr">
        <is>
          <t>HUAMACHUCO</t>
        </is>
      </c>
      <c r="C314" s="14">
        <f>'Empleo Censo'!G314-'Empleo Censo'!F314</f>
        <v/>
      </c>
      <c r="D314" s="14">
        <f>'Empleo Censo'!F314</f>
        <v/>
      </c>
      <c r="E314" s="14">
        <f>'Empleo Censo'!H314</f>
        <v/>
      </c>
      <c r="F314" s="14">
        <f>'Empleo Censo'!I314</f>
        <v/>
      </c>
      <c r="G314" s="14">
        <f>'Empleo Censo'!J314+'Empleo Censo'!K314</f>
        <v/>
      </c>
      <c r="H314" s="14">
        <f>'Empleo Censo'!L314</f>
        <v/>
      </c>
      <c r="I314" s="14">
        <f>'Empleo Censo'!M314</f>
        <v/>
      </c>
      <c r="J314" s="14">
        <f>SUM('Empleo Censo'!N314:AA314)</f>
        <v/>
      </c>
      <c r="K314" s="14">
        <f>SUM(C314:J314)</f>
        <v/>
      </c>
      <c r="L314" s="15">
        <f>SUMPRODUCT(C314:J314,Factores!$B$3:$I$3)</f>
        <v/>
      </c>
      <c r="M314" s="16">
        <f>'Empleo Censo'!E314</f>
        <v/>
      </c>
      <c r="N314" s="17">
        <f>IF(M314&gt;0,L314,Factores!$B$7)</f>
        <v/>
      </c>
      <c r="O314">
        <f>IF(M314&gt;0,"OK","sin PEA -&gt; peor")</f>
        <v/>
      </c>
    </row>
    <row r="315">
      <c r="A315" t="inlineStr">
        <is>
          <t>130902</t>
        </is>
      </c>
      <c r="B315" t="inlineStr">
        <is>
          <t>CHUGAY</t>
        </is>
      </c>
      <c r="C315" s="14">
        <f>'Empleo Censo'!G315-'Empleo Censo'!F315</f>
        <v/>
      </c>
      <c r="D315" s="14">
        <f>'Empleo Censo'!F315</f>
        <v/>
      </c>
      <c r="E315" s="14">
        <f>'Empleo Censo'!H315</f>
        <v/>
      </c>
      <c r="F315" s="14">
        <f>'Empleo Censo'!I315</f>
        <v/>
      </c>
      <c r="G315" s="14">
        <f>'Empleo Censo'!J315+'Empleo Censo'!K315</f>
        <v/>
      </c>
      <c r="H315" s="14">
        <f>'Empleo Censo'!L315</f>
        <v/>
      </c>
      <c r="I315" s="14">
        <f>'Empleo Censo'!M315</f>
        <v/>
      </c>
      <c r="J315" s="14">
        <f>SUM('Empleo Censo'!N315:AA315)</f>
        <v/>
      </c>
      <c r="K315" s="14">
        <f>SUM(C315:J315)</f>
        <v/>
      </c>
      <c r="L315" s="15">
        <f>SUMPRODUCT(C315:J315,Factores!$B$3:$I$3)</f>
        <v/>
      </c>
      <c r="M315" s="16">
        <f>'Empleo Censo'!E315</f>
        <v/>
      </c>
      <c r="N315" s="17">
        <f>IF(M315&gt;0,L315,Factores!$B$7)</f>
        <v/>
      </c>
      <c r="O315">
        <f>IF(M315&gt;0,"OK","sin PEA -&gt; peor")</f>
        <v/>
      </c>
    </row>
    <row r="316">
      <c r="A316" t="inlineStr">
        <is>
          <t>130903</t>
        </is>
      </c>
      <c r="B316" t="inlineStr">
        <is>
          <t>COCHORCO</t>
        </is>
      </c>
      <c r="C316" s="14">
        <f>'Empleo Censo'!G316-'Empleo Censo'!F316</f>
        <v/>
      </c>
      <c r="D316" s="14">
        <f>'Empleo Censo'!F316</f>
        <v/>
      </c>
      <c r="E316" s="14">
        <f>'Empleo Censo'!H316</f>
        <v/>
      </c>
      <c r="F316" s="14">
        <f>'Empleo Censo'!I316</f>
        <v/>
      </c>
      <c r="G316" s="14">
        <f>'Empleo Censo'!J316+'Empleo Censo'!K316</f>
        <v/>
      </c>
      <c r="H316" s="14">
        <f>'Empleo Censo'!L316</f>
        <v/>
      </c>
      <c r="I316" s="14">
        <f>'Empleo Censo'!M316</f>
        <v/>
      </c>
      <c r="J316" s="14">
        <f>SUM('Empleo Censo'!N316:AA316)</f>
        <v/>
      </c>
      <c r="K316" s="14">
        <f>SUM(C316:J316)</f>
        <v/>
      </c>
      <c r="L316" s="15">
        <f>SUMPRODUCT(C316:J316,Factores!$B$3:$I$3)</f>
        <v/>
      </c>
      <c r="M316" s="16">
        <f>'Empleo Censo'!E316</f>
        <v/>
      </c>
      <c r="N316" s="17">
        <f>IF(M316&gt;0,L316,Factores!$B$7)</f>
        <v/>
      </c>
      <c r="O316">
        <f>IF(M316&gt;0,"OK","sin PEA -&gt; peor")</f>
        <v/>
      </c>
    </row>
    <row r="317">
      <c r="A317" t="inlineStr">
        <is>
          <t>130904</t>
        </is>
      </c>
      <c r="B317" t="inlineStr">
        <is>
          <t>CURGOS</t>
        </is>
      </c>
      <c r="C317" s="14">
        <f>'Empleo Censo'!G317-'Empleo Censo'!F317</f>
        <v/>
      </c>
      <c r="D317" s="14">
        <f>'Empleo Censo'!F317</f>
        <v/>
      </c>
      <c r="E317" s="14">
        <f>'Empleo Censo'!H317</f>
        <v/>
      </c>
      <c r="F317" s="14">
        <f>'Empleo Censo'!I317</f>
        <v/>
      </c>
      <c r="G317" s="14">
        <f>'Empleo Censo'!J317+'Empleo Censo'!K317</f>
        <v/>
      </c>
      <c r="H317" s="14">
        <f>'Empleo Censo'!L317</f>
        <v/>
      </c>
      <c r="I317" s="14">
        <f>'Empleo Censo'!M317</f>
        <v/>
      </c>
      <c r="J317" s="14">
        <f>SUM('Empleo Censo'!N317:AA317)</f>
        <v/>
      </c>
      <c r="K317" s="14">
        <f>SUM(C317:J317)</f>
        <v/>
      </c>
      <c r="L317" s="15">
        <f>SUMPRODUCT(C317:J317,Factores!$B$3:$I$3)</f>
        <v/>
      </c>
      <c r="M317" s="16">
        <f>'Empleo Censo'!E317</f>
        <v/>
      </c>
      <c r="N317" s="17">
        <f>IF(M317&gt;0,L317,Factores!$B$7)</f>
        <v/>
      </c>
      <c r="O317">
        <f>IF(M317&gt;0,"OK","sin PEA -&gt; peor")</f>
        <v/>
      </c>
    </row>
    <row r="318">
      <c r="A318" t="inlineStr">
        <is>
          <t>130905</t>
        </is>
      </c>
      <c r="B318" t="inlineStr">
        <is>
          <t>MARCABAL</t>
        </is>
      </c>
      <c r="C318" s="14">
        <f>'Empleo Censo'!G318-'Empleo Censo'!F318</f>
        <v/>
      </c>
      <c r="D318" s="14">
        <f>'Empleo Censo'!F318</f>
        <v/>
      </c>
      <c r="E318" s="14">
        <f>'Empleo Censo'!H318</f>
        <v/>
      </c>
      <c r="F318" s="14">
        <f>'Empleo Censo'!I318</f>
        <v/>
      </c>
      <c r="G318" s="14">
        <f>'Empleo Censo'!J318+'Empleo Censo'!K318</f>
        <v/>
      </c>
      <c r="H318" s="14">
        <f>'Empleo Censo'!L318</f>
        <v/>
      </c>
      <c r="I318" s="14">
        <f>'Empleo Censo'!M318</f>
        <v/>
      </c>
      <c r="J318" s="14">
        <f>SUM('Empleo Censo'!N318:AA318)</f>
        <v/>
      </c>
      <c r="K318" s="14">
        <f>SUM(C318:J318)</f>
        <v/>
      </c>
      <c r="L318" s="15">
        <f>SUMPRODUCT(C318:J318,Factores!$B$3:$I$3)</f>
        <v/>
      </c>
      <c r="M318" s="16">
        <f>'Empleo Censo'!E318</f>
        <v/>
      </c>
      <c r="N318" s="17">
        <f>IF(M318&gt;0,L318,Factores!$B$7)</f>
        <v/>
      </c>
      <c r="O318">
        <f>IF(M318&gt;0,"OK","sin PEA -&gt; peor")</f>
        <v/>
      </c>
    </row>
    <row r="319">
      <c r="A319" t="inlineStr">
        <is>
          <t>130906</t>
        </is>
      </c>
      <c r="B319" t="inlineStr">
        <is>
          <t>SANAGORAN</t>
        </is>
      </c>
      <c r="C319" s="14">
        <f>'Empleo Censo'!G319-'Empleo Censo'!F319</f>
        <v/>
      </c>
      <c r="D319" s="14">
        <f>'Empleo Censo'!F319</f>
        <v/>
      </c>
      <c r="E319" s="14">
        <f>'Empleo Censo'!H319</f>
        <v/>
      </c>
      <c r="F319" s="14">
        <f>'Empleo Censo'!I319</f>
        <v/>
      </c>
      <c r="G319" s="14">
        <f>'Empleo Censo'!J319+'Empleo Censo'!K319</f>
        <v/>
      </c>
      <c r="H319" s="14">
        <f>'Empleo Censo'!L319</f>
        <v/>
      </c>
      <c r="I319" s="14">
        <f>'Empleo Censo'!M319</f>
        <v/>
      </c>
      <c r="J319" s="14">
        <f>SUM('Empleo Censo'!N319:AA319)</f>
        <v/>
      </c>
      <c r="K319" s="14">
        <f>SUM(C319:J319)</f>
        <v/>
      </c>
      <c r="L319" s="15">
        <f>SUMPRODUCT(C319:J319,Factores!$B$3:$I$3)</f>
        <v/>
      </c>
      <c r="M319" s="16">
        <f>'Empleo Censo'!E319</f>
        <v/>
      </c>
      <c r="N319" s="17">
        <f>IF(M319&gt;0,L319,Factores!$B$7)</f>
        <v/>
      </c>
      <c r="O319">
        <f>IF(M319&gt;0,"OK","sin PEA -&gt; peor")</f>
        <v/>
      </c>
    </row>
    <row r="320">
      <c r="A320" t="inlineStr">
        <is>
          <t>130907</t>
        </is>
      </c>
      <c r="B320" t="inlineStr">
        <is>
          <t>SARIN</t>
        </is>
      </c>
      <c r="C320" s="14">
        <f>'Empleo Censo'!G320-'Empleo Censo'!F320</f>
        <v/>
      </c>
      <c r="D320" s="14">
        <f>'Empleo Censo'!F320</f>
        <v/>
      </c>
      <c r="E320" s="14">
        <f>'Empleo Censo'!H320</f>
        <v/>
      </c>
      <c r="F320" s="14">
        <f>'Empleo Censo'!I320</f>
        <v/>
      </c>
      <c r="G320" s="14">
        <f>'Empleo Censo'!J320+'Empleo Censo'!K320</f>
        <v/>
      </c>
      <c r="H320" s="14">
        <f>'Empleo Censo'!L320</f>
        <v/>
      </c>
      <c r="I320" s="14">
        <f>'Empleo Censo'!M320</f>
        <v/>
      </c>
      <c r="J320" s="14">
        <f>SUM('Empleo Censo'!N320:AA320)</f>
        <v/>
      </c>
      <c r="K320" s="14">
        <f>SUM(C320:J320)</f>
        <v/>
      </c>
      <c r="L320" s="15">
        <f>SUMPRODUCT(C320:J320,Factores!$B$3:$I$3)</f>
        <v/>
      </c>
      <c r="M320" s="16">
        <f>'Empleo Censo'!E320</f>
        <v/>
      </c>
      <c r="N320" s="17">
        <f>IF(M320&gt;0,L320,Factores!$B$7)</f>
        <v/>
      </c>
      <c r="O320">
        <f>IF(M320&gt;0,"OK","sin PEA -&gt; peor")</f>
        <v/>
      </c>
    </row>
    <row r="321">
      <c r="A321" t="inlineStr">
        <is>
          <t>130908</t>
        </is>
      </c>
      <c r="B321" t="inlineStr">
        <is>
          <t>SARTIMBAMBA</t>
        </is>
      </c>
      <c r="C321" s="14">
        <f>'Empleo Censo'!G321-'Empleo Censo'!F321</f>
        <v/>
      </c>
      <c r="D321" s="14">
        <f>'Empleo Censo'!F321</f>
        <v/>
      </c>
      <c r="E321" s="14">
        <f>'Empleo Censo'!H321</f>
        <v/>
      </c>
      <c r="F321" s="14">
        <f>'Empleo Censo'!I321</f>
        <v/>
      </c>
      <c r="G321" s="14">
        <f>'Empleo Censo'!J321+'Empleo Censo'!K321</f>
        <v/>
      </c>
      <c r="H321" s="14">
        <f>'Empleo Censo'!L321</f>
        <v/>
      </c>
      <c r="I321" s="14">
        <f>'Empleo Censo'!M321</f>
        <v/>
      </c>
      <c r="J321" s="14">
        <f>SUM('Empleo Censo'!N321:AA321)</f>
        <v/>
      </c>
      <c r="K321" s="14">
        <f>SUM(C321:J321)</f>
        <v/>
      </c>
      <c r="L321" s="15">
        <f>SUMPRODUCT(C321:J321,Factores!$B$3:$I$3)</f>
        <v/>
      </c>
      <c r="M321" s="16">
        <f>'Empleo Censo'!E321</f>
        <v/>
      </c>
      <c r="N321" s="17">
        <f>IF(M321&gt;0,L321,Factores!$B$7)</f>
        <v/>
      </c>
      <c r="O321">
        <f>IF(M321&gt;0,"OK","sin PEA -&gt; peor")</f>
        <v/>
      </c>
    </row>
    <row r="322">
      <c r="A322" t="inlineStr">
        <is>
          <t>131001</t>
        </is>
      </c>
      <c r="B322" t="inlineStr">
        <is>
          <t>SANTIAGO DE CHUCO</t>
        </is>
      </c>
      <c r="C322" s="14">
        <f>'Empleo Censo'!G322-'Empleo Censo'!F322</f>
        <v/>
      </c>
      <c r="D322" s="14">
        <f>'Empleo Censo'!F322</f>
        <v/>
      </c>
      <c r="E322" s="14">
        <f>'Empleo Censo'!H322</f>
        <v/>
      </c>
      <c r="F322" s="14">
        <f>'Empleo Censo'!I322</f>
        <v/>
      </c>
      <c r="G322" s="14">
        <f>'Empleo Censo'!J322+'Empleo Censo'!K322</f>
        <v/>
      </c>
      <c r="H322" s="14">
        <f>'Empleo Censo'!L322</f>
        <v/>
      </c>
      <c r="I322" s="14">
        <f>'Empleo Censo'!M322</f>
        <v/>
      </c>
      <c r="J322" s="14">
        <f>SUM('Empleo Censo'!N322:AA322)</f>
        <v/>
      </c>
      <c r="K322" s="14">
        <f>SUM(C322:J322)</f>
        <v/>
      </c>
      <c r="L322" s="15">
        <f>SUMPRODUCT(C322:J322,Factores!$B$3:$I$3)</f>
        <v/>
      </c>
      <c r="M322" s="16">
        <f>'Empleo Censo'!E322</f>
        <v/>
      </c>
      <c r="N322" s="17">
        <f>IF(M322&gt;0,L322,Factores!$B$7)</f>
        <v/>
      </c>
      <c r="O322">
        <f>IF(M322&gt;0,"OK","sin PEA -&gt; peor")</f>
        <v/>
      </c>
    </row>
    <row r="323">
      <c r="A323" t="inlineStr">
        <is>
          <t>131002</t>
        </is>
      </c>
      <c r="B323" t="inlineStr">
        <is>
          <t>ANGASMARCA</t>
        </is>
      </c>
      <c r="C323" s="14">
        <f>'Empleo Censo'!G323-'Empleo Censo'!F323</f>
        <v/>
      </c>
      <c r="D323" s="14">
        <f>'Empleo Censo'!F323</f>
        <v/>
      </c>
      <c r="E323" s="14">
        <f>'Empleo Censo'!H323</f>
        <v/>
      </c>
      <c r="F323" s="14">
        <f>'Empleo Censo'!I323</f>
        <v/>
      </c>
      <c r="G323" s="14">
        <f>'Empleo Censo'!J323+'Empleo Censo'!K323</f>
        <v/>
      </c>
      <c r="H323" s="14">
        <f>'Empleo Censo'!L323</f>
        <v/>
      </c>
      <c r="I323" s="14">
        <f>'Empleo Censo'!M323</f>
        <v/>
      </c>
      <c r="J323" s="14">
        <f>SUM('Empleo Censo'!N323:AA323)</f>
        <v/>
      </c>
      <c r="K323" s="14">
        <f>SUM(C323:J323)</f>
        <v/>
      </c>
      <c r="L323" s="15">
        <f>SUMPRODUCT(C323:J323,Factores!$B$3:$I$3)</f>
        <v/>
      </c>
      <c r="M323" s="16">
        <f>'Empleo Censo'!E323</f>
        <v/>
      </c>
      <c r="N323" s="17">
        <f>IF(M323&gt;0,L323,Factores!$B$7)</f>
        <v/>
      </c>
      <c r="O323">
        <f>IF(M323&gt;0,"OK","sin PEA -&gt; peor")</f>
        <v/>
      </c>
    </row>
    <row r="324">
      <c r="A324" t="inlineStr">
        <is>
          <t>131003</t>
        </is>
      </c>
      <c r="B324" t="inlineStr">
        <is>
          <t>CACHICADAN</t>
        </is>
      </c>
      <c r="C324" s="14">
        <f>'Empleo Censo'!G324-'Empleo Censo'!F324</f>
        <v/>
      </c>
      <c r="D324" s="14">
        <f>'Empleo Censo'!F324</f>
        <v/>
      </c>
      <c r="E324" s="14">
        <f>'Empleo Censo'!H324</f>
        <v/>
      </c>
      <c r="F324" s="14">
        <f>'Empleo Censo'!I324</f>
        <v/>
      </c>
      <c r="G324" s="14">
        <f>'Empleo Censo'!J324+'Empleo Censo'!K324</f>
        <v/>
      </c>
      <c r="H324" s="14">
        <f>'Empleo Censo'!L324</f>
        <v/>
      </c>
      <c r="I324" s="14">
        <f>'Empleo Censo'!M324</f>
        <v/>
      </c>
      <c r="J324" s="14">
        <f>SUM('Empleo Censo'!N324:AA324)</f>
        <v/>
      </c>
      <c r="K324" s="14">
        <f>SUM(C324:J324)</f>
        <v/>
      </c>
      <c r="L324" s="15">
        <f>SUMPRODUCT(C324:J324,Factores!$B$3:$I$3)</f>
        <v/>
      </c>
      <c r="M324" s="16">
        <f>'Empleo Censo'!E324</f>
        <v/>
      </c>
      <c r="N324" s="17">
        <f>IF(M324&gt;0,L324,Factores!$B$7)</f>
        <v/>
      </c>
      <c r="O324">
        <f>IF(M324&gt;0,"OK","sin PEA -&gt; peor")</f>
        <v/>
      </c>
    </row>
    <row r="325">
      <c r="A325" t="inlineStr">
        <is>
          <t>131004</t>
        </is>
      </c>
      <c r="B325" t="inlineStr">
        <is>
          <t>MOLLEBAMBA</t>
        </is>
      </c>
      <c r="C325" s="14">
        <f>'Empleo Censo'!G325-'Empleo Censo'!F325</f>
        <v/>
      </c>
      <c r="D325" s="14">
        <f>'Empleo Censo'!F325</f>
        <v/>
      </c>
      <c r="E325" s="14">
        <f>'Empleo Censo'!H325</f>
        <v/>
      </c>
      <c r="F325" s="14">
        <f>'Empleo Censo'!I325</f>
        <v/>
      </c>
      <c r="G325" s="14">
        <f>'Empleo Censo'!J325+'Empleo Censo'!K325</f>
        <v/>
      </c>
      <c r="H325" s="14">
        <f>'Empleo Censo'!L325</f>
        <v/>
      </c>
      <c r="I325" s="14">
        <f>'Empleo Censo'!M325</f>
        <v/>
      </c>
      <c r="J325" s="14">
        <f>SUM('Empleo Censo'!N325:AA325)</f>
        <v/>
      </c>
      <c r="K325" s="14">
        <f>SUM(C325:J325)</f>
        <v/>
      </c>
      <c r="L325" s="15">
        <f>SUMPRODUCT(C325:J325,Factores!$B$3:$I$3)</f>
        <v/>
      </c>
      <c r="M325" s="16">
        <f>'Empleo Censo'!E325</f>
        <v/>
      </c>
      <c r="N325" s="17">
        <f>IF(M325&gt;0,L325,Factores!$B$7)</f>
        <v/>
      </c>
      <c r="O325">
        <f>IF(M325&gt;0,"OK","sin PEA -&gt; peor")</f>
        <v/>
      </c>
    </row>
    <row r="326">
      <c r="A326" t="inlineStr">
        <is>
          <t>131005</t>
        </is>
      </c>
      <c r="B326" t="inlineStr">
        <is>
          <t>MOLLEPATA</t>
        </is>
      </c>
      <c r="C326" s="14">
        <f>'Empleo Censo'!G326-'Empleo Censo'!F326</f>
        <v/>
      </c>
      <c r="D326" s="14">
        <f>'Empleo Censo'!F326</f>
        <v/>
      </c>
      <c r="E326" s="14">
        <f>'Empleo Censo'!H326</f>
        <v/>
      </c>
      <c r="F326" s="14">
        <f>'Empleo Censo'!I326</f>
        <v/>
      </c>
      <c r="G326" s="14">
        <f>'Empleo Censo'!J326+'Empleo Censo'!K326</f>
        <v/>
      </c>
      <c r="H326" s="14">
        <f>'Empleo Censo'!L326</f>
        <v/>
      </c>
      <c r="I326" s="14">
        <f>'Empleo Censo'!M326</f>
        <v/>
      </c>
      <c r="J326" s="14">
        <f>SUM('Empleo Censo'!N326:AA326)</f>
        <v/>
      </c>
      <c r="K326" s="14">
        <f>SUM(C326:J326)</f>
        <v/>
      </c>
      <c r="L326" s="15">
        <f>SUMPRODUCT(C326:J326,Factores!$B$3:$I$3)</f>
        <v/>
      </c>
      <c r="M326" s="16">
        <f>'Empleo Censo'!E326</f>
        <v/>
      </c>
      <c r="N326" s="17">
        <f>IF(M326&gt;0,L326,Factores!$B$7)</f>
        <v/>
      </c>
      <c r="O326">
        <f>IF(M326&gt;0,"OK","sin PEA -&gt; peor")</f>
        <v/>
      </c>
    </row>
    <row r="327">
      <c r="A327" t="inlineStr">
        <is>
          <t>131006</t>
        </is>
      </c>
      <c r="B327" t="inlineStr">
        <is>
          <t>QUIRUVILCA</t>
        </is>
      </c>
      <c r="C327" s="14">
        <f>'Empleo Censo'!G327-'Empleo Censo'!F327</f>
        <v/>
      </c>
      <c r="D327" s="14">
        <f>'Empleo Censo'!F327</f>
        <v/>
      </c>
      <c r="E327" s="14">
        <f>'Empleo Censo'!H327</f>
        <v/>
      </c>
      <c r="F327" s="14">
        <f>'Empleo Censo'!I327</f>
        <v/>
      </c>
      <c r="G327" s="14">
        <f>'Empleo Censo'!J327+'Empleo Censo'!K327</f>
        <v/>
      </c>
      <c r="H327" s="14">
        <f>'Empleo Censo'!L327</f>
        <v/>
      </c>
      <c r="I327" s="14">
        <f>'Empleo Censo'!M327</f>
        <v/>
      </c>
      <c r="J327" s="14">
        <f>SUM('Empleo Censo'!N327:AA327)</f>
        <v/>
      </c>
      <c r="K327" s="14">
        <f>SUM(C327:J327)</f>
        <v/>
      </c>
      <c r="L327" s="15">
        <f>SUMPRODUCT(C327:J327,Factores!$B$3:$I$3)</f>
        <v/>
      </c>
      <c r="M327" s="16">
        <f>'Empleo Censo'!E327</f>
        <v/>
      </c>
      <c r="N327" s="17">
        <f>IF(M327&gt;0,L327,Factores!$B$7)</f>
        <v/>
      </c>
      <c r="O327">
        <f>IF(M327&gt;0,"OK","sin PEA -&gt; peor")</f>
        <v/>
      </c>
    </row>
    <row r="328">
      <c r="A328" t="inlineStr">
        <is>
          <t>131007</t>
        </is>
      </c>
      <c r="B328" t="inlineStr">
        <is>
          <t>SANTA CRUZ DE CHUCA</t>
        </is>
      </c>
      <c r="C328" s="14">
        <f>'Empleo Censo'!G328-'Empleo Censo'!F328</f>
        <v/>
      </c>
      <c r="D328" s="14">
        <f>'Empleo Censo'!F328</f>
        <v/>
      </c>
      <c r="E328" s="14">
        <f>'Empleo Censo'!H328</f>
        <v/>
      </c>
      <c r="F328" s="14">
        <f>'Empleo Censo'!I328</f>
        <v/>
      </c>
      <c r="G328" s="14">
        <f>'Empleo Censo'!J328+'Empleo Censo'!K328</f>
        <v/>
      </c>
      <c r="H328" s="14">
        <f>'Empleo Censo'!L328</f>
        <v/>
      </c>
      <c r="I328" s="14">
        <f>'Empleo Censo'!M328</f>
        <v/>
      </c>
      <c r="J328" s="14">
        <f>SUM('Empleo Censo'!N328:AA328)</f>
        <v/>
      </c>
      <c r="K328" s="14">
        <f>SUM(C328:J328)</f>
        <v/>
      </c>
      <c r="L328" s="15">
        <f>SUMPRODUCT(C328:J328,Factores!$B$3:$I$3)</f>
        <v/>
      </c>
      <c r="M328" s="16">
        <f>'Empleo Censo'!E328</f>
        <v/>
      </c>
      <c r="N328" s="17">
        <f>IF(M328&gt;0,L328,Factores!$B$7)</f>
        <v/>
      </c>
      <c r="O328">
        <f>IF(M328&gt;0,"OK","sin PEA -&gt; peor")</f>
        <v/>
      </c>
    </row>
    <row r="329">
      <c r="A329" t="inlineStr">
        <is>
          <t>131008</t>
        </is>
      </c>
      <c r="B329" t="inlineStr">
        <is>
          <t>SITABAMBA</t>
        </is>
      </c>
      <c r="C329" s="14">
        <f>'Empleo Censo'!G329-'Empleo Censo'!F329</f>
        <v/>
      </c>
      <c r="D329" s="14">
        <f>'Empleo Censo'!F329</f>
        <v/>
      </c>
      <c r="E329" s="14">
        <f>'Empleo Censo'!H329</f>
        <v/>
      </c>
      <c r="F329" s="14">
        <f>'Empleo Censo'!I329</f>
        <v/>
      </c>
      <c r="G329" s="14">
        <f>'Empleo Censo'!J329+'Empleo Censo'!K329</f>
        <v/>
      </c>
      <c r="H329" s="14">
        <f>'Empleo Censo'!L329</f>
        <v/>
      </c>
      <c r="I329" s="14">
        <f>'Empleo Censo'!M329</f>
        <v/>
      </c>
      <c r="J329" s="14">
        <f>SUM('Empleo Censo'!N329:AA329)</f>
        <v/>
      </c>
      <c r="K329" s="14">
        <f>SUM(C329:J329)</f>
        <v/>
      </c>
      <c r="L329" s="15">
        <f>SUMPRODUCT(C329:J329,Factores!$B$3:$I$3)</f>
        <v/>
      </c>
      <c r="M329" s="16">
        <f>'Empleo Censo'!E329</f>
        <v/>
      </c>
      <c r="N329" s="17">
        <f>IF(M329&gt;0,L329,Factores!$B$7)</f>
        <v/>
      </c>
      <c r="O329">
        <f>IF(M329&gt;0,"OK","sin PEA -&gt; peor")</f>
        <v/>
      </c>
    </row>
    <row r="330">
      <c r="A330" t="inlineStr">
        <is>
          <t>131101</t>
        </is>
      </c>
      <c r="B330" t="inlineStr">
        <is>
          <t>CASCAS</t>
        </is>
      </c>
      <c r="C330" s="14">
        <f>'Empleo Censo'!G330-'Empleo Censo'!F330</f>
        <v/>
      </c>
      <c r="D330" s="14">
        <f>'Empleo Censo'!F330</f>
        <v/>
      </c>
      <c r="E330" s="14">
        <f>'Empleo Censo'!H330</f>
        <v/>
      </c>
      <c r="F330" s="14">
        <f>'Empleo Censo'!I330</f>
        <v/>
      </c>
      <c r="G330" s="14">
        <f>'Empleo Censo'!J330+'Empleo Censo'!K330</f>
        <v/>
      </c>
      <c r="H330" s="14">
        <f>'Empleo Censo'!L330</f>
        <v/>
      </c>
      <c r="I330" s="14">
        <f>'Empleo Censo'!M330</f>
        <v/>
      </c>
      <c r="J330" s="14">
        <f>SUM('Empleo Censo'!N330:AA330)</f>
        <v/>
      </c>
      <c r="K330" s="14">
        <f>SUM(C330:J330)</f>
        <v/>
      </c>
      <c r="L330" s="15">
        <f>SUMPRODUCT(C330:J330,Factores!$B$3:$I$3)</f>
        <v/>
      </c>
      <c r="M330" s="16">
        <f>'Empleo Censo'!E330</f>
        <v/>
      </c>
      <c r="N330" s="17">
        <f>IF(M330&gt;0,L330,Factores!$B$7)</f>
        <v/>
      </c>
      <c r="O330">
        <f>IF(M330&gt;0,"OK","sin PEA -&gt; peor")</f>
        <v/>
      </c>
    </row>
    <row r="331">
      <c r="A331" t="inlineStr">
        <is>
          <t>131102</t>
        </is>
      </c>
      <c r="B331" t="inlineStr">
        <is>
          <t>LUCMA</t>
        </is>
      </c>
      <c r="C331" s="14">
        <f>'Empleo Censo'!G331-'Empleo Censo'!F331</f>
        <v/>
      </c>
      <c r="D331" s="14">
        <f>'Empleo Censo'!F331</f>
        <v/>
      </c>
      <c r="E331" s="14">
        <f>'Empleo Censo'!H331</f>
        <v/>
      </c>
      <c r="F331" s="14">
        <f>'Empleo Censo'!I331</f>
        <v/>
      </c>
      <c r="G331" s="14">
        <f>'Empleo Censo'!J331+'Empleo Censo'!K331</f>
        <v/>
      </c>
      <c r="H331" s="14">
        <f>'Empleo Censo'!L331</f>
        <v/>
      </c>
      <c r="I331" s="14">
        <f>'Empleo Censo'!M331</f>
        <v/>
      </c>
      <c r="J331" s="14">
        <f>SUM('Empleo Censo'!N331:AA331)</f>
        <v/>
      </c>
      <c r="K331" s="14">
        <f>SUM(C331:J331)</f>
        <v/>
      </c>
      <c r="L331" s="15">
        <f>SUMPRODUCT(C331:J331,Factores!$B$3:$I$3)</f>
        <v/>
      </c>
      <c r="M331" s="16">
        <f>'Empleo Censo'!E331</f>
        <v/>
      </c>
      <c r="N331" s="17">
        <f>IF(M331&gt;0,L331,Factores!$B$7)</f>
        <v/>
      </c>
      <c r="O331">
        <f>IF(M331&gt;0,"OK","sin PEA -&gt; peor")</f>
        <v/>
      </c>
    </row>
    <row r="332">
      <c r="A332" t="inlineStr">
        <is>
          <t>131103</t>
        </is>
      </c>
      <c r="B332" t="inlineStr">
        <is>
          <t>MARMOT</t>
        </is>
      </c>
      <c r="C332" s="14">
        <f>'Empleo Censo'!G332-'Empleo Censo'!F332</f>
        <v/>
      </c>
      <c r="D332" s="14">
        <f>'Empleo Censo'!F332</f>
        <v/>
      </c>
      <c r="E332" s="14">
        <f>'Empleo Censo'!H332</f>
        <v/>
      </c>
      <c r="F332" s="14">
        <f>'Empleo Censo'!I332</f>
        <v/>
      </c>
      <c r="G332" s="14">
        <f>'Empleo Censo'!J332+'Empleo Censo'!K332</f>
        <v/>
      </c>
      <c r="H332" s="14">
        <f>'Empleo Censo'!L332</f>
        <v/>
      </c>
      <c r="I332" s="14">
        <f>'Empleo Censo'!M332</f>
        <v/>
      </c>
      <c r="J332" s="14">
        <f>SUM('Empleo Censo'!N332:AA332)</f>
        <v/>
      </c>
      <c r="K332" s="14">
        <f>SUM(C332:J332)</f>
        <v/>
      </c>
      <c r="L332" s="15">
        <f>SUMPRODUCT(C332:J332,Factores!$B$3:$I$3)</f>
        <v/>
      </c>
      <c r="M332" s="16">
        <f>'Empleo Censo'!E332</f>
        <v/>
      </c>
      <c r="N332" s="17">
        <f>IF(M332&gt;0,L332,Factores!$B$7)</f>
        <v/>
      </c>
      <c r="O332">
        <f>IF(M332&gt;0,"OK","sin PEA -&gt; peor")</f>
        <v/>
      </c>
    </row>
    <row r="333">
      <c r="A333" t="inlineStr">
        <is>
          <t>131104</t>
        </is>
      </c>
      <c r="B333" t="inlineStr">
        <is>
          <t>SAYAPULLO</t>
        </is>
      </c>
      <c r="C333" s="14">
        <f>'Empleo Censo'!G333-'Empleo Censo'!F333</f>
        <v/>
      </c>
      <c r="D333" s="14">
        <f>'Empleo Censo'!F333</f>
        <v/>
      </c>
      <c r="E333" s="14">
        <f>'Empleo Censo'!H333</f>
        <v/>
      </c>
      <c r="F333" s="14">
        <f>'Empleo Censo'!I333</f>
        <v/>
      </c>
      <c r="G333" s="14">
        <f>'Empleo Censo'!J333+'Empleo Censo'!K333</f>
        <v/>
      </c>
      <c r="H333" s="14">
        <f>'Empleo Censo'!L333</f>
        <v/>
      </c>
      <c r="I333" s="14">
        <f>'Empleo Censo'!M333</f>
        <v/>
      </c>
      <c r="J333" s="14">
        <f>SUM('Empleo Censo'!N333:AA333)</f>
        <v/>
      </c>
      <c r="K333" s="14">
        <f>SUM(C333:J333)</f>
        <v/>
      </c>
      <c r="L333" s="15">
        <f>SUMPRODUCT(C333:J333,Factores!$B$3:$I$3)</f>
        <v/>
      </c>
      <c r="M333" s="16">
        <f>'Empleo Censo'!E333</f>
        <v/>
      </c>
      <c r="N333" s="17">
        <f>IF(M333&gt;0,L333,Factores!$B$7)</f>
        <v/>
      </c>
      <c r="O333">
        <f>IF(M333&gt;0,"OK","sin PEA -&gt; peor")</f>
        <v/>
      </c>
    </row>
    <row r="334">
      <c r="A334" t="inlineStr">
        <is>
          <t>131201</t>
        </is>
      </c>
      <c r="B334" t="inlineStr">
        <is>
          <t>VIRU</t>
        </is>
      </c>
      <c r="C334" s="14">
        <f>'Empleo Censo'!G334-'Empleo Censo'!F334</f>
        <v/>
      </c>
      <c r="D334" s="14">
        <f>'Empleo Censo'!F334</f>
        <v/>
      </c>
      <c r="E334" s="14">
        <f>'Empleo Censo'!H334</f>
        <v/>
      </c>
      <c r="F334" s="14">
        <f>'Empleo Censo'!I334</f>
        <v/>
      </c>
      <c r="G334" s="14">
        <f>'Empleo Censo'!J334+'Empleo Censo'!K334</f>
        <v/>
      </c>
      <c r="H334" s="14">
        <f>'Empleo Censo'!L334</f>
        <v/>
      </c>
      <c r="I334" s="14">
        <f>'Empleo Censo'!M334</f>
        <v/>
      </c>
      <c r="J334" s="14">
        <f>SUM('Empleo Censo'!N334:AA334)</f>
        <v/>
      </c>
      <c r="K334" s="14">
        <f>SUM(C334:J334)</f>
        <v/>
      </c>
      <c r="L334" s="15">
        <f>SUMPRODUCT(C334:J334,Factores!$B$3:$I$3)</f>
        <v/>
      </c>
      <c r="M334" s="16">
        <f>'Empleo Censo'!E334</f>
        <v/>
      </c>
      <c r="N334" s="17">
        <f>IF(M334&gt;0,L334,Factores!$B$7)</f>
        <v/>
      </c>
      <c r="O334">
        <f>IF(M334&gt;0,"OK","sin PEA -&gt; peor")</f>
        <v/>
      </c>
    </row>
    <row r="335">
      <c r="A335" t="inlineStr">
        <is>
          <t>131202</t>
        </is>
      </c>
      <c r="B335" t="inlineStr">
        <is>
          <t>CHAO</t>
        </is>
      </c>
      <c r="C335" s="14">
        <f>'Empleo Censo'!G335-'Empleo Censo'!F335</f>
        <v/>
      </c>
      <c r="D335" s="14">
        <f>'Empleo Censo'!F335</f>
        <v/>
      </c>
      <c r="E335" s="14">
        <f>'Empleo Censo'!H335</f>
        <v/>
      </c>
      <c r="F335" s="14">
        <f>'Empleo Censo'!I335</f>
        <v/>
      </c>
      <c r="G335" s="14">
        <f>'Empleo Censo'!J335+'Empleo Censo'!K335</f>
        <v/>
      </c>
      <c r="H335" s="14">
        <f>'Empleo Censo'!L335</f>
        <v/>
      </c>
      <c r="I335" s="14">
        <f>'Empleo Censo'!M335</f>
        <v/>
      </c>
      <c r="J335" s="14">
        <f>SUM('Empleo Censo'!N335:AA335)</f>
        <v/>
      </c>
      <c r="K335" s="14">
        <f>SUM(C335:J335)</f>
        <v/>
      </c>
      <c r="L335" s="15">
        <f>SUMPRODUCT(C335:J335,Factores!$B$3:$I$3)</f>
        <v/>
      </c>
      <c r="M335" s="16">
        <f>'Empleo Censo'!E335</f>
        <v/>
      </c>
      <c r="N335" s="17">
        <f>IF(M335&gt;0,L335,Factores!$B$7)</f>
        <v/>
      </c>
      <c r="O335">
        <f>IF(M335&gt;0,"OK","sin PEA -&gt; peor")</f>
        <v/>
      </c>
    </row>
    <row r="336">
      <c r="A336" t="inlineStr">
        <is>
          <t>131203</t>
        </is>
      </c>
      <c r="B336" t="inlineStr">
        <is>
          <t>GUADALUPITO</t>
        </is>
      </c>
      <c r="C336" s="14">
        <f>'Empleo Censo'!G336-'Empleo Censo'!F336</f>
        <v/>
      </c>
      <c r="D336" s="14">
        <f>'Empleo Censo'!F336</f>
        <v/>
      </c>
      <c r="E336" s="14">
        <f>'Empleo Censo'!H336</f>
        <v/>
      </c>
      <c r="F336" s="14">
        <f>'Empleo Censo'!I336</f>
        <v/>
      </c>
      <c r="G336" s="14">
        <f>'Empleo Censo'!J336+'Empleo Censo'!K336</f>
        <v/>
      </c>
      <c r="H336" s="14">
        <f>'Empleo Censo'!L336</f>
        <v/>
      </c>
      <c r="I336" s="14">
        <f>'Empleo Censo'!M336</f>
        <v/>
      </c>
      <c r="J336" s="14">
        <f>SUM('Empleo Censo'!N336:AA336)</f>
        <v/>
      </c>
      <c r="K336" s="14">
        <f>SUM(C336:J336)</f>
        <v/>
      </c>
      <c r="L336" s="15">
        <f>SUMPRODUCT(C336:J336,Factores!$B$3:$I$3)</f>
        <v/>
      </c>
      <c r="M336" s="16">
        <f>'Empleo Censo'!E336</f>
        <v/>
      </c>
      <c r="N336" s="17">
        <f>IF(M336&gt;0,L336,Factores!$B$7)</f>
        <v/>
      </c>
      <c r="O336">
        <f>IF(M336&gt;0,"OK","sin PEA -&gt; peor")</f>
        <v/>
      </c>
    </row>
    <row r="337">
      <c r="A337" t="inlineStr">
        <is>
          <t>140101</t>
        </is>
      </c>
      <c r="B337" t="inlineStr">
        <is>
          <t>CHICLAYO</t>
        </is>
      </c>
      <c r="C337" s="14">
        <f>'Empleo Censo'!G337-'Empleo Censo'!F337</f>
        <v/>
      </c>
      <c r="D337" s="14">
        <f>'Empleo Censo'!F337</f>
        <v/>
      </c>
      <c r="E337" s="14">
        <f>'Empleo Censo'!H337</f>
        <v/>
      </c>
      <c r="F337" s="14">
        <f>'Empleo Censo'!I337</f>
        <v/>
      </c>
      <c r="G337" s="14">
        <f>'Empleo Censo'!J337+'Empleo Censo'!K337</f>
        <v/>
      </c>
      <c r="H337" s="14">
        <f>'Empleo Censo'!L337</f>
        <v/>
      </c>
      <c r="I337" s="14">
        <f>'Empleo Censo'!M337</f>
        <v/>
      </c>
      <c r="J337" s="14">
        <f>SUM('Empleo Censo'!N337:AA337)</f>
        <v/>
      </c>
      <c r="K337" s="14">
        <f>SUM(C337:J337)</f>
        <v/>
      </c>
      <c r="L337" s="15">
        <f>SUMPRODUCT(C337:J337,Factores!$B$3:$I$3)</f>
        <v/>
      </c>
      <c r="M337" s="16">
        <f>'Empleo Censo'!E337</f>
        <v/>
      </c>
      <c r="N337" s="17">
        <f>IF(M337&gt;0,L337,Factores!$B$7)</f>
        <v/>
      </c>
      <c r="O337">
        <f>IF(M337&gt;0,"OK","sin PEA -&gt; peor")</f>
        <v/>
      </c>
    </row>
    <row r="338">
      <c r="A338" t="inlineStr">
        <is>
          <t>140102</t>
        </is>
      </c>
      <c r="B338" t="inlineStr">
        <is>
          <t>CHONGOYAPE</t>
        </is>
      </c>
      <c r="C338" s="14">
        <f>'Empleo Censo'!G338-'Empleo Censo'!F338</f>
        <v/>
      </c>
      <c r="D338" s="14">
        <f>'Empleo Censo'!F338</f>
        <v/>
      </c>
      <c r="E338" s="14">
        <f>'Empleo Censo'!H338</f>
        <v/>
      </c>
      <c r="F338" s="14">
        <f>'Empleo Censo'!I338</f>
        <v/>
      </c>
      <c r="G338" s="14">
        <f>'Empleo Censo'!J338+'Empleo Censo'!K338</f>
        <v/>
      </c>
      <c r="H338" s="14">
        <f>'Empleo Censo'!L338</f>
        <v/>
      </c>
      <c r="I338" s="14">
        <f>'Empleo Censo'!M338</f>
        <v/>
      </c>
      <c r="J338" s="14">
        <f>SUM('Empleo Censo'!N338:AA338)</f>
        <v/>
      </c>
      <c r="K338" s="14">
        <f>SUM(C338:J338)</f>
        <v/>
      </c>
      <c r="L338" s="15">
        <f>SUMPRODUCT(C338:J338,Factores!$B$3:$I$3)</f>
        <v/>
      </c>
      <c r="M338" s="16">
        <f>'Empleo Censo'!E338</f>
        <v/>
      </c>
      <c r="N338" s="17">
        <f>IF(M338&gt;0,L338,Factores!$B$7)</f>
        <v/>
      </c>
      <c r="O338">
        <f>IF(M338&gt;0,"OK","sin PEA -&gt; peor")</f>
        <v/>
      </c>
    </row>
    <row r="339">
      <c r="A339" t="inlineStr">
        <is>
          <t>140103</t>
        </is>
      </c>
      <c r="B339" t="inlineStr">
        <is>
          <t>ETEN</t>
        </is>
      </c>
      <c r="C339" s="14">
        <f>'Empleo Censo'!G339-'Empleo Censo'!F339</f>
        <v/>
      </c>
      <c r="D339" s="14">
        <f>'Empleo Censo'!F339</f>
        <v/>
      </c>
      <c r="E339" s="14">
        <f>'Empleo Censo'!H339</f>
        <v/>
      </c>
      <c r="F339" s="14">
        <f>'Empleo Censo'!I339</f>
        <v/>
      </c>
      <c r="G339" s="14">
        <f>'Empleo Censo'!J339+'Empleo Censo'!K339</f>
        <v/>
      </c>
      <c r="H339" s="14">
        <f>'Empleo Censo'!L339</f>
        <v/>
      </c>
      <c r="I339" s="14">
        <f>'Empleo Censo'!M339</f>
        <v/>
      </c>
      <c r="J339" s="14">
        <f>SUM('Empleo Censo'!N339:AA339)</f>
        <v/>
      </c>
      <c r="K339" s="14">
        <f>SUM(C339:J339)</f>
        <v/>
      </c>
      <c r="L339" s="15">
        <f>SUMPRODUCT(C339:J339,Factores!$B$3:$I$3)</f>
        <v/>
      </c>
      <c r="M339" s="16">
        <f>'Empleo Censo'!E339</f>
        <v/>
      </c>
      <c r="N339" s="17">
        <f>IF(M339&gt;0,L339,Factores!$B$7)</f>
        <v/>
      </c>
      <c r="O339">
        <f>IF(M339&gt;0,"OK","sin PEA -&gt; peor")</f>
        <v/>
      </c>
    </row>
    <row r="340">
      <c r="A340" t="inlineStr">
        <is>
          <t>140104</t>
        </is>
      </c>
      <c r="B340" t="inlineStr">
        <is>
          <t>ETEN PUERTO</t>
        </is>
      </c>
      <c r="C340" s="14">
        <f>'Empleo Censo'!G340-'Empleo Censo'!F340</f>
        <v/>
      </c>
      <c r="D340" s="14">
        <f>'Empleo Censo'!F340</f>
        <v/>
      </c>
      <c r="E340" s="14">
        <f>'Empleo Censo'!H340</f>
        <v/>
      </c>
      <c r="F340" s="14">
        <f>'Empleo Censo'!I340</f>
        <v/>
      </c>
      <c r="G340" s="14">
        <f>'Empleo Censo'!J340+'Empleo Censo'!K340</f>
        <v/>
      </c>
      <c r="H340" s="14">
        <f>'Empleo Censo'!L340</f>
        <v/>
      </c>
      <c r="I340" s="14">
        <f>'Empleo Censo'!M340</f>
        <v/>
      </c>
      <c r="J340" s="14">
        <f>SUM('Empleo Censo'!N340:AA340)</f>
        <v/>
      </c>
      <c r="K340" s="14">
        <f>SUM(C340:J340)</f>
        <v/>
      </c>
      <c r="L340" s="15">
        <f>SUMPRODUCT(C340:J340,Factores!$B$3:$I$3)</f>
        <v/>
      </c>
      <c r="M340" s="16">
        <f>'Empleo Censo'!E340</f>
        <v/>
      </c>
      <c r="N340" s="17">
        <f>IF(M340&gt;0,L340,Factores!$B$7)</f>
        <v/>
      </c>
      <c r="O340">
        <f>IF(M340&gt;0,"OK","sin PEA -&gt; peor")</f>
        <v/>
      </c>
    </row>
    <row r="341">
      <c r="A341" t="inlineStr">
        <is>
          <t>140105</t>
        </is>
      </c>
      <c r="B341" t="inlineStr">
        <is>
          <t>JOSE LEONARDO ORTIZ</t>
        </is>
      </c>
      <c r="C341" s="14">
        <f>'Empleo Censo'!G341-'Empleo Censo'!F341</f>
        <v/>
      </c>
      <c r="D341" s="14">
        <f>'Empleo Censo'!F341</f>
        <v/>
      </c>
      <c r="E341" s="14">
        <f>'Empleo Censo'!H341</f>
        <v/>
      </c>
      <c r="F341" s="14">
        <f>'Empleo Censo'!I341</f>
        <v/>
      </c>
      <c r="G341" s="14">
        <f>'Empleo Censo'!J341+'Empleo Censo'!K341</f>
        <v/>
      </c>
      <c r="H341" s="14">
        <f>'Empleo Censo'!L341</f>
        <v/>
      </c>
      <c r="I341" s="14">
        <f>'Empleo Censo'!M341</f>
        <v/>
      </c>
      <c r="J341" s="14">
        <f>SUM('Empleo Censo'!N341:AA341)</f>
        <v/>
      </c>
      <c r="K341" s="14">
        <f>SUM(C341:J341)</f>
        <v/>
      </c>
      <c r="L341" s="15">
        <f>SUMPRODUCT(C341:J341,Factores!$B$3:$I$3)</f>
        <v/>
      </c>
      <c r="M341" s="16">
        <f>'Empleo Censo'!E341</f>
        <v/>
      </c>
      <c r="N341" s="17">
        <f>IF(M341&gt;0,L341,Factores!$B$7)</f>
        <v/>
      </c>
      <c r="O341">
        <f>IF(M341&gt;0,"OK","sin PEA -&gt; peor")</f>
        <v/>
      </c>
    </row>
    <row r="342">
      <c r="A342" t="inlineStr">
        <is>
          <t>140106</t>
        </is>
      </c>
      <c r="B342" t="inlineStr">
        <is>
          <t>LA VICTORIA</t>
        </is>
      </c>
      <c r="C342" s="14">
        <f>'Empleo Censo'!G342-'Empleo Censo'!F342</f>
        <v/>
      </c>
      <c r="D342" s="14">
        <f>'Empleo Censo'!F342</f>
        <v/>
      </c>
      <c r="E342" s="14">
        <f>'Empleo Censo'!H342</f>
        <v/>
      </c>
      <c r="F342" s="14">
        <f>'Empleo Censo'!I342</f>
        <v/>
      </c>
      <c r="G342" s="14">
        <f>'Empleo Censo'!J342+'Empleo Censo'!K342</f>
        <v/>
      </c>
      <c r="H342" s="14">
        <f>'Empleo Censo'!L342</f>
        <v/>
      </c>
      <c r="I342" s="14">
        <f>'Empleo Censo'!M342</f>
        <v/>
      </c>
      <c r="J342" s="14">
        <f>SUM('Empleo Censo'!N342:AA342)</f>
        <v/>
      </c>
      <c r="K342" s="14">
        <f>SUM(C342:J342)</f>
        <v/>
      </c>
      <c r="L342" s="15">
        <f>SUMPRODUCT(C342:J342,Factores!$B$3:$I$3)</f>
        <v/>
      </c>
      <c r="M342" s="16">
        <f>'Empleo Censo'!E342</f>
        <v/>
      </c>
      <c r="N342" s="17">
        <f>IF(M342&gt;0,L342,Factores!$B$7)</f>
        <v/>
      </c>
      <c r="O342">
        <f>IF(M342&gt;0,"OK","sin PEA -&gt; peor")</f>
        <v/>
      </c>
    </row>
    <row r="343">
      <c r="A343" t="inlineStr">
        <is>
          <t>140107</t>
        </is>
      </c>
      <c r="B343" t="inlineStr">
        <is>
          <t>LAGUNAS</t>
        </is>
      </c>
      <c r="C343" s="14">
        <f>'Empleo Censo'!G343-'Empleo Censo'!F343</f>
        <v/>
      </c>
      <c r="D343" s="14">
        <f>'Empleo Censo'!F343</f>
        <v/>
      </c>
      <c r="E343" s="14">
        <f>'Empleo Censo'!H343</f>
        <v/>
      </c>
      <c r="F343" s="14">
        <f>'Empleo Censo'!I343</f>
        <v/>
      </c>
      <c r="G343" s="14">
        <f>'Empleo Censo'!J343+'Empleo Censo'!K343</f>
        <v/>
      </c>
      <c r="H343" s="14">
        <f>'Empleo Censo'!L343</f>
        <v/>
      </c>
      <c r="I343" s="14">
        <f>'Empleo Censo'!M343</f>
        <v/>
      </c>
      <c r="J343" s="14">
        <f>SUM('Empleo Censo'!N343:AA343)</f>
        <v/>
      </c>
      <c r="K343" s="14">
        <f>SUM(C343:J343)</f>
        <v/>
      </c>
      <c r="L343" s="15">
        <f>SUMPRODUCT(C343:J343,Factores!$B$3:$I$3)</f>
        <v/>
      </c>
      <c r="M343" s="16">
        <f>'Empleo Censo'!E343</f>
        <v/>
      </c>
      <c r="N343" s="17">
        <f>IF(M343&gt;0,L343,Factores!$B$7)</f>
        <v/>
      </c>
      <c r="O343">
        <f>IF(M343&gt;0,"OK","sin PEA -&gt; peor")</f>
        <v/>
      </c>
    </row>
    <row r="344">
      <c r="A344" t="inlineStr">
        <is>
          <t>140108</t>
        </is>
      </c>
      <c r="B344" t="inlineStr">
        <is>
          <t>MONSEFU</t>
        </is>
      </c>
      <c r="C344" s="14">
        <f>'Empleo Censo'!G344-'Empleo Censo'!F344</f>
        <v/>
      </c>
      <c r="D344" s="14">
        <f>'Empleo Censo'!F344</f>
        <v/>
      </c>
      <c r="E344" s="14">
        <f>'Empleo Censo'!H344</f>
        <v/>
      </c>
      <c r="F344" s="14">
        <f>'Empleo Censo'!I344</f>
        <v/>
      </c>
      <c r="G344" s="14">
        <f>'Empleo Censo'!J344+'Empleo Censo'!K344</f>
        <v/>
      </c>
      <c r="H344" s="14">
        <f>'Empleo Censo'!L344</f>
        <v/>
      </c>
      <c r="I344" s="14">
        <f>'Empleo Censo'!M344</f>
        <v/>
      </c>
      <c r="J344" s="14">
        <f>SUM('Empleo Censo'!N344:AA344)</f>
        <v/>
      </c>
      <c r="K344" s="14">
        <f>SUM(C344:J344)</f>
        <v/>
      </c>
      <c r="L344" s="15">
        <f>SUMPRODUCT(C344:J344,Factores!$B$3:$I$3)</f>
        <v/>
      </c>
      <c r="M344" s="16">
        <f>'Empleo Censo'!E344</f>
        <v/>
      </c>
      <c r="N344" s="17">
        <f>IF(M344&gt;0,L344,Factores!$B$7)</f>
        <v/>
      </c>
      <c r="O344">
        <f>IF(M344&gt;0,"OK","sin PEA -&gt; peor")</f>
        <v/>
      </c>
    </row>
    <row r="345">
      <c r="A345" t="inlineStr">
        <is>
          <t>140109</t>
        </is>
      </c>
      <c r="B345" t="inlineStr">
        <is>
          <t>NUEVA ARICA</t>
        </is>
      </c>
      <c r="C345" s="14">
        <f>'Empleo Censo'!G345-'Empleo Censo'!F345</f>
        <v/>
      </c>
      <c r="D345" s="14">
        <f>'Empleo Censo'!F345</f>
        <v/>
      </c>
      <c r="E345" s="14">
        <f>'Empleo Censo'!H345</f>
        <v/>
      </c>
      <c r="F345" s="14">
        <f>'Empleo Censo'!I345</f>
        <v/>
      </c>
      <c r="G345" s="14">
        <f>'Empleo Censo'!J345+'Empleo Censo'!K345</f>
        <v/>
      </c>
      <c r="H345" s="14">
        <f>'Empleo Censo'!L345</f>
        <v/>
      </c>
      <c r="I345" s="14">
        <f>'Empleo Censo'!M345</f>
        <v/>
      </c>
      <c r="J345" s="14">
        <f>SUM('Empleo Censo'!N345:AA345)</f>
        <v/>
      </c>
      <c r="K345" s="14">
        <f>SUM(C345:J345)</f>
        <v/>
      </c>
      <c r="L345" s="15">
        <f>SUMPRODUCT(C345:J345,Factores!$B$3:$I$3)</f>
        <v/>
      </c>
      <c r="M345" s="16">
        <f>'Empleo Censo'!E345</f>
        <v/>
      </c>
      <c r="N345" s="17">
        <f>IF(M345&gt;0,L345,Factores!$B$7)</f>
        <v/>
      </c>
      <c r="O345">
        <f>IF(M345&gt;0,"OK","sin PEA -&gt; peor")</f>
        <v/>
      </c>
    </row>
    <row r="346">
      <c r="A346" t="inlineStr">
        <is>
          <t>140110</t>
        </is>
      </c>
      <c r="B346" t="inlineStr">
        <is>
          <t>OYOTUN</t>
        </is>
      </c>
      <c r="C346" s="14">
        <f>'Empleo Censo'!G346-'Empleo Censo'!F346</f>
        <v/>
      </c>
      <c r="D346" s="14">
        <f>'Empleo Censo'!F346</f>
        <v/>
      </c>
      <c r="E346" s="14">
        <f>'Empleo Censo'!H346</f>
        <v/>
      </c>
      <c r="F346" s="14">
        <f>'Empleo Censo'!I346</f>
        <v/>
      </c>
      <c r="G346" s="14">
        <f>'Empleo Censo'!J346+'Empleo Censo'!K346</f>
        <v/>
      </c>
      <c r="H346" s="14">
        <f>'Empleo Censo'!L346</f>
        <v/>
      </c>
      <c r="I346" s="14">
        <f>'Empleo Censo'!M346</f>
        <v/>
      </c>
      <c r="J346" s="14">
        <f>SUM('Empleo Censo'!N346:AA346)</f>
        <v/>
      </c>
      <c r="K346" s="14">
        <f>SUM(C346:J346)</f>
        <v/>
      </c>
      <c r="L346" s="15">
        <f>SUMPRODUCT(C346:J346,Factores!$B$3:$I$3)</f>
        <v/>
      </c>
      <c r="M346" s="16">
        <f>'Empleo Censo'!E346</f>
        <v/>
      </c>
      <c r="N346" s="17">
        <f>IF(M346&gt;0,L346,Factores!$B$7)</f>
        <v/>
      </c>
      <c r="O346">
        <f>IF(M346&gt;0,"OK","sin PEA -&gt; peor")</f>
        <v/>
      </c>
    </row>
    <row r="347">
      <c r="A347" t="inlineStr">
        <is>
          <t>140111</t>
        </is>
      </c>
      <c r="B347" t="inlineStr">
        <is>
          <t>PICSI</t>
        </is>
      </c>
      <c r="C347" s="14">
        <f>'Empleo Censo'!G347-'Empleo Censo'!F347</f>
        <v/>
      </c>
      <c r="D347" s="14">
        <f>'Empleo Censo'!F347</f>
        <v/>
      </c>
      <c r="E347" s="14">
        <f>'Empleo Censo'!H347</f>
        <v/>
      </c>
      <c r="F347" s="14">
        <f>'Empleo Censo'!I347</f>
        <v/>
      </c>
      <c r="G347" s="14">
        <f>'Empleo Censo'!J347+'Empleo Censo'!K347</f>
        <v/>
      </c>
      <c r="H347" s="14">
        <f>'Empleo Censo'!L347</f>
        <v/>
      </c>
      <c r="I347" s="14">
        <f>'Empleo Censo'!M347</f>
        <v/>
      </c>
      <c r="J347" s="14">
        <f>SUM('Empleo Censo'!N347:AA347)</f>
        <v/>
      </c>
      <c r="K347" s="14">
        <f>SUM(C347:J347)</f>
        <v/>
      </c>
      <c r="L347" s="15">
        <f>SUMPRODUCT(C347:J347,Factores!$B$3:$I$3)</f>
        <v/>
      </c>
      <c r="M347" s="16">
        <f>'Empleo Censo'!E347</f>
        <v/>
      </c>
      <c r="N347" s="17">
        <f>IF(M347&gt;0,L347,Factores!$B$7)</f>
        <v/>
      </c>
      <c r="O347">
        <f>IF(M347&gt;0,"OK","sin PEA -&gt; peor")</f>
        <v/>
      </c>
    </row>
    <row r="348">
      <c r="A348" t="inlineStr">
        <is>
          <t>140112</t>
        </is>
      </c>
      <c r="B348" t="inlineStr">
        <is>
          <t>PIMENTEL</t>
        </is>
      </c>
      <c r="C348" s="14">
        <f>'Empleo Censo'!G348-'Empleo Censo'!F348</f>
        <v/>
      </c>
      <c r="D348" s="14">
        <f>'Empleo Censo'!F348</f>
        <v/>
      </c>
      <c r="E348" s="14">
        <f>'Empleo Censo'!H348</f>
        <v/>
      </c>
      <c r="F348" s="14">
        <f>'Empleo Censo'!I348</f>
        <v/>
      </c>
      <c r="G348" s="14">
        <f>'Empleo Censo'!J348+'Empleo Censo'!K348</f>
        <v/>
      </c>
      <c r="H348" s="14">
        <f>'Empleo Censo'!L348</f>
        <v/>
      </c>
      <c r="I348" s="14">
        <f>'Empleo Censo'!M348</f>
        <v/>
      </c>
      <c r="J348" s="14">
        <f>SUM('Empleo Censo'!N348:AA348)</f>
        <v/>
      </c>
      <c r="K348" s="14">
        <f>SUM(C348:J348)</f>
        <v/>
      </c>
      <c r="L348" s="15">
        <f>SUMPRODUCT(C348:J348,Factores!$B$3:$I$3)</f>
        <v/>
      </c>
      <c r="M348" s="16">
        <f>'Empleo Censo'!E348</f>
        <v/>
      </c>
      <c r="N348" s="17">
        <f>IF(M348&gt;0,L348,Factores!$B$7)</f>
        <v/>
      </c>
      <c r="O348">
        <f>IF(M348&gt;0,"OK","sin PEA -&gt; peor")</f>
        <v/>
      </c>
    </row>
    <row r="349">
      <c r="A349" t="inlineStr">
        <is>
          <t>140113</t>
        </is>
      </c>
      <c r="B349" t="inlineStr">
        <is>
          <t>REQUE</t>
        </is>
      </c>
      <c r="C349" s="14">
        <f>'Empleo Censo'!G349-'Empleo Censo'!F349</f>
        <v/>
      </c>
      <c r="D349" s="14">
        <f>'Empleo Censo'!F349</f>
        <v/>
      </c>
      <c r="E349" s="14">
        <f>'Empleo Censo'!H349</f>
        <v/>
      </c>
      <c r="F349" s="14">
        <f>'Empleo Censo'!I349</f>
        <v/>
      </c>
      <c r="G349" s="14">
        <f>'Empleo Censo'!J349+'Empleo Censo'!K349</f>
        <v/>
      </c>
      <c r="H349" s="14">
        <f>'Empleo Censo'!L349</f>
        <v/>
      </c>
      <c r="I349" s="14">
        <f>'Empleo Censo'!M349</f>
        <v/>
      </c>
      <c r="J349" s="14">
        <f>SUM('Empleo Censo'!N349:AA349)</f>
        <v/>
      </c>
      <c r="K349" s="14">
        <f>SUM(C349:J349)</f>
        <v/>
      </c>
      <c r="L349" s="15">
        <f>SUMPRODUCT(C349:J349,Factores!$B$3:$I$3)</f>
        <v/>
      </c>
      <c r="M349" s="16">
        <f>'Empleo Censo'!E349</f>
        <v/>
      </c>
      <c r="N349" s="17">
        <f>IF(M349&gt;0,L349,Factores!$B$7)</f>
        <v/>
      </c>
      <c r="O349">
        <f>IF(M349&gt;0,"OK","sin PEA -&gt; peor")</f>
        <v/>
      </c>
    </row>
    <row r="350">
      <c r="A350" t="inlineStr">
        <is>
          <t>140114</t>
        </is>
      </c>
      <c r="B350" t="inlineStr">
        <is>
          <t>SANTA ROSA</t>
        </is>
      </c>
      <c r="C350" s="14">
        <f>'Empleo Censo'!G350-'Empleo Censo'!F350</f>
        <v/>
      </c>
      <c r="D350" s="14">
        <f>'Empleo Censo'!F350</f>
        <v/>
      </c>
      <c r="E350" s="14">
        <f>'Empleo Censo'!H350</f>
        <v/>
      </c>
      <c r="F350" s="14">
        <f>'Empleo Censo'!I350</f>
        <v/>
      </c>
      <c r="G350" s="14">
        <f>'Empleo Censo'!J350+'Empleo Censo'!K350</f>
        <v/>
      </c>
      <c r="H350" s="14">
        <f>'Empleo Censo'!L350</f>
        <v/>
      </c>
      <c r="I350" s="14">
        <f>'Empleo Censo'!M350</f>
        <v/>
      </c>
      <c r="J350" s="14">
        <f>SUM('Empleo Censo'!N350:AA350)</f>
        <v/>
      </c>
      <c r="K350" s="14">
        <f>SUM(C350:J350)</f>
        <v/>
      </c>
      <c r="L350" s="15">
        <f>SUMPRODUCT(C350:J350,Factores!$B$3:$I$3)</f>
        <v/>
      </c>
      <c r="M350" s="16">
        <f>'Empleo Censo'!E350</f>
        <v/>
      </c>
      <c r="N350" s="17">
        <f>IF(M350&gt;0,L350,Factores!$B$7)</f>
        <v/>
      </c>
      <c r="O350">
        <f>IF(M350&gt;0,"OK","sin PEA -&gt; peor")</f>
        <v/>
      </c>
    </row>
    <row r="351">
      <c r="A351" t="inlineStr">
        <is>
          <t>140115</t>
        </is>
      </c>
      <c r="B351" t="inlineStr">
        <is>
          <t>SAÑA</t>
        </is>
      </c>
      <c r="C351" s="14">
        <f>'Empleo Censo'!G351-'Empleo Censo'!F351</f>
        <v/>
      </c>
      <c r="D351" s="14">
        <f>'Empleo Censo'!F351</f>
        <v/>
      </c>
      <c r="E351" s="14">
        <f>'Empleo Censo'!H351</f>
        <v/>
      </c>
      <c r="F351" s="14">
        <f>'Empleo Censo'!I351</f>
        <v/>
      </c>
      <c r="G351" s="14">
        <f>'Empleo Censo'!J351+'Empleo Censo'!K351</f>
        <v/>
      </c>
      <c r="H351" s="14">
        <f>'Empleo Censo'!L351</f>
        <v/>
      </c>
      <c r="I351" s="14">
        <f>'Empleo Censo'!M351</f>
        <v/>
      </c>
      <c r="J351" s="14">
        <f>SUM('Empleo Censo'!N351:AA351)</f>
        <v/>
      </c>
      <c r="K351" s="14">
        <f>SUM(C351:J351)</f>
        <v/>
      </c>
      <c r="L351" s="15">
        <f>SUMPRODUCT(C351:J351,Factores!$B$3:$I$3)</f>
        <v/>
      </c>
      <c r="M351" s="16">
        <f>'Empleo Censo'!E351</f>
        <v/>
      </c>
      <c r="N351" s="17">
        <f>IF(M351&gt;0,L351,Factores!$B$7)</f>
        <v/>
      </c>
      <c r="O351">
        <f>IF(M351&gt;0,"OK","sin PEA -&gt; peor")</f>
        <v/>
      </c>
    </row>
    <row r="352">
      <c r="A352" t="inlineStr">
        <is>
          <t>140116</t>
        </is>
      </c>
      <c r="B352" t="inlineStr">
        <is>
          <t>CAYALTI</t>
        </is>
      </c>
      <c r="C352" s="14">
        <f>'Empleo Censo'!G352-'Empleo Censo'!F352</f>
        <v/>
      </c>
      <c r="D352" s="14">
        <f>'Empleo Censo'!F352</f>
        <v/>
      </c>
      <c r="E352" s="14">
        <f>'Empleo Censo'!H352</f>
        <v/>
      </c>
      <c r="F352" s="14">
        <f>'Empleo Censo'!I352</f>
        <v/>
      </c>
      <c r="G352" s="14">
        <f>'Empleo Censo'!J352+'Empleo Censo'!K352</f>
        <v/>
      </c>
      <c r="H352" s="14">
        <f>'Empleo Censo'!L352</f>
        <v/>
      </c>
      <c r="I352" s="14">
        <f>'Empleo Censo'!M352</f>
        <v/>
      </c>
      <c r="J352" s="14">
        <f>SUM('Empleo Censo'!N352:AA352)</f>
        <v/>
      </c>
      <c r="K352" s="14">
        <f>SUM(C352:J352)</f>
        <v/>
      </c>
      <c r="L352" s="15">
        <f>SUMPRODUCT(C352:J352,Factores!$B$3:$I$3)</f>
        <v/>
      </c>
      <c r="M352" s="16">
        <f>'Empleo Censo'!E352</f>
        <v/>
      </c>
      <c r="N352" s="17">
        <f>IF(M352&gt;0,L352,Factores!$B$7)</f>
        <v/>
      </c>
      <c r="O352">
        <f>IF(M352&gt;0,"OK","sin PEA -&gt; peor")</f>
        <v/>
      </c>
    </row>
    <row r="353">
      <c r="A353" t="inlineStr">
        <is>
          <t>140117</t>
        </is>
      </c>
      <c r="B353" t="inlineStr">
        <is>
          <t>PATAPO</t>
        </is>
      </c>
      <c r="C353" s="14">
        <f>'Empleo Censo'!G353-'Empleo Censo'!F353</f>
        <v/>
      </c>
      <c r="D353" s="14">
        <f>'Empleo Censo'!F353</f>
        <v/>
      </c>
      <c r="E353" s="14">
        <f>'Empleo Censo'!H353</f>
        <v/>
      </c>
      <c r="F353" s="14">
        <f>'Empleo Censo'!I353</f>
        <v/>
      </c>
      <c r="G353" s="14">
        <f>'Empleo Censo'!J353+'Empleo Censo'!K353</f>
        <v/>
      </c>
      <c r="H353" s="14">
        <f>'Empleo Censo'!L353</f>
        <v/>
      </c>
      <c r="I353" s="14">
        <f>'Empleo Censo'!M353</f>
        <v/>
      </c>
      <c r="J353" s="14">
        <f>SUM('Empleo Censo'!N353:AA353)</f>
        <v/>
      </c>
      <c r="K353" s="14">
        <f>SUM(C353:J353)</f>
        <v/>
      </c>
      <c r="L353" s="15">
        <f>SUMPRODUCT(C353:J353,Factores!$B$3:$I$3)</f>
        <v/>
      </c>
      <c r="M353" s="16">
        <f>'Empleo Censo'!E353</f>
        <v/>
      </c>
      <c r="N353" s="17">
        <f>IF(M353&gt;0,L353,Factores!$B$7)</f>
        <v/>
      </c>
      <c r="O353">
        <f>IF(M353&gt;0,"OK","sin PEA -&gt; peor")</f>
        <v/>
      </c>
    </row>
    <row r="354">
      <c r="A354" t="inlineStr">
        <is>
          <t>140118</t>
        </is>
      </c>
      <c r="B354" t="inlineStr">
        <is>
          <t>POMALCA</t>
        </is>
      </c>
      <c r="C354" s="14">
        <f>'Empleo Censo'!G354-'Empleo Censo'!F354</f>
        <v/>
      </c>
      <c r="D354" s="14">
        <f>'Empleo Censo'!F354</f>
        <v/>
      </c>
      <c r="E354" s="14">
        <f>'Empleo Censo'!H354</f>
        <v/>
      </c>
      <c r="F354" s="14">
        <f>'Empleo Censo'!I354</f>
        <v/>
      </c>
      <c r="G354" s="14">
        <f>'Empleo Censo'!J354+'Empleo Censo'!K354</f>
        <v/>
      </c>
      <c r="H354" s="14">
        <f>'Empleo Censo'!L354</f>
        <v/>
      </c>
      <c r="I354" s="14">
        <f>'Empleo Censo'!M354</f>
        <v/>
      </c>
      <c r="J354" s="14">
        <f>SUM('Empleo Censo'!N354:AA354)</f>
        <v/>
      </c>
      <c r="K354" s="14">
        <f>SUM(C354:J354)</f>
        <v/>
      </c>
      <c r="L354" s="15">
        <f>SUMPRODUCT(C354:J354,Factores!$B$3:$I$3)</f>
        <v/>
      </c>
      <c r="M354" s="16">
        <f>'Empleo Censo'!E354</f>
        <v/>
      </c>
      <c r="N354" s="17">
        <f>IF(M354&gt;0,L354,Factores!$B$7)</f>
        <v/>
      </c>
      <c r="O354">
        <f>IF(M354&gt;0,"OK","sin PEA -&gt; peor")</f>
        <v/>
      </c>
    </row>
    <row r="355">
      <c r="A355" t="inlineStr">
        <is>
          <t>140119</t>
        </is>
      </c>
      <c r="B355" t="inlineStr">
        <is>
          <t>PUCALA</t>
        </is>
      </c>
      <c r="C355" s="14">
        <f>'Empleo Censo'!G355-'Empleo Censo'!F355</f>
        <v/>
      </c>
      <c r="D355" s="14">
        <f>'Empleo Censo'!F355</f>
        <v/>
      </c>
      <c r="E355" s="14">
        <f>'Empleo Censo'!H355</f>
        <v/>
      </c>
      <c r="F355" s="14">
        <f>'Empleo Censo'!I355</f>
        <v/>
      </c>
      <c r="G355" s="14">
        <f>'Empleo Censo'!J355+'Empleo Censo'!K355</f>
        <v/>
      </c>
      <c r="H355" s="14">
        <f>'Empleo Censo'!L355</f>
        <v/>
      </c>
      <c r="I355" s="14">
        <f>'Empleo Censo'!M355</f>
        <v/>
      </c>
      <c r="J355" s="14">
        <f>SUM('Empleo Censo'!N355:AA355)</f>
        <v/>
      </c>
      <c r="K355" s="14">
        <f>SUM(C355:J355)</f>
        <v/>
      </c>
      <c r="L355" s="15">
        <f>SUMPRODUCT(C355:J355,Factores!$B$3:$I$3)</f>
        <v/>
      </c>
      <c r="M355" s="16">
        <f>'Empleo Censo'!E355</f>
        <v/>
      </c>
      <c r="N355" s="17">
        <f>IF(M355&gt;0,L355,Factores!$B$7)</f>
        <v/>
      </c>
      <c r="O355">
        <f>IF(M355&gt;0,"OK","sin PEA -&gt; peor")</f>
        <v/>
      </c>
    </row>
    <row r="356">
      <c r="A356" t="inlineStr">
        <is>
          <t>140120</t>
        </is>
      </c>
      <c r="B356" t="inlineStr">
        <is>
          <t>TUMAN</t>
        </is>
      </c>
      <c r="C356" s="14">
        <f>'Empleo Censo'!G356-'Empleo Censo'!F356</f>
        <v/>
      </c>
      <c r="D356" s="14">
        <f>'Empleo Censo'!F356</f>
        <v/>
      </c>
      <c r="E356" s="14">
        <f>'Empleo Censo'!H356</f>
        <v/>
      </c>
      <c r="F356" s="14">
        <f>'Empleo Censo'!I356</f>
        <v/>
      </c>
      <c r="G356" s="14">
        <f>'Empleo Censo'!J356+'Empleo Censo'!K356</f>
        <v/>
      </c>
      <c r="H356" s="14">
        <f>'Empleo Censo'!L356</f>
        <v/>
      </c>
      <c r="I356" s="14">
        <f>'Empleo Censo'!M356</f>
        <v/>
      </c>
      <c r="J356" s="14">
        <f>SUM('Empleo Censo'!N356:AA356)</f>
        <v/>
      </c>
      <c r="K356" s="14">
        <f>SUM(C356:J356)</f>
        <v/>
      </c>
      <c r="L356" s="15">
        <f>SUMPRODUCT(C356:J356,Factores!$B$3:$I$3)</f>
        <v/>
      </c>
      <c r="M356" s="16">
        <f>'Empleo Censo'!E356</f>
        <v/>
      </c>
      <c r="N356" s="17">
        <f>IF(M356&gt;0,L356,Factores!$B$7)</f>
        <v/>
      </c>
      <c r="O356">
        <f>IF(M356&gt;0,"OK","sin PEA -&gt; peor")</f>
        <v/>
      </c>
    </row>
    <row r="357">
      <c r="A357" t="inlineStr">
        <is>
          <t>140201</t>
        </is>
      </c>
      <c r="B357" t="inlineStr">
        <is>
          <t>FERREÑAFE</t>
        </is>
      </c>
      <c r="C357" s="14">
        <f>'Empleo Censo'!G357-'Empleo Censo'!F357</f>
        <v/>
      </c>
      <c r="D357" s="14">
        <f>'Empleo Censo'!F357</f>
        <v/>
      </c>
      <c r="E357" s="14">
        <f>'Empleo Censo'!H357</f>
        <v/>
      </c>
      <c r="F357" s="14">
        <f>'Empleo Censo'!I357</f>
        <v/>
      </c>
      <c r="G357" s="14">
        <f>'Empleo Censo'!J357+'Empleo Censo'!K357</f>
        <v/>
      </c>
      <c r="H357" s="14">
        <f>'Empleo Censo'!L357</f>
        <v/>
      </c>
      <c r="I357" s="14">
        <f>'Empleo Censo'!M357</f>
        <v/>
      </c>
      <c r="J357" s="14">
        <f>SUM('Empleo Censo'!N357:AA357)</f>
        <v/>
      </c>
      <c r="K357" s="14">
        <f>SUM(C357:J357)</f>
        <v/>
      </c>
      <c r="L357" s="15">
        <f>SUMPRODUCT(C357:J357,Factores!$B$3:$I$3)</f>
        <v/>
      </c>
      <c r="M357" s="16">
        <f>'Empleo Censo'!E357</f>
        <v/>
      </c>
      <c r="N357" s="17">
        <f>IF(M357&gt;0,L357,Factores!$B$7)</f>
        <v/>
      </c>
      <c r="O357">
        <f>IF(M357&gt;0,"OK","sin PEA -&gt; peor")</f>
        <v/>
      </c>
    </row>
    <row r="358">
      <c r="A358" t="inlineStr">
        <is>
          <t>140202</t>
        </is>
      </c>
      <c r="B358" t="inlineStr">
        <is>
          <t>CAÑARIS</t>
        </is>
      </c>
      <c r="C358" s="14">
        <f>'Empleo Censo'!G358-'Empleo Censo'!F358</f>
        <v/>
      </c>
      <c r="D358" s="14">
        <f>'Empleo Censo'!F358</f>
        <v/>
      </c>
      <c r="E358" s="14">
        <f>'Empleo Censo'!H358</f>
        <v/>
      </c>
      <c r="F358" s="14">
        <f>'Empleo Censo'!I358</f>
        <v/>
      </c>
      <c r="G358" s="14">
        <f>'Empleo Censo'!J358+'Empleo Censo'!K358</f>
        <v/>
      </c>
      <c r="H358" s="14">
        <f>'Empleo Censo'!L358</f>
        <v/>
      </c>
      <c r="I358" s="14">
        <f>'Empleo Censo'!M358</f>
        <v/>
      </c>
      <c r="J358" s="14">
        <f>SUM('Empleo Censo'!N358:AA358)</f>
        <v/>
      </c>
      <c r="K358" s="14">
        <f>SUM(C358:J358)</f>
        <v/>
      </c>
      <c r="L358" s="15">
        <f>SUMPRODUCT(C358:J358,Factores!$B$3:$I$3)</f>
        <v/>
      </c>
      <c r="M358" s="16">
        <f>'Empleo Censo'!E358</f>
        <v/>
      </c>
      <c r="N358" s="17">
        <f>IF(M358&gt;0,L358,Factores!$B$7)</f>
        <v/>
      </c>
      <c r="O358">
        <f>IF(M358&gt;0,"OK","sin PEA -&gt; peor")</f>
        <v/>
      </c>
    </row>
    <row r="359">
      <c r="A359" t="inlineStr">
        <is>
          <t>140203</t>
        </is>
      </c>
      <c r="B359" t="inlineStr">
        <is>
          <t>INCAHUASI</t>
        </is>
      </c>
      <c r="C359" s="14">
        <f>'Empleo Censo'!G359-'Empleo Censo'!F359</f>
        <v/>
      </c>
      <c r="D359" s="14">
        <f>'Empleo Censo'!F359</f>
        <v/>
      </c>
      <c r="E359" s="14">
        <f>'Empleo Censo'!H359</f>
        <v/>
      </c>
      <c r="F359" s="14">
        <f>'Empleo Censo'!I359</f>
        <v/>
      </c>
      <c r="G359" s="14">
        <f>'Empleo Censo'!J359+'Empleo Censo'!K359</f>
        <v/>
      </c>
      <c r="H359" s="14">
        <f>'Empleo Censo'!L359</f>
        <v/>
      </c>
      <c r="I359" s="14">
        <f>'Empleo Censo'!M359</f>
        <v/>
      </c>
      <c r="J359" s="14">
        <f>SUM('Empleo Censo'!N359:AA359)</f>
        <v/>
      </c>
      <c r="K359" s="14">
        <f>SUM(C359:J359)</f>
        <v/>
      </c>
      <c r="L359" s="15">
        <f>SUMPRODUCT(C359:J359,Factores!$B$3:$I$3)</f>
        <v/>
      </c>
      <c r="M359" s="16">
        <f>'Empleo Censo'!E359</f>
        <v/>
      </c>
      <c r="N359" s="17">
        <f>IF(M359&gt;0,L359,Factores!$B$7)</f>
        <v/>
      </c>
      <c r="O359">
        <f>IF(M359&gt;0,"OK","sin PEA -&gt; peor")</f>
        <v/>
      </c>
    </row>
    <row r="360">
      <c r="A360" t="inlineStr">
        <is>
          <t>140204</t>
        </is>
      </c>
      <c r="B360" t="inlineStr">
        <is>
          <t>MANUEL ANTONIO MESONES MURO</t>
        </is>
      </c>
      <c r="C360" s="14">
        <f>'Empleo Censo'!G360-'Empleo Censo'!F360</f>
        <v/>
      </c>
      <c r="D360" s="14">
        <f>'Empleo Censo'!F360</f>
        <v/>
      </c>
      <c r="E360" s="14">
        <f>'Empleo Censo'!H360</f>
        <v/>
      </c>
      <c r="F360" s="14">
        <f>'Empleo Censo'!I360</f>
        <v/>
      </c>
      <c r="G360" s="14">
        <f>'Empleo Censo'!J360+'Empleo Censo'!K360</f>
        <v/>
      </c>
      <c r="H360" s="14">
        <f>'Empleo Censo'!L360</f>
        <v/>
      </c>
      <c r="I360" s="14">
        <f>'Empleo Censo'!M360</f>
        <v/>
      </c>
      <c r="J360" s="14">
        <f>SUM('Empleo Censo'!N360:AA360)</f>
        <v/>
      </c>
      <c r="K360" s="14">
        <f>SUM(C360:J360)</f>
        <v/>
      </c>
      <c r="L360" s="15">
        <f>SUMPRODUCT(C360:J360,Factores!$B$3:$I$3)</f>
        <v/>
      </c>
      <c r="M360" s="16">
        <f>'Empleo Censo'!E360</f>
        <v/>
      </c>
      <c r="N360" s="17">
        <f>IF(M360&gt;0,L360,Factores!$B$7)</f>
        <v/>
      </c>
      <c r="O360">
        <f>IF(M360&gt;0,"OK","sin PEA -&gt; peor")</f>
        <v/>
      </c>
    </row>
    <row r="361">
      <c r="A361" t="inlineStr">
        <is>
          <t>140205</t>
        </is>
      </c>
      <c r="B361" t="inlineStr">
        <is>
          <t>PITIPO</t>
        </is>
      </c>
      <c r="C361" s="14">
        <f>'Empleo Censo'!G361-'Empleo Censo'!F361</f>
        <v/>
      </c>
      <c r="D361" s="14">
        <f>'Empleo Censo'!F361</f>
        <v/>
      </c>
      <c r="E361" s="14">
        <f>'Empleo Censo'!H361</f>
        <v/>
      </c>
      <c r="F361" s="14">
        <f>'Empleo Censo'!I361</f>
        <v/>
      </c>
      <c r="G361" s="14">
        <f>'Empleo Censo'!J361+'Empleo Censo'!K361</f>
        <v/>
      </c>
      <c r="H361" s="14">
        <f>'Empleo Censo'!L361</f>
        <v/>
      </c>
      <c r="I361" s="14">
        <f>'Empleo Censo'!M361</f>
        <v/>
      </c>
      <c r="J361" s="14">
        <f>SUM('Empleo Censo'!N361:AA361)</f>
        <v/>
      </c>
      <c r="K361" s="14">
        <f>SUM(C361:J361)</f>
        <v/>
      </c>
      <c r="L361" s="15">
        <f>SUMPRODUCT(C361:J361,Factores!$B$3:$I$3)</f>
        <v/>
      </c>
      <c r="M361" s="16">
        <f>'Empleo Censo'!E361</f>
        <v/>
      </c>
      <c r="N361" s="17">
        <f>IF(M361&gt;0,L361,Factores!$B$7)</f>
        <v/>
      </c>
      <c r="O361">
        <f>IF(M361&gt;0,"OK","sin PEA -&gt; peor")</f>
        <v/>
      </c>
    </row>
    <row r="362">
      <c r="A362" t="inlineStr">
        <is>
          <t>140206</t>
        </is>
      </c>
      <c r="B362" t="inlineStr">
        <is>
          <t>PUEBLO NUEVO</t>
        </is>
      </c>
      <c r="C362" s="14">
        <f>'Empleo Censo'!G362-'Empleo Censo'!F362</f>
        <v/>
      </c>
      <c r="D362" s="14">
        <f>'Empleo Censo'!F362</f>
        <v/>
      </c>
      <c r="E362" s="14">
        <f>'Empleo Censo'!H362</f>
        <v/>
      </c>
      <c r="F362" s="14">
        <f>'Empleo Censo'!I362</f>
        <v/>
      </c>
      <c r="G362" s="14">
        <f>'Empleo Censo'!J362+'Empleo Censo'!K362</f>
        <v/>
      </c>
      <c r="H362" s="14">
        <f>'Empleo Censo'!L362</f>
        <v/>
      </c>
      <c r="I362" s="14">
        <f>'Empleo Censo'!M362</f>
        <v/>
      </c>
      <c r="J362" s="14">
        <f>SUM('Empleo Censo'!N362:AA362)</f>
        <v/>
      </c>
      <c r="K362" s="14">
        <f>SUM(C362:J362)</f>
        <v/>
      </c>
      <c r="L362" s="15">
        <f>SUMPRODUCT(C362:J362,Factores!$B$3:$I$3)</f>
        <v/>
      </c>
      <c r="M362" s="16">
        <f>'Empleo Censo'!E362</f>
        <v/>
      </c>
      <c r="N362" s="17">
        <f>IF(M362&gt;0,L362,Factores!$B$7)</f>
        <v/>
      </c>
      <c r="O362">
        <f>IF(M362&gt;0,"OK","sin PEA -&gt; peor")</f>
        <v/>
      </c>
    </row>
    <row r="363">
      <c r="A363" t="inlineStr">
        <is>
          <t>140301</t>
        </is>
      </c>
      <c r="B363" t="inlineStr">
        <is>
          <t>LAMBAYEQUE</t>
        </is>
      </c>
      <c r="C363" s="14">
        <f>'Empleo Censo'!G363-'Empleo Censo'!F363</f>
        <v/>
      </c>
      <c r="D363" s="14">
        <f>'Empleo Censo'!F363</f>
        <v/>
      </c>
      <c r="E363" s="14">
        <f>'Empleo Censo'!H363</f>
        <v/>
      </c>
      <c r="F363" s="14">
        <f>'Empleo Censo'!I363</f>
        <v/>
      </c>
      <c r="G363" s="14">
        <f>'Empleo Censo'!J363+'Empleo Censo'!K363</f>
        <v/>
      </c>
      <c r="H363" s="14">
        <f>'Empleo Censo'!L363</f>
        <v/>
      </c>
      <c r="I363" s="14">
        <f>'Empleo Censo'!M363</f>
        <v/>
      </c>
      <c r="J363" s="14">
        <f>SUM('Empleo Censo'!N363:AA363)</f>
        <v/>
      </c>
      <c r="K363" s="14">
        <f>SUM(C363:J363)</f>
        <v/>
      </c>
      <c r="L363" s="15">
        <f>SUMPRODUCT(C363:J363,Factores!$B$3:$I$3)</f>
        <v/>
      </c>
      <c r="M363" s="16">
        <f>'Empleo Censo'!E363</f>
        <v/>
      </c>
      <c r="N363" s="17">
        <f>IF(M363&gt;0,L363,Factores!$B$7)</f>
        <v/>
      </c>
      <c r="O363">
        <f>IF(M363&gt;0,"OK","sin PEA -&gt; peor")</f>
        <v/>
      </c>
    </row>
    <row r="364">
      <c r="A364" t="inlineStr">
        <is>
          <t>140302</t>
        </is>
      </c>
      <c r="B364" t="inlineStr">
        <is>
          <t>CHOCHOPE</t>
        </is>
      </c>
      <c r="C364" s="14">
        <f>'Empleo Censo'!G364-'Empleo Censo'!F364</f>
        <v/>
      </c>
      <c r="D364" s="14">
        <f>'Empleo Censo'!F364</f>
        <v/>
      </c>
      <c r="E364" s="14">
        <f>'Empleo Censo'!H364</f>
        <v/>
      </c>
      <c r="F364" s="14">
        <f>'Empleo Censo'!I364</f>
        <v/>
      </c>
      <c r="G364" s="14">
        <f>'Empleo Censo'!J364+'Empleo Censo'!K364</f>
        <v/>
      </c>
      <c r="H364" s="14">
        <f>'Empleo Censo'!L364</f>
        <v/>
      </c>
      <c r="I364" s="14">
        <f>'Empleo Censo'!M364</f>
        <v/>
      </c>
      <c r="J364" s="14">
        <f>SUM('Empleo Censo'!N364:AA364)</f>
        <v/>
      </c>
      <c r="K364" s="14">
        <f>SUM(C364:J364)</f>
        <v/>
      </c>
      <c r="L364" s="15">
        <f>SUMPRODUCT(C364:J364,Factores!$B$3:$I$3)</f>
        <v/>
      </c>
      <c r="M364" s="16">
        <f>'Empleo Censo'!E364</f>
        <v/>
      </c>
      <c r="N364" s="17">
        <f>IF(M364&gt;0,L364,Factores!$B$7)</f>
        <v/>
      </c>
      <c r="O364">
        <f>IF(M364&gt;0,"OK","sin PEA -&gt; peor")</f>
        <v/>
      </c>
    </row>
    <row r="365">
      <c r="A365" t="inlineStr">
        <is>
          <t>140303</t>
        </is>
      </c>
      <c r="B365" t="inlineStr">
        <is>
          <t>ILLIMO</t>
        </is>
      </c>
      <c r="C365" s="14">
        <f>'Empleo Censo'!G365-'Empleo Censo'!F365</f>
        <v/>
      </c>
      <c r="D365" s="14">
        <f>'Empleo Censo'!F365</f>
        <v/>
      </c>
      <c r="E365" s="14">
        <f>'Empleo Censo'!H365</f>
        <v/>
      </c>
      <c r="F365" s="14">
        <f>'Empleo Censo'!I365</f>
        <v/>
      </c>
      <c r="G365" s="14">
        <f>'Empleo Censo'!J365+'Empleo Censo'!K365</f>
        <v/>
      </c>
      <c r="H365" s="14">
        <f>'Empleo Censo'!L365</f>
        <v/>
      </c>
      <c r="I365" s="14">
        <f>'Empleo Censo'!M365</f>
        <v/>
      </c>
      <c r="J365" s="14">
        <f>SUM('Empleo Censo'!N365:AA365)</f>
        <v/>
      </c>
      <c r="K365" s="14">
        <f>SUM(C365:J365)</f>
        <v/>
      </c>
      <c r="L365" s="15">
        <f>SUMPRODUCT(C365:J365,Factores!$B$3:$I$3)</f>
        <v/>
      </c>
      <c r="M365" s="16">
        <f>'Empleo Censo'!E365</f>
        <v/>
      </c>
      <c r="N365" s="17">
        <f>IF(M365&gt;0,L365,Factores!$B$7)</f>
        <v/>
      </c>
      <c r="O365">
        <f>IF(M365&gt;0,"OK","sin PEA -&gt; peor")</f>
        <v/>
      </c>
    </row>
    <row r="366">
      <c r="A366" t="inlineStr">
        <is>
          <t>140304</t>
        </is>
      </c>
      <c r="B366" t="inlineStr">
        <is>
          <t>JAYANCA</t>
        </is>
      </c>
      <c r="C366" s="14">
        <f>'Empleo Censo'!G366-'Empleo Censo'!F366</f>
        <v/>
      </c>
      <c r="D366" s="14">
        <f>'Empleo Censo'!F366</f>
        <v/>
      </c>
      <c r="E366" s="14">
        <f>'Empleo Censo'!H366</f>
        <v/>
      </c>
      <c r="F366" s="14">
        <f>'Empleo Censo'!I366</f>
        <v/>
      </c>
      <c r="G366" s="14">
        <f>'Empleo Censo'!J366+'Empleo Censo'!K366</f>
        <v/>
      </c>
      <c r="H366" s="14">
        <f>'Empleo Censo'!L366</f>
        <v/>
      </c>
      <c r="I366" s="14">
        <f>'Empleo Censo'!M366</f>
        <v/>
      </c>
      <c r="J366" s="14">
        <f>SUM('Empleo Censo'!N366:AA366)</f>
        <v/>
      </c>
      <c r="K366" s="14">
        <f>SUM(C366:J366)</f>
        <v/>
      </c>
      <c r="L366" s="15">
        <f>SUMPRODUCT(C366:J366,Factores!$B$3:$I$3)</f>
        <v/>
      </c>
      <c r="M366" s="16">
        <f>'Empleo Censo'!E366</f>
        <v/>
      </c>
      <c r="N366" s="17">
        <f>IF(M366&gt;0,L366,Factores!$B$7)</f>
        <v/>
      </c>
      <c r="O366">
        <f>IF(M366&gt;0,"OK","sin PEA -&gt; peor")</f>
        <v/>
      </c>
    </row>
    <row r="367">
      <c r="A367" t="inlineStr">
        <is>
          <t>140305</t>
        </is>
      </c>
      <c r="B367" t="inlineStr">
        <is>
          <t>MOCHUMI</t>
        </is>
      </c>
      <c r="C367" s="14">
        <f>'Empleo Censo'!G367-'Empleo Censo'!F367</f>
        <v/>
      </c>
      <c r="D367" s="14">
        <f>'Empleo Censo'!F367</f>
        <v/>
      </c>
      <c r="E367" s="14">
        <f>'Empleo Censo'!H367</f>
        <v/>
      </c>
      <c r="F367" s="14">
        <f>'Empleo Censo'!I367</f>
        <v/>
      </c>
      <c r="G367" s="14">
        <f>'Empleo Censo'!J367+'Empleo Censo'!K367</f>
        <v/>
      </c>
      <c r="H367" s="14">
        <f>'Empleo Censo'!L367</f>
        <v/>
      </c>
      <c r="I367" s="14">
        <f>'Empleo Censo'!M367</f>
        <v/>
      </c>
      <c r="J367" s="14">
        <f>SUM('Empleo Censo'!N367:AA367)</f>
        <v/>
      </c>
      <c r="K367" s="14">
        <f>SUM(C367:J367)</f>
        <v/>
      </c>
      <c r="L367" s="15">
        <f>SUMPRODUCT(C367:J367,Factores!$B$3:$I$3)</f>
        <v/>
      </c>
      <c r="M367" s="16">
        <f>'Empleo Censo'!E367</f>
        <v/>
      </c>
      <c r="N367" s="17">
        <f>IF(M367&gt;0,L367,Factores!$B$7)</f>
        <v/>
      </c>
      <c r="O367">
        <f>IF(M367&gt;0,"OK","sin PEA -&gt; peor")</f>
        <v/>
      </c>
    </row>
    <row r="368">
      <c r="A368" t="inlineStr">
        <is>
          <t>140306</t>
        </is>
      </c>
      <c r="B368" t="inlineStr">
        <is>
          <t>MORROPE</t>
        </is>
      </c>
      <c r="C368" s="14">
        <f>'Empleo Censo'!G368-'Empleo Censo'!F368</f>
        <v/>
      </c>
      <c r="D368" s="14">
        <f>'Empleo Censo'!F368</f>
        <v/>
      </c>
      <c r="E368" s="14">
        <f>'Empleo Censo'!H368</f>
        <v/>
      </c>
      <c r="F368" s="14">
        <f>'Empleo Censo'!I368</f>
        <v/>
      </c>
      <c r="G368" s="14">
        <f>'Empleo Censo'!J368+'Empleo Censo'!K368</f>
        <v/>
      </c>
      <c r="H368" s="14">
        <f>'Empleo Censo'!L368</f>
        <v/>
      </c>
      <c r="I368" s="14">
        <f>'Empleo Censo'!M368</f>
        <v/>
      </c>
      <c r="J368" s="14">
        <f>SUM('Empleo Censo'!N368:AA368)</f>
        <v/>
      </c>
      <c r="K368" s="14">
        <f>SUM(C368:J368)</f>
        <v/>
      </c>
      <c r="L368" s="15">
        <f>SUMPRODUCT(C368:J368,Factores!$B$3:$I$3)</f>
        <v/>
      </c>
      <c r="M368" s="16">
        <f>'Empleo Censo'!E368</f>
        <v/>
      </c>
      <c r="N368" s="17">
        <f>IF(M368&gt;0,L368,Factores!$B$7)</f>
        <v/>
      </c>
      <c r="O368">
        <f>IF(M368&gt;0,"OK","sin PEA -&gt; peor")</f>
        <v/>
      </c>
    </row>
    <row r="369">
      <c r="A369" t="inlineStr">
        <is>
          <t>140307</t>
        </is>
      </c>
      <c r="B369" t="inlineStr">
        <is>
          <t>MOTUPE</t>
        </is>
      </c>
      <c r="C369" s="14">
        <f>'Empleo Censo'!G369-'Empleo Censo'!F369</f>
        <v/>
      </c>
      <c r="D369" s="14">
        <f>'Empleo Censo'!F369</f>
        <v/>
      </c>
      <c r="E369" s="14">
        <f>'Empleo Censo'!H369</f>
        <v/>
      </c>
      <c r="F369" s="14">
        <f>'Empleo Censo'!I369</f>
        <v/>
      </c>
      <c r="G369" s="14">
        <f>'Empleo Censo'!J369+'Empleo Censo'!K369</f>
        <v/>
      </c>
      <c r="H369" s="14">
        <f>'Empleo Censo'!L369</f>
        <v/>
      </c>
      <c r="I369" s="14">
        <f>'Empleo Censo'!M369</f>
        <v/>
      </c>
      <c r="J369" s="14">
        <f>SUM('Empleo Censo'!N369:AA369)</f>
        <v/>
      </c>
      <c r="K369" s="14">
        <f>SUM(C369:J369)</f>
        <v/>
      </c>
      <c r="L369" s="15">
        <f>SUMPRODUCT(C369:J369,Factores!$B$3:$I$3)</f>
        <v/>
      </c>
      <c r="M369" s="16">
        <f>'Empleo Censo'!E369</f>
        <v/>
      </c>
      <c r="N369" s="17">
        <f>IF(M369&gt;0,L369,Factores!$B$7)</f>
        <v/>
      </c>
      <c r="O369">
        <f>IF(M369&gt;0,"OK","sin PEA -&gt; peor")</f>
        <v/>
      </c>
    </row>
    <row r="370">
      <c r="A370" t="inlineStr">
        <is>
          <t>140308</t>
        </is>
      </c>
      <c r="B370" t="inlineStr">
        <is>
          <t>OLMOS</t>
        </is>
      </c>
      <c r="C370" s="14">
        <f>'Empleo Censo'!G370-'Empleo Censo'!F370</f>
        <v/>
      </c>
      <c r="D370" s="14">
        <f>'Empleo Censo'!F370</f>
        <v/>
      </c>
      <c r="E370" s="14">
        <f>'Empleo Censo'!H370</f>
        <v/>
      </c>
      <c r="F370" s="14">
        <f>'Empleo Censo'!I370</f>
        <v/>
      </c>
      <c r="G370" s="14">
        <f>'Empleo Censo'!J370+'Empleo Censo'!K370</f>
        <v/>
      </c>
      <c r="H370" s="14">
        <f>'Empleo Censo'!L370</f>
        <v/>
      </c>
      <c r="I370" s="14">
        <f>'Empleo Censo'!M370</f>
        <v/>
      </c>
      <c r="J370" s="14">
        <f>SUM('Empleo Censo'!N370:AA370)</f>
        <v/>
      </c>
      <c r="K370" s="14">
        <f>SUM(C370:J370)</f>
        <v/>
      </c>
      <c r="L370" s="15">
        <f>SUMPRODUCT(C370:J370,Factores!$B$3:$I$3)</f>
        <v/>
      </c>
      <c r="M370" s="16">
        <f>'Empleo Censo'!E370</f>
        <v/>
      </c>
      <c r="N370" s="17">
        <f>IF(M370&gt;0,L370,Factores!$B$7)</f>
        <v/>
      </c>
      <c r="O370">
        <f>IF(M370&gt;0,"OK","sin PEA -&gt; peor")</f>
        <v/>
      </c>
    </row>
    <row r="371">
      <c r="A371" t="inlineStr">
        <is>
          <t>140309</t>
        </is>
      </c>
      <c r="B371" t="inlineStr">
        <is>
          <t>PACORA</t>
        </is>
      </c>
      <c r="C371" s="14">
        <f>'Empleo Censo'!G371-'Empleo Censo'!F371</f>
        <v/>
      </c>
      <c r="D371" s="14">
        <f>'Empleo Censo'!F371</f>
        <v/>
      </c>
      <c r="E371" s="14">
        <f>'Empleo Censo'!H371</f>
        <v/>
      </c>
      <c r="F371" s="14">
        <f>'Empleo Censo'!I371</f>
        <v/>
      </c>
      <c r="G371" s="14">
        <f>'Empleo Censo'!J371+'Empleo Censo'!K371</f>
        <v/>
      </c>
      <c r="H371" s="14">
        <f>'Empleo Censo'!L371</f>
        <v/>
      </c>
      <c r="I371" s="14">
        <f>'Empleo Censo'!M371</f>
        <v/>
      </c>
      <c r="J371" s="14">
        <f>SUM('Empleo Censo'!N371:AA371)</f>
        <v/>
      </c>
      <c r="K371" s="14">
        <f>SUM(C371:J371)</f>
        <v/>
      </c>
      <c r="L371" s="15">
        <f>SUMPRODUCT(C371:J371,Factores!$B$3:$I$3)</f>
        <v/>
      </c>
      <c r="M371" s="16">
        <f>'Empleo Censo'!E371</f>
        <v/>
      </c>
      <c r="N371" s="17">
        <f>IF(M371&gt;0,L371,Factores!$B$7)</f>
        <v/>
      </c>
      <c r="O371">
        <f>IF(M371&gt;0,"OK","sin PEA -&gt; peor")</f>
        <v/>
      </c>
    </row>
    <row r="372">
      <c r="A372" t="inlineStr">
        <is>
          <t>140310</t>
        </is>
      </c>
      <c r="B372" t="inlineStr">
        <is>
          <t>SALAS</t>
        </is>
      </c>
      <c r="C372" s="14">
        <f>'Empleo Censo'!G372-'Empleo Censo'!F372</f>
        <v/>
      </c>
      <c r="D372" s="14">
        <f>'Empleo Censo'!F372</f>
        <v/>
      </c>
      <c r="E372" s="14">
        <f>'Empleo Censo'!H372</f>
        <v/>
      </c>
      <c r="F372" s="14">
        <f>'Empleo Censo'!I372</f>
        <v/>
      </c>
      <c r="G372" s="14">
        <f>'Empleo Censo'!J372+'Empleo Censo'!K372</f>
        <v/>
      </c>
      <c r="H372" s="14">
        <f>'Empleo Censo'!L372</f>
        <v/>
      </c>
      <c r="I372" s="14">
        <f>'Empleo Censo'!M372</f>
        <v/>
      </c>
      <c r="J372" s="14">
        <f>SUM('Empleo Censo'!N372:AA372)</f>
        <v/>
      </c>
      <c r="K372" s="14">
        <f>SUM(C372:J372)</f>
        <v/>
      </c>
      <c r="L372" s="15">
        <f>SUMPRODUCT(C372:J372,Factores!$B$3:$I$3)</f>
        <v/>
      </c>
      <c r="M372" s="16">
        <f>'Empleo Censo'!E372</f>
        <v/>
      </c>
      <c r="N372" s="17">
        <f>IF(M372&gt;0,L372,Factores!$B$7)</f>
        <v/>
      </c>
      <c r="O372">
        <f>IF(M372&gt;0,"OK","sin PEA -&gt; peor")</f>
        <v/>
      </c>
    </row>
    <row r="373">
      <c r="A373" t="inlineStr">
        <is>
          <t>140311</t>
        </is>
      </c>
      <c r="B373" t="inlineStr">
        <is>
          <t>SAN JOSE</t>
        </is>
      </c>
      <c r="C373" s="14">
        <f>'Empleo Censo'!G373-'Empleo Censo'!F373</f>
        <v/>
      </c>
      <c r="D373" s="14">
        <f>'Empleo Censo'!F373</f>
        <v/>
      </c>
      <c r="E373" s="14">
        <f>'Empleo Censo'!H373</f>
        <v/>
      </c>
      <c r="F373" s="14">
        <f>'Empleo Censo'!I373</f>
        <v/>
      </c>
      <c r="G373" s="14">
        <f>'Empleo Censo'!J373+'Empleo Censo'!K373</f>
        <v/>
      </c>
      <c r="H373" s="14">
        <f>'Empleo Censo'!L373</f>
        <v/>
      </c>
      <c r="I373" s="14">
        <f>'Empleo Censo'!M373</f>
        <v/>
      </c>
      <c r="J373" s="14">
        <f>SUM('Empleo Censo'!N373:AA373)</f>
        <v/>
      </c>
      <c r="K373" s="14">
        <f>SUM(C373:J373)</f>
        <v/>
      </c>
      <c r="L373" s="15">
        <f>SUMPRODUCT(C373:J373,Factores!$B$3:$I$3)</f>
        <v/>
      </c>
      <c r="M373" s="16">
        <f>'Empleo Censo'!E373</f>
        <v/>
      </c>
      <c r="N373" s="17">
        <f>IF(M373&gt;0,L373,Factores!$B$7)</f>
        <v/>
      </c>
      <c r="O373">
        <f>IF(M373&gt;0,"OK","sin PEA -&gt; peor")</f>
        <v/>
      </c>
    </row>
    <row r="374">
      <c r="A374" t="inlineStr">
        <is>
          <t>140312</t>
        </is>
      </c>
      <c r="B374" t="inlineStr">
        <is>
          <t>TUCUME</t>
        </is>
      </c>
      <c r="C374" s="14">
        <f>'Empleo Censo'!G374-'Empleo Censo'!F374</f>
        <v/>
      </c>
      <c r="D374" s="14">
        <f>'Empleo Censo'!F374</f>
        <v/>
      </c>
      <c r="E374" s="14">
        <f>'Empleo Censo'!H374</f>
        <v/>
      </c>
      <c r="F374" s="14">
        <f>'Empleo Censo'!I374</f>
        <v/>
      </c>
      <c r="G374" s="14">
        <f>'Empleo Censo'!J374+'Empleo Censo'!K374</f>
        <v/>
      </c>
      <c r="H374" s="14">
        <f>'Empleo Censo'!L374</f>
        <v/>
      </c>
      <c r="I374" s="14">
        <f>'Empleo Censo'!M374</f>
        <v/>
      </c>
      <c r="J374" s="14">
        <f>SUM('Empleo Censo'!N374:AA374)</f>
        <v/>
      </c>
      <c r="K374" s="14">
        <f>SUM(C374:J374)</f>
        <v/>
      </c>
      <c r="L374" s="15">
        <f>SUMPRODUCT(C374:J374,Factores!$B$3:$I$3)</f>
        <v/>
      </c>
      <c r="M374" s="16">
        <f>'Empleo Censo'!E374</f>
        <v/>
      </c>
      <c r="N374" s="17">
        <f>IF(M374&gt;0,L374,Factores!$B$7)</f>
        <v/>
      </c>
      <c r="O374">
        <f>IF(M374&gt;0,"OK","sin PEA -&gt; peor")</f>
        <v/>
      </c>
    </row>
    <row r="375">
      <c r="A375" t="inlineStr">
        <is>
          <t>150101</t>
        </is>
      </c>
      <c r="B375" t="inlineStr">
        <is>
          <t>LIMA</t>
        </is>
      </c>
      <c r="C375" s="14">
        <f>'Empleo Censo'!G375-'Empleo Censo'!F375</f>
        <v/>
      </c>
      <c r="D375" s="14">
        <f>'Empleo Censo'!F375</f>
        <v/>
      </c>
      <c r="E375" s="14">
        <f>'Empleo Censo'!H375</f>
        <v/>
      </c>
      <c r="F375" s="14">
        <f>'Empleo Censo'!I375</f>
        <v/>
      </c>
      <c r="G375" s="14">
        <f>'Empleo Censo'!J375+'Empleo Censo'!K375</f>
        <v/>
      </c>
      <c r="H375" s="14">
        <f>'Empleo Censo'!L375</f>
        <v/>
      </c>
      <c r="I375" s="14">
        <f>'Empleo Censo'!M375</f>
        <v/>
      </c>
      <c r="J375" s="14">
        <f>SUM('Empleo Censo'!N375:AA375)</f>
        <v/>
      </c>
      <c r="K375" s="14">
        <f>SUM(C375:J375)</f>
        <v/>
      </c>
      <c r="L375" s="15">
        <f>SUMPRODUCT(C375:J375,Factores!$B$3:$I$3)</f>
        <v/>
      </c>
      <c r="M375" s="16">
        <f>'Empleo Censo'!E375</f>
        <v/>
      </c>
      <c r="N375" s="17">
        <f>IF(M375&gt;0,L375,Factores!$B$7)</f>
        <v/>
      </c>
      <c r="O375">
        <f>IF(M375&gt;0,"OK","sin PEA -&gt; peor")</f>
        <v/>
      </c>
    </row>
    <row r="376">
      <c r="A376" t="inlineStr">
        <is>
          <t>150102</t>
        </is>
      </c>
      <c r="B376" t="inlineStr">
        <is>
          <t>ANCON</t>
        </is>
      </c>
      <c r="C376" s="14">
        <f>'Empleo Censo'!G376-'Empleo Censo'!F376</f>
        <v/>
      </c>
      <c r="D376" s="14">
        <f>'Empleo Censo'!F376</f>
        <v/>
      </c>
      <c r="E376" s="14">
        <f>'Empleo Censo'!H376</f>
        <v/>
      </c>
      <c r="F376" s="14">
        <f>'Empleo Censo'!I376</f>
        <v/>
      </c>
      <c r="G376" s="14">
        <f>'Empleo Censo'!J376+'Empleo Censo'!K376</f>
        <v/>
      </c>
      <c r="H376" s="14">
        <f>'Empleo Censo'!L376</f>
        <v/>
      </c>
      <c r="I376" s="14">
        <f>'Empleo Censo'!M376</f>
        <v/>
      </c>
      <c r="J376" s="14">
        <f>SUM('Empleo Censo'!N376:AA376)</f>
        <v/>
      </c>
      <c r="K376" s="14">
        <f>SUM(C376:J376)</f>
        <v/>
      </c>
      <c r="L376" s="15">
        <f>SUMPRODUCT(C376:J376,Factores!$B$3:$I$3)</f>
        <v/>
      </c>
      <c r="M376" s="16">
        <f>'Empleo Censo'!E376</f>
        <v/>
      </c>
      <c r="N376" s="17">
        <f>IF(M376&gt;0,L376,Factores!$B$7)</f>
        <v/>
      </c>
      <c r="O376">
        <f>IF(M376&gt;0,"OK","sin PEA -&gt; peor")</f>
        <v/>
      </c>
    </row>
    <row r="377">
      <c r="A377" t="inlineStr">
        <is>
          <t>150103</t>
        </is>
      </c>
      <c r="B377" t="inlineStr">
        <is>
          <t>ATE</t>
        </is>
      </c>
      <c r="C377" s="14">
        <f>'Empleo Censo'!G377-'Empleo Censo'!F377</f>
        <v/>
      </c>
      <c r="D377" s="14">
        <f>'Empleo Censo'!F377</f>
        <v/>
      </c>
      <c r="E377" s="14">
        <f>'Empleo Censo'!H377</f>
        <v/>
      </c>
      <c r="F377" s="14">
        <f>'Empleo Censo'!I377</f>
        <v/>
      </c>
      <c r="G377" s="14">
        <f>'Empleo Censo'!J377+'Empleo Censo'!K377</f>
        <v/>
      </c>
      <c r="H377" s="14">
        <f>'Empleo Censo'!L377</f>
        <v/>
      </c>
      <c r="I377" s="14">
        <f>'Empleo Censo'!M377</f>
        <v/>
      </c>
      <c r="J377" s="14">
        <f>SUM('Empleo Censo'!N377:AA377)</f>
        <v/>
      </c>
      <c r="K377" s="14">
        <f>SUM(C377:J377)</f>
        <v/>
      </c>
      <c r="L377" s="15">
        <f>SUMPRODUCT(C377:J377,Factores!$B$3:$I$3)</f>
        <v/>
      </c>
      <c r="M377" s="16">
        <f>'Empleo Censo'!E377</f>
        <v/>
      </c>
      <c r="N377" s="17">
        <f>IF(M377&gt;0,L377,Factores!$B$7)</f>
        <v/>
      </c>
      <c r="O377">
        <f>IF(M377&gt;0,"OK","sin PEA -&gt; peor")</f>
        <v/>
      </c>
    </row>
    <row r="378">
      <c r="A378" t="inlineStr">
        <is>
          <t>150104</t>
        </is>
      </c>
      <c r="B378" t="inlineStr">
        <is>
          <t>BARRANCO</t>
        </is>
      </c>
      <c r="C378" s="14">
        <f>'Empleo Censo'!G378-'Empleo Censo'!F378</f>
        <v/>
      </c>
      <c r="D378" s="14">
        <f>'Empleo Censo'!F378</f>
        <v/>
      </c>
      <c r="E378" s="14">
        <f>'Empleo Censo'!H378</f>
        <v/>
      </c>
      <c r="F378" s="14">
        <f>'Empleo Censo'!I378</f>
        <v/>
      </c>
      <c r="G378" s="14">
        <f>'Empleo Censo'!J378+'Empleo Censo'!K378</f>
        <v/>
      </c>
      <c r="H378" s="14">
        <f>'Empleo Censo'!L378</f>
        <v/>
      </c>
      <c r="I378" s="14">
        <f>'Empleo Censo'!M378</f>
        <v/>
      </c>
      <c r="J378" s="14">
        <f>SUM('Empleo Censo'!N378:AA378)</f>
        <v/>
      </c>
      <c r="K378" s="14">
        <f>SUM(C378:J378)</f>
        <v/>
      </c>
      <c r="L378" s="15">
        <f>SUMPRODUCT(C378:J378,Factores!$B$3:$I$3)</f>
        <v/>
      </c>
      <c r="M378" s="16">
        <f>'Empleo Censo'!E378</f>
        <v/>
      </c>
      <c r="N378" s="17">
        <f>IF(M378&gt;0,L378,Factores!$B$7)</f>
        <v/>
      </c>
      <c r="O378">
        <f>IF(M378&gt;0,"OK","sin PEA -&gt; peor")</f>
        <v/>
      </c>
    </row>
    <row r="379">
      <c r="A379" t="inlineStr">
        <is>
          <t>150105</t>
        </is>
      </c>
      <c r="B379" t="inlineStr">
        <is>
          <t>BREÑA</t>
        </is>
      </c>
      <c r="C379" s="14">
        <f>'Empleo Censo'!G379-'Empleo Censo'!F379</f>
        <v/>
      </c>
      <c r="D379" s="14">
        <f>'Empleo Censo'!F379</f>
        <v/>
      </c>
      <c r="E379" s="14">
        <f>'Empleo Censo'!H379</f>
        <v/>
      </c>
      <c r="F379" s="14">
        <f>'Empleo Censo'!I379</f>
        <v/>
      </c>
      <c r="G379" s="14">
        <f>'Empleo Censo'!J379+'Empleo Censo'!K379</f>
        <v/>
      </c>
      <c r="H379" s="14">
        <f>'Empleo Censo'!L379</f>
        <v/>
      </c>
      <c r="I379" s="14">
        <f>'Empleo Censo'!M379</f>
        <v/>
      </c>
      <c r="J379" s="14">
        <f>SUM('Empleo Censo'!N379:AA379)</f>
        <v/>
      </c>
      <c r="K379" s="14">
        <f>SUM(C379:J379)</f>
        <v/>
      </c>
      <c r="L379" s="15">
        <f>SUMPRODUCT(C379:J379,Factores!$B$3:$I$3)</f>
        <v/>
      </c>
      <c r="M379" s="16">
        <f>'Empleo Censo'!E379</f>
        <v/>
      </c>
      <c r="N379" s="17">
        <f>IF(M379&gt;0,L379,Factores!$B$7)</f>
        <v/>
      </c>
      <c r="O379">
        <f>IF(M379&gt;0,"OK","sin PEA -&gt; peor")</f>
        <v/>
      </c>
    </row>
    <row r="380">
      <c r="A380" t="inlineStr">
        <is>
          <t>150106</t>
        </is>
      </c>
      <c r="B380" t="inlineStr">
        <is>
          <t>CARABAYLLO</t>
        </is>
      </c>
      <c r="C380" s="14">
        <f>'Empleo Censo'!G380-'Empleo Censo'!F380</f>
        <v/>
      </c>
      <c r="D380" s="14">
        <f>'Empleo Censo'!F380</f>
        <v/>
      </c>
      <c r="E380" s="14">
        <f>'Empleo Censo'!H380</f>
        <v/>
      </c>
      <c r="F380" s="14">
        <f>'Empleo Censo'!I380</f>
        <v/>
      </c>
      <c r="G380" s="14">
        <f>'Empleo Censo'!J380+'Empleo Censo'!K380</f>
        <v/>
      </c>
      <c r="H380" s="14">
        <f>'Empleo Censo'!L380</f>
        <v/>
      </c>
      <c r="I380" s="14">
        <f>'Empleo Censo'!M380</f>
        <v/>
      </c>
      <c r="J380" s="14">
        <f>SUM('Empleo Censo'!N380:AA380)</f>
        <v/>
      </c>
      <c r="K380" s="14">
        <f>SUM(C380:J380)</f>
        <v/>
      </c>
      <c r="L380" s="15">
        <f>SUMPRODUCT(C380:J380,Factores!$B$3:$I$3)</f>
        <v/>
      </c>
      <c r="M380" s="16">
        <f>'Empleo Censo'!E380</f>
        <v/>
      </c>
      <c r="N380" s="17">
        <f>IF(M380&gt;0,L380,Factores!$B$7)</f>
        <v/>
      </c>
      <c r="O380">
        <f>IF(M380&gt;0,"OK","sin PEA -&gt; peor")</f>
        <v/>
      </c>
    </row>
    <row r="381">
      <c r="A381" t="inlineStr">
        <is>
          <t>150107</t>
        </is>
      </c>
      <c r="B381" t="inlineStr">
        <is>
          <t>CHACLACAYO</t>
        </is>
      </c>
      <c r="C381" s="14">
        <f>'Empleo Censo'!G381-'Empleo Censo'!F381</f>
        <v/>
      </c>
      <c r="D381" s="14">
        <f>'Empleo Censo'!F381</f>
        <v/>
      </c>
      <c r="E381" s="14">
        <f>'Empleo Censo'!H381</f>
        <v/>
      </c>
      <c r="F381" s="14">
        <f>'Empleo Censo'!I381</f>
        <v/>
      </c>
      <c r="G381" s="14">
        <f>'Empleo Censo'!J381+'Empleo Censo'!K381</f>
        <v/>
      </c>
      <c r="H381" s="14">
        <f>'Empleo Censo'!L381</f>
        <v/>
      </c>
      <c r="I381" s="14">
        <f>'Empleo Censo'!M381</f>
        <v/>
      </c>
      <c r="J381" s="14">
        <f>SUM('Empleo Censo'!N381:AA381)</f>
        <v/>
      </c>
      <c r="K381" s="14">
        <f>SUM(C381:J381)</f>
        <v/>
      </c>
      <c r="L381" s="15">
        <f>SUMPRODUCT(C381:J381,Factores!$B$3:$I$3)</f>
        <v/>
      </c>
      <c r="M381" s="16">
        <f>'Empleo Censo'!E381</f>
        <v/>
      </c>
      <c r="N381" s="17">
        <f>IF(M381&gt;0,L381,Factores!$B$7)</f>
        <v/>
      </c>
      <c r="O381">
        <f>IF(M381&gt;0,"OK","sin PEA -&gt; peor")</f>
        <v/>
      </c>
    </row>
    <row r="382">
      <c r="A382" t="inlineStr">
        <is>
          <t>150108</t>
        </is>
      </c>
      <c r="B382" t="inlineStr">
        <is>
          <t>CHORRILLOS</t>
        </is>
      </c>
      <c r="C382" s="14">
        <f>'Empleo Censo'!G382-'Empleo Censo'!F382</f>
        <v/>
      </c>
      <c r="D382" s="14">
        <f>'Empleo Censo'!F382</f>
        <v/>
      </c>
      <c r="E382" s="14">
        <f>'Empleo Censo'!H382</f>
        <v/>
      </c>
      <c r="F382" s="14">
        <f>'Empleo Censo'!I382</f>
        <v/>
      </c>
      <c r="G382" s="14">
        <f>'Empleo Censo'!J382+'Empleo Censo'!K382</f>
        <v/>
      </c>
      <c r="H382" s="14">
        <f>'Empleo Censo'!L382</f>
        <v/>
      </c>
      <c r="I382" s="14">
        <f>'Empleo Censo'!M382</f>
        <v/>
      </c>
      <c r="J382" s="14">
        <f>SUM('Empleo Censo'!N382:AA382)</f>
        <v/>
      </c>
      <c r="K382" s="14">
        <f>SUM(C382:J382)</f>
        <v/>
      </c>
      <c r="L382" s="15">
        <f>SUMPRODUCT(C382:J382,Factores!$B$3:$I$3)</f>
        <v/>
      </c>
      <c r="M382" s="16">
        <f>'Empleo Censo'!E382</f>
        <v/>
      </c>
      <c r="N382" s="17">
        <f>IF(M382&gt;0,L382,Factores!$B$7)</f>
        <v/>
      </c>
      <c r="O382">
        <f>IF(M382&gt;0,"OK","sin PEA -&gt; peor")</f>
        <v/>
      </c>
    </row>
    <row r="383">
      <c r="A383" t="inlineStr">
        <is>
          <t>150109</t>
        </is>
      </c>
      <c r="B383" t="inlineStr">
        <is>
          <t>CIENEGUILLA</t>
        </is>
      </c>
      <c r="C383" s="14">
        <f>'Empleo Censo'!G383-'Empleo Censo'!F383</f>
        <v/>
      </c>
      <c r="D383" s="14">
        <f>'Empleo Censo'!F383</f>
        <v/>
      </c>
      <c r="E383" s="14">
        <f>'Empleo Censo'!H383</f>
        <v/>
      </c>
      <c r="F383" s="14">
        <f>'Empleo Censo'!I383</f>
        <v/>
      </c>
      <c r="G383" s="14">
        <f>'Empleo Censo'!J383+'Empleo Censo'!K383</f>
        <v/>
      </c>
      <c r="H383" s="14">
        <f>'Empleo Censo'!L383</f>
        <v/>
      </c>
      <c r="I383" s="14">
        <f>'Empleo Censo'!M383</f>
        <v/>
      </c>
      <c r="J383" s="14">
        <f>SUM('Empleo Censo'!N383:AA383)</f>
        <v/>
      </c>
      <c r="K383" s="14">
        <f>SUM(C383:J383)</f>
        <v/>
      </c>
      <c r="L383" s="15">
        <f>SUMPRODUCT(C383:J383,Factores!$B$3:$I$3)</f>
        <v/>
      </c>
      <c r="M383" s="16">
        <f>'Empleo Censo'!E383</f>
        <v/>
      </c>
      <c r="N383" s="17">
        <f>IF(M383&gt;0,L383,Factores!$B$7)</f>
        <v/>
      </c>
      <c r="O383">
        <f>IF(M383&gt;0,"OK","sin PEA -&gt; peor")</f>
        <v/>
      </c>
    </row>
    <row r="384">
      <c r="A384" t="inlineStr">
        <is>
          <t>150110</t>
        </is>
      </c>
      <c r="B384" t="inlineStr">
        <is>
          <t>COMAS</t>
        </is>
      </c>
      <c r="C384" s="14">
        <f>'Empleo Censo'!G384-'Empleo Censo'!F384</f>
        <v/>
      </c>
      <c r="D384" s="14">
        <f>'Empleo Censo'!F384</f>
        <v/>
      </c>
      <c r="E384" s="14">
        <f>'Empleo Censo'!H384</f>
        <v/>
      </c>
      <c r="F384" s="14">
        <f>'Empleo Censo'!I384</f>
        <v/>
      </c>
      <c r="G384" s="14">
        <f>'Empleo Censo'!J384+'Empleo Censo'!K384</f>
        <v/>
      </c>
      <c r="H384" s="14">
        <f>'Empleo Censo'!L384</f>
        <v/>
      </c>
      <c r="I384" s="14">
        <f>'Empleo Censo'!M384</f>
        <v/>
      </c>
      <c r="J384" s="14">
        <f>SUM('Empleo Censo'!N384:AA384)</f>
        <v/>
      </c>
      <c r="K384" s="14">
        <f>SUM(C384:J384)</f>
        <v/>
      </c>
      <c r="L384" s="15">
        <f>SUMPRODUCT(C384:J384,Factores!$B$3:$I$3)</f>
        <v/>
      </c>
      <c r="M384" s="16">
        <f>'Empleo Censo'!E384</f>
        <v/>
      </c>
      <c r="N384" s="17">
        <f>IF(M384&gt;0,L384,Factores!$B$7)</f>
        <v/>
      </c>
      <c r="O384">
        <f>IF(M384&gt;0,"OK","sin PEA -&gt; peor")</f>
        <v/>
      </c>
    </row>
    <row r="385">
      <c r="A385" t="inlineStr">
        <is>
          <t>150111</t>
        </is>
      </c>
      <c r="B385" t="inlineStr">
        <is>
          <t>EL AGUSTINO</t>
        </is>
      </c>
      <c r="C385" s="14">
        <f>'Empleo Censo'!G385-'Empleo Censo'!F385</f>
        <v/>
      </c>
      <c r="D385" s="14">
        <f>'Empleo Censo'!F385</f>
        <v/>
      </c>
      <c r="E385" s="14">
        <f>'Empleo Censo'!H385</f>
        <v/>
      </c>
      <c r="F385" s="14">
        <f>'Empleo Censo'!I385</f>
        <v/>
      </c>
      <c r="G385" s="14">
        <f>'Empleo Censo'!J385+'Empleo Censo'!K385</f>
        <v/>
      </c>
      <c r="H385" s="14">
        <f>'Empleo Censo'!L385</f>
        <v/>
      </c>
      <c r="I385" s="14">
        <f>'Empleo Censo'!M385</f>
        <v/>
      </c>
      <c r="J385" s="14">
        <f>SUM('Empleo Censo'!N385:AA385)</f>
        <v/>
      </c>
      <c r="K385" s="14">
        <f>SUM(C385:J385)</f>
        <v/>
      </c>
      <c r="L385" s="15">
        <f>SUMPRODUCT(C385:J385,Factores!$B$3:$I$3)</f>
        <v/>
      </c>
      <c r="M385" s="16">
        <f>'Empleo Censo'!E385</f>
        <v/>
      </c>
      <c r="N385" s="17">
        <f>IF(M385&gt;0,L385,Factores!$B$7)</f>
        <v/>
      </c>
      <c r="O385">
        <f>IF(M385&gt;0,"OK","sin PEA -&gt; peor")</f>
        <v/>
      </c>
    </row>
    <row r="386">
      <c r="A386" t="inlineStr">
        <is>
          <t>150112</t>
        </is>
      </c>
      <c r="B386" t="inlineStr">
        <is>
          <t>INDEPENDENCIA</t>
        </is>
      </c>
      <c r="C386" s="14">
        <f>'Empleo Censo'!G386-'Empleo Censo'!F386</f>
        <v/>
      </c>
      <c r="D386" s="14">
        <f>'Empleo Censo'!F386</f>
        <v/>
      </c>
      <c r="E386" s="14">
        <f>'Empleo Censo'!H386</f>
        <v/>
      </c>
      <c r="F386" s="14">
        <f>'Empleo Censo'!I386</f>
        <v/>
      </c>
      <c r="G386" s="14">
        <f>'Empleo Censo'!J386+'Empleo Censo'!K386</f>
        <v/>
      </c>
      <c r="H386" s="14">
        <f>'Empleo Censo'!L386</f>
        <v/>
      </c>
      <c r="I386" s="14">
        <f>'Empleo Censo'!M386</f>
        <v/>
      </c>
      <c r="J386" s="14">
        <f>SUM('Empleo Censo'!N386:AA386)</f>
        <v/>
      </c>
      <c r="K386" s="14">
        <f>SUM(C386:J386)</f>
        <v/>
      </c>
      <c r="L386" s="15">
        <f>SUMPRODUCT(C386:J386,Factores!$B$3:$I$3)</f>
        <v/>
      </c>
      <c r="M386" s="16">
        <f>'Empleo Censo'!E386</f>
        <v/>
      </c>
      <c r="N386" s="17">
        <f>IF(M386&gt;0,L386,Factores!$B$7)</f>
        <v/>
      </c>
      <c r="O386">
        <f>IF(M386&gt;0,"OK","sin PEA -&gt; peor")</f>
        <v/>
      </c>
    </row>
    <row r="387">
      <c r="A387" t="inlineStr">
        <is>
          <t>150113</t>
        </is>
      </c>
      <c r="B387" t="inlineStr">
        <is>
          <t>JESUS MARIA</t>
        </is>
      </c>
      <c r="C387" s="14">
        <f>'Empleo Censo'!G387-'Empleo Censo'!F387</f>
        <v/>
      </c>
      <c r="D387" s="14">
        <f>'Empleo Censo'!F387</f>
        <v/>
      </c>
      <c r="E387" s="14">
        <f>'Empleo Censo'!H387</f>
        <v/>
      </c>
      <c r="F387" s="14">
        <f>'Empleo Censo'!I387</f>
        <v/>
      </c>
      <c r="G387" s="14">
        <f>'Empleo Censo'!J387+'Empleo Censo'!K387</f>
        <v/>
      </c>
      <c r="H387" s="14">
        <f>'Empleo Censo'!L387</f>
        <v/>
      </c>
      <c r="I387" s="14">
        <f>'Empleo Censo'!M387</f>
        <v/>
      </c>
      <c r="J387" s="14">
        <f>SUM('Empleo Censo'!N387:AA387)</f>
        <v/>
      </c>
      <c r="K387" s="14">
        <f>SUM(C387:J387)</f>
        <v/>
      </c>
      <c r="L387" s="15">
        <f>SUMPRODUCT(C387:J387,Factores!$B$3:$I$3)</f>
        <v/>
      </c>
      <c r="M387" s="16">
        <f>'Empleo Censo'!E387</f>
        <v/>
      </c>
      <c r="N387" s="17">
        <f>IF(M387&gt;0,L387,Factores!$B$7)</f>
        <v/>
      </c>
      <c r="O387">
        <f>IF(M387&gt;0,"OK","sin PEA -&gt; peor")</f>
        <v/>
      </c>
    </row>
    <row r="388">
      <c r="A388" t="inlineStr">
        <is>
          <t>150114</t>
        </is>
      </c>
      <c r="B388" t="inlineStr">
        <is>
          <t>LA MOLINA</t>
        </is>
      </c>
      <c r="C388" s="14">
        <f>'Empleo Censo'!G388-'Empleo Censo'!F388</f>
        <v/>
      </c>
      <c r="D388" s="14">
        <f>'Empleo Censo'!F388</f>
        <v/>
      </c>
      <c r="E388" s="14">
        <f>'Empleo Censo'!H388</f>
        <v/>
      </c>
      <c r="F388" s="14">
        <f>'Empleo Censo'!I388</f>
        <v/>
      </c>
      <c r="G388" s="14">
        <f>'Empleo Censo'!J388+'Empleo Censo'!K388</f>
        <v/>
      </c>
      <c r="H388" s="14">
        <f>'Empleo Censo'!L388</f>
        <v/>
      </c>
      <c r="I388" s="14">
        <f>'Empleo Censo'!M388</f>
        <v/>
      </c>
      <c r="J388" s="14">
        <f>SUM('Empleo Censo'!N388:AA388)</f>
        <v/>
      </c>
      <c r="K388" s="14">
        <f>SUM(C388:J388)</f>
        <v/>
      </c>
      <c r="L388" s="15">
        <f>SUMPRODUCT(C388:J388,Factores!$B$3:$I$3)</f>
        <v/>
      </c>
      <c r="M388" s="16">
        <f>'Empleo Censo'!E388</f>
        <v/>
      </c>
      <c r="N388" s="17">
        <f>IF(M388&gt;0,L388,Factores!$B$7)</f>
        <v/>
      </c>
      <c r="O388">
        <f>IF(M388&gt;0,"OK","sin PEA -&gt; peor")</f>
        <v/>
      </c>
    </row>
    <row r="389">
      <c r="A389" t="inlineStr">
        <is>
          <t>150115</t>
        </is>
      </c>
      <c r="B389" t="inlineStr">
        <is>
          <t>LA VICTORIA</t>
        </is>
      </c>
      <c r="C389" s="14">
        <f>'Empleo Censo'!G389-'Empleo Censo'!F389</f>
        <v/>
      </c>
      <c r="D389" s="14">
        <f>'Empleo Censo'!F389</f>
        <v/>
      </c>
      <c r="E389" s="14">
        <f>'Empleo Censo'!H389</f>
        <v/>
      </c>
      <c r="F389" s="14">
        <f>'Empleo Censo'!I389</f>
        <v/>
      </c>
      <c r="G389" s="14">
        <f>'Empleo Censo'!J389+'Empleo Censo'!K389</f>
        <v/>
      </c>
      <c r="H389" s="14">
        <f>'Empleo Censo'!L389</f>
        <v/>
      </c>
      <c r="I389" s="14">
        <f>'Empleo Censo'!M389</f>
        <v/>
      </c>
      <c r="J389" s="14">
        <f>SUM('Empleo Censo'!N389:AA389)</f>
        <v/>
      </c>
      <c r="K389" s="14">
        <f>SUM(C389:J389)</f>
        <v/>
      </c>
      <c r="L389" s="15">
        <f>SUMPRODUCT(C389:J389,Factores!$B$3:$I$3)</f>
        <v/>
      </c>
      <c r="M389" s="16">
        <f>'Empleo Censo'!E389</f>
        <v/>
      </c>
      <c r="N389" s="17">
        <f>IF(M389&gt;0,L389,Factores!$B$7)</f>
        <v/>
      </c>
      <c r="O389">
        <f>IF(M389&gt;0,"OK","sin PEA -&gt; peor")</f>
        <v/>
      </c>
    </row>
    <row r="390">
      <c r="A390" t="inlineStr">
        <is>
          <t>150116</t>
        </is>
      </c>
      <c r="B390" t="inlineStr">
        <is>
          <t>LINCE</t>
        </is>
      </c>
      <c r="C390" s="14">
        <f>'Empleo Censo'!G390-'Empleo Censo'!F390</f>
        <v/>
      </c>
      <c r="D390" s="14">
        <f>'Empleo Censo'!F390</f>
        <v/>
      </c>
      <c r="E390" s="14">
        <f>'Empleo Censo'!H390</f>
        <v/>
      </c>
      <c r="F390" s="14">
        <f>'Empleo Censo'!I390</f>
        <v/>
      </c>
      <c r="G390" s="14">
        <f>'Empleo Censo'!J390+'Empleo Censo'!K390</f>
        <v/>
      </c>
      <c r="H390" s="14">
        <f>'Empleo Censo'!L390</f>
        <v/>
      </c>
      <c r="I390" s="14">
        <f>'Empleo Censo'!M390</f>
        <v/>
      </c>
      <c r="J390" s="14">
        <f>SUM('Empleo Censo'!N390:AA390)</f>
        <v/>
      </c>
      <c r="K390" s="14">
        <f>SUM(C390:J390)</f>
        <v/>
      </c>
      <c r="L390" s="15">
        <f>SUMPRODUCT(C390:J390,Factores!$B$3:$I$3)</f>
        <v/>
      </c>
      <c r="M390" s="16">
        <f>'Empleo Censo'!E390</f>
        <v/>
      </c>
      <c r="N390" s="17">
        <f>IF(M390&gt;0,L390,Factores!$B$7)</f>
        <v/>
      </c>
      <c r="O390">
        <f>IF(M390&gt;0,"OK","sin PEA -&gt; peor")</f>
        <v/>
      </c>
    </row>
    <row r="391">
      <c r="A391" t="inlineStr">
        <is>
          <t>150117</t>
        </is>
      </c>
      <c r="B391" t="inlineStr">
        <is>
          <t>LOS OLIVOS</t>
        </is>
      </c>
      <c r="C391" s="14">
        <f>'Empleo Censo'!G391-'Empleo Censo'!F391</f>
        <v/>
      </c>
      <c r="D391" s="14">
        <f>'Empleo Censo'!F391</f>
        <v/>
      </c>
      <c r="E391" s="14">
        <f>'Empleo Censo'!H391</f>
        <v/>
      </c>
      <c r="F391" s="14">
        <f>'Empleo Censo'!I391</f>
        <v/>
      </c>
      <c r="G391" s="14">
        <f>'Empleo Censo'!J391+'Empleo Censo'!K391</f>
        <v/>
      </c>
      <c r="H391" s="14">
        <f>'Empleo Censo'!L391</f>
        <v/>
      </c>
      <c r="I391" s="14">
        <f>'Empleo Censo'!M391</f>
        <v/>
      </c>
      <c r="J391" s="14">
        <f>SUM('Empleo Censo'!N391:AA391)</f>
        <v/>
      </c>
      <c r="K391" s="14">
        <f>SUM(C391:J391)</f>
        <v/>
      </c>
      <c r="L391" s="15">
        <f>SUMPRODUCT(C391:J391,Factores!$B$3:$I$3)</f>
        <v/>
      </c>
      <c r="M391" s="16">
        <f>'Empleo Censo'!E391</f>
        <v/>
      </c>
      <c r="N391" s="17">
        <f>IF(M391&gt;0,L391,Factores!$B$7)</f>
        <v/>
      </c>
      <c r="O391">
        <f>IF(M391&gt;0,"OK","sin PEA -&gt; peor")</f>
        <v/>
      </c>
    </row>
    <row r="392">
      <c r="A392" t="inlineStr">
        <is>
          <t>150118</t>
        </is>
      </c>
      <c r="B392" t="inlineStr">
        <is>
          <t>LURIGANCHO</t>
        </is>
      </c>
      <c r="C392" s="14">
        <f>'Empleo Censo'!G392-'Empleo Censo'!F392</f>
        <v/>
      </c>
      <c r="D392" s="14">
        <f>'Empleo Censo'!F392</f>
        <v/>
      </c>
      <c r="E392" s="14">
        <f>'Empleo Censo'!H392</f>
        <v/>
      </c>
      <c r="F392" s="14">
        <f>'Empleo Censo'!I392</f>
        <v/>
      </c>
      <c r="G392" s="14">
        <f>'Empleo Censo'!J392+'Empleo Censo'!K392</f>
        <v/>
      </c>
      <c r="H392" s="14">
        <f>'Empleo Censo'!L392</f>
        <v/>
      </c>
      <c r="I392" s="14">
        <f>'Empleo Censo'!M392</f>
        <v/>
      </c>
      <c r="J392" s="14">
        <f>SUM('Empleo Censo'!N392:AA392)</f>
        <v/>
      </c>
      <c r="K392" s="14">
        <f>SUM(C392:J392)</f>
        <v/>
      </c>
      <c r="L392" s="15">
        <f>SUMPRODUCT(C392:J392,Factores!$B$3:$I$3)</f>
        <v/>
      </c>
      <c r="M392" s="16">
        <f>'Empleo Censo'!E392</f>
        <v/>
      </c>
      <c r="N392" s="17">
        <f>IF(M392&gt;0,L392,Factores!$B$7)</f>
        <v/>
      </c>
      <c r="O392">
        <f>IF(M392&gt;0,"OK","sin PEA -&gt; peor")</f>
        <v/>
      </c>
    </row>
    <row r="393">
      <c r="A393" t="inlineStr">
        <is>
          <t>150119</t>
        </is>
      </c>
      <c r="B393" t="inlineStr">
        <is>
          <t>LURIN</t>
        </is>
      </c>
      <c r="C393" s="14">
        <f>'Empleo Censo'!G393-'Empleo Censo'!F393</f>
        <v/>
      </c>
      <c r="D393" s="14">
        <f>'Empleo Censo'!F393</f>
        <v/>
      </c>
      <c r="E393" s="14">
        <f>'Empleo Censo'!H393</f>
        <v/>
      </c>
      <c r="F393" s="14">
        <f>'Empleo Censo'!I393</f>
        <v/>
      </c>
      <c r="G393" s="14">
        <f>'Empleo Censo'!J393+'Empleo Censo'!K393</f>
        <v/>
      </c>
      <c r="H393" s="14">
        <f>'Empleo Censo'!L393</f>
        <v/>
      </c>
      <c r="I393" s="14">
        <f>'Empleo Censo'!M393</f>
        <v/>
      </c>
      <c r="J393" s="14">
        <f>SUM('Empleo Censo'!N393:AA393)</f>
        <v/>
      </c>
      <c r="K393" s="14">
        <f>SUM(C393:J393)</f>
        <v/>
      </c>
      <c r="L393" s="15">
        <f>SUMPRODUCT(C393:J393,Factores!$B$3:$I$3)</f>
        <v/>
      </c>
      <c r="M393" s="16">
        <f>'Empleo Censo'!E393</f>
        <v/>
      </c>
      <c r="N393" s="17">
        <f>IF(M393&gt;0,L393,Factores!$B$7)</f>
        <v/>
      </c>
      <c r="O393">
        <f>IF(M393&gt;0,"OK","sin PEA -&gt; peor")</f>
        <v/>
      </c>
    </row>
    <row r="394">
      <c r="A394" t="inlineStr">
        <is>
          <t>150120</t>
        </is>
      </c>
      <c r="B394" t="inlineStr">
        <is>
          <t>MAGDALENA DEL MAR</t>
        </is>
      </c>
      <c r="C394" s="14">
        <f>'Empleo Censo'!G394-'Empleo Censo'!F394</f>
        <v/>
      </c>
      <c r="D394" s="14">
        <f>'Empleo Censo'!F394</f>
        <v/>
      </c>
      <c r="E394" s="14">
        <f>'Empleo Censo'!H394</f>
        <v/>
      </c>
      <c r="F394" s="14">
        <f>'Empleo Censo'!I394</f>
        <v/>
      </c>
      <c r="G394" s="14">
        <f>'Empleo Censo'!J394+'Empleo Censo'!K394</f>
        <v/>
      </c>
      <c r="H394" s="14">
        <f>'Empleo Censo'!L394</f>
        <v/>
      </c>
      <c r="I394" s="14">
        <f>'Empleo Censo'!M394</f>
        <v/>
      </c>
      <c r="J394" s="14">
        <f>SUM('Empleo Censo'!N394:AA394)</f>
        <v/>
      </c>
      <c r="K394" s="14">
        <f>SUM(C394:J394)</f>
        <v/>
      </c>
      <c r="L394" s="15">
        <f>SUMPRODUCT(C394:J394,Factores!$B$3:$I$3)</f>
        <v/>
      </c>
      <c r="M394" s="16">
        <f>'Empleo Censo'!E394</f>
        <v/>
      </c>
      <c r="N394" s="17">
        <f>IF(M394&gt;0,L394,Factores!$B$7)</f>
        <v/>
      </c>
      <c r="O394">
        <f>IF(M394&gt;0,"OK","sin PEA -&gt; peor")</f>
        <v/>
      </c>
    </row>
    <row r="395">
      <c r="A395" t="inlineStr">
        <is>
          <t>150121</t>
        </is>
      </c>
      <c r="B395" t="inlineStr">
        <is>
          <t>MAGDALENA VIEJA</t>
        </is>
      </c>
      <c r="C395" s="14">
        <f>'Empleo Censo'!G395-'Empleo Censo'!F395</f>
        <v/>
      </c>
      <c r="D395" s="14">
        <f>'Empleo Censo'!F395</f>
        <v/>
      </c>
      <c r="E395" s="14">
        <f>'Empleo Censo'!H395</f>
        <v/>
      </c>
      <c r="F395" s="14">
        <f>'Empleo Censo'!I395</f>
        <v/>
      </c>
      <c r="G395" s="14">
        <f>'Empleo Censo'!J395+'Empleo Censo'!K395</f>
        <v/>
      </c>
      <c r="H395" s="14">
        <f>'Empleo Censo'!L395</f>
        <v/>
      </c>
      <c r="I395" s="14">
        <f>'Empleo Censo'!M395</f>
        <v/>
      </c>
      <c r="J395" s="14">
        <f>SUM('Empleo Censo'!N395:AA395)</f>
        <v/>
      </c>
      <c r="K395" s="14">
        <f>SUM(C395:J395)</f>
        <v/>
      </c>
      <c r="L395" s="15">
        <f>SUMPRODUCT(C395:J395,Factores!$B$3:$I$3)</f>
        <v/>
      </c>
      <c r="M395" s="16">
        <f>'Empleo Censo'!E395</f>
        <v/>
      </c>
      <c r="N395" s="17">
        <f>IF(M395&gt;0,L395,Factores!$B$7)</f>
        <v/>
      </c>
      <c r="O395">
        <f>IF(M395&gt;0,"OK","sin PEA -&gt; peor")</f>
        <v/>
      </c>
    </row>
    <row r="396">
      <c r="A396" t="inlineStr">
        <is>
          <t>150122</t>
        </is>
      </c>
      <c r="B396" t="inlineStr">
        <is>
          <t>MIRAFLORES</t>
        </is>
      </c>
      <c r="C396" s="14">
        <f>'Empleo Censo'!G396-'Empleo Censo'!F396</f>
        <v/>
      </c>
      <c r="D396" s="14">
        <f>'Empleo Censo'!F396</f>
        <v/>
      </c>
      <c r="E396" s="14">
        <f>'Empleo Censo'!H396</f>
        <v/>
      </c>
      <c r="F396" s="14">
        <f>'Empleo Censo'!I396</f>
        <v/>
      </c>
      <c r="G396" s="14">
        <f>'Empleo Censo'!J396+'Empleo Censo'!K396</f>
        <v/>
      </c>
      <c r="H396" s="14">
        <f>'Empleo Censo'!L396</f>
        <v/>
      </c>
      <c r="I396" s="14">
        <f>'Empleo Censo'!M396</f>
        <v/>
      </c>
      <c r="J396" s="14">
        <f>SUM('Empleo Censo'!N396:AA396)</f>
        <v/>
      </c>
      <c r="K396" s="14">
        <f>SUM(C396:J396)</f>
        <v/>
      </c>
      <c r="L396" s="15">
        <f>SUMPRODUCT(C396:J396,Factores!$B$3:$I$3)</f>
        <v/>
      </c>
      <c r="M396" s="16">
        <f>'Empleo Censo'!E396</f>
        <v/>
      </c>
      <c r="N396" s="17">
        <f>IF(M396&gt;0,L396,Factores!$B$7)</f>
        <v/>
      </c>
      <c r="O396">
        <f>IF(M396&gt;0,"OK","sin PEA -&gt; peor")</f>
        <v/>
      </c>
    </row>
    <row r="397">
      <c r="A397" t="inlineStr">
        <is>
          <t>150123</t>
        </is>
      </c>
      <c r="B397" t="inlineStr">
        <is>
          <t>PACHACAMAC</t>
        </is>
      </c>
      <c r="C397" s="14">
        <f>'Empleo Censo'!G397-'Empleo Censo'!F397</f>
        <v/>
      </c>
      <c r="D397" s="14">
        <f>'Empleo Censo'!F397</f>
        <v/>
      </c>
      <c r="E397" s="14">
        <f>'Empleo Censo'!H397</f>
        <v/>
      </c>
      <c r="F397" s="14">
        <f>'Empleo Censo'!I397</f>
        <v/>
      </c>
      <c r="G397" s="14">
        <f>'Empleo Censo'!J397+'Empleo Censo'!K397</f>
        <v/>
      </c>
      <c r="H397" s="14">
        <f>'Empleo Censo'!L397</f>
        <v/>
      </c>
      <c r="I397" s="14">
        <f>'Empleo Censo'!M397</f>
        <v/>
      </c>
      <c r="J397" s="14">
        <f>SUM('Empleo Censo'!N397:AA397)</f>
        <v/>
      </c>
      <c r="K397" s="14">
        <f>SUM(C397:J397)</f>
        <v/>
      </c>
      <c r="L397" s="15">
        <f>SUMPRODUCT(C397:J397,Factores!$B$3:$I$3)</f>
        <v/>
      </c>
      <c r="M397" s="16">
        <f>'Empleo Censo'!E397</f>
        <v/>
      </c>
      <c r="N397" s="17">
        <f>IF(M397&gt;0,L397,Factores!$B$7)</f>
        <v/>
      </c>
      <c r="O397">
        <f>IF(M397&gt;0,"OK","sin PEA -&gt; peor")</f>
        <v/>
      </c>
    </row>
    <row r="398">
      <c r="A398" t="inlineStr">
        <is>
          <t>150124</t>
        </is>
      </c>
      <c r="B398" t="inlineStr">
        <is>
          <t>PUCUSANA</t>
        </is>
      </c>
      <c r="C398" s="14">
        <f>'Empleo Censo'!G398-'Empleo Censo'!F398</f>
        <v/>
      </c>
      <c r="D398" s="14">
        <f>'Empleo Censo'!F398</f>
        <v/>
      </c>
      <c r="E398" s="14">
        <f>'Empleo Censo'!H398</f>
        <v/>
      </c>
      <c r="F398" s="14">
        <f>'Empleo Censo'!I398</f>
        <v/>
      </c>
      <c r="G398" s="14">
        <f>'Empleo Censo'!J398+'Empleo Censo'!K398</f>
        <v/>
      </c>
      <c r="H398" s="14">
        <f>'Empleo Censo'!L398</f>
        <v/>
      </c>
      <c r="I398" s="14">
        <f>'Empleo Censo'!M398</f>
        <v/>
      </c>
      <c r="J398" s="14">
        <f>SUM('Empleo Censo'!N398:AA398)</f>
        <v/>
      </c>
      <c r="K398" s="14">
        <f>SUM(C398:J398)</f>
        <v/>
      </c>
      <c r="L398" s="15">
        <f>SUMPRODUCT(C398:J398,Factores!$B$3:$I$3)</f>
        <v/>
      </c>
      <c r="M398" s="16">
        <f>'Empleo Censo'!E398</f>
        <v/>
      </c>
      <c r="N398" s="17">
        <f>IF(M398&gt;0,L398,Factores!$B$7)</f>
        <v/>
      </c>
      <c r="O398">
        <f>IF(M398&gt;0,"OK","sin PEA -&gt; peor")</f>
        <v/>
      </c>
    </row>
    <row r="399">
      <c r="A399" t="inlineStr">
        <is>
          <t>150125</t>
        </is>
      </c>
      <c r="B399" t="inlineStr">
        <is>
          <t>PUENTE PIEDRA</t>
        </is>
      </c>
      <c r="C399" s="14">
        <f>'Empleo Censo'!G399-'Empleo Censo'!F399</f>
        <v/>
      </c>
      <c r="D399" s="14">
        <f>'Empleo Censo'!F399</f>
        <v/>
      </c>
      <c r="E399" s="14">
        <f>'Empleo Censo'!H399</f>
        <v/>
      </c>
      <c r="F399" s="14">
        <f>'Empleo Censo'!I399</f>
        <v/>
      </c>
      <c r="G399" s="14">
        <f>'Empleo Censo'!J399+'Empleo Censo'!K399</f>
        <v/>
      </c>
      <c r="H399" s="14">
        <f>'Empleo Censo'!L399</f>
        <v/>
      </c>
      <c r="I399" s="14">
        <f>'Empleo Censo'!M399</f>
        <v/>
      </c>
      <c r="J399" s="14">
        <f>SUM('Empleo Censo'!N399:AA399)</f>
        <v/>
      </c>
      <c r="K399" s="14">
        <f>SUM(C399:J399)</f>
        <v/>
      </c>
      <c r="L399" s="15">
        <f>SUMPRODUCT(C399:J399,Factores!$B$3:$I$3)</f>
        <v/>
      </c>
      <c r="M399" s="16">
        <f>'Empleo Censo'!E399</f>
        <v/>
      </c>
      <c r="N399" s="17">
        <f>IF(M399&gt;0,L399,Factores!$B$7)</f>
        <v/>
      </c>
      <c r="O399">
        <f>IF(M399&gt;0,"OK","sin PEA -&gt; peor")</f>
        <v/>
      </c>
    </row>
    <row r="400">
      <c r="A400" t="inlineStr">
        <is>
          <t>150126</t>
        </is>
      </c>
      <c r="B400" t="inlineStr">
        <is>
          <t>PUNTA HERMOSA</t>
        </is>
      </c>
      <c r="C400" s="14">
        <f>'Empleo Censo'!G400-'Empleo Censo'!F400</f>
        <v/>
      </c>
      <c r="D400" s="14">
        <f>'Empleo Censo'!F400</f>
        <v/>
      </c>
      <c r="E400" s="14">
        <f>'Empleo Censo'!H400</f>
        <v/>
      </c>
      <c r="F400" s="14">
        <f>'Empleo Censo'!I400</f>
        <v/>
      </c>
      <c r="G400" s="14">
        <f>'Empleo Censo'!J400+'Empleo Censo'!K400</f>
        <v/>
      </c>
      <c r="H400" s="14">
        <f>'Empleo Censo'!L400</f>
        <v/>
      </c>
      <c r="I400" s="14">
        <f>'Empleo Censo'!M400</f>
        <v/>
      </c>
      <c r="J400" s="14">
        <f>SUM('Empleo Censo'!N400:AA400)</f>
        <v/>
      </c>
      <c r="K400" s="14">
        <f>SUM(C400:J400)</f>
        <v/>
      </c>
      <c r="L400" s="15">
        <f>SUMPRODUCT(C400:J400,Factores!$B$3:$I$3)</f>
        <v/>
      </c>
      <c r="M400" s="16">
        <f>'Empleo Censo'!E400</f>
        <v/>
      </c>
      <c r="N400" s="17">
        <f>IF(M400&gt;0,L400,Factores!$B$7)</f>
        <v/>
      </c>
      <c r="O400">
        <f>IF(M400&gt;0,"OK","sin PEA -&gt; peor")</f>
        <v/>
      </c>
    </row>
    <row r="401">
      <c r="A401" t="inlineStr">
        <is>
          <t>150127</t>
        </is>
      </c>
      <c r="B401" t="inlineStr">
        <is>
          <t>PUNTA NEGRA</t>
        </is>
      </c>
      <c r="C401" s="14">
        <f>'Empleo Censo'!G401-'Empleo Censo'!F401</f>
        <v/>
      </c>
      <c r="D401" s="14">
        <f>'Empleo Censo'!F401</f>
        <v/>
      </c>
      <c r="E401" s="14">
        <f>'Empleo Censo'!H401</f>
        <v/>
      </c>
      <c r="F401" s="14">
        <f>'Empleo Censo'!I401</f>
        <v/>
      </c>
      <c r="G401" s="14">
        <f>'Empleo Censo'!J401+'Empleo Censo'!K401</f>
        <v/>
      </c>
      <c r="H401" s="14">
        <f>'Empleo Censo'!L401</f>
        <v/>
      </c>
      <c r="I401" s="14">
        <f>'Empleo Censo'!M401</f>
        <v/>
      </c>
      <c r="J401" s="14">
        <f>SUM('Empleo Censo'!N401:AA401)</f>
        <v/>
      </c>
      <c r="K401" s="14">
        <f>SUM(C401:J401)</f>
        <v/>
      </c>
      <c r="L401" s="15">
        <f>SUMPRODUCT(C401:J401,Factores!$B$3:$I$3)</f>
        <v/>
      </c>
      <c r="M401" s="16">
        <f>'Empleo Censo'!E401</f>
        <v/>
      </c>
      <c r="N401" s="17">
        <f>IF(M401&gt;0,L401,Factores!$B$7)</f>
        <v/>
      </c>
      <c r="O401">
        <f>IF(M401&gt;0,"OK","sin PEA -&gt; peor")</f>
        <v/>
      </c>
    </row>
    <row r="402">
      <c r="A402" t="inlineStr">
        <is>
          <t>150128</t>
        </is>
      </c>
      <c r="B402" t="inlineStr">
        <is>
          <t>RIMAC</t>
        </is>
      </c>
      <c r="C402" s="14">
        <f>'Empleo Censo'!G402-'Empleo Censo'!F402</f>
        <v/>
      </c>
      <c r="D402" s="14">
        <f>'Empleo Censo'!F402</f>
        <v/>
      </c>
      <c r="E402" s="14">
        <f>'Empleo Censo'!H402</f>
        <v/>
      </c>
      <c r="F402" s="14">
        <f>'Empleo Censo'!I402</f>
        <v/>
      </c>
      <c r="G402" s="14">
        <f>'Empleo Censo'!J402+'Empleo Censo'!K402</f>
        <v/>
      </c>
      <c r="H402" s="14">
        <f>'Empleo Censo'!L402</f>
        <v/>
      </c>
      <c r="I402" s="14">
        <f>'Empleo Censo'!M402</f>
        <v/>
      </c>
      <c r="J402" s="14">
        <f>SUM('Empleo Censo'!N402:AA402)</f>
        <v/>
      </c>
      <c r="K402" s="14">
        <f>SUM(C402:J402)</f>
        <v/>
      </c>
      <c r="L402" s="15">
        <f>SUMPRODUCT(C402:J402,Factores!$B$3:$I$3)</f>
        <v/>
      </c>
      <c r="M402" s="16">
        <f>'Empleo Censo'!E402</f>
        <v/>
      </c>
      <c r="N402" s="17">
        <f>IF(M402&gt;0,L402,Factores!$B$7)</f>
        <v/>
      </c>
      <c r="O402">
        <f>IF(M402&gt;0,"OK","sin PEA -&gt; peor")</f>
        <v/>
      </c>
    </row>
    <row r="403">
      <c r="A403" t="inlineStr">
        <is>
          <t>150129</t>
        </is>
      </c>
      <c r="B403" t="inlineStr">
        <is>
          <t>SAN BARTOLO</t>
        </is>
      </c>
      <c r="C403" s="14">
        <f>'Empleo Censo'!G403-'Empleo Censo'!F403</f>
        <v/>
      </c>
      <c r="D403" s="14">
        <f>'Empleo Censo'!F403</f>
        <v/>
      </c>
      <c r="E403" s="14">
        <f>'Empleo Censo'!H403</f>
        <v/>
      </c>
      <c r="F403" s="14">
        <f>'Empleo Censo'!I403</f>
        <v/>
      </c>
      <c r="G403" s="14">
        <f>'Empleo Censo'!J403+'Empleo Censo'!K403</f>
        <v/>
      </c>
      <c r="H403" s="14">
        <f>'Empleo Censo'!L403</f>
        <v/>
      </c>
      <c r="I403" s="14">
        <f>'Empleo Censo'!M403</f>
        <v/>
      </c>
      <c r="J403" s="14">
        <f>SUM('Empleo Censo'!N403:AA403)</f>
        <v/>
      </c>
      <c r="K403" s="14">
        <f>SUM(C403:J403)</f>
        <v/>
      </c>
      <c r="L403" s="15">
        <f>SUMPRODUCT(C403:J403,Factores!$B$3:$I$3)</f>
        <v/>
      </c>
      <c r="M403" s="16">
        <f>'Empleo Censo'!E403</f>
        <v/>
      </c>
      <c r="N403" s="17">
        <f>IF(M403&gt;0,L403,Factores!$B$7)</f>
        <v/>
      </c>
      <c r="O403">
        <f>IF(M403&gt;0,"OK","sin PEA -&gt; peor")</f>
        <v/>
      </c>
    </row>
    <row r="404">
      <c r="A404" t="inlineStr">
        <is>
          <t>150130</t>
        </is>
      </c>
      <c r="B404" t="inlineStr">
        <is>
          <t>SAN BORJA</t>
        </is>
      </c>
      <c r="C404" s="14">
        <f>'Empleo Censo'!G404-'Empleo Censo'!F404</f>
        <v/>
      </c>
      <c r="D404" s="14">
        <f>'Empleo Censo'!F404</f>
        <v/>
      </c>
      <c r="E404" s="14">
        <f>'Empleo Censo'!H404</f>
        <v/>
      </c>
      <c r="F404" s="14">
        <f>'Empleo Censo'!I404</f>
        <v/>
      </c>
      <c r="G404" s="14">
        <f>'Empleo Censo'!J404+'Empleo Censo'!K404</f>
        <v/>
      </c>
      <c r="H404" s="14">
        <f>'Empleo Censo'!L404</f>
        <v/>
      </c>
      <c r="I404" s="14">
        <f>'Empleo Censo'!M404</f>
        <v/>
      </c>
      <c r="J404" s="14">
        <f>SUM('Empleo Censo'!N404:AA404)</f>
        <v/>
      </c>
      <c r="K404" s="14">
        <f>SUM(C404:J404)</f>
        <v/>
      </c>
      <c r="L404" s="15">
        <f>SUMPRODUCT(C404:J404,Factores!$B$3:$I$3)</f>
        <v/>
      </c>
      <c r="M404" s="16">
        <f>'Empleo Censo'!E404</f>
        <v/>
      </c>
      <c r="N404" s="17">
        <f>IF(M404&gt;0,L404,Factores!$B$7)</f>
        <v/>
      </c>
      <c r="O404">
        <f>IF(M404&gt;0,"OK","sin PEA -&gt; peor")</f>
        <v/>
      </c>
    </row>
    <row r="405">
      <c r="A405" t="inlineStr">
        <is>
          <t>150131</t>
        </is>
      </c>
      <c r="B405" t="inlineStr">
        <is>
          <t>SAN ISIDRO</t>
        </is>
      </c>
      <c r="C405" s="14">
        <f>'Empleo Censo'!G405-'Empleo Censo'!F405</f>
        <v/>
      </c>
      <c r="D405" s="14">
        <f>'Empleo Censo'!F405</f>
        <v/>
      </c>
      <c r="E405" s="14">
        <f>'Empleo Censo'!H405</f>
        <v/>
      </c>
      <c r="F405" s="14">
        <f>'Empleo Censo'!I405</f>
        <v/>
      </c>
      <c r="G405" s="14">
        <f>'Empleo Censo'!J405+'Empleo Censo'!K405</f>
        <v/>
      </c>
      <c r="H405" s="14">
        <f>'Empleo Censo'!L405</f>
        <v/>
      </c>
      <c r="I405" s="14">
        <f>'Empleo Censo'!M405</f>
        <v/>
      </c>
      <c r="J405" s="14">
        <f>SUM('Empleo Censo'!N405:AA405)</f>
        <v/>
      </c>
      <c r="K405" s="14">
        <f>SUM(C405:J405)</f>
        <v/>
      </c>
      <c r="L405" s="15">
        <f>SUMPRODUCT(C405:J405,Factores!$B$3:$I$3)</f>
        <v/>
      </c>
      <c r="M405" s="16">
        <f>'Empleo Censo'!E405</f>
        <v/>
      </c>
      <c r="N405" s="17">
        <f>IF(M405&gt;0,L405,Factores!$B$7)</f>
        <v/>
      </c>
      <c r="O405">
        <f>IF(M405&gt;0,"OK","sin PEA -&gt; peor")</f>
        <v/>
      </c>
    </row>
    <row r="406">
      <c r="A406" t="inlineStr">
        <is>
          <t>150132</t>
        </is>
      </c>
      <c r="B406" t="inlineStr">
        <is>
          <t>SAN JUAN DE LURIGANCHO</t>
        </is>
      </c>
      <c r="C406" s="14">
        <f>'Empleo Censo'!G406-'Empleo Censo'!F406</f>
        <v/>
      </c>
      <c r="D406" s="14">
        <f>'Empleo Censo'!F406</f>
        <v/>
      </c>
      <c r="E406" s="14">
        <f>'Empleo Censo'!H406</f>
        <v/>
      </c>
      <c r="F406" s="14">
        <f>'Empleo Censo'!I406</f>
        <v/>
      </c>
      <c r="G406" s="14">
        <f>'Empleo Censo'!J406+'Empleo Censo'!K406</f>
        <v/>
      </c>
      <c r="H406" s="14">
        <f>'Empleo Censo'!L406</f>
        <v/>
      </c>
      <c r="I406" s="14">
        <f>'Empleo Censo'!M406</f>
        <v/>
      </c>
      <c r="J406" s="14">
        <f>SUM('Empleo Censo'!N406:AA406)</f>
        <v/>
      </c>
      <c r="K406" s="14">
        <f>SUM(C406:J406)</f>
        <v/>
      </c>
      <c r="L406" s="15">
        <f>SUMPRODUCT(C406:J406,Factores!$B$3:$I$3)</f>
        <v/>
      </c>
      <c r="M406" s="16">
        <f>'Empleo Censo'!E406</f>
        <v/>
      </c>
      <c r="N406" s="17">
        <f>IF(M406&gt;0,L406,Factores!$B$7)</f>
        <v/>
      </c>
      <c r="O406">
        <f>IF(M406&gt;0,"OK","sin PEA -&gt; peor")</f>
        <v/>
      </c>
    </row>
    <row r="407">
      <c r="A407" t="inlineStr">
        <is>
          <t>150133</t>
        </is>
      </c>
      <c r="B407" t="inlineStr">
        <is>
          <t>SAN JUAN DE MIRAFLORES</t>
        </is>
      </c>
      <c r="C407" s="14">
        <f>'Empleo Censo'!G407-'Empleo Censo'!F407</f>
        <v/>
      </c>
      <c r="D407" s="14">
        <f>'Empleo Censo'!F407</f>
        <v/>
      </c>
      <c r="E407" s="14">
        <f>'Empleo Censo'!H407</f>
        <v/>
      </c>
      <c r="F407" s="14">
        <f>'Empleo Censo'!I407</f>
        <v/>
      </c>
      <c r="G407" s="14">
        <f>'Empleo Censo'!J407+'Empleo Censo'!K407</f>
        <v/>
      </c>
      <c r="H407" s="14">
        <f>'Empleo Censo'!L407</f>
        <v/>
      </c>
      <c r="I407" s="14">
        <f>'Empleo Censo'!M407</f>
        <v/>
      </c>
      <c r="J407" s="14">
        <f>SUM('Empleo Censo'!N407:AA407)</f>
        <v/>
      </c>
      <c r="K407" s="14">
        <f>SUM(C407:J407)</f>
        <v/>
      </c>
      <c r="L407" s="15">
        <f>SUMPRODUCT(C407:J407,Factores!$B$3:$I$3)</f>
        <v/>
      </c>
      <c r="M407" s="16">
        <f>'Empleo Censo'!E407</f>
        <v/>
      </c>
      <c r="N407" s="17">
        <f>IF(M407&gt;0,L407,Factores!$B$7)</f>
        <v/>
      </c>
      <c r="O407">
        <f>IF(M407&gt;0,"OK","sin PEA -&gt; peor")</f>
        <v/>
      </c>
    </row>
    <row r="408">
      <c r="A408" t="inlineStr">
        <is>
          <t>150134</t>
        </is>
      </c>
      <c r="B408" t="inlineStr">
        <is>
          <t>SAN LUIS</t>
        </is>
      </c>
      <c r="C408" s="14">
        <f>'Empleo Censo'!G408-'Empleo Censo'!F408</f>
        <v/>
      </c>
      <c r="D408" s="14">
        <f>'Empleo Censo'!F408</f>
        <v/>
      </c>
      <c r="E408" s="14">
        <f>'Empleo Censo'!H408</f>
        <v/>
      </c>
      <c r="F408" s="14">
        <f>'Empleo Censo'!I408</f>
        <v/>
      </c>
      <c r="G408" s="14">
        <f>'Empleo Censo'!J408+'Empleo Censo'!K408</f>
        <v/>
      </c>
      <c r="H408" s="14">
        <f>'Empleo Censo'!L408</f>
        <v/>
      </c>
      <c r="I408" s="14">
        <f>'Empleo Censo'!M408</f>
        <v/>
      </c>
      <c r="J408" s="14">
        <f>SUM('Empleo Censo'!N408:AA408)</f>
        <v/>
      </c>
      <c r="K408" s="14">
        <f>SUM(C408:J408)</f>
        <v/>
      </c>
      <c r="L408" s="15">
        <f>SUMPRODUCT(C408:J408,Factores!$B$3:$I$3)</f>
        <v/>
      </c>
      <c r="M408" s="16">
        <f>'Empleo Censo'!E408</f>
        <v/>
      </c>
      <c r="N408" s="17">
        <f>IF(M408&gt;0,L408,Factores!$B$7)</f>
        <v/>
      </c>
      <c r="O408">
        <f>IF(M408&gt;0,"OK","sin PEA -&gt; peor")</f>
        <v/>
      </c>
    </row>
    <row r="409">
      <c r="A409" t="inlineStr">
        <is>
          <t>150135</t>
        </is>
      </c>
      <c r="B409" t="inlineStr">
        <is>
          <t>SAN MARTIN DE PORRES</t>
        </is>
      </c>
      <c r="C409" s="14">
        <f>'Empleo Censo'!G409-'Empleo Censo'!F409</f>
        <v/>
      </c>
      <c r="D409" s="14">
        <f>'Empleo Censo'!F409</f>
        <v/>
      </c>
      <c r="E409" s="14">
        <f>'Empleo Censo'!H409</f>
        <v/>
      </c>
      <c r="F409" s="14">
        <f>'Empleo Censo'!I409</f>
        <v/>
      </c>
      <c r="G409" s="14">
        <f>'Empleo Censo'!J409+'Empleo Censo'!K409</f>
        <v/>
      </c>
      <c r="H409" s="14">
        <f>'Empleo Censo'!L409</f>
        <v/>
      </c>
      <c r="I409" s="14">
        <f>'Empleo Censo'!M409</f>
        <v/>
      </c>
      <c r="J409" s="14">
        <f>SUM('Empleo Censo'!N409:AA409)</f>
        <v/>
      </c>
      <c r="K409" s="14">
        <f>SUM(C409:J409)</f>
        <v/>
      </c>
      <c r="L409" s="15">
        <f>SUMPRODUCT(C409:J409,Factores!$B$3:$I$3)</f>
        <v/>
      </c>
      <c r="M409" s="16">
        <f>'Empleo Censo'!E409</f>
        <v/>
      </c>
      <c r="N409" s="17">
        <f>IF(M409&gt;0,L409,Factores!$B$7)</f>
        <v/>
      </c>
      <c r="O409">
        <f>IF(M409&gt;0,"OK","sin PEA -&gt; peor")</f>
        <v/>
      </c>
    </row>
    <row r="410">
      <c r="A410" t="inlineStr">
        <is>
          <t>150136</t>
        </is>
      </c>
      <c r="B410" t="inlineStr">
        <is>
          <t>SAN MIGUEL</t>
        </is>
      </c>
      <c r="C410" s="14">
        <f>'Empleo Censo'!G410-'Empleo Censo'!F410</f>
        <v/>
      </c>
      <c r="D410" s="14">
        <f>'Empleo Censo'!F410</f>
        <v/>
      </c>
      <c r="E410" s="14">
        <f>'Empleo Censo'!H410</f>
        <v/>
      </c>
      <c r="F410" s="14">
        <f>'Empleo Censo'!I410</f>
        <v/>
      </c>
      <c r="G410" s="14">
        <f>'Empleo Censo'!J410+'Empleo Censo'!K410</f>
        <v/>
      </c>
      <c r="H410" s="14">
        <f>'Empleo Censo'!L410</f>
        <v/>
      </c>
      <c r="I410" s="14">
        <f>'Empleo Censo'!M410</f>
        <v/>
      </c>
      <c r="J410" s="14">
        <f>SUM('Empleo Censo'!N410:AA410)</f>
        <v/>
      </c>
      <c r="K410" s="14">
        <f>SUM(C410:J410)</f>
        <v/>
      </c>
      <c r="L410" s="15">
        <f>SUMPRODUCT(C410:J410,Factores!$B$3:$I$3)</f>
        <v/>
      </c>
      <c r="M410" s="16">
        <f>'Empleo Censo'!E410</f>
        <v/>
      </c>
      <c r="N410" s="17">
        <f>IF(M410&gt;0,L410,Factores!$B$7)</f>
        <v/>
      </c>
      <c r="O410">
        <f>IF(M410&gt;0,"OK","sin PEA -&gt; peor")</f>
        <v/>
      </c>
    </row>
    <row r="411">
      <c r="A411" t="inlineStr">
        <is>
          <t>150137</t>
        </is>
      </c>
      <c r="B411" t="inlineStr">
        <is>
          <t>SANTA ANITA</t>
        </is>
      </c>
      <c r="C411" s="14">
        <f>'Empleo Censo'!G411-'Empleo Censo'!F411</f>
        <v/>
      </c>
      <c r="D411" s="14">
        <f>'Empleo Censo'!F411</f>
        <v/>
      </c>
      <c r="E411" s="14">
        <f>'Empleo Censo'!H411</f>
        <v/>
      </c>
      <c r="F411" s="14">
        <f>'Empleo Censo'!I411</f>
        <v/>
      </c>
      <c r="G411" s="14">
        <f>'Empleo Censo'!J411+'Empleo Censo'!K411</f>
        <v/>
      </c>
      <c r="H411" s="14">
        <f>'Empleo Censo'!L411</f>
        <v/>
      </c>
      <c r="I411" s="14">
        <f>'Empleo Censo'!M411</f>
        <v/>
      </c>
      <c r="J411" s="14">
        <f>SUM('Empleo Censo'!N411:AA411)</f>
        <v/>
      </c>
      <c r="K411" s="14">
        <f>SUM(C411:J411)</f>
        <v/>
      </c>
      <c r="L411" s="15">
        <f>SUMPRODUCT(C411:J411,Factores!$B$3:$I$3)</f>
        <v/>
      </c>
      <c r="M411" s="16">
        <f>'Empleo Censo'!E411</f>
        <v/>
      </c>
      <c r="N411" s="17">
        <f>IF(M411&gt;0,L411,Factores!$B$7)</f>
        <v/>
      </c>
      <c r="O411">
        <f>IF(M411&gt;0,"OK","sin PEA -&gt; peor")</f>
        <v/>
      </c>
    </row>
    <row r="412">
      <c r="A412" t="inlineStr">
        <is>
          <t>150138</t>
        </is>
      </c>
      <c r="B412" t="inlineStr">
        <is>
          <t>SANTA MARIA DEL MAR</t>
        </is>
      </c>
      <c r="C412" s="14">
        <f>'Empleo Censo'!G412-'Empleo Censo'!F412</f>
        <v/>
      </c>
      <c r="D412" s="14">
        <f>'Empleo Censo'!F412</f>
        <v/>
      </c>
      <c r="E412" s="14">
        <f>'Empleo Censo'!H412</f>
        <v/>
      </c>
      <c r="F412" s="14">
        <f>'Empleo Censo'!I412</f>
        <v/>
      </c>
      <c r="G412" s="14">
        <f>'Empleo Censo'!J412+'Empleo Censo'!K412</f>
        <v/>
      </c>
      <c r="H412" s="14">
        <f>'Empleo Censo'!L412</f>
        <v/>
      </c>
      <c r="I412" s="14">
        <f>'Empleo Censo'!M412</f>
        <v/>
      </c>
      <c r="J412" s="14">
        <f>SUM('Empleo Censo'!N412:AA412)</f>
        <v/>
      </c>
      <c r="K412" s="14">
        <f>SUM(C412:J412)</f>
        <v/>
      </c>
      <c r="L412" s="15">
        <f>SUMPRODUCT(C412:J412,Factores!$B$3:$I$3)</f>
        <v/>
      </c>
      <c r="M412" s="16">
        <f>'Empleo Censo'!E412</f>
        <v/>
      </c>
      <c r="N412" s="17">
        <f>IF(M412&gt;0,L412,Factores!$B$7)</f>
        <v/>
      </c>
      <c r="O412">
        <f>IF(M412&gt;0,"OK","sin PEA -&gt; peor")</f>
        <v/>
      </c>
    </row>
    <row r="413">
      <c r="A413" t="inlineStr">
        <is>
          <t>150139</t>
        </is>
      </c>
      <c r="B413" t="inlineStr">
        <is>
          <t>SANTA ROSA</t>
        </is>
      </c>
      <c r="C413" s="14">
        <f>'Empleo Censo'!G413-'Empleo Censo'!F413</f>
        <v/>
      </c>
      <c r="D413" s="14">
        <f>'Empleo Censo'!F413</f>
        <v/>
      </c>
      <c r="E413" s="14">
        <f>'Empleo Censo'!H413</f>
        <v/>
      </c>
      <c r="F413" s="14">
        <f>'Empleo Censo'!I413</f>
        <v/>
      </c>
      <c r="G413" s="14">
        <f>'Empleo Censo'!J413+'Empleo Censo'!K413</f>
        <v/>
      </c>
      <c r="H413" s="14">
        <f>'Empleo Censo'!L413</f>
        <v/>
      </c>
      <c r="I413" s="14">
        <f>'Empleo Censo'!M413</f>
        <v/>
      </c>
      <c r="J413" s="14">
        <f>SUM('Empleo Censo'!N413:AA413)</f>
        <v/>
      </c>
      <c r="K413" s="14">
        <f>SUM(C413:J413)</f>
        <v/>
      </c>
      <c r="L413" s="15">
        <f>SUMPRODUCT(C413:J413,Factores!$B$3:$I$3)</f>
        <v/>
      </c>
      <c r="M413" s="16">
        <f>'Empleo Censo'!E413</f>
        <v/>
      </c>
      <c r="N413" s="17">
        <f>IF(M413&gt;0,L413,Factores!$B$7)</f>
        <v/>
      </c>
      <c r="O413">
        <f>IF(M413&gt;0,"OK","sin PEA -&gt; peor")</f>
        <v/>
      </c>
    </row>
    <row r="414">
      <c r="A414" t="inlineStr">
        <is>
          <t>150140</t>
        </is>
      </c>
      <c r="B414" t="inlineStr">
        <is>
          <t>SANTIAGO DE SURCO</t>
        </is>
      </c>
      <c r="C414" s="14">
        <f>'Empleo Censo'!G414-'Empleo Censo'!F414</f>
        <v/>
      </c>
      <c r="D414" s="14">
        <f>'Empleo Censo'!F414</f>
        <v/>
      </c>
      <c r="E414" s="14">
        <f>'Empleo Censo'!H414</f>
        <v/>
      </c>
      <c r="F414" s="14">
        <f>'Empleo Censo'!I414</f>
        <v/>
      </c>
      <c r="G414" s="14">
        <f>'Empleo Censo'!J414+'Empleo Censo'!K414</f>
        <v/>
      </c>
      <c r="H414" s="14">
        <f>'Empleo Censo'!L414</f>
        <v/>
      </c>
      <c r="I414" s="14">
        <f>'Empleo Censo'!M414</f>
        <v/>
      </c>
      <c r="J414" s="14">
        <f>SUM('Empleo Censo'!N414:AA414)</f>
        <v/>
      </c>
      <c r="K414" s="14">
        <f>SUM(C414:J414)</f>
        <v/>
      </c>
      <c r="L414" s="15">
        <f>SUMPRODUCT(C414:J414,Factores!$B$3:$I$3)</f>
        <v/>
      </c>
      <c r="M414" s="16">
        <f>'Empleo Censo'!E414</f>
        <v/>
      </c>
      <c r="N414" s="17">
        <f>IF(M414&gt;0,L414,Factores!$B$7)</f>
        <v/>
      </c>
      <c r="O414">
        <f>IF(M414&gt;0,"OK","sin PEA -&gt; peor")</f>
        <v/>
      </c>
    </row>
    <row r="415">
      <c r="A415" t="inlineStr">
        <is>
          <t>150141</t>
        </is>
      </c>
      <c r="B415" t="inlineStr">
        <is>
          <t>SURQUILLO</t>
        </is>
      </c>
      <c r="C415" s="14">
        <f>'Empleo Censo'!G415-'Empleo Censo'!F415</f>
        <v/>
      </c>
      <c r="D415" s="14">
        <f>'Empleo Censo'!F415</f>
        <v/>
      </c>
      <c r="E415" s="14">
        <f>'Empleo Censo'!H415</f>
        <v/>
      </c>
      <c r="F415" s="14">
        <f>'Empleo Censo'!I415</f>
        <v/>
      </c>
      <c r="G415" s="14">
        <f>'Empleo Censo'!J415+'Empleo Censo'!K415</f>
        <v/>
      </c>
      <c r="H415" s="14">
        <f>'Empleo Censo'!L415</f>
        <v/>
      </c>
      <c r="I415" s="14">
        <f>'Empleo Censo'!M415</f>
        <v/>
      </c>
      <c r="J415" s="14">
        <f>SUM('Empleo Censo'!N415:AA415)</f>
        <v/>
      </c>
      <c r="K415" s="14">
        <f>SUM(C415:J415)</f>
        <v/>
      </c>
      <c r="L415" s="15">
        <f>SUMPRODUCT(C415:J415,Factores!$B$3:$I$3)</f>
        <v/>
      </c>
      <c r="M415" s="16">
        <f>'Empleo Censo'!E415</f>
        <v/>
      </c>
      <c r="N415" s="17">
        <f>IF(M415&gt;0,L415,Factores!$B$7)</f>
        <v/>
      </c>
      <c r="O415">
        <f>IF(M415&gt;0,"OK","sin PEA -&gt; peor")</f>
        <v/>
      </c>
    </row>
    <row r="416">
      <c r="A416" t="inlineStr">
        <is>
          <t>150142</t>
        </is>
      </c>
      <c r="B416" t="inlineStr">
        <is>
          <t>VILLA EL SALVADOR</t>
        </is>
      </c>
      <c r="C416" s="14">
        <f>'Empleo Censo'!G416-'Empleo Censo'!F416</f>
        <v/>
      </c>
      <c r="D416" s="14">
        <f>'Empleo Censo'!F416</f>
        <v/>
      </c>
      <c r="E416" s="14">
        <f>'Empleo Censo'!H416</f>
        <v/>
      </c>
      <c r="F416" s="14">
        <f>'Empleo Censo'!I416</f>
        <v/>
      </c>
      <c r="G416" s="14">
        <f>'Empleo Censo'!J416+'Empleo Censo'!K416</f>
        <v/>
      </c>
      <c r="H416" s="14">
        <f>'Empleo Censo'!L416</f>
        <v/>
      </c>
      <c r="I416" s="14">
        <f>'Empleo Censo'!M416</f>
        <v/>
      </c>
      <c r="J416" s="14">
        <f>SUM('Empleo Censo'!N416:AA416)</f>
        <v/>
      </c>
      <c r="K416" s="14">
        <f>SUM(C416:J416)</f>
        <v/>
      </c>
      <c r="L416" s="15">
        <f>SUMPRODUCT(C416:J416,Factores!$B$3:$I$3)</f>
        <v/>
      </c>
      <c r="M416" s="16">
        <f>'Empleo Censo'!E416</f>
        <v/>
      </c>
      <c r="N416" s="17">
        <f>IF(M416&gt;0,L416,Factores!$B$7)</f>
        <v/>
      </c>
      <c r="O416">
        <f>IF(M416&gt;0,"OK","sin PEA -&gt; peor")</f>
        <v/>
      </c>
    </row>
    <row r="417">
      <c r="A417" t="inlineStr">
        <is>
          <t>150143</t>
        </is>
      </c>
      <c r="B417" t="inlineStr">
        <is>
          <t>VILLA MARIA DEL TRIUNFO</t>
        </is>
      </c>
      <c r="C417" s="14">
        <f>'Empleo Censo'!G417-'Empleo Censo'!F417</f>
        <v/>
      </c>
      <c r="D417" s="14">
        <f>'Empleo Censo'!F417</f>
        <v/>
      </c>
      <c r="E417" s="14">
        <f>'Empleo Censo'!H417</f>
        <v/>
      </c>
      <c r="F417" s="14">
        <f>'Empleo Censo'!I417</f>
        <v/>
      </c>
      <c r="G417" s="14">
        <f>'Empleo Censo'!J417+'Empleo Censo'!K417</f>
        <v/>
      </c>
      <c r="H417" s="14">
        <f>'Empleo Censo'!L417</f>
        <v/>
      </c>
      <c r="I417" s="14">
        <f>'Empleo Censo'!M417</f>
        <v/>
      </c>
      <c r="J417" s="14">
        <f>SUM('Empleo Censo'!N417:AA417)</f>
        <v/>
      </c>
      <c r="K417" s="14">
        <f>SUM(C417:J417)</f>
        <v/>
      </c>
      <c r="L417" s="15">
        <f>SUMPRODUCT(C417:J417,Factores!$B$3:$I$3)</f>
        <v/>
      </c>
      <c r="M417" s="16">
        <f>'Empleo Censo'!E417</f>
        <v/>
      </c>
      <c r="N417" s="17">
        <f>IF(M417&gt;0,L417,Factores!$B$7)</f>
        <v/>
      </c>
      <c r="O417">
        <f>IF(M417&gt;0,"OK","sin PEA -&gt; peor")</f>
        <v/>
      </c>
    </row>
    <row r="418">
      <c r="A418" t="inlineStr">
        <is>
          <t>150201</t>
        </is>
      </c>
      <c r="B418" t="inlineStr">
        <is>
          <t>BARRANCA</t>
        </is>
      </c>
      <c r="C418" s="14">
        <f>'Empleo Censo'!G418-'Empleo Censo'!F418</f>
        <v/>
      </c>
      <c r="D418" s="14">
        <f>'Empleo Censo'!F418</f>
        <v/>
      </c>
      <c r="E418" s="14">
        <f>'Empleo Censo'!H418</f>
        <v/>
      </c>
      <c r="F418" s="14">
        <f>'Empleo Censo'!I418</f>
        <v/>
      </c>
      <c r="G418" s="14">
        <f>'Empleo Censo'!J418+'Empleo Censo'!K418</f>
        <v/>
      </c>
      <c r="H418" s="14">
        <f>'Empleo Censo'!L418</f>
        <v/>
      </c>
      <c r="I418" s="14">
        <f>'Empleo Censo'!M418</f>
        <v/>
      </c>
      <c r="J418" s="14">
        <f>SUM('Empleo Censo'!N418:AA418)</f>
        <v/>
      </c>
      <c r="K418" s="14">
        <f>SUM(C418:J418)</f>
        <v/>
      </c>
      <c r="L418" s="15">
        <f>SUMPRODUCT(C418:J418,Factores!$B$3:$I$3)</f>
        <v/>
      </c>
      <c r="M418" s="16">
        <f>'Empleo Censo'!E418</f>
        <v/>
      </c>
      <c r="N418" s="17">
        <f>IF(M418&gt;0,L418,Factores!$B$7)</f>
        <v/>
      </c>
      <c r="O418">
        <f>IF(M418&gt;0,"OK","sin PEA -&gt; peor")</f>
        <v/>
      </c>
    </row>
    <row r="419">
      <c r="A419" t="inlineStr">
        <is>
          <t>150202</t>
        </is>
      </c>
      <c r="B419" t="inlineStr">
        <is>
          <t>PARAMONGA</t>
        </is>
      </c>
      <c r="C419" s="14">
        <f>'Empleo Censo'!G419-'Empleo Censo'!F419</f>
        <v/>
      </c>
      <c r="D419" s="14">
        <f>'Empleo Censo'!F419</f>
        <v/>
      </c>
      <c r="E419" s="14">
        <f>'Empleo Censo'!H419</f>
        <v/>
      </c>
      <c r="F419" s="14">
        <f>'Empleo Censo'!I419</f>
        <v/>
      </c>
      <c r="G419" s="14">
        <f>'Empleo Censo'!J419+'Empleo Censo'!K419</f>
        <v/>
      </c>
      <c r="H419" s="14">
        <f>'Empleo Censo'!L419</f>
        <v/>
      </c>
      <c r="I419" s="14">
        <f>'Empleo Censo'!M419</f>
        <v/>
      </c>
      <c r="J419" s="14">
        <f>SUM('Empleo Censo'!N419:AA419)</f>
        <v/>
      </c>
      <c r="K419" s="14">
        <f>SUM(C419:J419)</f>
        <v/>
      </c>
      <c r="L419" s="15">
        <f>SUMPRODUCT(C419:J419,Factores!$B$3:$I$3)</f>
        <v/>
      </c>
      <c r="M419" s="16">
        <f>'Empleo Censo'!E419</f>
        <v/>
      </c>
      <c r="N419" s="17">
        <f>IF(M419&gt;0,L419,Factores!$B$7)</f>
        <v/>
      </c>
      <c r="O419">
        <f>IF(M419&gt;0,"OK","sin PEA -&gt; peor")</f>
        <v/>
      </c>
    </row>
    <row r="420">
      <c r="A420" t="inlineStr">
        <is>
          <t>150203</t>
        </is>
      </c>
      <c r="B420" t="inlineStr">
        <is>
          <t>PATIVILCA</t>
        </is>
      </c>
      <c r="C420" s="14">
        <f>'Empleo Censo'!G420-'Empleo Censo'!F420</f>
        <v/>
      </c>
      <c r="D420" s="14">
        <f>'Empleo Censo'!F420</f>
        <v/>
      </c>
      <c r="E420" s="14">
        <f>'Empleo Censo'!H420</f>
        <v/>
      </c>
      <c r="F420" s="14">
        <f>'Empleo Censo'!I420</f>
        <v/>
      </c>
      <c r="G420" s="14">
        <f>'Empleo Censo'!J420+'Empleo Censo'!K420</f>
        <v/>
      </c>
      <c r="H420" s="14">
        <f>'Empleo Censo'!L420</f>
        <v/>
      </c>
      <c r="I420" s="14">
        <f>'Empleo Censo'!M420</f>
        <v/>
      </c>
      <c r="J420" s="14">
        <f>SUM('Empleo Censo'!N420:AA420)</f>
        <v/>
      </c>
      <c r="K420" s="14">
        <f>SUM(C420:J420)</f>
        <v/>
      </c>
      <c r="L420" s="15">
        <f>SUMPRODUCT(C420:J420,Factores!$B$3:$I$3)</f>
        <v/>
      </c>
      <c r="M420" s="16">
        <f>'Empleo Censo'!E420</f>
        <v/>
      </c>
      <c r="N420" s="17">
        <f>IF(M420&gt;0,L420,Factores!$B$7)</f>
        <v/>
      </c>
      <c r="O420">
        <f>IF(M420&gt;0,"OK","sin PEA -&gt; peor")</f>
        <v/>
      </c>
    </row>
    <row r="421">
      <c r="A421" t="inlineStr">
        <is>
          <t>150204</t>
        </is>
      </c>
      <c r="B421" t="inlineStr">
        <is>
          <t>SUPE</t>
        </is>
      </c>
      <c r="C421" s="14">
        <f>'Empleo Censo'!G421-'Empleo Censo'!F421</f>
        <v/>
      </c>
      <c r="D421" s="14">
        <f>'Empleo Censo'!F421</f>
        <v/>
      </c>
      <c r="E421" s="14">
        <f>'Empleo Censo'!H421</f>
        <v/>
      </c>
      <c r="F421" s="14">
        <f>'Empleo Censo'!I421</f>
        <v/>
      </c>
      <c r="G421" s="14">
        <f>'Empleo Censo'!J421+'Empleo Censo'!K421</f>
        <v/>
      </c>
      <c r="H421" s="14">
        <f>'Empleo Censo'!L421</f>
        <v/>
      </c>
      <c r="I421" s="14">
        <f>'Empleo Censo'!M421</f>
        <v/>
      </c>
      <c r="J421" s="14">
        <f>SUM('Empleo Censo'!N421:AA421)</f>
        <v/>
      </c>
      <c r="K421" s="14">
        <f>SUM(C421:J421)</f>
        <v/>
      </c>
      <c r="L421" s="15">
        <f>SUMPRODUCT(C421:J421,Factores!$B$3:$I$3)</f>
        <v/>
      </c>
      <c r="M421" s="16">
        <f>'Empleo Censo'!E421</f>
        <v/>
      </c>
      <c r="N421" s="17">
        <f>IF(M421&gt;0,L421,Factores!$B$7)</f>
        <v/>
      </c>
      <c r="O421">
        <f>IF(M421&gt;0,"OK","sin PEA -&gt; peor")</f>
        <v/>
      </c>
    </row>
    <row r="422">
      <c r="A422" t="inlineStr">
        <is>
          <t>150205</t>
        </is>
      </c>
      <c r="B422" t="inlineStr">
        <is>
          <t>SUPE PUERTO</t>
        </is>
      </c>
      <c r="C422" s="14">
        <f>'Empleo Censo'!G422-'Empleo Censo'!F422</f>
        <v/>
      </c>
      <c r="D422" s="14">
        <f>'Empleo Censo'!F422</f>
        <v/>
      </c>
      <c r="E422" s="14">
        <f>'Empleo Censo'!H422</f>
        <v/>
      </c>
      <c r="F422" s="14">
        <f>'Empleo Censo'!I422</f>
        <v/>
      </c>
      <c r="G422" s="14">
        <f>'Empleo Censo'!J422+'Empleo Censo'!K422</f>
        <v/>
      </c>
      <c r="H422" s="14">
        <f>'Empleo Censo'!L422</f>
        <v/>
      </c>
      <c r="I422" s="14">
        <f>'Empleo Censo'!M422</f>
        <v/>
      </c>
      <c r="J422" s="14">
        <f>SUM('Empleo Censo'!N422:AA422)</f>
        <v/>
      </c>
      <c r="K422" s="14">
        <f>SUM(C422:J422)</f>
        <v/>
      </c>
      <c r="L422" s="15">
        <f>SUMPRODUCT(C422:J422,Factores!$B$3:$I$3)</f>
        <v/>
      </c>
      <c r="M422" s="16">
        <f>'Empleo Censo'!E422</f>
        <v/>
      </c>
      <c r="N422" s="17">
        <f>IF(M422&gt;0,L422,Factores!$B$7)</f>
        <v/>
      </c>
      <c r="O422">
        <f>IF(M422&gt;0,"OK","sin PEA -&gt; peor")</f>
        <v/>
      </c>
    </row>
    <row r="423">
      <c r="A423" t="inlineStr">
        <is>
          <t>150301</t>
        </is>
      </c>
      <c r="B423" t="inlineStr">
        <is>
          <t>CAJATAMBO</t>
        </is>
      </c>
      <c r="C423" s="14">
        <f>'Empleo Censo'!G423-'Empleo Censo'!F423</f>
        <v/>
      </c>
      <c r="D423" s="14">
        <f>'Empleo Censo'!F423</f>
        <v/>
      </c>
      <c r="E423" s="14">
        <f>'Empleo Censo'!H423</f>
        <v/>
      </c>
      <c r="F423" s="14">
        <f>'Empleo Censo'!I423</f>
        <v/>
      </c>
      <c r="G423" s="14">
        <f>'Empleo Censo'!J423+'Empleo Censo'!K423</f>
        <v/>
      </c>
      <c r="H423" s="14">
        <f>'Empleo Censo'!L423</f>
        <v/>
      </c>
      <c r="I423" s="14">
        <f>'Empleo Censo'!M423</f>
        <v/>
      </c>
      <c r="J423" s="14">
        <f>SUM('Empleo Censo'!N423:AA423)</f>
        <v/>
      </c>
      <c r="K423" s="14">
        <f>SUM(C423:J423)</f>
        <v/>
      </c>
      <c r="L423" s="15">
        <f>SUMPRODUCT(C423:J423,Factores!$B$3:$I$3)</f>
        <v/>
      </c>
      <c r="M423" s="16">
        <f>'Empleo Censo'!E423</f>
        <v/>
      </c>
      <c r="N423" s="17">
        <f>IF(M423&gt;0,L423,Factores!$B$7)</f>
        <v/>
      </c>
      <c r="O423">
        <f>IF(M423&gt;0,"OK","sin PEA -&gt; peor")</f>
        <v/>
      </c>
    </row>
    <row r="424">
      <c r="A424" t="inlineStr">
        <is>
          <t>150302</t>
        </is>
      </c>
      <c r="B424" t="inlineStr">
        <is>
          <t>COPA</t>
        </is>
      </c>
      <c r="C424" s="14">
        <f>'Empleo Censo'!G424-'Empleo Censo'!F424</f>
        <v/>
      </c>
      <c r="D424" s="14">
        <f>'Empleo Censo'!F424</f>
        <v/>
      </c>
      <c r="E424" s="14">
        <f>'Empleo Censo'!H424</f>
        <v/>
      </c>
      <c r="F424" s="14">
        <f>'Empleo Censo'!I424</f>
        <v/>
      </c>
      <c r="G424" s="14">
        <f>'Empleo Censo'!J424+'Empleo Censo'!K424</f>
        <v/>
      </c>
      <c r="H424" s="14">
        <f>'Empleo Censo'!L424</f>
        <v/>
      </c>
      <c r="I424" s="14">
        <f>'Empleo Censo'!M424</f>
        <v/>
      </c>
      <c r="J424" s="14">
        <f>SUM('Empleo Censo'!N424:AA424)</f>
        <v/>
      </c>
      <c r="K424" s="14">
        <f>SUM(C424:J424)</f>
        <v/>
      </c>
      <c r="L424" s="15">
        <f>SUMPRODUCT(C424:J424,Factores!$B$3:$I$3)</f>
        <v/>
      </c>
      <c r="M424" s="16">
        <f>'Empleo Censo'!E424</f>
        <v/>
      </c>
      <c r="N424" s="17">
        <f>IF(M424&gt;0,L424,Factores!$B$7)</f>
        <v/>
      </c>
      <c r="O424">
        <f>IF(M424&gt;0,"OK","sin PEA -&gt; peor")</f>
        <v/>
      </c>
    </row>
    <row r="425">
      <c r="A425" t="inlineStr">
        <is>
          <t>150303</t>
        </is>
      </c>
      <c r="B425" t="inlineStr">
        <is>
          <t>GORGOR</t>
        </is>
      </c>
      <c r="C425" s="14">
        <f>'Empleo Censo'!G425-'Empleo Censo'!F425</f>
        <v/>
      </c>
      <c r="D425" s="14">
        <f>'Empleo Censo'!F425</f>
        <v/>
      </c>
      <c r="E425" s="14">
        <f>'Empleo Censo'!H425</f>
        <v/>
      </c>
      <c r="F425" s="14">
        <f>'Empleo Censo'!I425</f>
        <v/>
      </c>
      <c r="G425" s="14">
        <f>'Empleo Censo'!J425+'Empleo Censo'!K425</f>
        <v/>
      </c>
      <c r="H425" s="14">
        <f>'Empleo Censo'!L425</f>
        <v/>
      </c>
      <c r="I425" s="14">
        <f>'Empleo Censo'!M425</f>
        <v/>
      </c>
      <c r="J425" s="14">
        <f>SUM('Empleo Censo'!N425:AA425)</f>
        <v/>
      </c>
      <c r="K425" s="14">
        <f>SUM(C425:J425)</f>
        <v/>
      </c>
      <c r="L425" s="15">
        <f>SUMPRODUCT(C425:J425,Factores!$B$3:$I$3)</f>
        <v/>
      </c>
      <c r="M425" s="16">
        <f>'Empleo Censo'!E425</f>
        <v/>
      </c>
      <c r="N425" s="17">
        <f>IF(M425&gt;0,L425,Factores!$B$7)</f>
        <v/>
      </c>
      <c r="O425">
        <f>IF(M425&gt;0,"OK","sin PEA -&gt; peor")</f>
        <v/>
      </c>
    </row>
    <row r="426">
      <c r="A426" t="inlineStr">
        <is>
          <t>150304</t>
        </is>
      </c>
      <c r="B426" t="inlineStr">
        <is>
          <t>HUANCAPON</t>
        </is>
      </c>
      <c r="C426" s="14">
        <f>'Empleo Censo'!G426-'Empleo Censo'!F426</f>
        <v/>
      </c>
      <c r="D426" s="14">
        <f>'Empleo Censo'!F426</f>
        <v/>
      </c>
      <c r="E426" s="14">
        <f>'Empleo Censo'!H426</f>
        <v/>
      </c>
      <c r="F426" s="14">
        <f>'Empleo Censo'!I426</f>
        <v/>
      </c>
      <c r="G426" s="14">
        <f>'Empleo Censo'!J426+'Empleo Censo'!K426</f>
        <v/>
      </c>
      <c r="H426" s="14">
        <f>'Empleo Censo'!L426</f>
        <v/>
      </c>
      <c r="I426" s="14">
        <f>'Empleo Censo'!M426</f>
        <v/>
      </c>
      <c r="J426" s="14">
        <f>SUM('Empleo Censo'!N426:AA426)</f>
        <v/>
      </c>
      <c r="K426" s="14">
        <f>SUM(C426:J426)</f>
        <v/>
      </c>
      <c r="L426" s="15">
        <f>SUMPRODUCT(C426:J426,Factores!$B$3:$I$3)</f>
        <v/>
      </c>
      <c r="M426" s="16">
        <f>'Empleo Censo'!E426</f>
        <v/>
      </c>
      <c r="N426" s="17">
        <f>IF(M426&gt;0,L426,Factores!$B$7)</f>
        <v/>
      </c>
      <c r="O426">
        <f>IF(M426&gt;0,"OK","sin PEA -&gt; peor")</f>
        <v/>
      </c>
    </row>
    <row r="427">
      <c r="A427" t="inlineStr">
        <is>
          <t>150305</t>
        </is>
      </c>
      <c r="B427" t="inlineStr">
        <is>
          <t>MANAS</t>
        </is>
      </c>
      <c r="C427" s="14">
        <f>'Empleo Censo'!G427-'Empleo Censo'!F427</f>
        <v/>
      </c>
      <c r="D427" s="14">
        <f>'Empleo Censo'!F427</f>
        <v/>
      </c>
      <c r="E427" s="14">
        <f>'Empleo Censo'!H427</f>
        <v/>
      </c>
      <c r="F427" s="14">
        <f>'Empleo Censo'!I427</f>
        <v/>
      </c>
      <c r="G427" s="14">
        <f>'Empleo Censo'!J427+'Empleo Censo'!K427</f>
        <v/>
      </c>
      <c r="H427" s="14">
        <f>'Empleo Censo'!L427</f>
        <v/>
      </c>
      <c r="I427" s="14">
        <f>'Empleo Censo'!M427</f>
        <v/>
      </c>
      <c r="J427" s="14">
        <f>SUM('Empleo Censo'!N427:AA427)</f>
        <v/>
      </c>
      <c r="K427" s="14">
        <f>SUM(C427:J427)</f>
        <v/>
      </c>
      <c r="L427" s="15">
        <f>SUMPRODUCT(C427:J427,Factores!$B$3:$I$3)</f>
        <v/>
      </c>
      <c r="M427" s="16">
        <f>'Empleo Censo'!E427</f>
        <v/>
      </c>
      <c r="N427" s="17">
        <f>IF(M427&gt;0,L427,Factores!$B$7)</f>
        <v/>
      </c>
      <c r="O427">
        <f>IF(M427&gt;0,"OK","sin PEA -&gt; peor")</f>
        <v/>
      </c>
    </row>
    <row r="428">
      <c r="A428" t="inlineStr">
        <is>
          <t>150401</t>
        </is>
      </c>
      <c r="B428" t="inlineStr">
        <is>
          <t>CANTA</t>
        </is>
      </c>
      <c r="C428" s="14">
        <f>'Empleo Censo'!G428-'Empleo Censo'!F428</f>
        <v/>
      </c>
      <c r="D428" s="14">
        <f>'Empleo Censo'!F428</f>
        <v/>
      </c>
      <c r="E428" s="14">
        <f>'Empleo Censo'!H428</f>
        <v/>
      </c>
      <c r="F428" s="14">
        <f>'Empleo Censo'!I428</f>
        <v/>
      </c>
      <c r="G428" s="14">
        <f>'Empleo Censo'!J428+'Empleo Censo'!K428</f>
        <v/>
      </c>
      <c r="H428" s="14">
        <f>'Empleo Censo'!L428</f>
        <v/>
      </c>
      <c r="I428" s="14">
        <f>'Empleo Censo'!M428</f>
        <v/>
      </c>
      <c r="J428" s="14">
        <f>SUM('Empleo Censo'!N428:AA428)</f>
        <v/>
      </c>
      <c r="K428" s="14">
        <f>SUM(C428:J428)</f>
        <v/>
      </c>
      <c r="L428" s="15">
        <f>SUMPRODUCT(C428:J428,Factores!$B$3:$I$3)</f>
        <v/>
      </c>
      <c r="M428" s="16">
        <f>'Empleo Censo'!E428</f>
        <v/>
      </c>
      <c r="N428" s="17">
        <f>IF(M428&gt;0,L428,Factores!$B$7)</f>
        <v/>
      </c>
      <c r="O428">
        <f>IF(M428&gt;0,"OK","sin PEA -&gt; peor")</f>
        <v/>
      </c>
    </row>
    <row r="429">
      <c r="A429" t="inlineStr">
        <is>
          <t>150402</t>
        </is>
      </c>
      <c r="B429" t="inlineStr">
        <is>
          <t>ARAHUAY</t>
        </is>
      </c>
      <c r="C429" s="14">
        <f>'Empleo Censo'!G429-'Empleo Censo'!F429</f>
        <v/>
      </c>
      <c r="D429" s="14">
        <f>'Empleo Censo'!F429</f>
        <v/>
      </c>
      <c r="E429" s="14">
        <f>'Empleo Censo'!H429</f>
        <v/>
      </c>
      <c r="F429" s="14">
        <f>'Empleo Censo'!I429</f>
        <v/>
      </c>
      <c r="G429" s="14">
        <f>'Empleo Censo'!J429+'Empleo Censo'!K429</f>
        <v/>
      </c>
      <c r="H429" s="14">
        <f>'Empleo Censo'!L429</f>
        <v/>
      </c>
      <c r="I429" s="14">
        <f>'Empleo Censo'!M429</f>
        <v/>
      </c>
      <c r="J429" s="14">
        <f>SUM('Empleo Censo'!N429:AA429)</f>
        <v/>
      </c>
      <c r="K429" s="14">
        <f>SUM(C429:J429)</f>
        <v/>
      </c>
      <c r="L429" s="15">
        <f>SUMPRODUCT(C429:J429,Factores!$B$3:$I$3)</f>
        <v/>
      </c>
      <c r="M429" s="16">
        <f>'Empleo Censo'!E429</f>
        <v/>
      </c>
      <c r="N429" s="17">
        <f>IF(M429&gt;0,L429,Factores!$B$7)</f>
        <v/>
      </c>
      <c r="O429">
        <f>IF(M429&gt;0,"OK","sin PEA -&gt; peor")</f>
        <v/>
      </c>
    </row>
    <row r="430">
      <c r="A430" t="inlineStr">
        <is>
          <t>150403</t>
        </is>
      </c>
      <c r="B430" t="inlineStr">
        <is>
          <t>HUAMANTANGA</t>
        </is>
      </c>
      <c r="C430" s="14">
        <f>'Empleo Censo'!G430-'Empleo Censo'!F430</f>
        <v/>
      </c>
      <c r="D430" s="14">
        <f>'Empleo Censo'!F430</f>
        <v/>
      </c>
      <c r="E430" s="14">
        <f>'Empleo Censo'!H430</f>
        <v/>
      </c>
      <c r="F430" s="14">
        <f>'Empleo Censo'!I430</f>
        <v/>
      </c>
      <c r="G430" s="14">
        <f>'Empleo Censo'!J430+'Empleo Censo'!K430</f>
        <v/>
      </c>
      <c r="H430" s="14">
        <f>'Empleo Censo'!L430</f>
        <v/>
      </c>
      <c r="I430" s="14">
        <f>'Empleo Censo'!M430</f>
        <v/>
      </c>
      <c r="J430" s="14">
        <f>SUM('Empleo Censo'!N430:AA430)</f>
        <v/>
      </c>
      <c r="K430" s="14">
        <f>SUM(C430:J430)</f>
        <v/>
      </c>
      <c r="L430" s="15">
        <f>SUMPRODUCT(C430:J430,Factores!$B$3:$I$3)</f>
        <v/>
      </c>
      <c r="M430" s="16">
        <f>'Empleo Censo'!E430</f>
        <v/>
      </c>
      <c r="N430" s="17">
        <f>IF(M430&gt;0,L430,Factores!$B$7)</f>
        <v/>
      </c>
      <c r="O430">
        <f>IF(M430&gt;0,"OK","sin PEA -&gt; peor")</f>
        <v/>
      </c>
    </row>
    <row r="431">
      <c r="A431" t="inlineStr">
        <is>
          <t>150404</t>
        </is>
      </c>
      <c r="B431" t="inlineStr">
        <is>
          <t>HUAROS</t>
        </is>
      </c>
      <c r="C431" s="14">
        <f>'Empleo Censo'!G431-'Empleo Censo'!F431</f>
        <v/>
      </c>
      <c r="D431" s="14">
        <f>'Empleo Censo'!F431</f>
        <v/>
      </c>
      <c r="E431" s="14">
        <f>'Empleo Censo'!H431</f>
        <v/>
      </c>
      <c r="F431" s="14">
        <f>'Empleo Censo'!I431</f>
        <v/>
      </c>
      <c r="G431" s="14">
        <f>'Empleo Censo'!J431+'Empleo Censo'!K431</f>
        <v/>
      </c>
      <c r="H431" s="14">
        <f>'Empleo Censo'!L431</f>
        <v/>
      </c>
      <c r="I431" s="14">
        <f>'Empleo Censo'!M431</f>
        <v/>
      </c>
      <c r="J431" s="14">
        <f>SUM('Empleo Censo'!N431:AA431)</f>
        <v/>
      </c>
      <c r="K431" s="14">
        <f>SUM(C431:J431)</f>
        <v/>
      </c>
      <c r="L431" s="15">
        <f>SUMPRODUCT(C431:J431,Factores!$B$3:$I$3)</f>
        <v/>
      </c>
      <c r="M431" s="16">
        <f>'Empleo Censo'!E431</f>
        <v/>
      </c>
      <c r="N431" s="17">
        <f>IF(M431&gt;0,L431,Factores!$B$7)</f>
        <v/>
      </c>
      <c r="O431">
        <f>IF(M431&gt;0,"OK","sin PEA -&gt; peor")</f>
        <v/>
      </c>
    </row>
    <row r="432">
      <c r="A432" t="inlineStr">
        <is>
          <t>150405</t>
        </is>
      </c>
      <c r="B432" t="inlineStr">
        <is>
          <t>LACHAQUI</t>
        </is>
      </c>
      <c r="C432" s="14">
        <f>'Empleo Censo'!G432-'Empleo Censo'!F432</f>
        <v/>
      </c>
      <c r="D432" s="14">
        <f>'Empleo Censo'!F432</f>
        <v/>
      </c>
      <c r="E432" s="14">
        <f>'Empleo Censo'!H432</f>
        <v/>
      </c>
      <c r="F432" s="14">
        <f>'Empleo Censo'!I432</f>
        <v/>
      </c>
      <c r="G432" s="14">
        <f>'Empleo Censo'!J432+'Empleo Censo'!K432</f>
        <v/>
      </c>
      <c r="H432" s="14">
        <f>'Empleo Censo'!L432</f>
        <v/>
      </c>
      <c r="I432" s="14">
        <f>'Empleo Censo'!M432</f>
        <v/>
      </c>
      <c r="J432" s="14">
        <f>SUM('Empleo Censo'!N432:AA432)</f>
        <v/>
      </c>
      <c r="K432" s="14">
        <f>SUM(C432:J432)</f>
        <v/>
      </c>
      <c r="L432" s="15">
        <f>SUMPRODUCT(C432:J432,Factores!$B$3:$I$3)</f>
        <v/>
      </c>
      <c r="M432" s="16">
        <f>'Empleo Censo'!E432</f>
        <v/>
      </c>
      <c r="N432" s="17">
        <f>IF(M432&gt;0,L432,Factores!$B$7)</f>
        <v/>
      </c>
      <c r="O432">
        <f>IF(M432&gt;0,"OK","sin PEA -&gt; peor")</f>
        <v/>
      </c>
    </row>
    <row r="433">
      <c r="A433" t="inlineStr">
        <is>
          <t>150406</t>
        </is>
      </c>
      <c r="B433" t="inlineStr">
        <is>
          <t>SAN BUENAVENTURA</t>
        </is>
      </c>
      <c r="C433" s="14">
        <f>'Empleo Censo'!G433-'Empleo Censo'!F433</f>
        <v/>
      </c>
      <c r="D433" s="14">
        <f>'Empleo Censo'!F433</f>
        <v/>
      </c>
      <c r="E433" s="14">
        <f>'Empleo Censo'!H433</f>
        <v/>
      </c>
      <c r="F433" s="14">
        <f>'Empleo Censo'!I433</f>
        <v/>
      </c>
      <c r="G433" s="14">
        <f>'Empleo Censo'!J433+'Empleo Censo'!K433</f>
        <v/>
      </c>
      <c r="H433" s="14">
        <f>'Empleo Censo'!L433</f>
        <v/>
      </c>
      <c r="I433" s="14">
        <f>'Empleo Censo'!M433</f>
        <v/>
      </c>
      <c r="J433" s="14">
        <f>SUM('Empleo Censo'!N433:AA433)</f>
        <v/>
      </c>
      <c r="K433" s="14">
        <f>SUM(C433:J433)</f>
        <v/>
      </c>
      <c r="L433" s="15">
        <f>SUMPRODUCT(C433:J433,Factores!$B$3:$I$3)</f>
        <v/>
      </c>
      <c r="M433" s="16">
        <f>'Empleo Censo'!E433</f>
        <v/>
      </c>
      <c r="N433" s="17">
        <f>IF(M433&gt;0,L433,Factores!$B$7)</f>
        <v/>
      </c>
      <c r="O433">
        <f>IF(M433&gt;0,"OK","sin PEA -&gt; peor")</f>
        <v/>
      </c>
    </row>
    <row r="434">
      <c r="A434" t="inlineStr">
        <is>
          <t>150407</t>
        </is>
      </c>
      <c r="B434" t="inlineStr">
        <is>
          <t>SANTA ROSA DE QUIVES</t>
        </is>
      </c>
      <c r="C434" s="14">
        <f>'Empleo Censo'!G434-'Empleo Censo'!F434</f>
        <v/>
      </c>
      <c r="D434" s="14">
        <f>'Empleo Censo'!F434</f>
        <v/>
      </c>
      <c r="E434" s="14">
        <f>'Empleo Censo'!H434</f>
        <v/>
      </c>
      <c r="F434" s="14">
        <f>'Empleo Censo'!I434</f>
        <v/>
      </c>
      <c r="G434" s="14">
        <f>'Empleo Censo'!J434+'Empleo Censo'!K434</f>
        <v/>
      </c>
      <c r="H434" s="14">
        <f>'Empleo Censo'!L434</f>
        <v/>
      </c>
      <c r="I434" s="14">
        <f>'Empleo Censo'!M434</f>
        <v/>
      </c>
      <c r="J434" s="14">
        <f>SUM('Empleo Censo'!N434:AA434)</f>
        <v/>
      </c>
      <c r="K434" s="14">
        <f>SUM(C434:J434)</f>
        <v/>
      </c>
      <c r="L434" s="15">
        <f>SUMPRODUCT(C434:J434,Factores!$B$3:$I$3)</f>
        <v/>
      </c>
      <c r="M434" s="16">
        <f>'Empleo Censo'!E434</f>
        <v/>
      </c>
      <c r="N434" s="17">
        <f>IF(M434&gt;0,L434,Factores!$B$7)</f>
        <v/>
      </c>
      <c r="O434">
        <f>IF(M434&gt;0,"OK","sin PEA -&gt; peor")</f>
        <v/>
      </c>
    </row>
    <row r="435">
      <c r="A435" t="inlineStr">
        <is>
          <t>150501</t>
        </is>
      </c>
      <c r="B435" t="inlineStr">
        <is>
          <t>SAN VICENTE DE CAÑETE</t>
        </is>
      </c>
      <c r="C435" s="14">
        <f>'Empleo Censo'!G435-'Empleo Censo'!F435</f>
        <v/>
      </c>
      <c r="D435" s="14">
        <f>'Empleo Censo'!F435</f>
        <v/>
      </c>
      <c r="E435" s="14">
        <f>'Empleo Censo'!H435</f>
        <v/>
      </c>
      <c r="F435" s="14">
        <f>'Empleo Censo'!I435</f>
        <v/>
      </c>
      <c r="G435" s="14">
        <f>'Empleo Censo'!J435+'Empleo Censo'!K435</f>
        <v/>
      </c>
      <c r="H435" s="14">
        <f>'Empleo Censo'!L435</f>
        <v/>
      </c>
      <c r="I435" s="14">
        <f>'Empleo Censo'!M435</f>
        <v/>
      </c>
      <c r="J435" s="14">
        <f>SUM('Empleo Censo'!N435:AA435)</f>
        <v/>
      </c>
      <c r="K435" s="14">
        <f>SUM(C435:J435)</f>
        <v/>
      </c>
      <c r="L435" s="15">
        <f>SUMPRODUCT(C435:J435,Factores!$B$3:$I$3)</f>
        <v/>
      </c>
      <c r="M435" s="16">
        <f>'Empleo Censo'!E435</f>
        <v/>
      </c>
      <c r="N435" s="17">
        <f>IF(M435&gt;0,L435,Factores!$B$7)</f>
        <v/>
      </c>
      <c r="O435">
        <f>IF(M435&gt;0,"OK","sin PEA -&gt; peor")</f>
        <v/>
      </c>
    </row>
    <row r="436">
      <c r="A436" t="inlineStr">
        <is>
          <t>150502</t>
        </is>
      </c>
      <c r="B436" t="inlineStr">
        <is>
          <t>ASIA</t>
        </is>
      </c>
      <c r="C436" s="14">
        <f>'Empleo Censo'!G436-'Empleo Censo'!F436</f>
        <v/>
      </c>
      <c r="D436" s="14">
        <f>'Empleo Censo'!F436</f>
        <v/>
      </c>
      <c r="E436" s="14">
        <f>'Empleo Censo'!H436</f>
        <v/>
      </c>
      <c r="F436" s="14">
        <f>'Empleo Censo'!I436</f>
        <v/>
      </c>
      <c r="G436" s="14">
        <f>'Empleo Censo'!J436+'Empleo Censo'!K436</f>
        <v/>
      </c>
      <c r="H436" s="14">
        <f>'Empleo Censo'!L436</f>
        <v/>
      </c>
      <c r="I436" s="14">
        <f>'Empleo Censo'!M436</f>
        <v/>
      </c>
      <c r="J436" s="14">
        <f>SUM('Empleo Censo'!N436:AA436)</f>
        <v/>
      </c>
      <c r="K436" s="14">
        <f>SUM(C436:J436)</f>
        <v/>
      </c>
      <c r="L436" s="15">
        <f>SUMPRODUCT(C436:J436,Factores!$B$3:$I$3)</f>
        <v/>
      </c>
      <c r="M436" s="16">
        <f>'Empleo Censo'!E436</f>
        <v/>
      </c>
      <c r="N436" s="17">
        <f>IF(M436&gt;0,L436,Factores!$B$7)</f>
        <v/>
      </c>
      <c r="O436">
        <f>IF(M436&gt;0,"OK","sin PEA -&gt; peor")</f>
        <v/>
      </c>
    </row>
    <row r="437">
      <c r="A437" t="inlineStr">
        <is>
          <t>150503</t>
        </is>
      </c>
      <c r="B437" t="inlineStr">
        <is>
          <t>CALANGO</t>
        </is>
      </c>
      <c r="C437" s="14">
        <f>'Empleo Censo'!G437-'Empleo Censo'!F437</f>
        <v/>
      </c>
      <c r="D437" s="14">
        <f>'Empleo Censo'!F437</f>
        <v/>
      </c>
      <c r="E437" s="14">
        <f>'Empleo Censo'!H437</f>
        <v/>
      </c>
      <c r="F437" s="14">
        <f>'Empleo Censo'!I437</f>
        <v/>
      </c>
      <c r="G437" s="14">
        <f>'Empleo Censo'!J437+'Empleo Censo'!K437</f>
        <v/>
      </c>
      <c r="H437" s="14">
        <f>'Empleo Censo'!L437</f>
        <v/>
      </c>
      <c r="I437" s="14">
        <f>'Empleo Censo'!M437</f>
        <v/>
      </c>
      <c r="J437" s="14">
        <f>SUM('Empleo Censo'!N437:AA437)</f>
        <v/>
      </c>
      <c r="K437" s="14">
        <f>SUM(C437:J437)</f>
        <v/>
      </c>
      <c r="L437" s="15">
        <f>SUMPRODUCT(C437:J437,Factores!$B$3:$I$3)</f>
        <v/>
      </c>
      <c r="M437" s="16">
        <f>'Empleo Censo'!E437</f>
        <v/>
      </c>
      <c r="N437" s="17">
        <f>IF(M437&gt;0,L437,Factores!$B$7)</f>
        <v/>
      </c>
      <c r="O437">
        <f>IF(M437&gt;0,"OK","sin PEA -&gt; peor")</f>
        <v/>
      </c>
    </row>
    <row r="438">
      <c r="A438" t="inlineStr">
        <is>
          <t>150504</t>
        </is>
      </c>
      <c r="B438" t="inlineStr">
        <is>
          <t>CERRO AZUL</t>
        </is>
      </c>
      <c r="C438" s="14">
        <f>'Empleo Censo'!G438-'Empleo Censo'!F438</f>
        <v/>
      </c>
      <c r="D438" s="14">
        <f>'Empleo Censo'!F438</f>
        <v/>
      </c>
      <c r="E438" s="14">
        <f>'Empleo Censo'!H438</f>
        <v/>
      </c>
      <c r="F438" s="14">
        <f>'Empleo Censo'!I438</f>
        <v/>
      </c>
      <c r="G438" s="14">
        <f>'Empleo Censo'!J438+'Empleo Censo'!K438</f>
        <v/>
      </c>
      <c r="H438" s="14">
        <f>'Empleo Censo'!L438</f>
        <v/>
      </c>
      <c r="I438" s="14">
        <f>'Empleo Censo'!M438</f>
        <v/>
      </c>
      <c r="J438" s="14">
        <f>SUM('Empleo Censo'!N438:AA438)</f>
        <v/>
      </c>
      <c r="K438" s="14">
        <f>SUM(C438:J438)</f>
        <v/>
      </c>
      <c r="L438" s="15">
        <f>SUMPRODUCT(C438:J438,Factores!$B$3:$I$3)</f>
        <v/>
      </c>
      <c r="M438" s="16">
        <f>'Empleo Censo'!E438</f>
        <v/>
      </c>
      <c r="N438" s="17">
        <f>IF(M438&gt;0,L438,Factores!$B$7)</f>
        <v/>
      </c>
      <c r="O438">
        <f>IF(M438&gt;0,"OK","sin PEA -&gt; peor")</f>
        <v/>
      </c>
    </row>
    <row r="439">
      <c r="A439" t="inlineStr">
        <is>
          <t>150505</t>
        </is>
      </c>
      <c r="B439" t="inlineStr">
        <is>
          <t>CHILCA</t>
        </is>
      </c>
      <c r="C439" s="14">
        <f>'Empleo Censo'!G439-'Empleo Censo'!F439</f>
        <v/>
      </c>
      <c r="D439" s="14">
        <f>'Empleo Censo'!F439</f>
        <v/>
      </c>
      <c r="E439" s="14">
        <f>'Empleo Censo'!H439</f>
        <v/>
      </c>
      <c r="F439" s="14">
        <f>'Empleo Censo'!I439</f>
        <v/>
      </c>
      <c r="G439" s="14">
        <f>'Empleo Censo'!J439+'Empleo Censo'!K439</f>
        <v/>
      </c>
      <c r="H439" s="14">
        <f>'Empleo Censo'!L439</f>
        <v/>
      </c>
      <c r="I439" s="14">
        <f>'Empleo Censo'!M439</f>
        <v/>
      </c>
      <c r="J439" s="14">
        <f>SUM('Empleo Censo'!N439:AA439)</f>
        <v/>
      </c>
      <c r="K439" s="14">
        <f>SUM(C439:J439)</f>
        <v/>
      </c>
      <c r="L439" s="15">
        <f>SUMPRODUCT(C439:J439,Factores!$B$3:$I$3)</f>
        <v/>
      </c>
      <c r="M439" s="16">
        <f>'Empleo Censo'!E439</f>
        <v/>
      </c>
      <c r="N439" s="17">
        <f>IF(M439&gt;0,L439,Factores!$B$7)</f>
        <v/>
      </c>
      <c r="O439">
        <f>IF(M439&gt;0,"OK","sin PEA -&gt; peor")</f>
        <v/>
      </c>
    </row>
    <row r="440">
      <c r="A440" t="inlineStr">
        <is>
          <t>150506</t>
        </is>
      </c>
      <c r="B440" t="inlineStr">
        <is>
          <t>COAYLLO</t>
        </is>
      </c>
      <c r="C440" s="14">
        <f>'Empleo Censo'!G440-'Empleo Censo'!F440</f>
        <v/>
      </c>
      <c r="D440" s="14">
        <f>'Empleo Censo'!F440</f>
        <v/>
      </c>
      <c r="E440" s="14">
        <f>'Empleo Censo'!H440</f>
        <v/>
      </c>
      <c r="F440" s="14">
        <f>'Empleo Censo'!I440</f>
        <v/>
      </c>
      <c r="G440" s="14">
        <f>'Empleo Censo'!J440+'Empleo Censo'!K440</f>
        <v/>
      </c>
      <c r="H440" s="14">
        <f>'Empleo Censo'!L440</f>
        <v/>
      </c>
      <c r="I440" s="14">
        <f>'Empleo Censo'!M440</f>
        <v/>
      </c>
      <c r="J440" s="14">
        <f>SUM('Empleo Censo'!N440:AA440)</f>
        <v/>
      </c>
      <c r="K440" s="14">
        <f>SUM(C440:J440)</f>
        <v/>
      </c>
      <c r="L440" s="15">
        <f>SUMPRODUCT(C440:J440,Factores!$B$3:$I$3)</f>
        <v/>
      </c>
      <c r="M440" s="16">
        <f>'Empleo Censo'!E440</f>
        <v/>
      </c>
      <c r="N440" s="17">
        <f>IF(M440&gt;0,L440,Factores!$B$7)</f>
        <v/>
      </c>
      <c r="O440">
        <f>IF(M440&gt;0,"OK","sin PEA -&gt; peor")</f>
        <v/>
      </c>
    </row>
    <row r="441">
      <c r="A441" t="inlineStr">
        <is>
          <t>150507</t>
        </is>
      </c>
      <c r="B441" t="inlineStr">
        <is>
          <t>IMPERIAL</t>
        </is>
      </c>
      <c r="C441" s="14">
        <f>'Empleo Censo'!G441-'Empleo Censo'!F441</f>
        <v/>
      </c>
      <c r="D441" s="14">
        <f>'Empleo Censo'!F441</f>
        <v/>
      </c>
      <c r="E441" s="14">
        <f>'Empleo Censo'!H441</f>
        <v/>
      </c>
      <c r="F441" s="14">
        <f>'Empleo Censo'!I441</f>
        <v/>
      </c>
      <c r="G441" s="14">
        <f>'Empleo Censo'!J441+'Empleo Censo'!K441</f>
        <v/>
      </c>
      <c r="H441" s="14">
        <f>'Empleo Censo'!L441</f>
        <v/>
      </c>
      <c r="I441" s="14">
        <f>'Empleo Censo'!M441</f>
        <v/>
      </c>
      <c r="J441" s="14">
        <f>SUM('Empleo Censo'!N441:AA441)</f>
        <v/>
      </c>
      <c r="K441" s="14">
        <f>SUM(C441:J441)</f>
        <v/>
      </c>
      <c r="L441" s="15">
        <f>SUMPRODUCT(C441:J441,Factores!$B$3:$I$3)</f>
        <v/>
      </c>
      <c r="M441" s="16">
        <f>'Empleo Censo'!E441</f>
        <v/>
      </c>
      <c r="N441" s="17">
        <f>IF(M441&gt;0,L441,Factores!$B$7)</f>
        <v/>
      </c>
      <c r="O441">
        <f>IF(M441&gt;0,"OK","sin PEA -&gt; peor")</f>
        <v/>
      </c>
    </row>
    <row r="442">
      <c r="A442" t="inlineStr">
        <is>
          <t>150508</t>
        </is>
      </c>
      <c r="B442" t="inlineStr">
        <is>
          <t>LUNAHUANA</t>
        </is>
      </c>
      <c r="C442" s="14">
        <f>'Empleo Censo'!G442-'Empleo Censo'!F442</f>
        <v/>
      </c>
      <c r="D442" s="14">
        <f>'Empleo Censo'!F442</f>
        <v/>
      </c>
      <c r="E442" s="14">
        <f>'Empleo Censo'!H442</f>
        <v/>
      </c>
      <c r="F442" s="14">
        <f>'Empleo Censo'!I442</f>
        <v/>
      </c>
      <c r="G442" s="14">
        <f>'Empleo Censo'!J442+'Empleo Censo'!K442</f>
        <v/>
      </c>
      <c r="H442" s="14">
        <f>'Empleo Censo'!L442</f>
        <v/>
      </c>
      <c r="I442" s="14">
        <f>'Empleo Censo'!M442</f>
        <v/>
      </c>
      <c r="J442" s="14">
        <f>SUM('Empleo Censo'!N442:AA442)</f>
        <v/>
      </c>
      <c r="K442" s="14">
        <f>SUM(C442:J442)</f>
        <v/>
      </c>
      <c r="L442" s="15">
        <f>SUMPRODUCT(C442:J442,Factores!$B$3:$I$3)</f>
        <v/>
      </c>
      <c r="M442" s="16">
        <f>'Empleo Censo'!E442</f>
        <v/>
      </c>
      <c r="N442" s="17">
        <f>IF(M442&gt;0,L442,Factores!$B$7)</f>
        <v/>
      </c>
      <c r="O442">
        <f>IF(M442&gt;0,"OK","sin PEA -&gt; peor")</f>
        <v/>
      </c>
    </row>
    <row r="443">
      <c r="A443" t="inlineStr">
        <is>
          <t>150509</t>
        </is>
      </c>
      <c r="B443" t="inlineStr">
        <is>
          <t>MALA</t>
        </is>
      </c>
      <c r="C443" s="14">
        <f>'Empleo Censo'!G443-'Empleo Censo'!F443</f>
        <v/>
      </c>
      <c r="D443" s="14">
        <f>'Empleo Censo'!F443</f>
        <v/>
      </c>
      <c r="E443" s="14">
        <f>'Empleo Censo'!H443</f>
        <v/>
      </c>
      <c r="F443" s="14">
        <f>'Empleo Censo'!I443</f>
        <v/>
      </c>
      <c r="G443" s="14">
        <f>'Empleo Censo'!J443+'Empleo Censo'!K443</f>
        <v/>
      </c>
      <c r="H443" s="14">
        <f>'Empleo Censo'!L443</f>
        <v/>
      </c>
      <c r="I443" s="14">
        <f>'Empleo Censo'!M443</f>
        <v/>
      </c>
      <c r="J443" s="14">
        <f>SUM('Empleo Censo'!N443:AA443)</f>
        <v/>
      </c>
      <c r="K443" s="14">
        <f>SUM(C443:J443)</f>
        <v/>
      </c>
      <c r="L443" s="15">
        <f>SUMPRODUCT(C443:J443,Factores!$B$3:$I$3)</f>
        <v/>
      </c>
      <c r="M443" s="16">
        <f>'Empleo Censo'!E443</f>
        <v/>
      </c>
      <c r="N443" s="17">
        <f>IF(M443&gt;0,L443,Factores!$B$7)</f>
        <v/>
      </c>
      <c r="O443">
        <f>IF(M443&gt;0,"OK","sin PEA -&gt; peor")</f>
        <v/>
      </c>
    </row>
    <row r="444">
      <c r="A444" t="inlineStr">
        <is>
          <t>150510</t>
        </is>
      </c>
      <c r="B444" t="inlineStr">
        <is>
          <t>NUEVO IMPERIAL</t>
        </is>
      </c>
      <c r="C444" s="14">
        <f>'Empleo Censo'!G444-'Empleo Censo'!F444</f>
        <v/>
      </c>
      <c r="D444" s="14">
        <f>'Empleo Censo'!F444</f>
        <v/>
      </c>
      <c r="E444" s="14">
        <f>'Empleo Censo'!H444</f>
        <v/>
      </c>
      <c r="F444" s="14">
        <f>'Empleo Censo'!I444</f>
        <v/>
      </c>
      <c r="G444" s="14">
        <f>'Empleo Censo'!J444+'Empleo Censo'!K444</f>
        <v/>
      </c>
      <c r="H444" s="14">
        <f>'Empleo Censo'!L444</f>
        <v/>
      </c>
      <c r="I444" s="14">
        <f>'Empleo Censo'!M444</f>
        <v/>
      </c>
      <c r="J444" s="14">
        <f>SUM('Empleo Censo'!N444:AA444)</f>
        <v/>
      </c>
      <c r="K444" s="14">
        <f>SUM(C444:J444)</f>
        <v/>
      </c>
      <c r="L444" s="15">
        <f>SUMPRODUCT(C444:J444,Factores!$B$3:$I$3)</f>
        <v/>
      </c>
      <c r="M444" s="16">
        <f>'Empleo Censo'!E444</f>
        <v/>
      </c>
      <c r="N444" s="17">
        <f>IF(M444&gt;0,L444,Factores!$B$7)</f>
        <v/>
      </c>
      <c r="O444">
        <f>IF(M444&gt;0,"OK","sin PEA -&gt; peor")</f>
        <v/>
      </c>
    </row>
    <row r="445">
      <c r="A445" t="inlineStr">
        <is>
          <t>150511</t>
        </is>
      </c>
      <c r="B445" t="inlineStr">
        <is>
          <t>PACARAN</t>
        </is>
      </c>
      <c r="C445" s="14">
        <f>'Empleo Censo'!G445-'Empleo Censo'!F445</f>
        <v/>
      </c>
      <c r="D445" s="14">
        <f>'Empleo Censo'!F445</f>
        <v/>
      </c>
      <c r="E445" s="14">
        <f>'Empleo Censo'!H445</f>
        <v/>
      </c>
      <c r="F445" s="14">
        <f>'Empleo Censo'!I445</f>
        <v/>
      </c>
      <c r="G445" s="14">
        <f>'Empleo Censo'!J445+'Empleo Censo'!K445</f>
        <v/>
      </c>
      <c r="H445" s="14">
        <f>'Empleo Censo'!L445</f>
        <v/>
      </c>
      <c r="I445" s="14">
        <f>'Empleo Censo'!M445</f>
        <v/>
      </c>
      <c r="J445" s="14">
        <f>SUM('Empleo Censo'!N445:AA445)</f>
        <v/>
      </c>
      <c r="K445" s="14">
        <f>SUM(C445:J445)</f>
        <v/>
      </c>
      <c r="L445" s="15">
        <f>SUMPRODUCT(C445:J445,Factores!$B$3:$I$3)</f>
        <v/>
      </c>
      <c r="M445" s="16">
        <f>'Empleo Censo'!E445</f>
        <v/>
      </c>
      <c r="N445" s="17">
        <f>IF(M445&gt;0,L445,Factores!$B$7)</f>
        <v/>
      </c>
      <c r="O445">
        <f>IF(M445&gt;0,"OK","sin PEA -&gt; peor")</f>
        <v/>
      </c>
    </row>
    <row r="446">
      <c r="A446" t="inlineStr">
        <is>
          <t>150512</t>
        </is>
      </c>
      <c r="B446" t="inlineStr">
        <is>
          <t>QUILMANA</t>
        </is>
      </c>
      <c r="C446" s="14">
        <f>'Empleo Censo'!G446-'Empleo Censo'!F446</f>
        <v/>
      </c>
      <c r="D446" s="14">
        <f>'Empleo Censo'!F446</f>
        <v/>
      </c>
      <c r="E446" s="14">
        <f>'Empleo Censo'!H446</f>
        <v/>
      </c>
      <c r="F446" s="14">
        <f>'Empleo Censo'!I446</f>
        <v/>
      </c>
      <c r="G446" s="14">
        <f>'Empleo Censo'!J446+'Empleo Censo'!K446</f>
        <v/>
      </c>
      <c r="H446" s="14">
        <f>'Empleo Censo'!L446</f>
        <v/>
      </c>
      <c r="I446" s="14">
        <f>'Empleo Censo'!M446</f>
        <v/>
      </c>
      <c r="J446" s="14">
        <f>SUM('Empleo Censo'!N446:AA446)</f>
        <v/>
      </c>
      <c r="K446" s="14">
        <f>SUM(C446:J446)</f>
        <v/>
      </c>
      <c r="L446" s="15">
        <f>SUMPRODUCT(C446:J446,Factores!$B$3:$I$3)</f>
        <v/>
      </c>
      <c r="M446" s="16">
        <f>'Empleo Censo'!E446</f>
        <v/>
      </c>
      <c r="N446" s="17">
        <f>IF(M446&gt;0,L446,Factores!$B$7)</f>
        <v/>
      </c>
      <c r="O446">
        <f>IF(M446&gt;0,"OK","sin PEA -&gt; peor")</f>
        <v/>
      </c>
    </row>
    <row r="447">
      <c r="A447" t="inlineStr">
        <is>
          <t>150513</t>
        </is>
      </c>
      <c r="B447" t="inlineStr">
        <is>
          <t>SAN ANTONIO</t>
        </is>
      </c>
      <c r="C447" s="14">
        <f>'Empleo Censo'!G447-'Empleo Censo'!F447</f>
        <v/>
      </c>
      <c r="D447" s="14">
        <f>'Empleo Censo'!F447</f>
        <v/>
      </c>
      <c r="E447" s="14">
        <f>'Empleo Censo'!H447</f>
        <v/>
      </c>
      <c r="F447" s="14">
        <f>'Empleo Censo'!I447</f>
        <v/>
      </c>
      <c r="G447" s="14">
        <f>'Empleo Censo'!J447+'Empleo Censo'!K447</f>
        <v/>
      </c>
      <c r="H447" s="14">
        <f>'Empleo Censo'!L447</f>
        <v/>
      </c>
      <c r="I447" s="14">
        <f>'Empleo Censo'!M447</f>
        <v/>
      </c>
      <c r="J447" s="14">
        <f>SUM('Empleo Censo'!N447:AA447)</f>
        <v/>
      </c>
      <c r="K447" s="14">
        <f>SUM(C447:J447)</f>
        <v/>
      </c>
      <c r="L447" s="15">
        <f>SUMPRODUCT(C447:J447,Factores!$B$3:$I$3)</f>
        <v/>
      </c>
      <c r="M447" s="16">
        <f>'Empleo Censo'!E447</f>
        <v/>
      </c>
      <c r="N447" s="17">
        <f>IF(M447&gt;0,L447,Factores!$B$7)</f>
        <v/>
      </c>
      <c r="O447">
        <f>IF(M447&gt;0,"OK","sin PEA -&gt; peor")</f>
        <v/>
      </c>
    </row>
    <row r="448">
      <c r="A448" t="inlineStr">
        <is>
          <t>150514</t>
        </is>
      </c>
      <c r="B448" t="inlineStr">
        <is>
          <t>SAN LUIS</t>
        </is>
      </c>
      <c r="C448" s="14">
        <f>'Empleo Censo'!G448-'Empleo Censo'!F448</f>
        <v/>
      </c>
      <c r="D448" s="14">
        <f>'Empleo Censo'!F448</f>
        <v/>
      </c>
      <c r="E448" s="14">
        <f>'Empleo Censo'!H448</f>
        <v/>
      </c>
      <c r="F448" s="14">
        <f>'Empleo Censo'!I448</f>
        <v/>
      </c>
      <c r="G448" s="14">
        <f>'Empleo Censo'!J448+'Empleo Censo'!K448</f>
        <v/>
      </c>
      <c r="H448" s="14">
        <f>'Empleo Censo'!L448</f>
        <v/>
      </c>
      <c r="I448" s="14">
        <f>'Empleo Censo'!M448</f>
        <v/>
      </c>
      <c r="J448" s="14">
        <f>SUM('Empleo Censo'!N448:AA448)</f>
        <v/>
      </c>
      <c r="K448" s="14">
        <f>SUM(C448:J448)</f>
        <v/>
      </c>
      <c r="L448" s="15">
        <f>SUMPRODUCT(C448:J448,Factores!$B$3:$I$3)</f>
        <v/>
      </c>
      <c r="M448" s="16">
        <f>'Empleo Censo'!E448</f>
        <v/>
      </c>
      <c r="N448" s="17">
        <f>IF(M448&gt;0,L448,Factores!$B$7)</f>
        <v/>
      </c>
      <c r="O448">
        <f>IF(M448&gt;0,"OK","sin PEA -&gt; peor")</f>
        <v/>
      </c>
    </row>
    <row r="449">
      <c r="A449" t="inlineStr">
        <is>
          <t>150515</t>
        </is>
      </c>
      <c r="B449" t="inlineStr">
        <is>
          <t>SANTA CRUZ DE FLORES</t>
        </is>
      </c>
      <c r="C449" s="14">
        <f>'Empleo Censo'!G449-'Empleo Censo'!F449</f>
        <v/>
      </c>
      <c r="D449" s="14">
        <f>'Empleo Censo'!F449</f>
        <v/>
      </c>
      <c r="E449" s="14">
        <f>'Empleo Censo'!H449</f>
        <v/>
      </c>
      <c r="F449" s="14">
        <f>'Empleo Censo'!I449</f>
        <v/>
      </c>
      <c r="G449" s="14">
        <f>'Empleo Censo'!J449+'Empleo Censo'!K449</f>
        <v/>
      </c>
      <c r="H449" s="14">
        <f>'Empleo Censo'!L449</f>
        <v/>
      </c>
      <c r="I449" s="14">
        <f>'Empleo Censo'!M449</f>
        <v/>
      </c>
      <c r="J449" s="14">
        <f>SUM('Empleo Censo'!N449:AA449)</f>
        <v/>
      </c>
      <c r="K449" s="14">
        <f>SUM(C449:J449)</f>
        <v/>
      </c>
      <c r="L449" s="15">
        <f>SUMPRODUCT(C449:J449,Factores!$B$3:$I$3)</f>
        <v/>
      </c>
      <c r="M449" s="16">
        <f>'Empleo Censo'!E449</f>
        <v/>
      </c>
      <c r="N449" s="17">
        <f>IF(M449&gt;0,L449,Factores!$B$7)</f>
        <v/>
      </c>
      <c r="O449">
        <f>IF(M449&gt;0,"OK","sin PEA -&gt; peor")</f>
        <v/>
      </c>
    </row>
    <row r="450">
      <c r="A450" t="inlineStr">
        <is>
          <t>150516</t>
        </is>
      </c>
      <c r="B450" t="inlineStr">
        <is>
          <t>ZUÑIGA</t>
        </is>
      </c>
      <c r="C450" s="14">
        <f>'Empleo Censo'!G450-'Empleo Censo'!F450</f>
        <v/>
      </c>
      <c r="D450" s="14">
        <f>'Empleo Censo'!F450</f>
        <v/>
      </c>
      <c r="E450" s="14">
        <f>'Empleo Censo'!H450</f>
        <v/>
      </c>
      <c r="F450" s="14">
        <f>'Empleo Censo'!I450</f>
        <v/>
      </c>
      <c r="G450" s="14">
        <f>'Empleo Censo'!J450+'Empleo Censo'!K450</f>
        <v/>
      </c>
      <c r="H450" s="14">
        <f>'Empleo Censo'!L450</f>
        <v/>
      </c>
      <c r="I450" s="14">
        <f>'Empleo Censo'!M450</f>
        <v/>
      </c>
      <c r="J450" s="14">
        <f>SUM('Empleo Censo'!N450:AA450)</f>
        <v/>
      </c>
      <c r="K450" s="14">
        <f>SUM(C450:J450)</f>
        <v/>
      </c>
      <c r="L450" s="15">
        <f>SUMPRODUCT(C450:J450,Factores!$B$3:$I$3)</f>
        <v/>
      </c>
      <c r="M450" s="16">
        <f>'Empleo Censo'!E450</f>
        <v/>
      </c>
      <c r="N450" s="17">
        <f>IF(M450&gt;0,L450,Factores!$B$7)</f>
        <v/>
      </c>
      <c r="O450">
        <f>IF(M450&gt;0,"OK","sin PEA -&gt; peor")</f>
        <v/>
      </c>
    </row>
    <row r="451">
      <c r="A451" t="inlineStr">
        <is>
          <t>150601</t>
        </is>
      </c>
      <c r="B451" t="inlineStr">
        <is>
          <t>HUARAL</t>
        </is>
      </c>
      <c r="C451" s="14">
        <f>'Empleo Censo'!G451-'Empleo Censo'!F451</f>
        <v/>
      </c>
      <c r="D451" s="14">
        <f>'Empleo Censo'!F451</f>
        <v/>
      </c>
      <c r="E451" s="14">
        <f>'Empleo Censo'!H451</f>
        <v/>
      </c>
      <c r="F451" s="14">
        <f>'Empleo Censo'!I451</f>
        <v/>
      </c>
      <c r="G451" s="14">
        <f>'Empleo Censo'!J451+'Empleo Censo'!K451</f>
        <v/>
      </c>
      <c r="H451" s="14">
        <f>'Empleo Censo'!L451</f>
        <v/>
      </c>
      <c r="I451" s="14">
        <f>'Empleo Censo'!M451</f>
        <v/>
      </c>
      <c r="J451" s="14">
        <f>SUM('Empleo Censo'!N451:AA451)</f>
        <v/>
      </c>
      <c r="K451" s="14">
        <f>SUM(C451:J451)</f>
        <v/>
      </c>
      <c r="L451" s="15">
        <f>SUMPRODUCT(C451:J451,Factores!$B$3:$I$3)</f>
        <v/>
      </c>
      <c r="M451" s="16">
        <f>'Empleo Censo'!E451</f>
        <v/>
      </c>
      <c r="N451" s="17">
        <f>IF(M451&gt;0,L451,Factores!$B$7)</f>
        <v/>
      </c>
      <c r="O451">
        <f>IF(M451&gt;0,"OK","sin PEA -&gt; peor")</f>
        <v/>
      </c>
    </row>
    <row r="452">
      <c r="A452" t="inlineStr">
        <is>
          <t>150602</t>
        </is>
      </c>
      <c r="B452" t="inlineStr">
        <is>
          <t>ATAVILLOS ALTO</t>
        </is>
      </c>
      <c r="C452" s="14">
        <f>'Empleo Censo'!G452-'Empleo Censo'!F452</f>
        <v/>
      </c>
      <c r="D452" s="14">
        <f>'Empleo Censo'!F452</f>
        <v/>
      </c>
      <c r="E452" s="14">
        <f>'Empleo Censo'!H452</f>
        <v/>
      </c>
      <c r="F452" s="14">
        <f>'Empleo Censo'!I452</f>
        <v/>
      </c>
      <c r="G452" s="14">
        <f>'Empleo Censo'!J452+'Empleo Censo'!K452</f>
        <v/>
      </c>
      <c r="H452" s="14">
        <f>'Empleo Censo'!L452</f>
        <v/>
      </c>
      <c r="I452" s="14">
        <f>'Empleo Censo'!M452</f>
        <v/>
      </c>
      <c r="J452" s="14">
        <f>SUM('Empleo Censo'!N452:AA452)</f>
        <v/>
      </c>
      <c r="K452" s="14">
        <f>SUM(C452:J452)</f>
        <v/>
      </c>
      <c r="L452" s="15">
        <f>SUMPRODUCT(C452:J452,Factores!$B$3:$I$3)</f>
        <v/>
      </c>
      <c r="M452" s="16">
        <f>'Empleo Censo'!E452</f>
        <v/>
      </c>
      <c r="N452" s="17">
        <f>IF(M452&gt;0,L452,Factores!$B$7)</f>
        <v/>
      </c>
      <c r="O452">
        <f>IF(M452&gt;0,"OK","sin PEA -&gt; peor")</f>
        <v/>
      </c>
    </row>
    <row r="453">
      <c r="A453" t="inlineStr">
        <is>
          <t>150603</t>
        </is>
      </c>
      <c r="B453" t="inlineStr">
        <is>
          <t>ATAVILLOS BAJO</t>
        </is>
      </c>
      <c r="C453" s="14">
        <f>'Empleo Censo'!G453-'Empleo Censo'!F453</f>
        <v/>
      </c>
      <c r="D453" s="14">
        <f>'Empleo Censo'!F453</f>
        <v/>
      </c>
      <c r="E453" s="14">
        <f>'Empleo Censo'!H453</f>
        <v/>
      </c>
      <c r="F453" s="14">
        <f>'Empleo Censo'!I453</f>
        <v/>
      </c>
      <c r="G453" s="14">
        <f>'Empleo Censo'!J453+'Empleo Censo'!K453</f>
        <v/>
      </c>
      <c r="H453" s="14">
        <f>'Empleo Censo'!L453</f>
        <v/>
      </c>
      <c r="I453" s="14">
        <f>'Empleo Censo'!M453</f>
        <v/>
      </c>
      <c r="J453" s="14">
        <f>SUM('Empleo Censo'!N453:AA453)</f>
        <v/>
      </c>
      <c r="K453" s="14">
        <f>SUM(C453:J453)</f>
        <v/>
      </c>
      <c r="L453" s="15">
        <f>SUMPRODUCT(C453:J453,Factores!$B$3:$I$3)</f>
        <v/>
      </c>
      <c r="M453" s="16">
        <f>'Empleo Censo'!E453</f>
        <v/>
      </c>
      <c r="N453" s="17">
        <f>IF(M453&gt;0,L453,Factores!$B$7)</f>
        <v/>
      </c>
      <c r="O453">
        <f>IF(M453&gt;0,"OK","sin PEA -&gt; peor")</f>
        <v/>
      </c>
    </row>
    <row r="454">
      <c r="A454" t="inlineStr">
        <is>
          <t>150604</t>
        </is>
      </c>
      <c r="B454" t="inlineStr">
        <is>
          <t>AUCALLAMA</t>
        </is>
      </c>
      <c r="C454" s="14">
        <f>'Empleo Censo'!G454-'Empleo Censo'!F454</f>
        <v/>
      </c>
      <c r="D454" s="14">
        <f>'Empleo Censo'!F454</f>
        <v/>
      </c>
      <c r="E454" s="14">
        <f>'Empleo Censo'!H454</f>
        <v/>
      </c>
      <c r="F454" s="14">
        <f>'Empleo Censo'!I454</f>
        <v/>
      </c>
      <c r="G454" s="14">
        <f>'Empleo Censo'!J454+'Empleo Censo'!K454</f>
        <v/>
      </c>
      <c r="H454" s="14">
        <f>'Empleo Censo'!L454</f>
        <v/>
      </c>
      <c r="I454" s="14">
        <f>'Empleo Censo'!M454</f>
        <v/>
      </c>
      <c r="J454" s="14">
        <f>SUM('Empleo Censo'!N454:AA454)</f>
        <v/>
      </c>
      <c r="K454" s="14">
        <f>SUM(C454:J454)</f>
        <v/>
      </c>
      <c r="L454" s="15">
        <f>SUMPRODUCT(C454:J454,Factores!$B$3:$I$3)</f>
        <v/>
      </c>
      <c r="M454" s="16">
        <f>'Empleo Censo'!E454</f>
        <v/>
      </c>
      <c r="N454" s="17">
        <f>IF(M454&gt;0,L454,Factores!$B$7)</f>
        <v/>
      </c>
      <c r="O454">
        <f>IF(M454&gt;0,"OK","sin PEA -&gt; peor")</f>
        <v/>
      </c>
    </row>
    <row r="455">
      <c r="A455" t="inlineStr">
        <is>
          <t>150605</t>
        </is>
      </c>
      <c r="B455" t="inlineStr">
        <is>
          <t>CHANCAY</t>
        </is>
      </c>
      <c r="C455" s="14">
        <f>'Empleo Censo'!G455-'Empleo Censo'!F455</f>
        <v/>
      </c>
      <c r="D455" s="14">
        <f>'Empleo Censo'!F455</f>
        <v/>
      </c>
      <c r="E455" s="14">
        <f>'Empleo Censo'!H455</f>
        <v/>
      </c>
      <c r="F455" s="14">
        <f>'Empleo Censo'!I455</f>
        <v/>
      </c>
      <c r="G455" s="14">
        <f>'Empleo Censo'!J455+'Empleo Censo'!K455</f>
        <v/>
      </c>
      <c r="H455" s="14">
        <f>'Empleo Censo'!L455</f>
        <v/>
      </c>
      <c r="I455" s="14">
        <f>'Empleo Censo'!M455</f>
        <v/>
      </c>
      <c r="J455" s="14">
        <f>SUM('Empleo Censo'!N455:AA455)</f>
        <v/>
      </c>
      <c r="K455" s="14">
        <f>SUM(C455:J455)</f>
        <v/>
      </c>
      <c r="L455" s="15">
        <f>SUMPRODUCT(C455:J455,Factores!$B$3:$I$3)</f>
        <v/>
      </c>
      <c r="M455" s="16">
        <f>'Empleo Censo'!E455</f>
        <v/>
      </c>
      <c r="N455" s="17">
        <f>IF(M455&gt;0,L455,Factores!$B$7)</f>
        <v/>
      </c>
      <c r="O455">
        <f>IF(M455&gt;0,"OK","sin PEA -&gt; peor")</f>
        <v/>
      </c>
    </row>
    <row r="456">
      <c r="A456" t="inlineStr">
        <is>
          <t>150606</t>
        </is>
      </c>
      <c r="B456" t="inlineStr">
        <is>
          <t>IHUARI</t>
        </is>
      </c>
      <c r="C456" s="14">
        <f>'Empleo Censo'!G456-'Empleo Censo'!F456</f>
        <v/>
      </c>
      <c r="D456" s="14">
        <f>'Empleo Censo'!F456</f>
        <v/>
      </c>
      <c r="E456" s="14">
        <f>'Empleo Censo'!H456</f>
        <v/>
      </c>
      <c r="F456" s="14">
        <f>'Empleo Censo'!I456</f>
        <v/>
      </c>
      <c r="G456" s="14">
        <f>'Empleo Censo'!J456+'Empleo Censo'!K456</f>
        <v/>
      </c>
      <c r="H456" s="14">
        <f>'Empleo Censo'!L456</f>
        <v/>
      </c>
      <c r="I456" s="14">
        <f>'Empleo Censo'!M456</f>
        <v/>
      </c>
      <c r="J456" s="14">
        <f>SUM('Empleo Censo'!N456:AA456)</f>
        <v/>
      </c>
      <c r="K456" s="14">
        <f>SUM(C456:J456)</f>
        <v/>
      </c>
      <c r="L456" s="15">
        <f>SUMPRODUCT(C456:J456,Factores!$B$3:$I$3)</f>
        <v/>
      </c>
      <c r="M456" s="16">
        <f>'Empleo Censo'!E456</f>
        <v/>
      </c>
      <c r="N456" s="17">
        <f>IF(M456&gt;0,L456,Factores!$B$7)</f>
        <v/>
      </c>
      <c r="O456">
        <f>IF(M456&gt;0,"OK","sin PEA -&gt; peor")</f>
        <v/>
      </c>
    </row>
    <row r="457">
      <c r="A457" t="inlineStr">
        <is>
          <t>150607</t>
        </is>
      </c>
      <c r="B457" t="inlineStr">
        <is>
          <t>LAMPIAN</t>
        </is>
      </c>
      <c r="C457" s="14">
        <f>'Empleo Censo'!G457-'Empleo Censo'!F457</f>
        <v/>
      </c>
      <c r="D457" s="14">
        <f>'Empleo Censo'!F457</f>
        <v/>
      </c>
      <c r="E457" s="14">
        <f>'Empleo Censo'!H457</f>
        <v/>
      </c>
      <c r="F457" s="14">
        <f>'Empleo Censo'!I457</f>
        <v/>
      </c>
      <c r="G457" s="14">
        <f>'Empleo Censo'!J457+'Empleo Censo'!K457</f>
        <v/>
      </c>
      <c r="H457" s="14">
        <f>'Empleo Censo'!L457</f>
        <v/>
      </c>
      <c r="I457" s="14">
        <f>'Empleo Censo'!M457</f>
        <v/>
      </c>
      <c r="J457" s="14">
        <f>SUM('Empleo Censo'!N457:AA457)</f>
        <v/>
      </c>
      <c r="K457" s="14">
        <f>SUM(C457:J457)</f>
        <v/>
      </c>
      <c r="L457" s="15">
        <f>SUMPRODUCT(C457:J457,Factores!$B$3:$I$3)</f>
        <v/>
      </c>
      <c r="M457" s="16">
        <f>'Empleo Censo'!E457</f>
        <v/>
      </c>
      <c r="N457" s="17">
        <f>IF(M457&gt;0,L457,Factores!$B$7)</f>
        <v/>
      </c>
      <c r="O457">
        <f>IF(M457&gt;0,"OK","sin PEA -&gt; peor")</f>
        <v/>
      </c>
    </row>
    <row r="458">
      <c r="A458" t="inlineStr">
        <is>
          <t>150608</t>
        </is>
      </c>
      <c r="B458" t="inlineStr">
        <is>
          <t>PACARAOS</t>
        </is>
      </c>
      <c r="C458" s="14">
        <f>'Empleo Censo'!G458-'Empleo Censo'!F458</f>
        <v/>
      </c>
      <c r="D458" s="14">
        <f>'Empleo Censo'!F458</f>
        <v/>
      </c>
      <c r="E458" s="14">
        <f>'Empleo Censo'!H458</f>
        <v/>
      </c>
      <c r="F458" s="14">
        <f>'Empleo Censo'!I458</f>
        <v/>
      </c>
      <c r="G458" s="14">
        <f>'Empleo Censo'!J458+'Empleo Censo'!K458</f>
        <v/>
      </c>
      <c r="H458" s="14">
        <f>'Empleo Censo'!L458</f>
        <v/>
      </c>
      <c r="I458" s="14">
        <f>'Empleo Censo'!M458</f>
        <v/>
      </c>
      <c r="J458" s="14">
        <f>SUM('Empleo Censo'!N458:AA458)</f>
        <v/>
      </c>
      <c r="K458" s="14">
        <f>SUM(C458:J458)</f>
        <v/>
      </c>
      <c r="L458" s="15">
        <f>SUMPRODUCT(C458:J458,Factores!$B$3:$I$3)</f>
        <v/>
      </c>
      <c r="M458" s="16">
        <f>'Empleo Censo'!E458</f>
        <v/>
      </c>
      <c r="N458" s="17">
        <f>IF(M458&gt;0,L458,Factores!$B$7)</f>
        <v/>
      </c>
      <c r="O458">
        <f>IF(M458&gt;0,"OK","sin PEA -&gt; peor")</f>
        <v/>
      </c>
    </row>
    <row r="459">
      <c r="A459" t="inlineStr">
        <is>
          <t>150609</t>
        </is>
      </c>
      <c r="B459" t="inlineStr">
        <is>
          <t>SAN MIGUEL DE ACOS</t>
        </is>
      </c>
      <c r="C459" s="14">
        <f>'Empleo Censo'!G459-'Empleo Censo'!F459</f>
        <v/>
      </c>
      <c r="D459" s="14">
        <f>'Empleo Censo'!F459</f>
        <v/>
      </c>
      <c r="E459" s="14">
        <f>'Empleo Censo'!H459</f>
        <v/>
      </c>
      <c r="F459" s="14">
        <f>'Empleo Censo'!I459</f>
        <v/>
      </c>
      <c r="G459" s="14">
        <f>'Empleo Censo'!J459+'Empleo Censo'!K459</f>
        <v/>
      </c>
      <c r="H459" s="14">
        <f>'Empleo Censo'!L459</f>
        <v/>
      </c>
      <c r="I459" s="14">
        <f>'Empleo Censo'!M459</f>
        <v/>
      </c>
      <c r="J459" s="14">
        <f>SUM('Empleo Censo'!N459:AA459)</f>
        <v/>
      </c>
      <c r="K459" s="14">
        <f>SUM(C459:J459)</f>
        <v/>
      </c>
      <c r="L459" s="15">
        <f>SUMPRODUCT(C459:J459,Factores!$B$3:$I$3)</f>
        <v/>
      </c>
      <c r="M459" s="16">
        <f>'Empleo Censo'!E459</f>
        <v/>
      </c>
      <c r="N459" s="17">
        <f>IF(M459&gt;0,L459,Factores!$B$7)</f>
        <v/>
      </c>
      <c r="O459">
        <f>IF(M459&gt;0,"OK","sin PEA -&gt; peor")</f>
        <v/>
      </c>
    </row>
    <row r="460">
      <c r="A460" t="inlineStr">
        <is>
          <t>150610</t>
        </is>
      </c>
      <c r="B460" t="inlineStr">
        <is>
          <t>SANTA CRUZ DE ANDAMARCA</t>
        </is>
      </c>
      <c r="C460" s="14">
        <f>'Empleo Censo'!G460-'Empleo Censo'!F460</f>
        <v/>
      </c>
      <c r="D460" s="14">
        <f>'Empleo Censo'!F460</f>
        <v/>
      </c>
      <c r="E460" s="14">
        <f>'Empleo Censo'!H460</f>
        <v/>
      </c>
      <c r="F460" s="14">
        <f>'Empleo Censo'!I460</f>
        <v/>
      </c>
      <c r="G460" s="14">
        <f>'Empleo Censo'!J460+'Empleo Censo'!K460</f>
        <v/>
      </c>
      <c r="H460" s="14">
        <f>'Empleo Censo'!L460</f>
        <v/>
      </c>
      <c r="I460" s="14">
        <f>'Empleo Censo'!M460</f>
        <v/>
      </c>
      <c r="J460" s="14">
        <f>SUM('Empleo Censo'!N460:AA460)</f>
        <v/>
      </c>
      <c r="K460" s="14">
        <f>SUM(C460:J460)</f>
        <v/>
      </c>
      <c r="L460" s="15">
        <f>SUMPRODUCT(C460:J460,Factores!$B$3:$I$3)</f>
        <v/>
      </c>
      <c r="M460" s="16">
        <f>'Empleo Censo'!E460</f>
        <v/>
      </c>
      <c r="N460" s="17">
        <f>IF(M460&gt;0,L460,Factores!$B$7)</f>
        <v/>
      </c>
      <c r="O460">
        <f>IF(M460&gt;0,"OK","sin PEA -&gt; peor")</f>
        <v/>
      </c>
    </row>
    <row r="461">
      <c r="A461" t="inlineStr">
        <is>
          <t>150611</t>
        </is>
      </c>
      <c r="B461" t="inlineStr">
        <is>
          <t>SUMBILCA</t>
        </is>
      </c>
      <c r="C461" s="14">
        <f>'Empleo Censo'!G461-'Empleo Censo'!F461</f>
        <v/>
      </c>
      <c r="D461" s="14">
        <f>'Empleo Censo'!F461</f>
        <v/>
      </c>
      <c r="E461" s="14">
        <f>'Empleo Censo'!H461</f>
        <v/>
      </c>
      <c r="F461" s="14">
        <f>'Empleo Censo'!I461</f>
        <v/>
      </c>
      <c r="G461" s="14">
        <f>'Empleo Censo'!J461+'Empleo Censo'!K461</f>
        <v/>
      </c>
      <c r="H461" s="14">
        <f>'Empleo Censo'!L461</f>
        <v/>
      </c>
      <c r="I461" s="14">
        <f>'Empleo Censo'!M461</f>
        <v/>
      </c>
      <c r="J461" s="14">
        <f>SUM('Empleo Censo'!N461:AA461)</f>
        <v/>
      </c>
      <c r="K461" s="14">
        <f>SUM(C461:J461)</f>
        <v/>
      </c>
      <c r="L461" s="15">
        <f>SUMPRODUCT(C461:J461,Factores!$B$3:$I$3)</f>
        <v/>
      </c>
      <c r="M461" s="16">
        <f>'Empleo Censo'!E461</f>
        <v/>
      </c>
      <c r="N461" s="17">
        <f>IF(M461&gt;0,L461,Factores!$B$7)</f>
        <v/>
      </c>
      <c r="O461">
        <f>IF(M461&gt;0,"OK","sin PEA -&gt; peor")</f>
        <v/>
      </c>
    </row>
    <row r="462">
      <c r="A462" t="inlineStr">
        <is>
          <t>150612</t>
        </is>
      </c>
      <c r="B462" t="inlineStr">
        <is>
          <t>VEINTISIETE DE NOVIEMBRE</t>
        </is>
      </c>
      <c r="C462" s="14">
        <f>'Empleo Censo'!G462-'Empleo Censo'!F462</f>
        <v/>
      </c>
      <c r="D462" s="14">
        <f>'Empleo Censo'!F462</f>
        <v/>
      </c>
      <c r="E462" s="14">
        <f>'Empleo Censo'!H462</f>
        <v/>
      </c>
      <c r="F462" s="14">
        <f>'Empleo Censo'!I462</f>
        <v/>
      </c>
      <c r="G462" s="14">
        <f>'Empleo Censo'!J462+'Empleo Censo'!K462</f>
        <v/>
      </c>
      <c r="H462" s="14">
        <f>'Empleo Censo'!L462</f>
        <v/>
      </c>
      <c r="I462" s="14">
        <f>'Empleo Censo'!M462</f>
        <v/>
      </c>
      <c r="J462" s="14">
        <f>SUM('Empleo Censo'!N462:AA462)</f>
        <v/>
      </c>
      <c r="K462" s="14">
        <f>SUM(C462:J462)</f>
        <v/>
      </c>
      <c r="L462" s="15">
        <f>SUMPRODUCT(C462:J462,Factores!$B$3:$I$3)</f>
        <v/>
      </c>
      <c r="M462" s="16">
        <f>'Empleo Censo'!E462</f>
        <v/>
      </c>
      <c r="N462" s="17">
        <f>IF(M462&gt;0,L462,Factores!$B$7)</f>
        <v/>
      </c>
      <c r="O462">
        <f>IF(M462&gt;0,"OK","sin PEA -&gt; peor")</f>
        <v/>
      </c>
    </row>
    <row r="463">
      <c r="A463" t="inlineStr">
        <is>
          <t>150701</t>
        </is>
      </c>
      <c r="B463" t="inlineStr">
        <is>
          <t>MATUCANA</t>
        </is>
      </c>
      <c r="C463" s="14">
        <f>'Empleo Censo'!G463-'Empleo Censo'!F463</f>
        <v/>
      </c>
      <c r="D463" s="14">
        <f>'Empleo Censo'!F463</f>
        <v/>
      </c>
      <c r="E463" s="14">
        <f>'Empleo Censo'!H463</f>
        <v/>
      </c>
      <c r="F463" s="14">
        <f>'Empleo Censo'!I463</f>
        <v/>
      </c>
      <c r="G463" s="14">
        <f>'Empleo Censo'!J463+'Empleo Censo'!K463</f>
        <v/>
      </c>
      <c r="H463" s="14">
        <f>'Empleo Censo'!L463</f>
        <v/>
      </c>
      <c r="I463" s="14">
        <f>'Empleo Censo'!M463</f>
        <v/>
      </c>
      <c r="J463" s="14">
        <f>SUM('Empleo Censo'!N463:AA463)</f>
        <v/>
      </c>
      <c r="K463" s="14">
        <f>SUM(C463:J463)</f>
        <v/>
      </c>
      <c r="L463" s="15">
        <f>SUMPRODUCT(C463:J463,Factores!$B$3:$I$3)</f>
        <v/>
      </c>
      <c r="M463" s="16">
        <f>'Empleo Censo'!E463</f>
        <v/>
      </c>
      <c r="N463" s="17">
        <f>IF(M463&gt;0,L463,Factores!$B$7)</f>
        <v/>
      </c>
      <c r="O463">
        <f>IF(M463&gt;0,"OK","sin PEA -&gt; peor")</f>
        <v/>
      </c>
    </row>
    <row r="464">
      <c r="A464" t="inlineStr">
        <is>
          <t>150702</t>
        </is>
      </c>
      <c r="B464" t="inlineStr">
        <is>
          <t>ANTIOQUIA</t>
        </is>
      </c>
      <c r="C464" s="14">
        <f>'Empleo Censo'!G464-'Empleo Censo'!F464</f>
        <v/>
      </c>
      <c r="D464" s="14">
        <f>'Empleo Censo'!F464</f>
        <v/>
      </c>
      <c r="E464" s="14">
        <f>'Empleo Censo'!H464</f>
        <v/>
      </c>
      <c r="F464" s="14">
        <f>'Empleo Censo'!I464</f>
        <v/>
      </c>
      <c r="G464" s="14">
        <f>'Empleo Censo'!J464+'Empleo Censo'!K464</f>
        <v/>
      </c>
      <c r="H464" s="14">
        <f>'Empleo Censo'!L464</f>
        <v/>
      </c>
      <c r="I464" s="14">
        <f>'Empleo Censo'!M464</f>
        <v/>
      </c>
      <c r="J464" s="14">
        <f>SUM('Empleo Censo'!N464:AA464)</f>
        <v/>
      </c>
      <c r="K464" s="14">
        <f>SUM(C464:J464)</f>
        <v/>
      </c>
      <c r="L464" s="15">
        <f>SUMPRODUCT(C464:J464,Factores!$B$3:$I$3)</f>
        <v/>
      </c>
      <c r="M464" s="16">
        <f>'Empleo Censo'!E464</f>
        <v/>
      </c>
      <c r="N464" s="17">
        <f>IF(M464&gt;0,L464,Factores!$B$7)</f>
        <v/>
      </c>
      <c r="O464">
        <f>IF(M464&gt;0,"OK","sin PEA -&gt; peor")</f>
        <v/>
      </c>
    </row>
    <row r="465">
      <c r="A465" t="inlineStr">
        <is>
          <t>150703</t>
        </is>
      </c>
      <c r="B465" t="inlineStr">
        <is>
          <t>CALLAHUANCA</t>
        </is>
      </c>
      <c r="C465" s="14">
        <f>'Empleo Censo'!G465-'Empleo Censo'!F465</f>
        <v/>
      </c>
      <c r="D465" s="14">
        <f>'Empleo Censo'!F465</f>
        <v/>
      </c>
      <c r="E465" s="14">
        <f>'Empleo Censo'!H465</f>
        <v/>
      </c>
      <c r="F465" s="14">
        <f>'Empleo Censo'!I465</f>
        <v/>
      </c>
      <c r="G465" s="14">
        <f>'Empleo Censo'!J465+'Empleo Censo'!K465</f>
        <v/>
      </c>
      <c r="H465" s="14">
        <f>'Empleo Censo'!L465</f>
        <v/>
      </c>
      <c r="I465" s="14">
        <f>'Empleo Censo'!M465</f>
        <v/>
      </c>
      <c r="J465" s="14">
        <f>SUM('Empleo Censo'!N465:AA465)</f>
        <v/>
      </c>
      <c r="K465" s="14">
        <f>SUM(C465:J465)</f>
        <v/>
      </c>
      <c r="L465" s="15">
        <f>SUMPRODUCT(C465:J465,Factores!$B$3:$I$3)</f>
        <v/>
      </c>
      <c r="M465" s="16">
        <f>'Empleo Censo'!E465</f>
        <v/>
      </c>
      <c r="N465" s="17">
        <f>IF(M465&gt;0,L465,Factores!$B$7)</f>
        <v/>
      </c>
      <c r="O465">
        <f>IF(M465&gt;0,"OK","sin PEA -&gt; peor")</f>
        <v/>
      </c>
    </row>
    <row r="466">
      <c r="A466" t="inlineStr">
        <is>
          <t>150704</t>
        </is>
      </c>
      <c r="B466" t="inlineStr">
        <is>
          <t>CARAMPOMA</t>
        </is>
      </c>
      <c r="C466" s="14">
        <f>'Empleo Censo'!G466-'Empleo Censo'!F466</f>
        <v/>
      </c>
      <c r="D466" s="14">
        <f>'Empleo Censo'!F466</f>
        <v/>
      </c>
      <c r="E466" s="14">
        <f>'Empleo Censo'!H466</f>
        <v/>
      </c>
      <c r="F466" s="14">
        <f>'Empleo Censo'!I466</f>
        <v/>
      </c>
      <c r="G466" s="14">
        <f>'Empleo Censo'!J466+'Empleo Censo'!K466</f>
        <v/>
      </c>
      <c r="H466" s="14">
        <f>'Empleo Censo'!L466</f>
        <v/>
      </c>
      <c r="I466" s="14">
        <f>'Empleo Censo'!M466</f>
        <v/>
      </c>
      <c r="J466" s="14">
        <f>SUM('Empleo Censo'!N466:AA466)</f>
        <v/>
      </c>
      <c r="K466" s="14">
        <f>SUM(C466:J466)</f>
        <v/>
      </c>
      <c r="L466" s="15">
        <f>SUMPRODUCT(C466:J466,Factores!$B$3:$I$3)</f>
        <v/>
      </c>
      <c r="M466" s="16">
        <f>'Empleo Censo'!E466</f>
        <v/>
      </c>
      <c r="N466" s="17">
        <f>IF(M466&gt;0,L466,Factores!$B$7)</f>
        <v/>
      </c>
      <c r="O466">
        <f>IF(M466&gt;0,"OK","sin PEA -&gt; peor")</f>
        <v/>
      </c>
    </row>
    <row r="467">
      <c r="A467" t="inlineStr">
        <is>
          <t>150705</t>
        </is>
      </c>
      <c r="B467" t="inlineStr">
        <is>
          <t>CHICLA</t>
        </is>
      </c>
      <c r="C467" s="14">
        <f>'Empleo Censo'!G467-'Empleo Censo'!F467</f>
        <v/>
      </c>
      <c r="D467" s="14">
        <f>'Empleo Censo'!F467</f>
        <v/>
      </c>
      <c r="E467" s="14">
        <f>'Empleo Censo'!H467</f>
        <v/>
      </c>
      <c r="F467" s="14">
        <f>'Empleo Censo'!I467</f>
        <v/>
      </c>
      <c r="G467" s="14">
        <f>'Empleo Censo'!J467+'Empleo Censo'!K467</f>
        <v/>
      </c>
      <c r="H467" s="14">
        <f>'Empleo Censo'!L467</f>
        <v/>
      </c>
      <c r="I467" s="14">
        <f>'Empleo Censo'!M467</f>
        <v/>
      </c>
      <c r="J467" s="14">
        <f>SUM('Empleo Censo'!N467:AA467)</f>
        <v/>
      </c>
      <c r="K467" s="14">
        <f>SUM(C467:J467)</f>
        <v/>
      </c>
      <c r="L467" s="15">
        <f>SUMPRODUCT(C467:J467,Factores!$B$3:$I$3)</f>
        <v/>
      </c>
      <c r="M467" s="16">
        <f>'Empleo Censo'!E467</f>
        <v/>
      </c>
      <c r="N467" s="17">
        <f>IF(M467&gt;0,L467,Factores!$B$7)</f>
        <v/>
      </c>
      <c r="O467">
        <f>IF(M467&gt;0,"OK","sin PEA -&gt; peor")</f>
        <v/>
      </c>
    </row>
    <row r="468">
      <c r="A468" t="inlineStr">
        <is>
          <t>150706</t>
        </is>
      </c>
      <c r="B468" t="inlineStr">
        <is>
          <t>CUENCA</t>
        </is>
      </c>
      <c r="C468" s="14">
        <f>'Empleo Censo'!G468-'Empleo Censo'!F468</f>
        <v/>
      </c>
      <c r="D468" s="14">
        <f>'Empleo Censo'!F468</f>
        <v/>
      </c>
      <c r="E468" s="14">
        <f>'Empleo Censo'!H468</f>
        <v/>
      </c>
      <c r="F468" s="14">
        <f>'Empleo Censo'!I468</f>
        <v/>
      </c>
      <c r="G468" s="14">
        <f>'Empleo Censo'!J468+'Empleo Censo'!K468</f>
        <v/>
      </c>
      <c r="H468" s="14">
        <f>'Empleo Censo'!L468</f>
        <v/>
      </c>
      <c r="I468" s="14">
        <f>'Empleo Censo'!M468</f>
        <v/>
      </c>
      <c r="J468" s="14">
        <f>SUM('Empleo Censo'!N468:AA468)</f>
        <v/>
      </c>
      <c r="K468" s="14">
        <f>SUM(C468:J468)</f>
        <v/>
      </c>
      <c r="L468" s="15">
        <f>SUMPRODUCT(C468:J468,Factores!$B$3:$I$3)</f>
        <v/>
      </c>
      <c r="M468" s="16">
        <f>'Empleo Censo'!E468</f>
        <v/>
      </c>
      <c r="N468" s="17">
        <f>IF(M468&gt;0,L468,Factores!$B$7)</f>
        <v/>
      </c>
      <c r="O468">
        <f>IF(M468&gt;0,"OK","sin PEA -&gt; peor")</f>
        <v/>
      </c>
    </row>
    <row r="469">
      <c r="A469" t="inlineStr">
        <is>
          <t>150707</t>
        </is>
      </c>
      <c r="B469" t="inlineStr">
        <is>
          <t>HUACHUPAMPA</t>
        </is>
      </c>
      <c r="C469" s="14">
        <f>'Empleo Censo'!G469-'Empleo Censo'!F469</f>
        <v/>
      </c>
      <c r="D469" s="14">
        <f>'Empleo Censo'!F469</f>
        <v/>
      </c>
      <c r="E469" s="14">
        <f>'Empleo Censo'!H469</f>
        <v/>
      </c>
      <c r="F469" s="14">
        <f>'Empleo Censo'!I469</f>
        <v/>
      </c>
      <c r="G469" s="14">
        <f>'Empleo Censo'!J469+'Empleo Censo'!K469</f>
        <v/>
      </c>
      <c r="H469" s="14">
        <f>'Empleo Censo'!L469</f>
        <v/>
      </c>
      <c r="I469" s="14">
        <f>'Empleo Censo'!M469</f>
        <v/>
      </c>
      <c r="J469" s="14">
        <f>SUM('Empleo Censo'!N469:AA469)</f>
        <v/>
      </c>
      <c r="K469" s="14">
        <f>SUM(C469:J469)</f>
        <v/>
      </c>
      <c r="L469" s="15">
        <f>SUMPRODUCT(C469:J469,Factores!$B$3:$I$3)</f>
        <v/>
      </c>
      <c r="M469" s="16">
        <f>'Empleo Censo'!E469</f>
        <v/>
      </c>
      <c r="N469" s="17">
        <f>IF(M469&gt;0,L469,Factores!$B$7)</f>
        <v/>
      </c>
      <c r="O469">
        <f>IF(M469&gt;0,"OK","sin PEA -&gt; peor")</f>
        <v/>
      </c>
    </row>
    <row r="470">
      <c r="A470" t="inlineStr">
        <is>
          <t>150708</t>
        </is>
      </c>
      <c r="B470" t="inlineStr">
        <is>
          <t>HUANZA</t>
        </is>
      </c>
      <c r="C470" s="14">
        <f>'Empleo Censo'!G470-'Empleo Censo'!F470</f>
        <v/>
      </c>
      <c r="D470" s="14">
        <f>'Empleo Censo'!F470</f>
        <v/>
      </c>
      <c r="E470" s="14">
        <f>'Empleo Censo'!H470</f>
        <v/>
      </c>
      <c r="F470" s="14">
        <f>'Empleo Censo'!I470</f>
        <v/>
      </c>
      <c r="G470" s="14">
        <f>'Empleo Censo'!J470+'Empleo Censo'!K470</f>
        <v/>
      </c>
      <c r="H470" s="14">
        <f>'Empleo Censo'!L470</f>
        <v/>
      </c>
      <c r="I470" s="14">
        <f>'Empleo Censo'!M470</f>
        <v/>
      </c>
      <c r="J470" s="14">
        <f>SUM('Empleo Censo'!N470:AA470)</f>
        <v/>
      </c>
      <c r="K470" s="14">
        <f>SUM(C470:J470)</f>
        <v/>
      </c>
      <c r="L470" s="15">
        <f>SUMPRODUCT(C470:J470,Factores!$B$3:$I$3)</f>
        <v/>
      </c>
      <c r="M470" s="16">
        <f>'Empleo Censo'!E470</f>
        <v/>
      </c>
      <c r="N470" s="17">
        <f>IF(M470&gt;0,L470,Factores!$B$7)</f>
        <v/>
      </c>
      <c r="O470">
        <f>IF(M470&gt;0,"OK","sin PEA -&gt; peor")</f>
        <v/>
      </c>
    </row>
    <row r="471">
      <c r="A471" t="inlineStr">
        <is>
          <t>150709</t>
        </is>
      </c>
      <c r="B471" t="inlineStr">
        <is>
          <t>HUAROCHIRI</t>
        </is>
      </c>
      <c r="C471" s="14">
        <f>'Empleo Censo'!G471-'Empleo Censo'!F471</f>
        <v/>
      </c>
      <c r="D471" s="14">
        <f>'Empleo Censo'!F471</f>
        <v/>
      </c>
      <c r="E471" s="14">
        <f>'Empleo Censo'!H471</f>
        <v/>
      </c>
      <c r="F471" s="14">
        <f>'Empleo Censo'!I471</f>
        <v/>
      </c>
      <c r="G471" s="14">
        <f>'Empleo Censo'!J471+'Empleo Censo'!K471</f>
        <v/>
      </c>
      <c r="H471" s="14">
        <f>'Empleo Censo'!L471</f>
        <v/>
      </c>
      <c r="I471" s="14">
        <f>'Empleo Censo'!M471</f>
        <v/>
      </c>
      <c r="J471" s="14">
        <f>SUM('Empleo Censo'!N471:AA471)</f>
        <v/>
      </c>
      <c r="K471" s="14">
        <f>SUM(C471:J471)</f>
        <v/>
      </c>
      <c r="L471" s="15">
        <f>SUMPRODUCT(C471:J471,Factores!$B$3:$I$3)</f>
        <v/>
      </c>
      <c r="M471" s="16">
        <f>'Empleo Censo'!E471</f>
        <v/>
      </c>
      <c r="N471" s="17">
        <f>IF(M471&gt;0,L471,Factores!$B$7)</f>
        <v/>
      </c>
      <c r="O471">
        <f>IF(M471&gt;0,"OK","sin PEA -&gt; peor")</f>
        <v/>
      </c>
    </row>
    <row r="472">
      <c r="A472" t="inlineStr">
        <is>
          <t>150710</t>
        </is>
      </c>
      <c r="B472" t="inlineStr">
        <is>
          <t>LAHUAYTAMBO</t>
        </is>
      </c>
      <c r="C472" s="14">
        <f>'Empleo Censo'!G472-'Empleo Censo'!F472</f>
        <v/>
      </c>
      <c r="D472" s="14">
        <f>'Empleo Censo'!F472</f>
        <v/>
      </c>
      <c r="E472" s="14">
        <f>'Empleo Censo'!H472</f>
        <v/>
      </c>
      <c r="F472" s="14">
        <f>'Empleo Censo'!I472</f>
        <v/>
      </c>
      <c r="G472" s="14">
        <f>'Empleo Censo'!J472+'Empleo Censo'!K472</f>
        <v/>
      </c>
      <c r="H472" s="14">
        <f>'Empleo Censo'!L472</f>
        <v/>
      </c>
      <c r="I472" s="14">
        <f>'Empleo Censo'!M472</f>
        <v/>
      </c>
      <c r="J472" s="14">
        <f>SUM('Empleo Censo'!N472:AA472)</f>
        <v/>
      </c>
      <c r="K472" s="14">
        <f>SUM(C472:J472)</f>
        <v/>
      </c>
      <c r="L472" s="15">
        <f>SUMPRODUCT(C472:J472,Factores!$B$3:$I$3)</f>
        <v/>
      </c>
      <c r="M472" s="16">
        <f>'Empleo Censo'!E472</f>
        <v/>
      </c>
      <c r="N472" s="17">
        <f>IF(M472&gt;0,L472,Factores!$B$7)</f>
        <v/>
      </c>
      <c r="O472">
        <f>IF(M472&gt;0,"OK","sin PEA -&gt; peor")</f>
        <v/>
      </c>
    </row>
    <row r="473">
      <c r="A473" t="inlineStr">
        <is>
          <t>150711</t>
        </is>
      </c>
      <c r="B473" t="inlineStr">
        <is>
          <t>LANGA</t>
        </is>
      </c>
      <c r="C473" s="14">
        <f>'Empleo Censo'!G473-'Empleo Censo'!F473</f>
        <v/>
      </c>
      <c r="D473" s="14">
        <f>'Empleo Censo'!F473</f>
        <v/>
      </c>
      <c r="E473" s="14">
        <f>'Empleo Censo'!H473</f>
        <v/>
      </c>
      <c r="F473" s="14">
        <f>'Empleo Censo'!I473</f>
        <v/>
      </c>
      <c r="G473" s="14">
        <f>'Empleo Censo'!J473+'Empleo Censo'!K473</f>
        <v/>
      </c>
      <c r="H473" s="14">
        <f>'Empleo Censo'!L473</f>
        <v/>
      </c>
      <c r="I473" s="14">
        <f>'Empleo Censo'!M473</f>
        <v/>
      </c>
      <c r="J473" s="14">
        <f>SUM('Empleo Censo'!N473:AA473)</f>
        <v/>
      </c>
      <c r="K473" s="14">
        <f>SUM(C473:J473)</f>
        <v/>
      </c>
      <c r="L473" s="15">
        <f>SUMPRODUCT(C473:J473,Factores!$B$3:$I$3)</f>
        <v/>
      </c>
      <c r="M473" s="16">
        <f>'Empleo Censo'!E473</f>
        <v/>
      </c>
      <c r="N473" s="17">
        <f>IF(M473&gt;0,L473,Factores!$B$7)</f>
        <v/>
      </c>
      <c r="O473">
        <f>IF(M473&gt;0,"OK","sin PEA -&gt; peor")</f>
        <v/>
      </c>
    </row>
    <row r="474">
      <c r="A474" t="inlineStr">
        <is>
          <t>150712</t>
        </is>
      </c>
      <c r="B474" t="inlineStr">
        <is>
          <t>LARAOS</t>
        </is>
      </c>
      <c r="C474" s="14">
        <f>'Empleo Censo'!G474-'Empleo Censo'!F474</f>
        <v/>
      </c>
      <c r="D474" s="14">
        <f>'Empleo Censo'!F474</f>
        <v/>
      </c>
      <c r="E474" s="14">
        <f>'Empleo Censo'!H474</f>
        <v/>
      </c>
      <c r="F474" s="14">
        <f>'Empleo Censo'!I474</f>
        <v/>
      </c>
      <c r="G474" s="14">
        <f>'Empleo Censo'!J474+'Empleo Censo'!K474</f>
        <v/>
      </c>
      <c r="H474" s="14">
        <f>'Empleo Censo'!L474</f>
        <v/>
      </c>
      <c r="I474" s="14">
        <f>'Empleo Censo'!M474</f>
        <v/>
      </c>
      <c r="J474" s="14">
        <f>SUM('Empleo Censo'!N474:AA474)</f>
        <v/>
      </c>
      <c r="K474" s="14">
        <f>SUM(C474:J474)</f>
        <v/>
      </c>
      <c r="L474" s="15">
        <f>SUMPRODUCT(C474:J474,Factores!$B$3:$I$3)</f>
        <v/>
      </c>
      <c r="M474" s="16">
        <f>'Empleo Censo'!E474</f>
        <v/>
      </c>
      <c r="N474" s="17">
        <f>IF(M474&gt;0,L474,Factores!$B$7)</f>
        <v/>
      </c>
      <c r="O474">
        <f>IF(M474&gt;0,"OK","sin PEA -&gt; peor")</f>
        <v/>
      </c>
    </row>
    <row r="475">
      <c r="A475" t="inlineStr">
        <is>
          <t>150713</t>
        </is>
      </c>
      <c r="B475" t="inlineStr">
        <is>
          <t>MARIATANA</t>
        </is>
      </c>
      <c r="C475" s="14">
        <f>'Empleo Censo'!G475-'Empleo Censo'!F475</f>
        <v/>
      </c>
      <c r="D475" s="14">
        <f>'Empleo Censo'!F475</f>
        <v/>
      </c>
      <c r="E475" s="14">
        <f>'Empleo Censo'!H475</f>
        <v/>
      </c>
      <c r="F475" s="14">
        <f>'Empleo Censo'!I475</f>
        <v/>
      </c>
      <c r="G475" s="14">
        <f>'Empleo Censo'!J475+'Empleo Censo'!K475</f>
        <v/>
      </c>
      <c r="H475" s="14">
        <f>'Empleo Censo'!L475</f>
        <v/>
      </c>
      <c r="I475" s="14">
        <f>'Empleo Censo'!M475</f>
        <v/>
      </c>
      <c r="J475" s="14">
        <f>SUM('Empleo Censo'!N475:AA475)</f>
        <v/>
      </c>
      <c r="K475" s="14">
        <f>SUM(C475:J475)</f>
        <v/>
      </c>
      <c r="L475" s="15">
        <f>SUMPRODUCT(C475:J475,Factores!$B$3:$I$3)</f>
        <v/>
      </c>
      <c r="M475" s="16">
        <f>'Empleo Censo'!E475</f>
        <v/>
      </c>
      <c r="N475" s="17">
        <f>IF(M475&gt;0,L475,Factores!$B$7)</f>
        <v/>
      </c>
      <c r="O475">
        <f>IF(M475&gt;0,"OK","sin PEA -&gt; peor")</f>
        <v/>
      </c>
    </row>
    <row r="476">
      <c r="A476" t="inlineStr">
        <is>
          <t>150714</t>
        </is>
      </c>
      <c r="B476" t="inlineStr">
        <is>
          <t>RICARDO PALMA</t>
        </is>
      </c>
      <c r="C476" s="14">
        <f>'Empleo Censo'!G476-'Empleo Censo'!F476</f>
        <v/>
      </c>
      <c r="D476" s="14">
        <f>'Empleo Censo'!F476</f>
        <v/>
      </c>
      <c r="E476" s="14">
        <f>'Empleo Censo'!H476</f>
        <v/>
      </c>
      <c r="F476" s="14">
        <f>'Empleo Censo'!I476</f>
        <v/>
      </c>
      <c r="G476" s="14">
        <f>'Empleo Censo'!J476+'Empleo Censo'!K476</f>
        <v/>
      </c>
      <c r="H476" s="14">
        <f>'Empleo Censo'!L476</f>
        <v/>
      </c>
      <c r="I476" s="14">
        <f>'Empleo Censo'!M476</f>
        <v/>
      </c>
      <c r="J476" s="14">
        <f>SUM('Empleo Censo'!N476:AA476)</f>
        <v/>
      </c>
      <c r="K476" s="14">
        <f>SUM(C476:J476)</f>
        <v/>
      </c>
      <c r="L476" s="15">
        <f>SUMPRODUCT(C476:J476,Factores!$B$3:$I$3)</f>
        <v/>
      </c>
      <c r="M476" s="16">
        <f>'Empleo Censo'!E476</f>
        <v/>
      </c>
      <c r="N476" s="17">
        <f>IF(M476&gt;0,L476,Factores!$B$7)</f>
        <v/>
      </c>
      <c r="O476">
        <f>IF(M476&gt;0,"OK","sin PEA -&gt; peor")</f>
        <v/>
      </c>
    </row>
    <row r="477">
      <c r="A477" t="inlineStr">
        <is>
          <t>150715</t>
        </is>
      </c>
      <c r="B477" t="inlineStr">
        <is>
          <t>SAN ANDRES DE TUPICOCHA</t>
        </is>
      </c>
      <c r="C477" s="14">
        <f>'Empleo Censo'!G477-'Empleo Censo'!F477</f>
        <v/>
      </c>
      <c r="D477" s="14">
        <f>'Empleo Censo'!F477</f>
        <v/>
      </c>
      <c r="E477" s="14">
        <f>'Empleo Censo'!H477</f>
        <v/>
      </c>
      <c r="F477" s="14">
        <f>'Empleo Censo'!I477</f>
        <v/>
      </c>
      <c r="G477" s="14">
        <f>'Empleo Censo'!J477+'Empleo Censo'!K477</f>
        <v/>
      </c>
      <c r="H477" s="14">
        <f>'Empleo Censo'!L477</f>
        <v/>
      </c>
      <c r="I477" s="14">
        <f>'Empleo Censo'!M477</f>
        <v/>
      </c>
      <c r="J477" s="14">
        <f>SUM('Empleo Censo'!N477:AA477)</f>
        <v/>
      </c>
      <c r="K477" s="14">
        <f>SUM(C477:J477)</f>
        <v/>
      </c>
      <c r="L477" s="15">
        <f>SUMPRODUCT(C477:J477,Factores!$B$3:$I$3)</f>
        <v/>
      </c>
      <c r="M477" s="16">
        <f>'Empleo Censo'!E477</f>
        <v/>
      </c>
      <c r="N477" s="17">
        <f>IF(M477&gt;0,L477,Factores!$B$7)</f>
        <v/>
      </c>
      <c r="O477">
        <f>IF(M477&gt;0,"OK","sin PEA -&gt; peor")</f>
        <v/>
      </c>
    </row>
    <row r="478">
      <c r="A478" t="inlineStr">
        <is>
          <t>150716</t>
        </is>
      </c>
      <c r="B478" t="inlineStr">
        <is>
          <t>SAN ANTONIO</t>
        </is>
      </c>
      <c r="C478" s="14">
        <f>'Empleo Censo'!G478-'Empleo Censo'!F478</f>
        <v/>
      </c>
      <c r="D478" s="14">
        <f>'Empleo Censo'!F478</f>
        <v/>
      </c>
      <c r="E478" s="14">
        <f>'Empleo Censo'!H478</f>
        <v/>
      </c>
      <c r="F478" s="14">
        <f>'Empleo Censo'!I478</f>
        <v/>
      </c>
      <c r="G478" s="14">
        <f>'Empleo Censo'!J478+'Empleo Censo'!K478</f>
        <v/>
      </c>
      <c r="H478" s="14">
        <f>'Empleo Censo'!L478</f>
        <v/>
      </c>
      <c r="I478" s="14">
        <f>'Empleo Censo'!M478</f>
        <v/>
      </c>
      <c r="J478" s="14">
        <f>SUM('Empleo Censo'!N478:AA478)</f>
        <v/>
      </c>
      <c r="K478" s="14">
        <f>SUM(C478:J478)</f>
        <v/>
      </c>
      <c r="L478" s="15">
        <f>SUMPRODUCT(C478:J478,Factores!$B$3:$I$3)</f>
        <v/>
      </c>
      <c r="M478" s="16">
        <f>'Empleo Censo'!E478</f>
        <v/>
      </c>
      <c r="N478" s="17">
        <f>IF(M478&gt;0,L478,Factores!$B$7)</f>
        <v/>
      </c>
      <c r="O478">
        <f>IF(M478&gt;0,"OK","sin PEA -&gt; peor")</f>
        <v/>
      </c>
    </row>
    <row r="479">
      <c r="A479" t="inlineStr">
        <is>
          <t>150717</t>
        </is>
      </c>
      <c r="B479" t="inlineStr">
        <is>
          <t>SAN BARTOLOME</t>
        </is>
      </c>
      <c r="C479" s="14">
        <f>'Empleo Censo'!G479-'Empleo Censo'!F479</f>
        <v/>
      </c>
      <c r="D479" s="14">
        <f>'Empleo Censo'!F479</f>
        <v/>
      </c>
      <c r="E479" s="14">
        <f>'Empleo Censo'!H479</f>
        <v/>
      </c>
      <c r="F479" s="14">
        <f>'Empleo Censo'!I479</f>
        <v/>
      </c>
      <c r="G479" s="14">
        <f>'Empleo Censo'!J479+'Empleo Censo'!K479</f>
        <v/>
      </c>
      <c r="H479" s="14">
        <f>'Empleo Censo'!L479</f>
        <v/>
      </c>
      <c r="I479" s="14">
        <f>'Empleo Censo'!M479</f>
        <v/>
      </c>
      <c r="J479" s="14">
        <f>SUM('Empleo Censo'!N479:AA479)</f>
        <v/>
      </c>
      <c r="K479" s="14">
        <f>SUM(C479:J479)</f>
        <v/>
      </c>
      <c r="L479" s="15">
        <f>SUMPRODUCT(C479:J479,Factores!$B$3:$I$3)</f>
        <v/>
      </c>
      <c r="M479" s="16">
        <f>'Empleo Censo'!E479</f>
        <v/>
      </c>
      <c r="N479" s="17">
        <f>IF(M479&gt;0,L479,Factores!$B$7)</f>
        <v/>
      </c>
      <c r="O479">
        <f>IF(M479&gt;0,"OK","sin PEA -&gt; peor")</f>
        <v/>
      </c>
    </row>
    <row r="480">
      <c r="A480" t="inlineStr">
        <is>
          <t>150718</t>
        </is>
      </c>
      <c r="B480" t="inlineStr">
        <is>
          <t>SAN DAMIAN</t>
        </is>
      </c>
      <c r="C480" s="14">
        <f>'Empleo Censo'!G480-'Empleo Censo'!F480</f>
        <v/>
      </c>
      <c r="D480" s="14">
        <f>'Empleo Censo'!F480</f>
        <v/>
      </c>
      <c r="E480" s="14">
        <f>'Empleo Censo'!H480</f>
        <v/>
      </c>
      <c r="F480" s="14">
        <f>'Empleo Censo'!I480</f>
        <v/>
      </c>
      <c r="G480" s="14">
        <f>'Empleo Censo'!J480+'Empleo Censo'!K480</f>
        <v/>
      </c>
      <c r="H480" s="14">
        <f>'Empleo Censo'!L480</f>
        <v/>
      </c>
      <c r="I480" s="14">
        <f>'Empleo Censo'!M480</f>
        <v/>
      </c>
      <c r="J480" s="14">
        <f>SUM('Empleo Censo'!N480:AA480)</f>
        <v/>
      </c>
      <c r="K480" s="14">
        <f>SUM(C480:J480)</f>
        <v/>
      </c>
      <c r="L480" s="15">
        <f>SUMPRODUCT(C480:J480,Factores!$B$3:$I$3)</f>
        <v/>
      </c>
      <c r="M480" s="16">
        <f>'Empleo Censo'!E480</f>
        <v/>
      </c>
      <c r="N480" s="17">
        <f>IF(M480&gt;0,L480,Factores!$B$7)</f>
        <v/>
      </c>
      <c r="O480">
        <f>IF(M480&gt;0,"OK","sin PEA -&gt; peor")</f>
        <v/>
      </c>
    </row>
    <row r="481">
      <c r="A481" t="inlineStr">
        <is>
          <t>150719</t>
        </is>
      </c>
      <c r="B481" t="inlineStr">
        <is>
          <t>SAN JUAN DE IRIS</t>
        </is>
      </c>
      <c r="C481" s="14">
        <f>'Empleo Censo'!G481-'Empleo Censo'!F481</f>
        <v/>
      </c>
      <c r="D481" s="14">
        <f>'Empleo Censo'!F481</f>
        <v/>
      </c>
      <c r="E481" s="14">
        <f>'Empleo Censo'!H481</f>
        <v/>
      </c>
      <c r="F481" s="14">
        <f>'Empleo Censo'!I481</f>
        <v/>
      </c>
      <c r="G481" s="14">
        <f>'Empleo Censo'!J481+'Empleo Censo'!K481</f>
        <v/>
      </c>
      <c r="H481" s="14">
        <f>'Empleo Censo'!L481</f>
        <v/>
      </c>
      <c r="I481" s="14">
        <f>'Empleo Censo'!M481</f>
        <v/>
      </c>
      <c r="J481" s="14">
        <f>SUM('Empleo Censo'!N481:AA481)</f>
        <v/>
      </c>
      <c r="K481" s="14">
        <f>SUM(C481:J481)</f>
        <v/>
      </c>
      <c r="L481" s="15">
        <f>SUMPRODUCT(C481:J481,Factores!$B$3:$I$3)</f>
        <v/>
      </c>
      <c r="M481" s="16">
        <f>'Empleo Censo'!E481</f>
        <v/>
      </c>
      <c r="N481" s="17">
        <f>IF(M481&gt;0,L481,Factores!$B$7)</f>
        <v/>
      </c>
      <c r="O481">
        <f>IF(M481&gt;0,"OK","sin PEA -&gt; peor")</f>
        <v/>
      </c>
    </row>
    <row r="482">
      <c r="A482" t="inlineStr">
        <is>
          <t>150720</t>
        </is>
      </c>
      <c r="B482" t="inlineStr">
        <is>
          <t>SAN JUAN DE TANTARANCHE</t>
        </is>
      </c>
      <c r="C482" s="14">
        <f>'Empleo Censo'!G482-'Empleo Censo'!F482</f>
        <v/>
      </c>
      <c r="D482" s="14">
        <f>'Empleo Censo'!F482</f>
        <v/>
      </c>
      <c r="E482" s="14">
        <f>'Empleo Censo'!H482</f>
        <v/>
      </c>
      <c r="F482" s="14">
        <f>'Empleo Censo'!I482</f>
        <v/>
      </c>
      <c r="G482" s="14">
        <f>'Empleo Censo'!J482+'Empleo Censo'!K482</f>
        <v/>
      </c>
      <c r="H482" s="14">
        <f>'Empleo Censo'!L482</f>
        <v/>
      </c>
      <c r="I482" s="14">
        <f>'Empleo Censo'!M482</f>
        <v/>
      </c>
      <c r="J482" s="14">
        <f>SUM('Empleo Censo'!N482:AA482)</f>
        <v/>
      </c>
      <c r="K482" s="14">
        <f>SUM(C482:J482)</f>
        <v/>
      </c>
      <c r="L482" s="15">
        <f>SUMPRODUCT(C482:J482,Factores!$B$3:$I$3)</f>
        <v/>
      </c>
      <c r="M482" s="16">
        <f>'Empleo Censo'!E482</f>
        <v/>
      </c>
      <c r="N482" s="17">
        <f>IF(M482&gt;0,L482,Factores!$B$7)</f>
        <v/>
      </c>
      <c r="O482">
        <f>IF(M482&gt;0,"OK","sin PEA -&gt; peor")</f>
        <v/>
      </c>
    </row>
    <row r="483">
      <c r="A483" t="inlineStr">
        <is>
          <t>150721</t>
        </is>
      </c>
      <c r="B483" t="inlineStr">
        <is>
          <t>SAN LORENZO DE QUINTI</t>
        </is>
      </c>
      <c r="C483" s="14">
        <f>'Empleo Censo'!G483-'Empleo Censo'!F483</f>
        <v/>
      </c>
      <c r="D483" s="14">
        <f>'Empleo Censo'!F483</f>
        <v/>
      </c>
      <c r="E483" s="14">
        <f>'Empleo Censo'!H483</f>
        <v/>
      </c>
      <c r="F483" s="14">
        <f>'Empleo Censo'!I483</f>
        <v/>
      </c>
      <c r="G483" s="14">
        <f>'Empleo Censo'!J483+'Empleo Censo'!K483</f>
        <v/>
      </c>
      <c r="H483" s="14">
        <f>'Empleo Censo'!L483</f>
        <v/>
      </c>
      <c r="I483" s="14">
        <f>'Empleo Censo'!M483</f>
        <v/>
      </c>
      <c r="J483" s="14">
        <f>SUM('Empleo Censo'!N483:AA483)</f>
        <v/>
      </c>
      <c r="K483" s="14">
        <f>SUM(C483:J483)</f>
        <v/>
      </c>
      <c r="L483" s="15">
        <f>SUMPRODUCT(C483:J483,Factores!$B$3:$I$3)</f>
        <v/>
      </c>
      <c r="M483" s="16">
        <f>'Empleo Censo'!E483</f>
        <v/>
      </c>
      <c r="N483" s="17">
        <f>IF(M483&gt;0,L483,Factores!$B$7)</f>
        <v/>
      </c>
      <c r="O483">
        <f>IF(M483&gt;0,"OK","sin PEA -&gt; peor")</f>
        <v/>
      </c>
    </row>
    <row r="484">
      <c r="A484" t="inlineStr">
        <is>
          <t>150722</t>
        </is>
      </c>
      <c r="B484" t="inlineStr">
        <is>
          <t>SAN MATEO</t>
        </is>
      </c>
      <c r="C484" s="14">
        <f>'Empleo Censo'!G484-'Empleo Censo'!F484</f>
        <v/>
      </c>
      <c r="D484" s="14">
        <f>'Empleo Censo'!F484</f>
        <v/>
      </c>
      <c r="E484" s="14">
        <f>'Empleo Censo'!H484</f>
        <v/>
      </c>
      <c r="F484" s="14">
        <f>'Empleo Censo'!I484</f>
        <v/>
      </c>
      <c r="G484" s="14">
        <f>'Empleo Censo'!J484+'Empleo Censo'!K484</f>
        <v/>
      </c>
      <c r="H484" s="14">
        <f>'Empleo Censo'!L484</f>
        <v/>
      </c>
      <c r="I484" s="14">
        <f>'Empleo Censo'!M484</f>
        <v/>
      </c>
      <c r="J484" s="14">
        <f>SUM('Empleo Censo'!N484:AA484)</f>
        <v/>
      </c>
      <c r="K484" s="14">
        <f>SUM(C484:J484)</f>
        <v/>
      </c>
      <c r="L484" s="15">
        <f>SUMPRODUCT(C484:J484,Factores!$B$3:$I$3)</f>
        <v/>
      </c>
      <c r="M484" s="16">
        <f>'Empleo Censo'!E484</f>
        <v/>
      </c>
      <c r="N484" s="17">
        <f>IF(M484&gt;0,L484,Factores!$B$7)</f>
        <v/>
      </c>
      <c r="O484">
        <f>IF(M484&gt;0,"OK","sin PEA -&gt; peor")</f>
        <v/>
      </c>
    </row>
    <row r="485">
      <c r="A485" t="inlineStr">
        <is>
          <t>150723</t>
        </is>
      </c>
      <c r="B485" t="inlineStr">
        <is>
          <t>SAN MATEO DE OTAO</t>
        </is>
      </c>
      <c r="C485" s="14">
        <f>'Empleo Censo'!G485-'Empleo Censo'!F485</f>
        <v/>
      </c>
      <c r="D485" s="14">
        <f>'Empleo Censo'!F485</f>
        <v/>
      </c>
      <c r="E485" s="14">
        <f>'Empleo Censo'!H485</f>
        <v/>
      </c>
      <c r="F485" s="14">
        <f>'Empleo Censo'!I485</f>
        <v/>
      </c>
      <c r="G485" s="14">
        <f>'Empleo Censo'!J485+'Empleo Censo'!K485</f>
        <v/>
      </c>
      <c r="H485" s="14">
        <f>'Empleo Censo'!L485</f>
        <v/>
      </c>
      <c r="I485" s="14">
        <f>'Empleo Censo'!M485</f>
        <v/>
      </c>
      <c r="J485" s="14">
        <f>SUM('Empleo Censo'!N485:AA485)</f>
        <v/>
      </c>
      <c r="K485" s="14">
        <f>SUM(C485:J485)</f>
        <v/>
      </c>
      <c r="L485" s="15">
        <f>SUMPRODUCT(C485:J485,Factores!$B$3:$I$3)</f>
        <v/>
      </c>
      <c r="M485" s="16">
        <f>'Empleo Censo'!E485</f>
        <v/>
      </c>
      <c r="N485" s="17">
        <f>IF(M485&gt;0,L485,Factores!$B$7)</f>
        <v/>
      </c>
      <c r="O485">
        <f>IF(M485&gt;0,"OK","sin PEA -&gt; peor")</f>
        <v/>
      </c>
    </row>
    <row r="486">
      <c r="A486" t="inlineStr">
        <is>
          <t>150724</t>
        </is>
      </c>
      <c r="B486" t="inlineStr">
        <is>
          <t>SAN PEDRO DE CASTA</t>
        </is>
      </c>
      <c r="C486" s="14">
        <f>'Empleo Censo'!G486-'Empleo Censo'!F486</f>
        <v/>
      </c>
      <c r="D486" s="14">
        <f>'Empleo Censo'!F486</f>
        <v/>
      </c>
      <c r="E486" s="14">
        <f>'Empleo Censo'!H486</f>
        <v/>
      </c>
      <c r="F486" s="14">
        <f>'Empleo Censo'!I486</f>
        <v/>
      </c>
      <c r="G486" s="14">
        <f>'Empleo Censo'!J486+'Empleo Censo'!K486</f>
        <v/>
      </c>
      <c r="H486" s="14">
        <f>'Empleo Censo'!L486</f>
        <v/>
      </c>
      <c r="I486" s="14">
        <f>'Empleo Censo'!M486</f>
        <v/>
      </c>
      <c r="J486" s="14">
        <f>SUM('Empleo Censo'!N486:AA486)</f>
        <v/>
      </c>
      <c r="K486" s="14">
        <f>SUM(C486:J486)</f>
        <v/>
      </c>
      <c r="L486" s="15">
        <f>SUMPRODUCT(C486:J486,Factores!$B$3:$I$3)</f>
        <v/>
      </c>
      <c r="M486" s="16">
        <f>'Empleo Censo'!E486</f>
        <v/>
      </c>
      <c r="N486" s="17">
        <f>IF(M486&gt;0,L486,Factores!$B$7)</f>
        <v/>
      </c>
      <c r="O486">
        <f>IF(M486&gt;0,"OK","sin PEA -&gt; peor")</f>
        <v/>
      </c>
    </row>
    <row r="487">
      <c r="A487" t="inlineStr">
        <is>
          <t>150725</t>
        </is>
      </c>
      <c r="B487" t="inlineStr">
        <is>
          <t>SAN PEDRO DE HUANCAYRE</t>
        </is>
      </c>
      <c r="C487" s="14">
        <f>'Empleo Censo'!G487-'Empleo Censo'!F487</f>
        <v/>
      </c>
      <c r="D487" s="14">
        <f>'Empleo Censo'!F487</f>
        <v/>
      </c>
      <c r="E487" s="14">
        <f>'Empleo Censo'!H487</f>
        <v/>
      </c>
      <c r="F487" s="14">
        <f>'Empleo Censo'!I487</f>
        <v/>
      </c>
      <c r="G487" s="14">
        <f>'Empleo Censo'!J487+'Empleo Censo'!K487</f>
        <v/>
      </c>
      <c r="H487" s="14">
        <f>'Empleo Censo'!L487</f>
        <v/>
      </c>
      <c r="I487" s="14">
        <f>'Empleo Censo'!M487</f>
        <v/>
      </c>
      <c r="J487" s="14">
        <f>SUM('Empleo Censo'!N487:AA487)</f>
        <v/>
      </c>
      <c r="K487" s="14">
        <f>SUM(C487:J487)</f>
        <v/>
      </c>
      <c r="L487" s="15">
        <f>SUMPRODUCT(C487:J487,Factores!$B$3:$I$3)</f>
        <v/>
      </c>
      <c r="M487" s="16">
        <f>'Empleo Censo'!E487</f>
        <v/>
      </c>
      <c r="N487" s="17">
        <f>IF(M487&gt;0,L487,Factores!$B$7)</f>
        <v/>
      </c>
      <c r="O487">
        <f>IF(M487&gt;0,"OK","sin PEA -&gt; peor")</f>
        <v/>
      </c>
    </row>
    <row r="488">
      <c r="A488" t="inlineStr">
        <is>
          <t>150726</t>
        </is>
      </c>
      <c r="B488" t="inlineStr">
        <is>
          <t>SANGALLAYA</t>
        </is>
      </c>
      <c r="C488" s="14">
        <f>'Empleo Censo'!G488-'Empleo Censo'!F488</f>
        <v/>
      </c>
      <c r="D488" s="14">
        <f>'Empleo Censo'!F488</f>
        <v/>
      </c>
      <c r="E488" s="14">
        <f>'Empleo Censo'!H488</f>
        <v/>
      </c>
      <c r="F488" s="14">
        <f>'Empleo Censo'!I488</f>
        <v/>
      </c>
      <c r="G488" s="14">
        <f>'Empleo Censo'!J488+'Empleo Censo'!K488</f>
        <v/>
      </c>
      <c r="H488" s="14">
        <f>'Empleo Censo'!L488</f>
        <v/>
      </c>
      <c r="I488" s="14">
        <f>'Empleo Censo'!M488</f>
        <v/>
      </c>
      <c r="J488" s="14">
        <f>SUM('Empleo Censo'!N488:AA488)</f>
        <v/>
      </c>
      <c r="K488" s="14">
        <f>SUM(C488:J488)</f>
        <v/>
      </c>
      <c r="L488" s="15">
        <f>SUMPRODUCT(C488:J488,Factores!$B$3:$I$3)</f>
        <v/>
      </c>
      <c r="M488" s="16">
        <f>'Empleo Censo'!E488</f>
        <v/>
      </c>
      <c r="N488" s="17">
        <f>IF(M488&gt;0,L488,Factores!$B$7)</f>
        <v/>
      </c>
      <c r="O488">
        <f>IF(M488&gt;0,"OK","sin PEA -&gt; peor")</f>
        <v/>
      </c>
    </row>
    <row r="489">
      <c r="A489" t="inlineStr">
        <is>
          <t>150727</t>
        </is>
      </c>
      <c r="B489" t="inlineStr">
        <is>
          <t>SANTA CRUZ DE COCACHACRA</t>
        </is>
      </c>
      <c r="C489" s="14">
        <f>'Empleo Censo'!G489-'Empleo Censo'!F489</f>
        <v/>
      </c>
      <c r="D489" s="14">
        <f>'Empleo Censo'!F489</f>
        <v/>
      </c>
      <c r="E489" s="14">
        <f>'Empleo Censo'!H489</f>
        <v/>
      </c>
      <c r="F489" s="14">
        <f>'Empleo Censo'!I489</f>
        <v/>
      </c>
      <c r="G489" s="14">
        <f>'Empleo Censo'!J489+'Empleo Censo'!K489</f>
        <v/>
      </c>
      <c r="H489" s="14">
        <f>'Empleo Censo'!L489</f>
        <v/>
      </c>
      <c r="I489" s="14">
        <f>'Empleo Censo'!M489</f>
        <v/>
      </c>
      <c r="J489" s="14">
        <f>SUM('Empleo Censo'!N489:AA489)</f>
        <v/>
      </c>
      <c r="K489" s="14">
        <f>SUM(C489:J489)</f>
        <v/>
      </c>
      <c r="L489" s="15">
        <f>SUMPRODUCT(C489:J489,Factores!$B$3:$I$3)</f>
        <v/>
      </c>
      <c r="M489" s="16">
        <f>'Empleo Censo'!E489</f>
        <v/>
      </c>
      <c r="N489" s="17">
        <f>IF(M489&gt;0,L489,Factores!$B$7)</f>
        <v/>
      </c>
      <c r="O489">
        <f>IF(M489&gt;0,"OK","sin PEA -&gt; peor")</f>
        <v/>
      </c>
    </row>
    <row r="490">
      <c r="A490" t="inlineStr">
        <is>
          <t>150728</t>
        </is>
      </c>
      <c r="B490" t="inlineStr">
        <is>
          <t>SANTA EULALIA</t>
        </is>
      </c>
      <c r="C490" s="14">
        <f>'Empleo Censo'!G490-'Empleo Censo'!F490</f>
        <v/>
      </c>
      <c r="D490" s="14">
        <f>'Empleo Censo'!F490</f>
        <v/>
      </c>
      <c r="E490" s="14">
        <f>'Empleo Censo'!H490</f>
        <v/>
      </c>
      <c r="F490" s="14">
        <f>'Empleo Censo'!I490</f>
        <v/>
      </c>
      <c r="G490" s="14">
        <f>'Empleo Censo'!J490+'Empleo Censo'!K490</f>
        <v/>
      </c>
      <c r="H490" s="14">
        <f>'Empleo Censo'!L490</f>
        <v/>
      </c>
      <c r="I490" s="14">
        <f>'Empleo Censo'!M490</f>
        <v/>
      </c>
      <c r="J490" s="14">
        <f>SUM('Empleo Censo'!N490:AA490)</f>
        <v/>
      </c>
      <c r="K490" s="14">
        <f>SUM(C490:J490)</f>
        <v/>
      </c>
      <c r="L490" s="15">
        <f>SUMPRODUCT(C490:J490,Factores!$B$3:$I$3)</f>
        <v/>
      </c>
      <c r="M490" s="16">
        <f>'Empleo Censo'!E490</f>
        <v/>
      </c>
      <c r="N490" s="17">
        <f>IF(M490&gt;0,L490,Factores!$B$7)</f>
        <v/>
      </c>
      <c r="O490">
        <f>IF(M490&gt;0,"OK","sin PEA -&gt; peor")</f>
        <v/>
      </c>
    </row>
    <row r="491">
      <c r="A491" t="inlineStr">
        <is>
          <t>150729</t>
        </is>
      </c>
      <c r="B491" t="inlineStr">
        <is>
          <t>SANTIAGO DE ANCHUCAYA</t>
        </is>
      </c>
      <c r="C491" s="14">
        <f>'Empleo Censo'!G491-'Empleo Censo'!F491</f>
        <v/>
      </c>
      <c r="D491" s="14">
        <f>'Empleo Censo'!F491</f>
        <v/>
      </c>
      <c r="E491" s="14">
        <f>'Empleo Censo'!H491</f>
        <v/>
      </c>
      <c r="F491" s="14">
        <f>'Empleo Censo'!I491</f>
        <v/>
      </c>
      <c r="G491" s="14">
        <f>'Empleo Censo'!J491+'Empleo Censo'!K491</f>
        <v/>
      </c>
      <c r="H491" s="14">
        <f>'Empleo Censo'!L491</f>
        <v/>
      </c>
      <c r="I491" s="14">
        <f>'Empleo Censo'!M491</f>
        <v/>
      </c>
      <c r="J491" s="14">
        <f>SUM('Empleo Censo'!N491:AA491)</f>
        <v/>
      </c>
      <c r="K491" s="14">
        <f>SUM(C491:J491)</f>
        <v/>
      </c>
      <c r="L491" s="15">
        <f>SUMPRODUCT(C491:J491,Factores!$B$3:$I$3)</f>
        <v/>
      </c>
      <c r="M491" s="16">
        <f>'Empleo Censo'!E491</f>
        <v/>
      </c>
      <c r="N491" s="17">
        <f>IF(M491&gt;0,L491,Factores!$B$7)</f>
        <v/>
      </c>
      <c r="O491">
        <f>IF(M491&gt;0,"OK","sin PEA -&gt; peor")</f>
        <v/>
      </c>
    </row>
    <row r="492">
      <c r="A492" t="inlineStr">
        <is>
          <t>150730</t>
        </is>
      </c>
      <c r="B492" t="inlineStr">
        <is>
          <t>SANTIAGO DE TUNA</t>
        </is>
      </c>
      <c r="C492" s="14">
        <f>'Empleo Censo'!G492-'Empleo Censo'!F492</f>
        <v/>
      </c>
      <c r="D492" s="14">
        <f>'Empleo Censo'!F492</f>
        <v/>
      </c>
      <c r="E492" s="14">
        <f>'Empleo Censo'!H492</f>
        <v/>
      </c>
      <c r="F492" s="14">
        <f>'Empleo Censo'!I492</f>
        <v/>
      </c>
      <c r="G492" s="14">
        <f>'Empleo Censo'!J492+'Empleo Censo'!K492</f>
        <v/>
      </c>
      <c r="H492" s="14">
        <f>'Empleo Censo'!L492</f>
        <v/>
      </c>
      <c r="I492" s="14">
        <f>'Empleo Censo'!M492</f>
        <v/>
      </c>
      <c r="J492" s="14">
        <f>SUM('Empleo Censo'!N492:AA492)</f>
        <v/>
      </c>
      <c r="K492" s="14">
        <f>SUM(C492:J492)</f>
        <v/>
      </c>
      <c r="L492" s="15">
        <f>SUMPRODUCT(C492:J492,Factores!$B$3:$I$3)</f>
        <v/>
      </c>
      <c r="M492" s="16">
        <f>'Empleo Censo'!E492</f>
        <v/>
      </c>
      <c r="N492" s="17">
        <f>IF(M492&gt;0,L492,Factores!$B$7)</f>
        <v/>
      </c>
      <c r="O492">
        <f>IF(M492&gt;0,"OK","sin PEA -&gt; peor")</f>
        <v/>
      </c>
    </row>
    <row r="493">
      <c r="A493" t="inlineStr">
        <is>
          <t>150731</t>
        </is>
      </c>
      <c r="B493" t="inlineStr">
        <is>
          <t>SANTO DOMINGO DE LOS OLLEROS</t>
        </is>
      </c>
      <c r="C493" s="14">
        <f>'Empleo Censo'!G493-'Empleo Censo'!F493</f>
        <v/>
      </c>
      <c r="D493" s="14">
        <f>'Empleo Censo'!F493</f>
        <v/>
      </c>
      <c r="E493" s="14">
        <f>'Empleo Censo'!H493</f>
        <v/>
      </c>
      <c r="F493" s="14">
        <f>'Empleo Censo'!I493</f>
        <v/>
      </c>
      <c r="G493" s="14">
        <f>'Empleo Censo'!J493+'Empleo Censo'!K493</f>
        <v/>
      </c>
      <c r="H493" s="14">
        <f>'Empleo Censo'!L493</f>
        <v/>
      </c>
      <c r="I493" s="14">
        <f>'Empleo Censo'!M493</f>
        <v/>
      </c>
      <c r="J493" s="14">
        <f>SUM('Empleo Censo'!N493:AA493)</f>
        <v/>
      </c>
      <c r="K493" s="14">
        <f>SUM(C493:J493)</f>
        <v/>
      </c>
      <c r="L493" s="15">
        <f>SUMPRODUCT(C493:J493,Factores!$B$3:$I$3)</f>
        <v/>
      </c>
      <c r="M493" s="16">
        <f>'Empleo Censo'!E493</f>
        <v/>
      </c>
      <c r="N493" s="17">
        <f>IF(M493&gt;0,L493,Factores!$B$7)</f>
        <v/>
      </c>
      <c r="O493">
        <f>IF(M493&gt;0,"OK","sin PEA -&gt; peor")</f>
        <v/>
      </c>
    </row>
    <row r="494">
      <c r="A494" t="inlineStr">
        <is>
          <t>150732</t>
        </is>
      </c>
      <c r="B494" t="inlineStr">
        <is>
          <t>SURCO</t>
        </is>
      </c>
      <c r="C494" s="14">
        <f>'Empleo Censo'!G494-'Empleo Censo'!F494</f>
        <v/>
      </c>
      <c r="D494" s="14">
        <f>'Empleo Censo'!F494</f>
        <v/>
      </c>
      <c r="E494" s="14">
        <f>'Empleo Censo'!H494</f>
        <v/>
      </c>
      <c r="F494" s="14">
        <f>'Empleo Censo'!I494</f>
        <v/>
      </c>
      <c r="G494" s="14">
        <f>'Empleo Censo'!J494+'Empleo Censo'!K494</f>
        <v/>
      </c>
      <c r="H494" s="14">
        <f>'Empleo Censo'!L494</f>
        <v/>
      </c>
      <c r="I494" s="14">
        <f>'Empleo Censo'!M494</f>
        <v/>
      </c>
      <c r="J494" s="14">
        <f>SUM('Empleo Censo'!N494:AA494)</f>
        <v/>
      </c>
      <c r="K494" s="14">
        <f>SUM(C494:J494)</f>
        <v/>
      </c>
      <c r="L494" s="15">
        <f>SUMPRODUCT(C494:J494,Factores!$B$3:$I$3)</f>
        <v/>
      </c>
      <c r="M494" s="16">
        <f>'Empleo Censo'!E494</f>
        <v/>
      </c>
      <c r="N494" s="17">
        <f>IF(M494&gt;0,L494,Factores!$B$7)</f>
        <v/>
      </c>
      <c r="O494">
        <f>IF(M494&gt;0,"OK","sin PEA -&gt; peor")</f>
        <v/>
      </c>
    </row>
    <row r="495">
      <c r="A495" t="inlineStr">
        <is>
          <t>150801</t>
        </is>
      </c>
      <c r="B495" t="inlineStr">
        <is>
          <t>HUACHO</t>
        </is>
      </c>
      <c r="C495" s="14">
        <f>'Empleo Censo'!G495-'Empleo Censo'!F495</f>
        <v/>
      </c>
      <c r="D495" s="14">
        <f>'Empleo Censo'!F495</f>
        <v/>
      </c>
      <c r="E495" s="14">
        <f>'Empleo Censo'!H495</f>
        <v/>
      </c>
      <c r="F495" s="14">
        <f>'Empleo Censo'!I495</f>
        <v/>
      </c>
      <c r="G495" s="14">
        <f>'Empleo Censo'!J495+'Empleo Censo'!K495</f>
        <v/>
      </c>
      <c r="H495" s="14">
        <f>'Empleo Censo'!L495</f>
        <v/>
      </c>
      <c r="I495" s="14">
        <f>'Empleo Censo'!M495</f>
        <v/>
      </c>
      <c r="J495" s="14">
        <f>SUM('Empleo Censo'!N495:AA495)</f>
        <v/>
      </c>
      <c r="K495" s="14">
        <f>SUM(C495:J495)</f>
        <v/>
      </c>
      <c r="L495" s="15">
        <f>SUMPRODUCT(C495:J495,Factores!$B$3:$I$3)</f>
        <v/>
      </c>
      <c r="M495" s="16">
        <f>'Empleo Censo'!E495</f>
        <v/>
      </c>
      <c r="N495" s="17">
        <f>IF(M495&gt;0,L495,Factores!$B$7)</f>
        <v/>
      </c>
      <c r="O495">
        <f>IF(M495&gt;0,"OK","sin PEA -&gt; peor")</f>
        <v/>
      </c>
    </row>
    <row r="496">
      <c r="A496" t="inlineStr">
        <is>
          <t>150802</t>
        </is>
      </c>
      <c r="B496" t="inlineStr">
        <is>
          <t>AMBAR</t>
        </is>
      </c>
      <c r="C496" s="14">
        <f>'Empleo Censo'!G496-'Empleo Censo'!F496</f>
        <v/>
      </c>
      <c r="D496" s="14">
        <f>'Empleo Censo'!F496</f>
        <v/>
      </c>
      <c r="E496" s="14">
        <f>'Empleo Censo'!H496</f>
        <v/>
      </c>
      <c r="F496" s="14">
        <f>'Empleo Censo'!I496</f>
        <v/>
      </c>
      <c r="G496" s="14">
        <f>'Empleo Censo'!J496+'Empleo Censo'!K496</f>
        <v/>
      </c>
      <c r="H496" s="14">
        <f>'Empleo Censo'!L496</f>
        <v/>
      </c>
      <c r="I496" s="14">
        <f>'Empleo Censo'!M496</f>
        <v/>
      </c>
      <c r="J496" s="14">
        <f>SUM('Empleo Censo'!N496:AA496)</f>
        <v/>
      </c>
      <c r="K496" s="14">
        <f>SUM(C496:J496)</f>
        <v/>
      </c>
      <c r="L496" s="15">
        <f>SUMPRODUCT(C496:J496,Factores!$B$3:$I$3)</f>
        <v/>
      </c>
      <c r="M496" s="16">
        <f>'Empleo Censo'!E496</f>
        <v/>
      </c>
      <c r="N496" s="17">
        <f>IF(M496&gt;0,L496,Factores!$B$7)</f>
        <v/>
      </c>
      <c r="O496">
        <f>IF(M496&gt;0,"OK","sin PEA -&gt; peor")</f>
        <v/>
      </c>
    </row>
    <row r="497">
      <c r="A497" t="inlineStr">
        <is>
          <t>150803</t>
        </is>
      </c>
      <c r="B497" t="inlineStr">
        <is>
          <t>CALETA DE CARQUIN</t>
        </is>
      </c>
      <c r="C497" s="14">
        <f>'Empleo Censo'!G497-'Empleo Censo'!F497</f>
        <v/>
      </c>
      <c r="D497" s="14">
        <f>'Empleo Censo'!F497</f>
        <v/>
      </c>
      <c r="E497" s="14">
        <f>'Empleo Censo'!H497</f>
        <v/>
      </c>
      <c r="F497" s="14">
        <f>'Empleo Censo'!I497</f>
        <v/>
      </c>
      <c r="G497" s="14">
        <f>'Empleo Censo'!J497+'Empleo Censo'!K497</f>
        <v/>
      </c>
      <c r="H497" s="14">
        <f>'Empleo Censo'!L497</f>
        <v/>
      </c>
      <c r="I497" s="14">
        <f>'Empleo Censo'!M497</f>
        <v/>
      </c>
      <c r="J497" s="14">
        <f>SUM('Empleo Censo'!N497:AA497)</f>
        <v/>
      </c>
      <c r="K497" s="14">
        <f>SUM(C497:J497)</f>
        <v/>
      </c>
      <c r="L497" s="15">
        <f>SUMPRODUCT(C497:J497,Factores!$B$3:$I$3)</f>
        <v/>
      </c>
      <c r="M497" s="16">
        <f>'Empleo Censo'!E497</f>
        <v/>
      </c>
      <c r="N497" s="17">
        <f>IF(M497&gt;0,L497,Factores!$B$7)</f>
        <v/>
      </c>
      <c r="O497">
        <f>IF(M497&gt;0,"OK","sin PEA -&gt; peor")</f>
        <v/>
      </c>
    </row>
    <row r="498">
      <c r="A498" t="inlineStr">
        <is>
          <t>150804</t>
        </is>
      </c>
      <c r="B498" t="inlineStr">
        <is>
          <t>CHECRAS</t>
        </is>
      </c>
      <c r="C498" s="14">
        <f>'Empleo Censo'!G498-'Empleo Censo'!F498</f>
        <v/>
      </c>
      <c r="D498" s="14">
        <f>'Empleo Censo'!F498</f>
        <v/>
      </c>
      <c r="E498" s="14">
        <f>'Empleo Censo'!H498</f>
        <v/>
      </c>
      <c r="F498" s="14">
        <f>'Empleo Censo'!I498</f>
        <v/>
      </c>
      <c r="G498" s="14">
        <f>'Empleo Censo'!J498+'Empleo Censo'!K498</f>
        <v/>
      </c>
      <c r="H498" s="14">
        <f>'Empleo Censo'!L498</f>
        <v/>
      </c>
      <c r="I498" s="14">
        <f>'Empleo Censo'!M498</f>
        <v/>
      </c>
      <c r="J498" s="14">
        <f>SUM('Empleo Censo'!N498:AA498)</f>
        <v/>
      </c>
      <c r="K498" s="14">
        <f>SUM(C498:J498)</f>
        <v/>
      </c>
      <c r="L498" s="15">
        <f>SUMPRODUCT(C498:J498,Factores!$B$3:$I$3)</f>
        <v/>
      </c>
      <c r="M498" s="16">
        <f>'Empleo Censo'!E498</f>
        <v/>
      </c>
      <c r="N498" s="17">
        <f>IF(M498&gt;0,L498,Factores!$B$7)</f>
        <v/>
      </c>
      <c r="O498">
        <f>IF(M498&gt;0,"OK","sin PEA -&gt; peor")</f>
        <v/>
      </c>
    </row>
    <row r="499">
      <c r="A499" t="inlineStr">
        <is>
          <t>150805</t>
        </is>
      </c>
      <c r="B499" t="inlineStr">
        <is>
          <t>HUALMAY</t>
        </is>
      </c>
      <c r="C499" s="14">
        <f>'Empleo Censo'!G499-'Empleo Censo'!F499</f>
        <v/>
      </c>
      <c r="D499" s="14">
        <f>'Empleo Censo'!F499</f>
        <v/>
      </c>
      <c r="E499" s="14">
        <f>'Empleo Censo'!H499</f>
        <v/>
      </c>
      <c r="F499" s="14">
        <f>'Empleo Censo'!I499</f>
        <v/>
      </c>
      <c r="G499" s="14">
        <f>'Empleo Censo'!J499+'Empleo Censo'!K499</f>
        <v/>
      </c>
      <c r="H499" s="14">
        <f>'Empleo Censo'!L499</f>
        <v/>
      </c>
      <c r="I499" s="14">
        <f>'Empleo Censo'!M499</f>
        <v/>
      </c>
      <c r="J499" s="14">
        <f>SUM('Empleo Censo'!N499:AA499)</f>
        <v/>
      </c>
      <c r="K499" s="14">
        <f>SUM(C499:J499)</f>
        <v/>
      </c>
      <c r="L499" s="15">
        <f>SUMPRODUCT(C499:J499,Factores!$B$3:$I$3)</f>
        <v/>
      </c>
      <c r="M499" s="16">
        <f>'Empleo Censo'!E499</f>
        <v/>
      </c>
      <c r="N499" s="17">
        <f>IF(M499&gt;0,L499,Factores!$B$7)</f>
        <v/>
      </c>
      <c r="O499">
        <f>IF(M499&gt;0,"OK","sin PEA -&gt; peor")</f>
        <v/>
      </c>
    </row>
    <row r="500">
      <c r="A500" t="inlineStr">
        <is>
          <t>150806</t>
        </is>
      </c>
      <c r="B500" t="inlineStr">
        <is>
          <t>HUAURA</t>
        </is>
      </c>
      <c r="C500" s="14">
        <f>'Empleo Censo'!G500-'Empleo Censo'!F500</f>
        <v/>
      </c>
      <c r="D500" s="14">
        <f>'Empleo Censo'!F500</f>
        <v/>
      </c>
      <c r="E500" s="14">
        <f>'Empleo Censo'!H500</f>
        <v/>
      </c>
      <c r="F500" s="14">
        <f>'Empleo Censo'!I500</f>
        <v/>
      </c>
      <c r="G500" s="14">
        <f>'Empleo Censo'!J500+'Empleo Censo'!K500</f>
        <v/>
      </c>
      <c r="H500" s="14">
        <f>'Empleo Censo'!L500</f>
        <v/>
      </c>
      <c r="I500" s="14">
        <f>'Empleo Censo'!M500</f>
        <v/>
      </c>
      <c r="J500" s="14">
        <f>SUM('Empleo Censo'!N500:AA500)</f>
        <v/>
      </c>
      <c r="K500" s="14">
        <f>SUM(C500:J500)</f>
        <v/>
      </c>
      <c r="L500" s="15">
        <f>SUMPRODUCT(C500:J500,Factores!$B$3:$I$3)</f>
        <v/>
      </c>
      <c r="M500" s="16">
        <f>'Empleo Censo'!E500</f>
        <v/>
      </c>
      <c r="N500" s="17">
        <f>IF(M500&gt;0,L500,Factores!$B$7)</f>
        <v/>
      </c>
      <c r="O500">
        <f>IF(M500&gt;0,"OK","sin PEA -&gt; peor")</f>
        <v/>
      </c>
    </row>
    <row r="501">
      <c r="A501" t="inlineStr">
        <is>
          <t>150807</t>
        </is>
      </c>
      <c r="B501" t="inlineStr">
        <is>
          <t>LEONCIO PRADO</t>
        </is>
      </c>
      <c r="C501" s="14">
        <f>'Empleo Censo'!G501-'Empleo Censo'!F501</f>
        <v/>
      </c>
      <c r="D501" s="14">
        <f>'Empleo Censo'!F501</f>
        <v/>
      </c>
      <c r="E501" s="14">
        <f>'Empleo Censo'!H501</f>
        <v/>
      </c>
      <c r="F501" s="14">
        <f>'Empleo Censo'!I501</f>
        <v/>
      </c>
      <c r="G501" s="14">
        <f>'Empleo Censo'!J501+'Empleo Censo'!K501</f>
        <v/>
      </c>
      <c r="H501" s="14">
        <f>'Empleo Censo'!L501</f>
        <v/>
      </c>
      <c r="I501" s="14">
        <f>'Empleo Censo'!M501</f>
        <v/>
      </c>
      <c r="J501" s="14">
        <f>SUM('Empleo Censo'!N501:AA501)</f>
        <v/>
      </c>
      <c r="K501" s="14">
        <f>SUM(C501:J501)</f>
        <v/>
      </c>
      <c r="L501" s="15">
        <f>SUMPRODUCT(C501:J501,Factores!$B$3:$I$3)</f>
        <v/>
      </c>
      <c r="M501" s="16">
        <f>'Empleo Censo'!E501</f>
        <v/>
      </c>
      <c r="N501" s="17">
        <f>IF(M501&gt;0,L501,Factores!$B$7)</f>
        <v/>
      </c>
      <c r="O501">
        <f>IF(M501&gt;0,"OK","sin PEA -&gt; peor")</f>
        <v/>
      </c>
    </row>
    <row r="502">
      <c r="A502" t="inlineStr">
        <is>
          <t>150808</t>
        </is>
      </c>
      <c r="B502" t="inlineStr">
        <is>
          <t>PACCHO</t>
        </is>
      </c>
      <c r="C502" s="14">
        <f>'Empleo Censo'!G502-'Empleo Censo'!F502</f>
        <v/>
      </c>
      <c r="D502" s="14">
        <f>'Empleo Censo'!F502</f>
        <v/>
      </c>
      <c r="E502" s="14">
        <f>'Empleo Censo'!H502</f>
        <v/>
      </c>
      <c r="F502" s="14">
        <f>'Empleo Censo'!I502</f>
        <v/>
      </c>
      <c r="G502" s="14">
        <f>'Empleo Censo'!J502+'Empleo Censo'!K502</f>
        <v/>
      </c>
      <c r="H502" s="14">
        <f>'Empleo Censo'!L502</f>
        <v/>
      </c>
      <c r="I502" s="14">
        <f>'Empleo Censo'!M502</f>
        <v/>
      </c>
      <c r="J502" s="14">
        <f>SUM('Empleo Censo'!N502:AA502)</f>
        <v/>
      </c>
      <c r="K502" s="14">
        <f>SUM(C502:J502)</f>
        <v/>
      </c>
      <c r="L502" s="15">
        <f>SUMPRODUCT(C502:J502,Factores!$B$3:$I$3)</f>
        <v/>
      </c>
      <c r="M502" s="16">
        <f>'Empleo Censo'!E502</f>
        <v/>
      </c>
      <c r="N502" s="17">
        <f>IF(M502&gt;0,L502,Factores!$B$7)</f>
        <v/>
      </c>
      <c r="O502">
        <f>IF(M502&gt;0,"OK","sin PEA -&gt; peor")</f>
        <v/>
      </c>
    </row>
    <row r="503">
      <c r="A503" t="inlineStr">
        <is>
          <t>150809</t>
        </is>
      </c>
      <c r="B503" t="inlineStr">
        <is>
          <t>SANTA LEONOR</t>
        </is>
      </c>
      <c r="C503" s="14">
        <f>'Empleo Censo'!G503-'Empleo Censo'!F503</f>
        <v/>
      </c>
      <c r="D503" s="14">
        <f>'Empleo Censo'!F503</f>
        <v/>
      </c>
      <c r="E503" s="14">
        <f>'Empleo Censo'!H503</f>
        <v/>
      </c>
      <c r="F503" s="14">
        <f>'Empleo Censo'!I503</f>
        <v/>
      </c>
      <c r="G503" s="14">
        <f>'Empleo Censo'!J503+'Empleo Censo'!K503</f>
        <v/>
      </c>
      <c r="H503" s="14">
        <f>'Empleo Censo'!L503</f>
        <v/>
      </c>
      <c r="I503" s="14">
        <f>'Empleo Censo'!M503</f>
        <v/>
      </c>
      <c r="J503" s="14">
        <f>SUM('Empleo Censo'!N503:AA503)</f>
        <v/>
      </c>
      <c r="K503" s="14">
        <f>SUM(C503:J503)</f>
        <v/>
      </c>
      <c r="L503" s="15">
        <f>SUMPRODUCT(C503:J503,Factores!$B$3:$I$3)</f>
        <v/>
      </c>
      <c r="M503" s="16">
        <f>'Empleo Censo'!E503</f>
        <v/>
      </c>
      <c r="N503" s="17">
        <f>IF(M503&gt;0,L503,Factores!$B$7)</f>
        <v/>
      </c>
      <c r="O503">
        <f>IF(M503&gt;0,"OK","sin PEA -&gt; peor")</f>
        <v/>
      </c>
    </row>
    <row r="504">
      <c r="A504" t="inlineStr">
        <is>
          <t>150810</t>
        </is>
      </c>
      <c r="B504" t="inlineStr">
        <is>
          <t>SANTA MARIA</t>
        </is>
      </c>
      <c r="C504" s="14">
        <f>'Empleo Censo'!G504-'Empleo Censo'!F504</f>
        <v/>
      </c>
      <c r="D504" s="14">
        <f>'Empleo Censo'!F504</f>
        <v/>
      </c>
      <c r="E504" s="14">
        <f>'Empleo Censo'!H504</f>
        <v/>
      </c>
      <c r="F504" s="14">
        <f>'Empleo Censo'!I504</f>
        <v/>
      </c>
      <c r="G504" s="14">
        <f>'Empleo Censo'!J504+'Empleo Censo'!K504</f>
        <v/>
      </c>
      <c r="H504" s="14">
        <f>'Empleo Censo'!L504</f>
        <v/>
      </c>
      <c r="I504" s="14">
        <f>'Empleo Censo'!M504</f>
        <v/>
      </c>
      <c r="J504" s="14">
        <f>SUM('Empleo Censo'!N504:AA504)</f>
        <v/>
      </c>
      <c r="K504" s="14">
        <f>SUM(C504:J504)</f>
        <v/>
      </c>
      <c r="L504" s="15">
        <f>SUMPRODUCT(C504:J504,Factores!$B$3:$I$3)</f>
        <v/>
      </c>
      <c r="M504" s="16">
        <f>'Empleo Censo'!E504</f>
        <v/>
      </c>
      <c r="N504" s="17">
        <f>IF(M504&gt;0,L504,Factores!$B$7)</f>
        <v/>
      </c>
      <c r="O504">
        <f>IF(M504&gt;0,"OK","sin PEA -&gt; peor")</f>
        <v/>
      </c>
    </row>
    <row r="505">
      <c r="A505" t="inlineStr">
        <is>
          <t>150811</t>
        </is>
      </c>
      <c r="B505" t="inlineStr">
        <is>
          <t>SAYAN</t>
        </is>
      </c>
      <c r="C505" s="14">
        <f>'Empleo Censo'!G505-'Empleo Censo'!F505</f>
        <v/>
      </c>
      <c r="D505" s="14">
        <f>'Empleo Censo'!F505</f>
        <v/>
      </c>
      <c r="E505" s="14">
        <f>'Empleo Censo'!H505</f>
        <v/>
      </c>
      <c r="F505" s="14">
        <f>'Empleo Censo'!I505</f>
        <v/>
      </c>
      <c r="G505" s="14">
        <f>'Empleo Censo'!J505+'Empleo Censo'!K505</f>
        <v/>
      </c>
      <c r="H505" s="14">
        <f>'Empleo Censo'!L505</f>
        <v/>
      </c>
      <c r="I505" s="14">
        <f>'Empleo Censo'!M505</f>
        <v/>
      </c>
      <c r="J505" s="14">
        <f>SUM('Empleo Censo'!N505:AA505)</f>
        <v/>
      </c>
      <c r="K505" s="14">
        <f>SUM(C505:J505)</f>
        <v/>
      </c>
      <c r="L505" s="15">
        <f>SUMPRODUCT(C505:J505,Factores!$B$3:$I$3)</f>
        <v/>
      </c>
      <c r="M505" s="16">
        <f>'Empleo Censo'!E505</f>
        <v/>
      </c>
      <c r="N505" s="17">
        <f>IF(M505&gt;0,L505,Factores!$B$7)</f>
        <v/>
      </c>
      <c r="O505">
        <f>IF(M505&gt;0,"OK","sin PEA -&gt; peor")</f>
        <v/>
      </c>
    </row>
    <row r="506">
      <c r="A506" t="inlineStr">
        <is>
          <t>150812</t>
        </is>
      </c>
      <c r="B506" t="inlineStr">
        <is>
          <t>VEGUETA</t>
        </is>
      </c>
      <c r="C506" s="14">
        <f>'Empleo Censo'!G506-'Empleo Censo'!F506</f>
        <v/>
      </c>
      <c r="D506" s="14">
        <f>'Empleo Censo'!F506</f>
        <v/>
      </c>
      <c r="E506" s="14">
        <f>'Empleo Censo'!H506</f>
        <v/>
      </c>
      <c r="F506" s="14">
        <f>'Empleo Censo'!I506</f>
        <v/>
      </c>
      <c r="G506" s="14">
        <f>'Empleo Censo'!J506+'Empleo Censo'!K506</f>
        <v/>
      </c>
      <c r="H506" s="14">
        <f>'Empleo Censo'!L506</f>
        <v/>
      </c>
      <c r="I506" s="14">
        <f>'Empleo Censo'!M506</f>
        <v/>
      </c>
      <c r="J506" s="14">
        <f>SUM('Empleo Censo'!N506:AA506)</f>
        <v/>
      </c>
      <c r="K506" s="14">
        <f>SUM(C506:J506)</f>
        <v/>
      </c>
      <c r="L506" s="15">
        <f>SUMPRODUCT(C506:J506,Factores!$B$3:$I$3)</f>
        <v/>
      </c>
      <c r="M506" s="16">
        <f>'Empleo Censo'!E506</f>
        <v/>
      </c>
      <c r="N506" s="17">
        <f>IF(M506&gt;0,L506,Factores!$B$7)</f>
        <v/>
      </c>
      <c r="O506">
        <f>IF(M506&gt;0,"OK","sin PEA -&gt; peor")</f>
        <v/>
      </c>
    </row>
    <row r="507">
      <c r="A507" t="inlineStr">
        <is>
          <t>150901</t>
        </is>
      </c>
      <c r="B507" t="inlineStr">
        <is>
          <t>OYON</t>
        </is>
      </c>
      <c r="C507" s="14">
        <f>'Empleo Censo'!G507-'Empleo Censo'!F507</f>
        <v/>
      </c>
      <c r="D507" s="14">
        <f>'Empleo Censo'!F507</f>
        <v/>
      </c>
      <c r="E507" s="14">
        <f>'Empleo Censo'!H507</f>
        <v/>
      </c>
      <c r="F507" s="14">
        <f>'Empleo Censo'!I507</f>
        <v/>
      </c>
      <c r="G507" s="14">
        <f>'Empleo Censo'!J507+'Empleo Censo'!K507</f>
        <v/>
      </c>
      <c r="H507" s="14">
        <f>'Empleo Censo'!L507</f>
        <v/>
      </c>
      <c r="I507" s="14">
        <f>'Empleo Censo'!M507</f>
        <v/>
      </c>
      <c r="J507" s="14">
        <f>SUM('Empleo Censo'!N507:AA507)</f>
        <v/>
      </c>
      <c r="K507" s="14">
        <f>SUM(C507:J507)</f>
        <v/>
      </c>
      <c r="L507" s="15">
        <f>SUMPRODUCT(C507:J507,Factores!$B$3:$I$3)</f>
        <v/>
      </c>
      <c r="M507" s="16">
        <f>'Empleo Censo'!E507</f>
        <v/>
      </c>
      <c r="N507" s="17">
        <f>IF(M507&gt;0,L507,Factores!$B$7)</f>
        <v/>
      </c>
      <c r="O507">
        <f>IF(M507&gt;0,"OK","sin PEA -&gt; peor")</f>
        <v/>
      </c>
    </row>
    <row r="508">
      <c r="A508" t="inlineStr">
        <is>
          <t>150902</t>
        </is>
      </c>
      <c r="B508" t="inlineStr">
        <is>
          <t>ANDAJES</t>
        </is>
      </c>
      <c r="C508" s="14">
        <f>'Empleo Censo'!G508-'Empleo Censo'!F508</f>
        <v/>
      </c>
      <c r="D508" s="14">
        <f>'Empleo Censo'!F508</f>
        <v/>
      </c>
      <c r="E508" s="14">
        <f>'Empleo Censo'!H508</f>
        <v/>
      </c>
      <c r="F508" s="14">
        <f>'Empleo Censo'!I508</f>
        <v/>
      </c>
      <c r="G508" s="14">
        <f>'Empleo Censo'!J508+'Empleo Censo'!K508</f>
        <v/>
      </c>
      <c r="H508" s="14">
        <f>'Empleo Censo'!L508</f>
        <v/>
      </c>
      <c r="I508" s="14">
        <f>'Empleo Censo'!M508</f>
        <v/>
      </c>
      <c r="J508" s="14">
        <f>SUM('Empleo Censo'!N508:AA508)</f>
        <v/>
      </c>
      <c r="K508" s="14">
        <f>SUM(C508:J508)</f>
        <v/>
      </c>
      <c r="L508" s="15">
        <f>SUMPRODUCT(C508:J508,Factores!$B$3:$I$3)</f>
        <v/>
      </c>
      <c r="M508" s="16">
        <f>'Empleo Censo'!E508</f>
        <v/>
      </c>
      <c r="N508" s="17">
        <f>IF(M508&gt;0,L508,Factores!$B$7)</f>
        <v/>
      </c>
      <c r="O508">
        <f>IF(M508&gt;0,"OK","sin PEA -&gt; peor")</f>
        <v/>
      </c>
    </row>
    <row r="509">
      <c r="A509" t="inlineStr">
        <is>
          <t>150903</t>
        </is>
      </c>
      <c r="B509" t="inlineStr">
        <is>
          <t>CAUJUL</t>
        </is>
      </c>
      <c r="C509" s="14">
        <f>'Empleo Censo'!G509-'Empleo Censo'!F509</f>
        <v/>
      </c>
      <c r="D509" s="14">
        <f>'Empleo Censo'!F509</f>
        <v/>
      </c>
      <c r="E509" s="14">
        <f>'Empleo Censo'!H509</f>
        <v/>
      </c>
      <c r="F509" s="14">
        <f>'Empleo Censo'!I509</f>
        <v/>
      </c>
      <c r="G509" s="14">
        <f>'Empleo Censo'!J509+'Empleo Censo'!K509</f>
        <v/>
      </c>
      <c r="H509" s="14">
        <f>'Empleo Censo'!L509</f>
        <v/>
      </c>
      <c r="I509" s="14">
        <f>'Empleo Censo'!M509</f>
        <v/>
      </c>
      <c r="J509" s="14">
        <f>SUM('Empleo Censo'!N509:AA509)</f>
        <v/>
      </c>
      <c r="K509" s="14">
        <f>SUM(C509:J509)</f>
        <v/>
      </c>
      <c r="L509" s="15">
        <f>SUMPRODUCT(C509:J509,Factores!$B$3:$I$3)</f>
        <v/>
      </c>
      <c r="M509" s="16">
        <f>'Empleo Censo'!E509</f>
        <v/>
      </c>
      <c r="N509" s="17">
        <f>IF(M509&gt;0,L509,Factores!$B$7)</f>
        <v/>
      </c>
      <c r="O509">
        <f>IF(M509&gt;0,"OK","sin PEA -&gt; peor")</f>
        <v/>
      </c>
    </row>
    <row r="510">
      <c r="A510" t="inlineStr">
        <is>
          <t>150904</t>
        </is>
      </c>
      <c r="B510" t="inlineStr">
        <is>
          <t>COCHAMARCA</t>
        </is>
      </c>
      <c r="C510" s="14">
        <f>'Empleo Censo'!G510-'Empleo Censo'!F510</f>
        <v/>
      </c>
      <c r="D510" s="14">
        <f>'Empleo Censo'!F510</f>
        <v/>
      </c>
      <c r="E510" s="14">
        <f>'Empleo Censo'!H510</f>
        <v/>
      </c>
      <c r="F510" s="14">
        <f>'Empleo Censo'!I510</f>
        <v/>
      </c>
      <c r="G510" s="14">
        <f>'Empleo Censo'!J510+'Empleo Censo'!K510</f>
        <v/>
      </c>
      <c r="H510" s="14">
        <f>'Empleo Censo'!L510</f>
        <v/>
      </c>
      <c r="I510" s="14">
        <f>'Empleo Censo'!M510</f>
        <v/>
      </c>
      <c r="J510" s="14">
        <f>SUM('Empleo Censo'!N510:AA510)</f>
        <v/>
      </c>
      <c r="K510" s="14">
        <f>SUM(C510:J510)</f>
        <v/>
      </c>
      <c r="L510" s="15">
        <f>SUMPRODUCT(C510:J510,Factores!$B$3:$I$3)</f>
        <v/>
      </c>
      <c r="M510" s="16">
        <f>'Empleo Censo'!E510</f>
        <v/>
      </c>
      <c r="N510" s="17">
        <f>IF(M510&gt;0,L510,Factores!$B$7)</f>
        <v/>
      </c>
      <c r="O510">
        <f>IF(M510&gt;0,"OK","sin PEA -&gt; peor")</f>
        <v/>
      </c>
    </row>
    <row r="511">
      <c r="A511" t="inlineStr">
        <is>
          <t>150905</t>
        </is>
      </c>
      <c r="B511" t="inlineStr"/>
      <c r="C511" s="14">
        <f>'Empleo Censo'!G511-'Empleo Censo'!F511</f>
        <v/>
      </c>
      <c r="D511" s="14">
        <f>'Empleo Censo'!F511</f>
        <v/>
      </c>
      <c r="E511" s="14">
        <f>'Empleo Censo'!H511</f>
        <v/>
      </c>
      <c r="F511" s="14">
        <f>'Empleo Censo'!I511</f>
        <v/>
      </c>
      <c r="G511" s="14">
        <f>'Empleo Censo'!J511+'Empleo Censo'!K511</f>
        <v/>
      </c>
      <c r="H511" s="14">
        <f>'Empleo Censo'!L511</f>
        <v/>
      </c>
      <c r="I511" s="14">
        <f>'Empleo Censo'!M511</f>
        <v/>
      </c>
      <c r="J511" s="14">
        <f>SUM('Empleo Censo'!N511:AA511)</f>
        <v/>
      </c>
      <c r="K511" s="14">
        <f>SUM(C511:J511)</f>
        <v/>
      </c>
      <c r="L511" s="15">
        <f>SUMPRODUCT(C511:J511,Factores!$B$3:$I$3)</f>
        <v/>
      </c>
      <c r="M511" s="16">
        <f>'Empleo Censo'!E511</f>
        <v/>
      </c>
      <c r="N511" s="17">
        <f>IF(M511&gt;0,L511,Factores!$B$7)</f>
        <v/>
      </c>
      <c r="O511">
        <f>IF(M511&gt;0,"OK","sin PEA -&gt; peor")</f>
        <v/>
      </c>
    </row>
    <row r="512">
      <c r="A512" t="inlineStr">
        <is>
          <t>150906</t>
        </is>
      </c>
      <c r="B512" t="inlineStr">
        <is>
          <t>PACHANGARA</t>
        </is>
      </c>
      <c r="C512" s="14">
        <f>'Empleo Censo'!G512-'Empleo Censo'!F512</f>
        <v/>
      </c>
      <c r="D512" s="14">
        <f>'Empleo Censo'!F512</f>
        <v/>
      </c>
      <c r="E512" s="14">
        <f>'Empleo Censo'!H512</f>
        <v/>
      </c>
      <c r="F512" s="14">
        <f>'Empleo Censo'!I512</f>
        <v/>
      </c>
      <c r="G512" s="14">
        <f>'Empleo Censo'!J512+'Empleo Censo'!K512</f>
        <v/>
      </c>
      <c r="H512" s="14">
        <f>'Empleo Censo'!L512</f>
        <v/>
      </c>
      <c r="I512" s="14">
        <f>'Empleo Censo'!M512</f>
        <v/>
      </c>
      <c r="J512" s="14">
        <f>SUM('Empleo Censo'!N512:AA512)</f>
        <v/>
      </c>
      <c r="K512" s="14">
        <f>SUM(C512:J512)</f>
        <v/>
      </c>
      <c r="L512" s="15">
        <f>SUMPRODUCT(C512:J512,Factores!$B$3:$I$3)</f>
        <v/>
      </c>
      <c r="M512" s="16">
        <f>'Empleo Censo'!E512</f>
        <v/>
      </c>
      <c r="N512" s="17">
        <f>IF(M512&gt;0,L512,Factores!$B$7)</f>
        <v/>
      </c>
      <c r="O512">
        <f>IF(M512&gt;0,"OK","sin PEA -&gt; peor")</f>
        <v/>
      </c>
    </row>
    <row r="513">
      <c r="A513" t="inlineStr">
        <is>
          <t>151001</t>
        </is>
      </c>
      <c r="B513" t="inlineStr">
        <is>
          <t>YAUYOS</t>
        </is>
      </c>
      <c r="C513" s="14">
        <f>'Empleo Censo'!G513-'Empleo Censo'!F513</f>
        <v/>
      </c>
      <c r="D513" s="14">
        <f>'Empleo Censo'!F513</f>
        <v/>
      </c>
      <c r="E513" s="14">
        <f>'Empleo Censo'!H513</f>
        <v/>
      </c>
      <c r="F513" s="14">
        <f>'Empleo Censo'!I513</f>
        <v/>
      </c>
      <c r="G513" s="14">
        <f>'Empleo Censo'!J513+'Empleo Censo'!K513</f>
        <v/>
      </c>
      <c r="H513" s="14">
        <f>'Empleo Censo'!L513</f>
        <v/>
      </c>
      <c r="I513" s="14">
        <f>'Empleo Censo'!M513</f>
        <v/>
      </c>
      <c r="J513" s="14">
        <f>SUM('Empleo Censo'!N513:AA513)</f>
        <v/>
      </c>
      <c r="K513" s="14">
        <f>SUM(C513:J513)</f>
        <v/>
      </c>
      <c r="L513" s="15">
        <f>SUMPRODUCT(C513:J513,Factores!$B$3:$I$3)</f>
        <v/>
      </c>
      <c r="M513" s="16">
        <f>'Empleo Censo'!E513</f>
        <v/>
      </c>
      <c r="N513" s="17">
        <f>IF(M513&gt;0,L513,Factores!$B$7)</f>
        <v/>
      </c>
      <c r="O513">
        <f>IF(M513&gt;0,"OK","sin PEA -&gt; peor")</f>
        <v/>
      </c>
    </row>
    <row r="514">
      <c r="A514" t="inlineStr">
        <is>
          <t>151002</t>
        </is>
      </c>
      <c r="B514" t="inlineStr">
        <is>
          <t>ALIS</t>
        </is>
      </c>
      <c r="C514" s="14">
        <f>'Empleo Censo'!G514-'Empleo Censo'!F514</f>
        <v/>
      </c>
      <c r="D514" s="14">
        <f>'Empleo Censo'!F514</f>
        <v/>
      </c>
      <c r="E514" s="14">
        <f>'Empleo Censo'!H514</f>
        <v/>
      </c>
      <c r="F514" s="14">
        <f>'Empleo Censo'!I514</f>
        <v/>
      </c>
      <c r="G514" s="14">
        <f>'Empleo Censo'!J514+'Empleo Censo'!K514</f>
        <v/>
      </c>
      <c r="H514" s="14">
        <f>'Empleo Censo'!L514</f>
        <v/>
      </c>
      <c r="I514" s="14">
        <f>'Empleo Censo'!M514</f>
        <v/>
      </c>
      <c r="J514" s="14">
        <f>SUM('Empleo Censo'!N514:AA514)</f>
        <v/>
      </c>
      <c r="K514" s="14">
        <f>SUM(C514:J514)</f>
        <v/>
      </c>
      <c r="L514" s="15">
        <f>SUMPRODUCT(C514:J514,Factores!$B$3:$I$3)</f>
        <v/>
      </c>
      <c r="M514" s="16">
        <f>'Empleo Censo'!E514</f>
        <v/>
      </c>
      <c r="N514" s="17">
        <f>IF(M514&gt;0,L514,Factores!$B$7)</f>
        <v/>
      </c>
      <c r="O514">
        <f>IF(M514&gt;0,"OK","sin PEA -&gt; peor")</f>
        <v/>
      </c>
    </row>
    <row r="515">
      <c r="A515" t="inlineStr">
        <is>
          <t>151003</t>
        </is>
      </c>
      <c r="B515" t="inlineStr">
        <is>
          <t>AYAUCA</t>
        </is>
      </c>
      <c r="C515" s="14">
        <f>'Empleo Censo'!G515-'Empleo Censo'!F515</f>
        <v/>
      </c>
      <c r="D515" s="14">
        <f>'Empleo Censo'!F515</f>
        <v/>
      </c>
      <c r="E515" s="14">
        <f>'Empleo Censo'!H515</f>
        <v/>
      </c>
      <c r="F515" s="14">
        <f>'Empleo Censo'!I515</f>
        <v/>
      </c>
      <c r="G515" s="14">
        <f>'Empleo Censo'!J515+'Empleo Censo'!K515</f>
        <v/>
      </c>
      <c r="H515" s="14">
        <f>'Empleo Censo'!L515</f>
        <v/>
      </c>
      <c r="I515" s="14">
        <f>'Empleo Censo'!M515</f>
        <v/>
      </c>
      <c r="J515" s="14">
        <f>SUM('Empleo Censo'!N515:AA515)</f>
        <v/>
      </c>
      <c r="K515" s="14">
        <f>SUM(C515:J515)</f>
        <v/>
      </c>
      <c r="L515" s="15">
        <f>SUMPRODUCT(C515:J515,Factores!$B$3:$I$3)</f>
        <v/>
      </c>
      <c r="M515" s="16">
        <f>'Empleo Censo'!E515</f>
        <v/>
      </c>
      <c r="N515" s="17">
        <f>IF(M515&gt;0,L515,Factores!$B$7)</f>
        <v/>
      </c>
      <c r="O515">
        <f>IF(M515&gt;0,"OK","sin PEA -&gt; peor")</f>
        <v/>
      </c>
    </row>
    <row r="516">
      <c r="A516" t="inlineStr">
        <is>
          <t>151004</t>
        </is>
      </c>
      <c r="B516" t="inlineStr">
        <is>
          <t>AYAVIRI</t>
        </is>
      </c>
      <c r="C516" s="14">
        <f>'Empleo Censo'!G516-'Empleo Censo'!F516</f>
        <v/>
      </c>
      <c r="D516" s="14">
        <f>'Empleo Censo'!F516</f>
        <v/>
      </c>
      <c r="E516" s="14">
        <f>'Empleo Censo'!H516</f>
        <v/>
      </c>
      <c r="F516" s="14">
        <f>'Empleo Censo'!I516</f>
        <v/>
      </c>
      <c r="G516" s="14">
        <f>'Empleo Censo'!J516+'Empleo Censo'!K516</f>
        <v/>
      </c>
      <c r="H516" s="14">
        <f>'Empleo Censo'!L516</f>
        <v/>
      </c>
      <c r="I516" s="14">
        <f>'Empleo Censo'!M516</f>
        <v/>
      </c>
      <c r="J516" s="14">
        <f>SUM('Empleo Censo'!N516:AA516)</f>
        <v/>
      </c>
      <c r="K516" s="14">
        <f>SUM(C516:J516)</f>
        <v/>
      </c>
      <c r="L516" s="15">
        <f>SUMPRODUCT(C516:J516,Factores!$B$3:$I$3)</f>
        <v/>
      </c>
      <c r="M516" s="16">
        <f>'Empleo Censo'!E516</f>
        <v/>
      </c>
      <c r="N516" s="17">
        <f>IF(M516&gt;0,L516,Factores!$B$7)</f>
        <v/>
      </c>
      <c r="O516">
        <f>IF(M516&gt;0,"OK","sin PEA -&gt; peor")</f>
        <v/>
      </c>
    </row>
    <row r="517">
      <c r="A517" t="inlineStr">
        <is>
          <t>151005</t>
        </is>
      </c>
      <c r="B517" t="inlineStr">
        <is>
          <t>AZANGARO</t>
        </is>
      </c>
      <c r="C517" s="14">
        <f>'Empleo Censo'!G517-'Empleo Censo'!F517</f>
        <v/>
      </c>
      <c r="D517" s="14">
        <f>'Empleo Censo'!F517</f>
        <v/>
      </c>
      <c r="E517" s="14">
        <f>'Empleo Censo'!H517</f>
        <v/>
      </c>
      <c r="F517" s="14">
        <f>'Empleo Censo'!I517</f>
        <v/>
      </c>
      <c r="G517" s="14">
        <f>'Empleo Censo'!J517+'Empleo Censo'!K517</f>
        <v/>
      </c>
      <c r="H517" s="14">
        <f>'Empleo Censo'!L517</f>
        <v/>
      </c>
      <c r="I517" s="14">
        <f>'Empleo Censo'!M517</f>
        <v/>
      </c>
      <c r="J517" s="14">
        <f>SUM('Empleo Censo'!N517:AA517)</f>
        <v/>
      </c>
      <c r="K517" s="14">
        <f>SUM(C517:J517)</f>
        <v/>
      </c>
      <c r="L517" s="15">
        <f>SUMPRODUCT(C517:J517,Factores!$B$3:$I$3)</f>
        <v/>
      </c>
      <c r="M517" s="16">
        <f>'Empleo Censo'!E517</f>
        <v/>
      </c>
      <c r="N517" s="17">
        <f>IF(M517&gt;0,L517,Factores!$B$7)</f>
        <v/>
      </c>
      <c r="O517">
        <f>IF(M517&gt;0,"OK","sin PEA -&gt; peor")</f>
        <v/>
      </c>
    </row>
    <row r="518">
      <c r="A518" t="inlineStr">
        <is>
          <t>151006</t>
        </is>
      </c>
      <c r="B518" t="inlineStr">
        <is>
          <t>CACRA</t>
        </is>
      </c>
      <c r="C518" s="14">
        <f>'Empleo Censo'!G518-'Empleo Censo'!F518</f>
        <v/>
      </c>
      <c r="D518" s="14">
        <f>'Empleo Censo'!F518</f>
        <v/>
      </c>
      <c r="E518" s="14">
        <f>'Empleo Censo'!H518</f>
        <v/>
      </c>
      <c r="F518" s="14">
        <f>'Empleo Censo'!I518</f>
        <v/>
      </c>
      <c r="G518" s="14">
        <f>'Empleo Censo'!J518+'Empleo Censo'!K518</f>
        <v/>
      </c>
      <c r="H518" s="14">
        <f>'Empleo Censo'!L518</f>
        <v/>
      </c>
      <c r="I518" s="14">
        <f>'Empleo Censo'!M518</f>
        <v/>
      </c>
      <c r="J518" s="14">
        <f>SUM('Empleo Censo'!N518:AA518)</f>
        <v/>
      </c>
      <c r="K518" s="14">
        <f>SUM(C518:J518)</f>
        <v/>
      </c>
      <c r="L518" s="15">
        <f>SUMPRODUCT(C518:J518,Factores!$B$3:$I$3)</f>
        <v/>
      </c>
      <c r="M518" s="16">
        <f>'Empleo Censo'!E518</f>
        <v/>
      </c>
      <c r="N518" s="17">
        <f>IF(M518&gt;0,L518,Factores!$B$7)</f>
        <v/>
      </c>
      <c r="O518">
        <f>IF(M518&gt;0,"OK","sin PEA -&gt; peor")</f>
        <v/>
      </c>
    </row>
    <row r="519">
      <c r="A519" t="inlineStr">
        <is>
          <t>151007</t>
        </is>
      </c>
      <c r="B519" t="inlineStr">
        <is>
          <t>CARANIA</t>
        </is>
      </c>
      <c r="C519" s="14">
        <f>'Empleo Censo'!G519-'Empleo Censo'!F519</f>
        <v/>
      </c>
      <c r="D519" s="14">
        <f>'Empleo Censo'!F519</f>
        <v/>
      </c>
      <c r="E519" s="14">
        <f>'Empleo Censo'!H519</f>
        <v/>
      </c>
      <c r="F519" s="14">
        <f>'Empleo Censo'!I519</f>
        <v/>
      </c>
      <c r="G519" s="14">
        <f>'Empleo Censo'!J519+'Empleo Censo'!K519</f>
        <v/>
      </c>
      <c r="H519" s="14">
        <f>'Empleo Censo'!L519</f>
        <v/>
      </c>
      <c r="I519" s="14">
        <f>'Empleo Censo'!M519</f>
        <v/>
      </c>
      <c r="J519" s="14">
        <f>SUM('Empleo Censo'!N519:AA519)</f>
        <v/>
      </c>
      <c r="K519" s="14">
        <f>SUM(C519:J519)</f>
        <v/>
      </c>
      <c r="L519" s="15">
        <f>SUMPRODUCT(C519:J519,Factores!$B$3:$I$3)</f>
        <v/>
      </c>
      <c r="M519" s="16">
        <f>'Empleo Censo'!E519</f>
        <v/>
      </c>
      <c r="N519" s="17">
        <f>IF(M519&gt;0,L519,Factores!$B$7)</f>
        <v/>
      </c>
      <c r="O519">
        <f>IF(M519&gt;0,"OK","sin PEA -&gt; peor")</f>
        <v/>
      </c>
    </row>
    <row r="520">
      <c r="A520" t="inlineStr">
        <is>
          <t>151008</t>
        </is>
      </c>
      <c r="B520" t="inlineStr">
        <is>
          <t>CATAHUASI</t>
        </is>
      </c>
      <c r="C520" s="14">
        <f>'Empleo Censo'!G520-'Empleo Censo'!F520</f>
        <v/>
      </c>
      <c r="D520" s="14">
        <f>'Empleo Censo'!F520</f>
        <v/>
      </c>
      <c r="E520" s="14">
        <f>'Empleo Censo'!H520</f>
        <v/>
      </c>
      <c r="F520" s="14">
        <f>'Empleo Censo'!I520</f>
        <v/>
      </c>
      <c r="G520" s="14">
        <f>'Empleo Censo'!J520+'Empleo Censo'!K520</f>
        <v/>
      </c>
      <c r="H520" s="14">
        <f>'Empleo Censo'!L520</f>
        <v/>
      </c>
      <c r="I520" s="14">
        <f>'Empleo Censo'!M520</f>
        <v/>
      </c>
      <c r="J520" s="14">
        <f>SUM('Empleo Censo'!N520:AA520)</f>
        <v/>
      </c>
      <c r="K520" s="14">
        <f>SUM(C520:J520)</f>
        <v/>
      </c>
      <c r="L520" s="15">
        <f>SUMPRODUCT(C520:J520,Factores!$B$3:$I$3)</f>
        <v/>
      </c>
      <c r="M520" s="16">
        <f>'Empleo Censo'!E520</f>
        <v/>
      </c>
      <c r="N520" s="17">
        <f>IF(M520&gt;0,L520,Factores!$B$7)</f>
        <v/>
      </c>
      <c r="O520">
        <f>IF(M520&gt;0,"OK","sin PEA -&gt; peor")</f>
        <v/>
      </c>
    </row>
    <row r="521">
      <c r="A521" t="inlineStr">
        <is>
          <t>151009</t>
        </is>
      </c>
      <c r="B521" t="inlineStr">
        <is>
          <t>CHOCOS</t>
        </is>
      </c>
      <c r="C521" s="14">
        <f>'Empleo Censo'!G521-'Empleo Censo'!F521</f>
        <v/>
      </c>
      <c r="D521" s="14">
        <f>'Empleo Censo'!F521</f>
        <v/>
      </c>
      <c r="E521" s="14">
        <f>'Empleo Censo'!H521</f>
        <v/>
      </c>
      <c r="F521" s="14">
        <f>'Empleo Censo'!I521</f>
        <v/>
      </c>
      <c r="G521" s="14">
        <f>'Empleo Censo'!J521+'Empleo Censo'!K521</f>
        <v/>
      </c>
      <c r="H521" s="14">
        <f>'Empleo Censo'!L521</f>
        <v/>
      </c>
      <c r="I521" s="14">
        <f>'Empleo Censo'!M521</f>
        <v/>
      </c>
      <c r="J521" s="14">
        <f>SUM('Empleo Censo'!N521:AA521)</f>
        <v/>
      </c>
      <c r="K521" s="14">
        <f>SUM(C521:J521)</f>
        <v/>
      </c>
      <c r="L521" s="15">
        <f>SUMPRODUCT(C521:J521,Factores!$B$3:$I$3)</f>
        <v/>
      </c>
      <c r="M521" s="16">
        <f>'Empleo Censo'!E521</f>
        <v/>
      </c>
      <c r="N521" s="17">
        <f>IF(M521&gt;0,L521,Factores!$B$7)</f>
        <v/>
      </c>
      <c r="O521">
        <f>IF(M521&gt;0,"OK","sin PEA -&gt; peor")</f>
        <v/>
      </c>
    </row>
    <row r="522">
      <c r="A522" t="inlineStr">
        <is>
          <t>151010</t>
        </is>
      </c>
      <c r="B522" t="inlineStr">
        <is>
          <t>COCHAS</t>
        </is>
      </c>
      <c r="C522" s="14">
        <f>'Empleo Censo'!G522-'Empleo Censo'!F522</f>
        <v/>
      </c>
      <c r="D522" s="14">
        <f>'Empleo Censo'!F522</f>
        <v/>
      </c>
      <c r="E522" s="14">
        <f>'Empleo Censo'!H522</f>
        <v/>
      </c>
      <c r="F522" s="14">
        <f>'Empleo Censo'!I522</f>
        <v/>
      </c>
      <c r="G522" s="14">
        <f>'Empleo Censo'!J522+'Empleo Censo'!K522</f>
        <v/>
      </c>
      <c r="H522" s="14">
        <f>'Empleo Censo'!L522</f>
        <v/>
      </c>
      <c r="I522" s="14">
        <f>'Empleo Censo'!M522</f>
        <v/>
      </c>
      <c r="J522" s="14">
        <f>SUM('Empleo Censo'!N522:AA522)</f>
        <v/>
      </c>
      <c r="K522" s="14">
        <f>SUM(C522:J522)</f>
        <v/>
      </c>
      <c r="L522" s="15">
        <f>SUMPRODUCT(C522:J522,Factores!$B$3:$I$3)</f>
        <v/>
      </c>
      <c r="M522" s="16">
        <f>'Empleo Censo'!E522</f>
        <v/>
      </c>
      <c r="N522" s="17">
        <f>IF(M522&gt;0,L522,Factores!$B$7)</f>
        <v/>
      </c>
      <c r="O522">
        <f>IF(M522&gt;0,"OK","sin PEA -&gt; peor")</f>
        <v/>
      </c>
    </row>
    <row r="523">
      <c r="A523" t="inlineStr">
        <is>
          <t>151011</t>
        </is>
      </c>
      <c r="B523" t="inlineStr">
        <is>
          <t>COLONIA</t>
        </is>
      </c>
      <c r="C523" s="14">
        <f>'Empleo Censo'!G523-'Empleo Censo'!F523</f>
        <v/>
      </c>
      <c r="D523" s="14">
        <f>'Empleo Censo'!F523</f>
        <v/>
      </c>
      <c r="E523" s="14">
        <f>'Empleo Censo'!H523</f>
        <v/>
      </c>
      <c r="F523" s="14">
        <f>'Empleo Censo'!I523</f>
        <v/>
      </c>
      <c r="G523" s="14">
        <f>'Empleo Censo'!J523+'Empleo Censo'!K523</f>
        <v/>
      </c>
      <c r="H523" s="14">
        <f>'Empleo Censo'!L523</f>
        <v/>
      </c>
      <c r="I523" s="14">
        <f>'Empleo Censo'!M523</f>
        <v/>
      </c>
      <c r="J523" s="14">
        <f>SUM('Empleo Censo'!N523:AA523)</f>
        <v/>
      </c>
      <c r="K523" s="14">
        <f>SUM(C523:J523)</f>
        <v/>
      </c>
      <c r="L523" s="15">
        <f>SUMPRODUCT(C523:J523,Factores!$B$3:$I$3)</f>
        <v/>
      </c>
      <c r="M523" s="16">
        <f>'Empleo Censo'!E523</f>
        <v/>
      </c>
      <c r="N523" s="17">
        <f>IF(M523&gt;0,L523,Factores!$B$7)</f>
        <v/>
      </c>
      <c r="O523">
        <f>IF(M523&gt;0,"OK","sin PEA -&gt; peor")</f>
        <v/>
      </c>
    </row>
    <row r="524">
      <c r="A524" t="inlineStr">
        <is>
          <t>151012</t>
        </is>
      </c>
      <c r="B524" t="inlineStr">
        <is>
          <t>HONGOS</t>
        </is>
      </c>
      <c r="C524" s="14">
        <f>'Empleo Censo'!G524-'Empleo Censo'!F524</f>
        <v/>
      </c>
      <c r="D524" s="14">
        <f>'Empleo Censo'!F524</f>
        <v/>
      </c>
      <c r="E524" s="14">
        <f>'Empleo Censo'!H524</f>
        <v/>
      </c>
      <c r="F524" s="14">
        <f>'Empleo Censo'!I524</f>
        <v/>
      </c>
      <c r="G524" s="14">
        <f>'Empleo Censo'!J524+'Empleo Censo'!K524</f>
        <v/>
      </c>
      <c r="H524" s="14">
        <f>'Empleo Censo'!L524</f>
        <v/>
      </c>
      <c r="I524" s="14">
        <f>'Empleo Censo'!M524</f>
        <v/>
      </c>
      <c r="J524" s="14">
        <f>SUM('Empleo Censo'!N524:AA524)</f>
        <v/>
      </c>
      <c r="K524" s="14">
        <f>SUM(C524:J524)</f>
        <v/>
      </c>
      <c r="L524" s="15">
        <f>SUMPRODUCT(C524:J524,Factores!$B$3:$I$3)</f>
        <v/>
      </c>
      <c r="M524" s="16">
        <f>'Empleo Censo'!E524</f>
        <v/>
      </c>
      <c r="N524" s="17">
        <f>IF(M524&gt;0,L524,Factores!$B$7)</f>
        <v/>
      </c>
      <c r="O524">
        <f>IF(M524&gt;0,"OK","sin PEA -&gt; peor")</f>
        <v/>
      </c>
    </row>
    <row r="525">
      <c r="A525" t="inlineStr">
        <is>
          <t>151013</t>
        </is>
      </c>
      <c r="B525" t="inlineStr">
        <is>
          <t>HUAMPARA</t>
        </is>
      </c>
      <c r="C525" s="14">
        <f>'Empleo Censo'!G525-'Empleo Censo'!F525</f>
        <v/>
      </c>
      <c r="D525" s="14">
        <f>'Empleo Censo'!F525</f>
        <v/>
      </c>
      <c r="E525" s="14">
        <f>'Empleo Censo'!H525</f>
        <v/>
      </c>
      <c r="F525" s="14">
        <f>'Empleo Censo'!I525</f>
        <v/>
      </c>
      <c r="G525" s="14">
        <f>'Empleo Censo'!J525+'Empleo Censo'!K525</f>
        <v/>
      </c>
      <c r="H525" s="14">
        <f>'Empleo Censo'!L525</f>
        <v/>
      </c>
      <c r="I525" s="14">
        <f>'Empleo Censo'!M525</f>
        <v/>
      </c>
      <c r="J525" s="14">
        <f>SUM('Empleo Censo'!N525:AA525)</f>
        <v/>
      </c>
      <c r="K525" s="14">
        <f>SUM(C525:J525)</f>
        <v/>
      </c>
      <c r="L525" s="15">
        <f>SUMPRODUCT(C525:J525,Factores!$B$3:$I$3)</f>
        <v/>
      </c>
      <c r="M525" s="16">
        <f>'Empleo Censo'!E525</f>
        <v/>
      </c>
      <c r="N525" s="17">
        <f>IF(M525&gt;0,L525,Factores!$B$7)</f>
        <v/>
      </c>
      <c r="O525">
        <f>IF(M525&gt;0,"OK","sin PEA -&gt; peor")</f>
        <v/>
      </c>
    </row>
    <row r="526">
      <c r="A526" t="inlineStr">
        <is>
          <t>151014</t>
        </is>
      </c>
      <c r="B526" t="inlineStr">
        <is>
          <t>HUANCAYA</t>
        </is>
      </c>
      <c r="C526" s="14">
        <f>'Empleo Censo'!G526-'Empleo Censo'!F526</f>
        <v/>
      </c>
      <c r="D526" s="14">
        <f>'Empleo Censo'!F526</f>
        <v/>
      </c>
      <c r="E526" s="14">
        <f>'Empleo Censo'!H526</f>
        <v/>
      </c>
      <c r="F526" s="14">
        <f>'Empleo Censo'!I526</f>
        <v/>
      </c>
      <c r="G526" s="14">
        <f>'Empleo Censo'!J526+'Empleo Censo'!K526</f>
        <v/>
      </c>
      <c r="H526" s="14">
        <f>'Empleo Censo'!L526</f>
        <v/>
      </c>
      <c r="I526" s="14">
        <f>'Empleo Censo'!M526</f>
        <v/>
      </c>
      <c r="J526" s="14">
        <f>SUM('Empleo Censo'!N526:AA526)</f>
        <v/>
      </c>
      <c r="K526" s="14">
        <f>SUM(C526:J526)</f>
        <v/>
      </c>
      <c r="L526" s="15">
        <f>SUMPRODUCT(C526:J526,Factores!$B$3:$I$3)</f>
        <v/>
      </c>
      <c r="M526" s="16">
        <f>'Empleo Censo'!E526</f>
        <v/>
      </c>
      <c r="N526" s="17">
        <f>IF(M526&gt;0,L526,Factores!$B$7)</f>
        <v/>
      </c>
      <c r="O526">
        <f>IF(M526&gt;0,"OK","sin PEA -&gt; peor")</f>
        <v/>
      </c>
    </row>
    <row r="527">
      <c r="A527" t="inlineStr">
        <is>
          <t>151015</t>
        </is>
      </c>
      <c r="B527" t="inlineStr">
        <is>
          <t>HUANGASCAR</t>
        </is>
      </c>
      <c r="C527" s="14">
        <f>'Empleo Censo'!G527-'Empleo Censo'!F527</f>
        <v/>
      </c>
      <c r="D527" s="14">
        <f>'Empleo Censo'!F527</f>
        <v/>
      </c>
      <c r="E527" s="14">
        <f>'Empleo Censo'!H527</f>
        <v/>
      </c>
      <c r="F527" s="14">
        <f>'Empleo Censo'!I527</f>
        <v/>
      </c>
      <c r="G527" s="14">
        <f>'Empleo Censo'!J527+'Empleo Censo'!K527</f>
        <v/>
      </c>
      <c r="H527" s="14">
        <f>'Empleo Censo'!L527</f>
        <v/>
      </c>
      <c r="I527" s="14">
        <f>'Empleo Censo'!M527</f>
        <v/>
      </c>
      <c r="J527" s="14">
        <f>SUM('Empleo Censo'!N527:AA527)</f>
        <v/>
      </c>
      <c r="K527" s="14">
        <f>SUM(C527:J527)</f>
        <v/>
      </c>
      <c r="L527" s="15">
        <f>SUMPRODUCT(C527:J527,Factores!$B$3:$I$3)</f>
        <v/>
      </c>
      <c r="M527" s="16">
        <f>'Empleo Censo'!E527</f>
        <v/>
      </c>
      <c r="N527" s="17">
        <f>IF(M527&gt;0,L527,Factores!$B$7)</f>
        <v/>
      </c>
      <c r="O527">
        <f>IF(M527&gt;0,"OK","sin PEA -&gt; peor")</f>
        <v/>
      </c>
    </row>
    <row r="528">
      <c r="A528" t="inlineStr">
        <is>
          <t>151016</t>
        </is>
      </c>
      <c r="B528" t="inlineStr">
        <is>
          <t>HUANTAN</t>
        </is>
      </c>
      <c r="C528" s="14">
        <f>'Empleo Censo'!G528-'Empleo Censo'!F528</f>
        <v/>
      </c>
      <c r="D528" s="14">
        <f>'Empleo Censo'!F528</f>
        <v/>
      </c>
      <c r="E528" s="14">
        <f>'Empleo Censo'!H528</f>
        <v/>
      </c>
      <c r="F528" s="14">
        <f>'Empleo Censo'!I528</f>
        <v/>
      </c>
      <c r="G528" s="14">
        <f>'Empleo Censo'!J528+'Empleo Censo'!K528</f>
        <v/>
      </c>
      <c r="H528" s="14">
        <f>'Empleo Censo'!L528</f>
        <v/>
      </c>
      <c r="I528" s="14">
        <f>'Empleo Censo'!M528</f>
        <v/>
      </c>
      <c r="J528" s="14">
        <f>SUM('Empleo Censo'!N528:AA528)</f>
        <v/>
      </c>
      <c r="K528" s="14">
        <f>SUM(C528:J528)</f>
        <v/>
      </c>
      <c r="L528" s="15">
        <f>SUMPRODUCT(C528:J528,Factores!$B$3:$I$3)</f>
        <v/>
      </c>
      <c r="M528" s="16">
        <f>'Empleo Censo'!E528</f>
        <v/>
      </c>
      <c r="N528" s="17">
        <f>IF(M528&gt;0,L528,Factores!$B$7)</f>
        <v/>
      </c>
      <c r="O528">
        <f>IF(M528&gt;0,"OK","sin PEA -&gt; peor")</f>
        <v/>
      </c>
    </row>
    <row r="529">
      <c r="A529" t="inlineStr">
        <is>
          <t>151017</t>
        </is>
      </c>
      <c r="B529" t="inlineStr">
        <is>
          <t>HUAÑEC</t>
        </is>
      </c>
      <c r="C529" s="14">
        <f>'Empleo Censo'!G529-'Empleo Censo'!F529</f>
        <v/>
      </c>
      <c r="D529" s="14">
        <f>'Empleo Censo'!F529</f>
        <v/>
      </c>
      <c r="E529" s="14">
        <f>'Empleo Censo'!H529</f>
        <v/>
      </c>
      <c r="F529" s="14">
        <f>'Empleo Censo'!I529</f>
        <v/>
      </c>
      <c r="G529" s="14">
        <f>'Empleo Censo'!J529+'Empleo Censo'!K529</f>
        <v/>
      </c>
      <c r="H529" s="14">
        <f>'Empleo Censo'!L529</f>
        <v/>
      </c>
      <c r="I529" s="14">
        <f>'Empleo Censo'!M529</f>
        <v/>
      </c>
      <c r="J529" s="14">
        <f>SUM('Empleo Censo'!N529:AA529)</f>
        <v/>
      </c>
      <c r="K529" s="14">
        <f>SUM(C529:J529)</f>
        <v/>
      </c>
      <c r="L529" s="15">
        <f>SUMPRODUCT(C529:J529,Factores!$B$3:$I$3)</f>
        <v/>
      </c>
      <c r="M529" s="16">
        <f>'Empleo Censo'!E529</f>
        <v/>
      </c>
      <c r="N529" s="17">
        <f>IF(M529&gt;0,L529,Factores!$B$7)</f>
        <v/>
      </c>
      <c r="O529">
        <f>IF(M529&gt;0,"OK","sin PEA -&gt; peor")</f>
        <v/>
      </c>
    </row>
    <row r="530">
      <c r="A530" t="inlineStr">
        <is>
          <t>151018</t>
        </is>
      </c>
      <c r="B530" t="inlineStr">
        <is>
          <t>LARAOS</t>
        </is>
      </c>
      <c r="C530" s="14">
        <f>'Empleo Censo'!G530-'Empleo Censo'!F530</f>
        <v/>
      </c>
      <c r="D530" s="14">
        <f>'Empleo Censo'!F530</f>
        <v/>
      </c>
      <c r="E530" s="14">
        <f>'Empleo Censo'!H530</f>
        <v/>
      </c>
      <c r="F530" s="14">
        <f>'Empleo Censo'!I530</f>
        <v/>
      </c>
      <c r="G530" s="14">
        <f>'Empleo Censo'!J530+'Empleo Censo'!K530</f>
        <v/>
      </c>
      <c r="H530" s="14">
        <f>'Empleo Censo'!L530</f>
        <v/>
      </c>
      <c r="I530" s="14">
        <f>'Empleo Censo'!M530</f>
        <v/>
      </c>
      <c r="J530" s="14">
        <f>SUM('Empleo Censo'!N530:AA530)</f>
        <v/>
      </c>
      <c r="K530" s="14">
        <f>SUM(C530:J530)</f>
        <v/>
      </c>
      <c r="L530" s="15">
        <f>SUMPRODUCT(C530:J530,Factores!$B$3:$I$3)</f>
        <v/>
      </c>
      <c r="M530" s="16">
        <f>'Empleo Censo'!E530</f>
        <v/>
      </c>
      <c r="N530" s="17">
        <f>IF(M530&gt;0,L530,Factores!$B$7)</f>
        <v/>
      </c>
      <c r="O530">
        <f>IF(M530&gt;0,"OK","sin PEA -&gt; peor")</f>
        <v/>
      </c>
    </row>
    <row r="531">
      <c r="A531" t="inlineStr">
        <is>
          <t>151019</t>
        </is>
      </c>
      <c r="B531" t="inlineStr">
        <is>
          <t>LINCHA</t>
        </is>
      </c>
      <c r="C531" s="14">
        <f>'Empleo Censo'!G531-'Empleo Censo'!F531</f>
        <v/>
      </c>
      <c r="D531" s="14">
        <f>'Empleo Censo'!F531</f>
        <v/>
      </c>
      <c r="E531" s="14">
        <f>'Empleo Censo'!H531</f>
        <v/>
      </c>
      <c r="F531" s="14">
        <f>'Empleo Censo'!I531</f>
        <v/>
      </c>
      <c r="G531" s="14">
        <f>'Empleo Censo'!J531+'Empleo Censo'!K531</f>
        <v/>
      </c>
      <c r="H531" s="14">
        <f>'Empleo Censo'!L531</f>
        <v/>
      </c>
      <c r="I531" s="14">
        <f>'Empleo Censo'!M531</f>
        <v/>
      </c>
      <c r="J531" s="14">
        <f>SUM('Empleo Censo'!N531:AA531)</f>
        <v/>
      </c>
      <c r="K531" s="14">
        <f>SUM(C531:J531)</f>
        <v/>
      </c>
      <c r="L531" s="15">
        <f>SUMPRODUCT(C531:J531,Factores!$B$3:$I$3)</f>
        <v/>
      </c>
      <c r="M531" s="16">
        <f>'Empleo Censo'!E531</f>
        <v/>
      </c>
      <c r="N531" s="17">
        <f>IF(M531&gt;0,L531,Factores!$B$7)</f>
        <v/>
      </c>
      <c r="O531">
        <f>IF(M531&gt;0,"OK","sin PEA -&gt; peor")</f>
        <v/>
      </c>
    </row>
    <row r="532">
      <c r="A532" t="inlineStr">
        <is>
          <t>151020</t>
        </is>
      </c>
      <c r="B532" t="inlineStr">
        <is>
          <t>MADEAN</t>
        </is>
      </c>
      <c r="C532" s="14">
        <f>'Empleo Censo'!G532-'Empleo Censo'!F532</f>
        <v/>
      </c>
      <c r="D532" s="14">
        <f>'Empleo Censo'!F532</f>
        <v/>
      </c>
      <c r="E532" s="14">
        <f>'Empleo Censo'!H532</f>
        <v/>
      </c>
      <c r="F532" s="14">
        <f>'Empleo Censo'!I532</f>
        <v/>
      </c>
      <c r="G532" s="14">
        <f>'Empleo Censo'!J532+'Empleo Censo'!K532</f>
        <v/>
      </c>
      <c r="H532" s="14">
        <f>'Empleo Censo'!L532</f>
        <v/>
      </c>
      <c r="I532" s="14">
        <f>'Empleo Censo'!M532</f>
        <v/>
      </c>
      <c r="J532" s="14">
        <f>SUM('Empleo Censo'!N532:AA532)</f>
        <v/>
      </c>
      <c r="K532" s="14">
        <f>SUM(C532:J532)</f>
        <v/>
      </c>
      <c r="L532" s="15">
        <f>SUMPRODUCT(C532:J532,Factores!$B$3:$I$3)</f>
        <v/>
      </c>
      <c r="M532" s="16">
        <f>'Empleo Censo'!E532</f>
        <v/>
      </c>
      <c r="N532" s="17">
        <f>IF(M532&gt;0,L532,Factores!$B$7)</f>
        <v/>
      </c>
      <c r="O532">
        <f>IF(M532&gt;0,"OK","sin PEA -&gt; peor")</f>
        <v/>
      </c>
    </row>
    <row r="533">
      <c r="A533" t="inlineStr">
        <is>
          <t>151021</t>
        </is>
      </c>
      <c r="B533" t="inlineStr">
        <is>
          <t>MIRAFLORES</t>
        </is>
      </c>
      <c r="C533" s="14">
        <f>'Empleo Censo'!G533-'Empleo Censo'!F533</f>
        <v/>
      </c>
      <c r="D533" s="14">
        <f>'Empleo Censo'!F533</f>
        <v/>
      </c>
      <c r="E533" s="14">
        <f>'Empleo Censo'!H533</f>
        <v/>
      </c>
      <c r="F533" s="14">
        <f>'Empleo Censo'!I533</f>
        <v/>
      </c>
      <c r="G533" s="14">
        <f>'Empleo Censo'!J533+'Empleo Censo'!K533</f>
        <v/>
      </c>
      <c r="H533" s="14">
        <f>'Empleo Censo'!L533</f>
        <v/>
      </c>
      <c r="I533" s="14">
        <f>'Empleo Censo'!M533</f>
        <v/>
      </c>
      <c r="J533" s="14">
        <f>SUM('Empleo Censo'!N533:AA533)</f>
        <v/>
      </c>
      <c r="K533" s="14">
        <f>SUM(C533:J533)</f>
        <v/>
      </c>
      <c r="L533" s="15">
        <f>SUMPRODUCT(C533:J533,Factores!$B$3:$I$3)</f>
        <v/>
      </c>
      <c r="M533" s="16">
        <f>'Empleo Censo'!E533</f>
        <v/>
      </c>
      <c r="N533" s="17">
        <f>IF(M533&gt;0,L533,Factores!$B$7)</f>
        <v/>
      </c>
      <c r="O533">
        <f>IF(M533&gt;0,"OK","sin PEA -&gt; peor")</f>
        <v/>
      </c>
    </row>
    <row r="534">
      <c r="A534" t="inlineStr">
        <is>
          <t>151022</t>
        </is>
      </c>
      <c r="B534" t="inlineStr">
        <is>
          <t>OMAS</t>
        </is>
      </c>
      <c r="C534" s="14">
        <f>'Empleo Censo'!G534-'Empleo Censo'!F534</f>
        <v/>
      </c>
      <c r="D534" s="14">
        <f>'Empleo Censo'!F534</f>
        <v/>
      </c>
      <c r="E534" s="14">
        <f>'Empleo Censo'!H534</f>
        <v/>
      </c>
      <c r="F534" s="14">
        <f>'Empleo Censo'!I534</f>
        <v/>
      </c>
      <c r="G534" s="14">
        <f>'Empleo Censo'!J534+'Empleo Censo'!K534</f>
        <v/>
      </c>
      <c r="H534" s="14">
        <f>'Empleo Censo'!L534</f>
        <v/>
      </c>
      <c r="I534" s="14">
        <f>'Empleo Censo'!M534</f>
        <v/>
      </c>
      <c r="J534" s="14">
        <f>SUM('Empleo Censo'!N534:AA534)</f>
        <v/>
      </c>
      <c r="K534" s="14">
        <f>SUM(C534:J534)</f>
        <v/>
      </c>
      <c r="L534" s="15">
        <f>SUMPRODUCT(C534:J534,Factores!$B$3:$I$3)</f>
        <v/>
      </c>
      <c r="M534" s="16">
        <f>'Empleo Censo'!E534</f>
        <v/>
      </c>
      <c r="N534" s="17">
        <f>IF(M534&gt;0,L534,Factores!$B$7)</f>
        <v/>
      </c>
      <c r="O534">
        <f>IF(M534&gt;0,"OK","sin PEA -&gt; peor")</f>
        <v/>
      </c>
    </row>
    <row r="535">
      <c r="A535" t="inlineStr">
        <is>
          <t>151023</t>
        </is>
      </c>
      <c r="B535" t="inlineStr">
        <is>
          <t>PUTINZA</t>
        </is>
      </c>
      <c r="C535" s="14">
        <f>'Empleo Censo'!G535-'Empleo Censo'!F535</f>
        <v/>
      </c>
      <c r="D535" s="14">
        <f>'Empleo Censo'!F535</f>
        <v/>
      </c>
      <c r="E535" s="14">
        <f>'Empleo Censo'!H535</f>
        <v/>
      </c>
      <c r="F535" s="14">
        <f>'Empleo Censo'!I535</f>
        <v/>
      </c>
      <c r="G535" s="14">
        <f>'Empleo Censo'!J535+'Empleo Censo'!K535</f>
        <v/>
      </c>
      <c r="H535" s="14">
        <f>'Empleo Censo'!L535</f>
        <v/>
      </c>
      <c r="I535" s="14">
        <f>'Empleo Censo'!M535</f>
        <v/>
      </c>
      <c r="J535" s="14">
        <f>SUM('Empleo Censo'!N535:AA535)</f>
        <v/>
      </c>
      <c r="K535" s="14">
        <f>SUM(C535:J535)</f>
        <v/>
      </c>
      <c r="L535" s="15">
        <f>SUMPRODUCT(C535:J535,Factores!$B$3:$I$3)</f>
        <v/>
      </c>
      <c r="M535" s="16">
        <f>'Empleo Censo'!E535</f>
        <v/>
      </c>
      <c r="N535" s="17">
        <f>IF(M535&gt;0,L535,Factores!$B$7)</f>
        <v/>
      </c>
      <c r="O535">
        <f>IF(M535&gt;0,"OK","sin PEA -&gt; peor")</f>
        <v/>
      </c>
    </row>
    <row r="536">
      <c r="A536" t="inlineStr">
        <is>
          <t>151024</t>
        </is>
      </c>
      <c r="B536" t="inlineStr">
        <is>
          <t>QUINCHES</t>
        </is>
      </c>
      <c r="C536" s="14">
        <f>'Empleo Censo'!G536-'Empleo Censo'!F536</f>
        <v/>
      </c>
      <c r="D536" s="14">
        <f>'Empleo Censo'!F536</f>
        <v/>
      </c>
      <c r="E536" s="14">
        <f>'Empleo Censo'!H536</f>
        <v/>
      </c>
      <c r="F536" s="14">
        <f>'Empleo Censo'!I536</f>
        <v/>
      </c>
      <c r="G536" s="14">
        <f>'Empleo Censo'!J536+'Empleo Censo'!K536</f>
        <v/>
      </c>
      <c r="H536" s="14">
        <f>'Empleo Censo'!L536</f>
        <v/>
      </c>
      <c r="I536" s="14">
        <f>'Empleo Censo'!M536</f>
        <v/>
      </c>
      <c r="J536" s="14">
        <f>SUM('Empleo Censo'!N536:AA536)</f>
        <v/>
      </c>
      <c r="K536" s="14">
        <f>SUM(C536:J536)</f>
        <v/>
      </c>
      <c r="L536" s="15">
        <f>SUMPRODUCT(C536:J536,Factores!$B$3:$I$3)</f>
        <v/>
      </c>
      <c r="M536" s="16">
        <f>'Empleo Censo'!E536</f>
        <v/>
      </c>
      <c r="N536" s="17">
        <f>IF(M536&gt;0,L536,Factores!$B$7)</f>
        <v/>
      </c>
      <c r="O536">
        <f>IF(M536&gt;0,"OK","sin PEA -&gt; peor")</f>
        <v/>
      </c>
    </row>
    <row r="537">
      <c r="A537" t="inlineStr">
        <is>
          <t>151025</t>
        </is>
      </c>
      <c r="B537" t="inlineStr">
        <is>
          <t>QUINOCAY</t>
        </is>
      </c>
      <c r="C537" s="14">
        <f>'Empleo Censo'!G537-'Empleo Censo'!F537</f>
        <v/>
      </c>
      <c r="D537" s="14">
        <f>'Empleo Censo'!F537</f>
        <v/>
      </c>
      <c r="E537" s="14">
        <f>'Empleo Censo'!H537</f>
        <v/>
      </c>
      <c r="F537" s="14">
        <f>'Empleo Censo'!I537</f>
        <v/>
      </c>
      <c r="G537" s="14">
        <f>'Empleo Censo'!J537+'Empleo Censo'!K537</f>
        <v/>
      </c>
      <c r="H537" s="14">
        <f>'Empleo Censo'!L537</f>
        <v/>
      </c>
      <c r="I537" s="14">
        <f>'Empleo Censo'!M537</f>
        <v/>
      </c>
      <c r="J537" s="14">
        <f>SUM('Empleo Censo'!N537:AA537)</f>
        <v/>
      </c>
      <c r="K537" s="14">
        <f>SUM(C537:J537)</f>
        <v/>
      </c>
      <c r="L537" s="15">
        <f>SUMPRODUCT(C537:J537,Factores!$B$3:$I$3)</f>
        <v/>
      </c>
      <c r="M537" s="16">
        <f>'Empleo Censo'!E537</f>
        <v/>
      </c>
      <c r="N537" s="17">
        <f>IF(M537&gt;0,L537,Factores!$B$7)</f>
        <v/>
      </c>
      <c r="O537">
        <f>IF(M537&gt;0,"OK","sin PEA -&gt; peor")</f>
        <v/>
      </c>
    </row>
    <row r="538">
      <c r="A538" t="inlineStr">
        <is>
          <t>151026</t>
        </is>
      </c>
      <c r="B538" t="inlineStr">
        <is>
          <t>SAN JOAQUIN</t>
        </is>
      </c>
      <c r="C538" s="14">
        <f>'Empleo Censo'!G538-'Empleo Censo'!F538</f>
        <v/>
      </c>
      <c r="D538" s="14">
        <f>'Empleo Censo'!F538</f>
        <v/>
      </c>
      <c r="E538" s="14">
        <f>'Empleo Censo'!H538</f>
        <v/>
      </c>
      <c r="F538" s="14">
        <f>'Empleo Censo'!I538</f>
        <v/>
      </c>
      <c r="G538" s="14">
        <f>'Empleo Censo'!J538+'Empleo Censo'!K538</f>
        <v/>
      </c>
      <c r="H538" s="14">
        <f>'Empleo Censo'!L538</f>
        <v/>
      </c>
      <c r="I538" s="14">
        <f>'Empleo Censo'!M538</f>
        <v/>
      </c>
      <c r="J538" s="14">
        <f>SUM('Empleo Censo'!N538:AA538)</f>
        <v/>
      </c>
      <c r="K538" s="14">
        <f>SUM(C538:J538)</f>
        <v/>
      </c>
      <c r="L538" s="15">
        <f>SUMPRODUCT(C538:J538,Factores!$B$3:$I$3)</f>
        <v/>
      </c>
      <c r="M538" s="16">
        <f>'Empleo Censo'!E538</f>
        <v/>
      </c>
      <c r="N538" s="17">
        <f>IF(M538&gt;0,L538,Factores!$B$7)</f>
        <v/>
      </c>
      <c r="O538">
        <f>IF(M538&gt;0,"OK","sin PEA -&gt; peor")</f>
        <v/>
      </c>
    </row>
    <row r="539">
      <c r="A539" t="inlineStr">
        <is>
          <t>151027</t>
        </is>
      </c>
      <c r="B539" t="inlineStr">
        <is>
          <t>SAN PEDRO DE PILAS</t>
        </is>
      </c>
      <c r="C539" s="14">
        <f>'Empleo Censo'!G539-'Empleo Censo'!F539</f>
        <v/>
      </c>
      <c r="D539" s="14">
        <f>'Empleo Censo'!F539</f>
        <v/>
      </c>
      <c r="E539" s="14">
        <f>'Empleo Censo'!H539</f>
        <v/>
      </c>
      <c r="F539" s="14">
        <f>'Empleo Censo'!I539</f>
        <v/>
      </c>
      <c r="G539" s="14">
        <f>'Empleo Censo'!J539+'Empleo Censo'!K539</f>
        <v/>
      </c>
      <c r="H539" s="14">
        <f>'Empleo Censo'!L539</f>
        <v/>
      </c>
      <c r="I539" s="14">
        <f>'Empleo Censo'!M539</f>
        <v/>
      </c>
      <c r="J539" s="14">
        <f>SUM('Empleo Censo'!N539:AA539)</f>
        <v/>
      </c>
      <c r="K539" s="14">
        <f>SUM(C539:J539)</f>
        <v/>
      </c>
      <c r="L539" s="15">
        <f>SUMPRODUCT(C539:J539,Factores!$B$3:$I$3)</f>
        <v/>
      </c>
      <c r="M539" s="16">
        <f>'Empleo Censo'!E539</f>
        <v/>
      </c>
      <c r="N539" s="17">
        <f>IF(M539&gt;0,L539,Factores!$B$7)</f>
        <v/>
      </c>
      <c r="O539">
        <f>IF(M539&gt;0,"OK","sin PEA -&gt; peor")</f>
        <v/>
      </c>
    </row>
    <row r="540">
      <c r="A540" t="inlineStr">
        <is>
          <t>151028</t>
        </is>
      </c>
      <c r="B540" t="inlineStr">
        <is>
          <t>TANTA</t>
        </is>
      </c>
      <c r="C540" s="14">
        <f>'Empleo Censo'!G540-'Empleo Censo'!F540</f>
        <v/>
      </c>
      <c r="D540" s="14">
        <f>'Empleo Censo'!F540</f>
        <v/>
      </c>
      <c r="E540" s="14">
        <f>'Empleo Censo'!H540</f>
        <v/>
      </c>
      <c r="F540" s="14">
        <f>'Empleo Censo'!I540</f>
        <v/>
      </c>
      <c r="G540" s="14">
        <f>'Empleo Censo'!J540+'Empleo Censo'!K540</f>
        <v/>
      </c>
      <c r="H540" s="14">
        <f>'Empleo Censo'!L540</f>
        <v/>
      </c>
      <c r="I540" s="14">
        <f>'Empleo Censo'!M540</f>
        <v/>
      </c>
      <c r="J540" s="14">
        <f>SUM('Empleo Censo'!N540:AA540)</f>
        <v/>
      </c>
      <c r="K540" s="14">
        <f>SUM(C540:J540)</f>
        <v/>
      </c>
      <c r="L540" s="15">
        <f>SUMPRODUCT(C540:J540,Factores!$B$3:$I$3)</f>
        <v/>
      </c>
      <c r="M540" s="16">
        <f>'Empleo Censo'!E540</f>
        <v/>
      </c>
      <c r="N540" s="17">
        <f>IF(M540&gt;0,L540,Factores!$B$7)</f>
        <v/>
      </c>
      <c r="O540">
        <f>IF(M540&gt;0,"OK","sin PEA -&gt; peor")</f>
        <v/>
      </c>
    </row>
    <row r="541">
      <c r="A541" t="inlineStr">
        <is>
          <t>151029</t>
        </is>
      </c>
      <c r="B541" t="inlineStr">
        <is>
          <t>TAURIPAMPA</t>
        </is>
      </c>
      <c r="C541" s="14">
        <f>'Empleo Censo'!G541-'Empleo Censo'!F541</f>
        <v/>
      </c>
      <c r="D541" s="14">
        <f>'Empleo Censo'!F541</f>
        <v/>
      </c>
      <c r="E541" s="14">
        <f>'Empleo Censo'!H541</f>
        <v/>
      </c>
      <c r="F541" s="14">
        <f>'Empleo Censo'!I541</f>
        <v/>
      </c>
      <c r="G541" s="14">
        <f>'Empleo Censo'!J541+'Empleo Censo'!K541</f>
        <v/>
      </c>
      <c r="H541" s="14">
        <f>'Empleo Censo'!L541</f>
        <v/>
      </c>
      <c r="I541" s="14">
        <f>'Empleo Censo'!M541</f>
        <v/>
      </c>
      <c r="J541" s="14">
        <f>SUM('Empleo Censo'!N541:AA541)</f>
        <v/>
      </c>
      <c r="K541" s="14">
        <f>SUM(C541:J541)</f>
        <v/>
      </c>
      <c r="L541" s="15">
        <f>SUMPRODUCT(C541:J541,Factores!$B$3:$I$3)</f>
        <v/>
      </c>
      <c r="M541" s="16">
        <f>'Empleo Censo'!E541</f>
        <v/>
      </c>
      <c r="N541" s="17">
        <f>IF(M541&gt;0,L541,Factores!$B$7)</f>
        <v/>
      </c>
      <c r="O541">
        <f>IF(M541&gt;0,"OK","sin PEA -&gt; peor")</f>
        <v/>
      </c>
    </row>
    <row r="542">
      <c r="A542" t="inlineStr">
        <is>
          <t>151030</t>
        </is>
      </c>
      <c r="B542" t="inlineStr">
        <is>
          <t>TOMAS</t>
        </is>
      </c>
      <c r="C542" s="14">
        <f>'Empleo Censo'!G542-'Empleo Censo'!F542</f>
        <v/>
      </c>
      <c r="D542" s="14">
        <f>'Empleo Censo'!F542</f>
        <v/>
      </c>
      <c r="E542" s="14">
        <f>'Empleo Censo'!H542</f>
        <v/>
      </c>
      <c r="F542" s="14">
        <f>'Empleo Censo'!I542</f>
        <v/>
      </c>
      <c r="G542" s="14">
        <f>'Empleo Censo'!J542+'Empleo Censo'!K542</f>
        <v/>
      </c>
      <c r="H542" s="14">
        <f>'Empleo Censo'!L542</f>
        <v/>
      </c>
      <c r="I542" s="14">
        <f>'Empleo Censo'!M542</f>
        <v/>
      </c>
      <c r="J542" s="14">
        <f>SUM('Empleo Censo'!N542:AA542)</f>
        <v/>
      </c>
      <c r="K542" s="14">
        <f>SUM(C542:J542)</f>
        <v/>
      </c>
      <c r="L542" s="15">
        <f>SUMPRODUCT(C542:J542,Factores!$B$3:$I$3)</f>
        <v/>
      </c>
      <c r="M542" s="16">
        <f>'Empleo Censo'!E542</f>
        <v/>
      </c>
      <c r="N542" s="17">
        <f>IF(M542&gt;0,L542,Factores!$B$7)</f>
        <v/>
      </c>
      <c r="O542">
        <f>IF(M542&gt;0,"OK","sin PEA -&gt; peor")</f>
        <v/>
      </c>
    </row>
    <row r="543">
      <c r="A543" t="inlineStr">
        <is>
          <t>151031</t>
        </is>
      </c>
      <c r="B543" t="inlineStr">
        <is>
          <t>TUPE</t>
        </is>
      </c>
      <c r="C543" s="14">
        <f>'Empleo Censo'!G543-'Empleo Censo'!F543</f>
        <v/>
      </c>
      <c r="D543" s="14">
        <f>'Empleo Censo'!F543</f>
        <v/>
      </c>
      <c r="E543" s="14">
        <f>'Empleo Censo'!H543</f>
        <v/>
      </c>
      <c r="F543" s="14">
        <f>'Empleo Censo'!I543</f>
        <v/>
      </c>
      <c r="G543" s="14">
        <f>'Empleo Censo'!J543+'Empleo Censo'!K543</f>
        <v/>
      </c>
      <c r="H543" s="14">
        <f>'Empleo Censo'!L543</f>
        <v/>
      </c>
      <c r="I543" s="14">
        <f>'Empleo Censo'!M543</f>
        <v/>
      </c>
      <c r="J543" s="14">
        <f>SUM('Empleo Censo'!N543:AA543)</f>
        <v/>
      </c>
      <c r="K543" s="14">
        <f>SUM(C543:J543)</f>
        <v/>
      </c>
      <c r="L543" s="15">
        <f>SUMPRODUCT(C543:J543,Factores!$B$3:$I$3)</f>
        <v/>
      </c>
      <c r="M543" s="16">
        <f>'Empleo Censo'!E543</f>
        <v/>
      </c>
      <c r="N543" s="17">
        <f>IF(M543&gt;0,L543,Factores!$B$7)</f>
        <v/>
      </c>
      <c r="O543">
        <f>IF(M543&gt;0,"OK","sin PEA -&gt; peor")</f>
        <v/>
      </c>
    </row>
    <row r="544">
      <c r="A544" t="inlineStr">
        <is>
          <t>151032</t>
        </is>
      </c>
      <c r="B544" t="inlineStr">
        <is>
          <t>VIÑAC</t>
        </is>
      </c>
      <c r="C544" s="14">
        <f>'Empleo Censo'!G544-'Empleo Censo'!F544</f>
        <v/>
      </c>
      <c r="D544" s="14">
        <f>'Empleo Censo'!F544</f>
        <v/>
      </c>
      <c r="E544" s="14">
        <f>'Empleo Censo'!H544</f>
        <v/>
      </c>
      <c r="F544" s="14">
        <f>'Empleo Censo'!I544</f>
        <v/>
      </c>
      <c r="G544" s="14">
        <f>'Empleo Censo'!J544+'Empleo Censo'!K544</f>
        <v/>
      </c>
      <c r="H544" s="14">
        <f>'Empleo Censo'!L544</f>
        <v/>
      </c>
      <c r="I544" s="14">
        <f>'Empleo Censo'!M544</f>
        <v/>
      </c>
      <c r="J544" s="14">
        <f>SUM('Empleo Censo'!N544:AA544)</f>
        <v/>
      </c>
      <c r="K544" s="14">
        <f>SUM(C544:J544)</f>
        <v/>
      </c>
      <c r="L544" s="15">
        <f>SUMPRODUCT(C544:J544,Factores!$B$3:$I$3)</f>
        <v/>
      </c>
      <c r="M544" s="16">
        <f>'Empleo Censo'!E544</f>
        <v/>
      </c>
      <c r="N544" s="17">
        <f>IF(M544&gt;0,L544,Factores!$B$7)</f>
        <v/>
      </c>
      <c r="O544">
        <f>IF(M544&gt;0,"OK","sin PEA -&gt; peor")</f>
        <v/>
      </c>
    </row>
    <row r="545">
      <c r="A545" t="inlineStr">
        <is>
          <t>151033</t>
        </is>
      </c>
      <c r="B545" t="inlineStr">
        <is>
          <t>VITIS</t>
        </is>
      </c>
      <c r="C545" s="14">
        <f>'Empleo Censo'!G545-'Empleo Censo'!F545</f>
        <v/>
      </c>
      <c r="D545" s="14">
        <f>'Empleo Censo'!F545</f>
        <v/>
      </c>
      <c r="E545" s="14">
        <f>'Empleo Censo'!H545</f>
        <v/>
      </c>
      <c r="F545" s="14">
        <f>'Empleo Censo'!I545</f>
        <v/>
      </c>
      <c r="G545" s="14">
        <f>'Empleo Censo'!J545+'Empleo Censo'!K545</f>
        <v/>
      </c>
      <c r="H545" s="14">
        <f>'Empleo Censo'!L545</f>
        <v/>
      </c>
      <c r="I545" s="14">
        <f>'Empleo Censo'!M545</f>
        <v/>
      </c>
      <c r="J545" s="14">
        <f>SUM('Empleo Censo'!N545:AA545)</f>
        <v/>
      </c>
      <c r="K545" s="14">
        <f>SUM(C545:J545)</f>
        <v/>
      </c>
      <c r="L545" s="15">
        <f>SUMPRODUCT(C545:J545,Factores!$B$3:$I$3)</f>
        <v/>
      </c>
      <c r="M545" s="16">
        <f>'Empleo Censo'!E545</f>
        <v/>
      </c>
      <c r="N545" s="17">
        <f>IF(M545&gt;0,L545,Factores!$B$7)</f>
        <v/>
      </c>
      <c r="O545">
        <f>IF(M545&gt;0,"OK","sin PEA -&gt; peor")</f>
        <v/>
      </c>
    </row>
    <row r="546">
      <c r="A546" t="inlineStr">
        <is>
          <t>160101</t>
        </is>
      </c>
      <c r="B546" t="inlineStr">
        <is>
          <t>IQUITOS</t>
        </is>
      </c>
      <c r="C546" s="14">
        <f>'Empleo Censo'!G546-'Empleo Censo'!F546</f>
        <v/>
      </c>
      <c r="D546" s="14">
        <f>'Empleo Censo'!F546</f>
        <v/>
      </c>
      <c r="E546" s="14">
        <f>'Empleo Censo'!H546</f>
        <v/>
      </c>
      <c r="F546" s="14">
        <f>'Empleo Censo'!I546</f>
        <v/>
      </c>
      <c r="G546" s="14">
        <f>'Empleo Censo'!J546+'Empleo Censo'!K546</f>
        <v/>
      </c>
      <c r="H546" s="14">
        <f>'Empleo Censo'!L546</f>
        <v/>
      </c>
      <c r="I546" s="14">
        <f>'Empleo Censo'!M546</f>
        <v/>
      </c>
      <c r="J546" s="14">
        <f>SUM('Empleo Censo'!N546:AA546)</f>
        <v/>
      </c>
      <c r="K546" s="14">
        <f>SUM(C546:J546)</f>
        <v/>
      </c>
      <c r="L546" s="15">
        <f>SUMPRODUCT(C546:J546,Factores!$B$3:$I$3)</f>
        <v/>
      </c>
      <c r="M546" s="16">
        <f>'Empleo Censo'!E546</f>
        <v/>
      </c>
      <c r="N546" s="17">
        <f>IF(M546&gt;0,L546,Factores!$B$7)</f>
        <v/>
      </c>
      <c r="O546">
        <f>IF(M546&gt;0,"OK","sin PEA -&gt; peor")</f>
        <v/>
      </c>
    </row>
    <row r="547">
      <c r="A547" t="inlineStr">
        <is>
          <t>160102</t>
        </is>
      </c>
      <c r="B547" t="inlineStr">
        <is>
          <t>ALTO NANAY</t>
        </is>
      </c>
      <c r="C547" s="14">
        <f>'Empleo Censo'!G547-'Empleo Censo'!F547</f>
        <v/>
      </c>
      <c r="D547" s="14">
        <f>'Empleo Censo'!F547</f>
        <v/>
      </c>
      <c r="E547" s="14">
        <f>'Empleo Censo'!H547</f>
        <v/>
      </c>
      <c r="F547" s="14">
        <f>'Empleo Censo'!I547</f>
        <v/>
      </c>
      <c r="G547" s="14">
        <f>'Empleo Censo'!J547+'Empleo Censo'!K547</f>
        <v/>
      </c>
      <c r="H547" s="14">
        <f>'Empleo Censo'!L547</f>
        <v/>
      </c>
      <c r="I547" s="14">
        <f>'Empleo Censo'!M547</f>
        <v/>
      </c>
      <c r="J547" s="14">
        <f>SUM('Empleo Censo'!N547:AA547)</f>
        <v/>
      </c>
      <c r="K547" s="14">
        <f>SUM(C547:J547)</f>
        <v/>
      </c>
      <c r="L547" s="15">
        <f>SUMPRODUCT(C547:J547,Factores!$B$3:$I$3)</f>
        <v/>
      </c>
      <c r="M547" s="16">
        <f>'Empleo Censo'!E547</f>
        <v/>
      </c>
      <c r="N547" s="17">
        <f>IF(M547&gt;0,L547,Factores!$B$7)</f>
        <v/>
      </c>
      <c r="O547">
        <f>IF(M547&gt;0,"OK","sin PEA -&gt; peor")</f>
        <v/>
      </c>
    </row>
    <row r="548">
      <c r="A548" t="inlineStr">
        <is>
          <t>160103</t>
        </is>
      </c>
      <c r="B548" t="inlineStr">
        <is>
          <t>FERNANDO LORES</t>
        </is>
      </c>
      <c r="C548" s="14">
        <f>'Empleo Censo'!G548-'Empleo Censo'!F548</f>
        <v/>
      </c>
      <c r="D548" s="14">
        <f>'Empleo Censo'!F548</f>
        <v/>
      </c>
      <c r="E548" s="14">
        <f>'Empleo Censo'!H548</f>
        <v/>
      </c>
      <c r="F548" s="14">
        <f>'Empleo Censo'!I548</f>
        <v/>
      </c>
      <c r="G548" s="14">
        <f>'Empleo Censo'!J548+'Empleo Censo'!K548</f>
        <v/>
      </c>
      <c r="H548" s="14">
        <f>'Empleo Censo'!L548</f>
        <v/>
      </c>
      <c r="I548" s="14">
        <f>'Empleo Censo'!M548</f>
        <v/>
      </c>
      <c r="J548" s="14">
        <f>SUM('Empleo Censo'!N548:AA548)</f>
        <v/>
      </c>
      <c r="K548" s="14">
        <f>SUM(C548:J548)</f>
        <v/>
      </c>
      <c r="L548" s="15">
        <f>SUMPRODUCT(C548:J548,Factores!$B$3:$I$3)</f>
        <v/>
      </c>
      <c r="M548" s="16">
        <f>'Empleo Censo'!E548</f>
        <v/>
      </c>
      <c r="N548" s="17">
        <f>IF(M548&gt;0,L548,Factores!$B$7)</f>
        <v/>
      </c>
      <c r="O548">
        <f>IF(M548&gt;0,"OK","sin PEA -&gt; peor")</f>
        <v/>
      </c>
    </row>
    <row r="549">
      <c r="A549" t="inlineStr">
        <is>
          <t>160104</t>
        </is>
      </c>
      <c r="B549" t="inlineStr">
        <is>
          <t>INDIANA</t>
        </is>
      </c>
      <c r="C549" s="14">
        <f>'Empleo Censo'!G549-'Empleo Censo'!F549</f>
        <v/>
      </c>
      <c r="D549" s="14">
        <f>'Empleo Censo'!F549</f>
        <v/>
      </c>
      <c r="E549" s="14">
        <f>'Empleo Censo'!H549</f>
        <v/>
      </c>
      <c r="F549" s="14">
        <f>'Empleo Censo'!I549</f>
        <v/>
      </c>
      <c r="G549" s="14">
        <f>'Empleo Censo'!J549+'Empleo Censo'!K549</f>
        <v/>
      </c>
      <c r="H549" s="14">
        <f>'Empleo Censo'!L549</f>
        <v/>
      </c>
      <c r="I549" s="14">
        <f>'Empleo Censo'!M549</f>
        <v/>
      </c>
      <c r="J549" s="14">
        <f>SUM('Empleo Censo'!N549:AA549)</f>
        <v/>
      </c>
      <c r="K549" s="14">
        <f>SUM(C549:J549)</f>
        <v/>
      </c>
      <c r="L549" s="15">
        <f>SUMPRODUCT(C549:J549,Factores!$B$3:$I$3)</f>
        <v/>
      </c>
      <c r="M549" s="16">
        <f>'Empleo Censo'!E549</f>
        <v/>
      </c>
      <c r="N549" s="17">
        <f>IF(M549&gt;0,L549,Factores!$B$7)</f>
        <v/>
      </c>
      <c r="O549">
        <f>IF(M549&gt;0,"OK","sin PEA -&gt; peor")</f>
        <v/>
      </c>
    </row>
    <row r="550">
      <c r="A550" t="inlineStr">
        <is>
          <t>160105</t>
        </is>
      </c>
      <c r="B550" t="inlineStr">
        <is>
          <t>LAS AMAZONAS</t>
        </is>
      </c>
      <c r="C550" s="14">
        <f>'Empleo Censo'!G550-'Empleo Censo'!F550</f>
        <v/>
      </c>
      <c r="D550" s="14">
        <f>'Empleo Censo'!F550</f>
        <v/>
      </c>
      <c r="E550" s="14">
        <f>'Empleo Censo'!H550</f>
        <v/>
      </c>
      <c r="F550" s="14">
        <f>'Empleo Censo'!I550</f>
        <v/>
      </c>
      <c r="G550" s="14">
        <f>'Empleo Censo'!J550+'Empleo Censo'!K550</f>
        <v/>
      </c>
      <c r="H550" s="14">
        <f>'Empleo Censo'!L550</f>
        <v/>
      </c>
      <c r="I550" s="14">
        <f>'Empleo Censo'!M550</f>
        <v/>
      </c>
      <c r="J550" s="14">
        <f>SUM('Empleo Censo'!N550:AA550)</f>
        <v/>
      </c>
      <c r="K550" s="14">
        <f>SUM(C550:J550)</f>
        <v/>
      </c>
      <c r="L550" s="15">
        <f>SUMPRODUCT(C550:J550,Factores!$B$3:$I$3)</f>
        <v/>
      </c>
      <c r="M550" s="16">
        <f>'Empleo Censo'!E550</f>
        <v/>
      </c>
      <c r="N550" s="17">
        <f>IF(M550&gt;0,L550,Factores!$B$7)</f>
        <v/>
      </c>
      <c r="O550">
        <f>IF(M550&gt;0,"OK","sin PEA -&gt; peor")</f>
        <v/>
      </c>
    </row>
    <row r="551">
      <c r="A551" t="inlineStr">
        <is>
          <t>160106</t>
        </is>
      </c>
      <c r="B551" t="inlineStr">
        <is>
          <t>MAZAN</t>
        </is>
      </c>
      <c r="C551" s="14">
        <f>'Empleo Censo'!G551-'Empleo Censo'!F551</f>
        <v/>
      </c>
      <c r="D551" s="14">
        <f>'Empleo Censo'!F551</f>
        <v/>
      </c>
      <c r="E551" s="14">
        <f>'Empleo Censo'!H551</f>
        <v/>
      </c>
      <c r="F551" s="14">
        <f>'Empleo Censo'!I551</f>
        <v/>
      </c>
      <c r="G551" s="14">
        <f>'Empleo Censo'!J551+'Empleo Censo'!K551</f>
        <v/>
      </c>
      <c r="H551" s="14">
        <f>'Empleo Censo'!L551</f>
        <v/>
      </c>
      <c r="I551" s="14">
        <f>'Empleo Censo'!M551</f>
        <v/>
      </c>
      <c r="J551" s="14">
        <f>SUM('Empleo Censo'!N551:AA551)</f>
        <v/>
      </c>
      <c r="K551" s="14">
        <f>SUM(C551:J551)</f>
        <v/>
      </c>
      <c r="L551" s="15">
        <f>SUMPRODUCT(C551:J551,Factores!$B$3:$I$3)</f>
        <v/>
      </c>
      <c r="M551" s="16">
        <f>'Empleo Censo'!E551</f>
        <v/>
      </c>
      <c r="N551" s="17">
        <f>IF(M551&gt;0,L551,Factores!$B$7)</f>
        <v/>
      </c>
      <c r="O551">
        <f>IF(M551&gt;0,"OK","sin PEA -&gt; peor")</f>
        <v/>
      </c>
    </row>
    <row r="552">
      <c r="A552" t="inlineStr">
        <is>
          <t>160107</t>
        </is>
      </c>
      <c r="B552" t="inlineStr"/>
      <c r="C552" s="14">
        <f>'Empleo Censo'!G552-'Empleo Censo'!F552</f>
        <v/>
      </c>
      <c r="D552" s="14">
        <f>'Empleo Censo'!F552</f>
        <v/>
      </c>
      <c r="E552" s="14">
        <f>'Empleo Censo'!H552</f>
        <v/>
      </c>
      <c r="F552" s="14">
        <f>'Empleo Censo'!I552</f>
        <v/>
      </c>
      <c r="G552" s="14">
        <f>'Empleo Censo'!J552+'Empleo Censo'!K552</f>
        <v/>
      </c>
      <c r="H552" s="14">
        <f>'Empleo Censo'!L552</f>
        <v/>
      </c>
      <c r="I552" s="14">
        <f>'Empleo Censo'!M552</f>
        <v/>
      </c>
      <c r="J552" s="14">
        <f>SUM('Empleo Censo'!N552:AA552)</f>
        <v/>
      </c>
      <c r="K552" s="14">
        <f>SUM(C552:J552)</f>
        <v/>
      </c>
      <c r="L552" s="15">
        <f>SUMPRODUCT(C552:J552,Factores!$B$3:$I$3)</f>
        <v/>
      </c>
      <c r="M552" s="16">
        <f>'Empleo Censo'!E552</f>
        <v/>
      </c>
      <c r="N552" s="17">
        <f>IF(M552&gt;0,L552,Factores!$B$7)</f>
        <v/>
      </c>
      <c r="O552">
        <f>IF(M552&gt;0,"OK","sin PEA -&gt; peor")</f>
        <v/>
      </c>
    </row>
    <row r="553">
      <c r="A553" t="inlineStr">
        <is>
          <t>160108</t>
        </is>
      </c>
      <c r="B553" t="inlineStr">
        <is>
          <t>PUNCHANA</t>
        </is>
      </c>
      <c r="C553" s="14">
        <f>'Empleo Censo'!G553-'Empleo Censo'!F553</f>
        <v/>
      </c>
      <c r="D553" s="14">
        <f>'Empleo Censo'!F553</f>
        <v/>
      </c>
      <c r="E553" s="14">
        <f>'Empleo Censo'!H553</f>
        <v/>
      </c>
      <c r="F553" s="14">
        <f>'Empleo Censo'!I553</f>
        <v/>
      </c>
      <c r="G553" s="14">
        <f>'Empleo Censo'!J553+'Empleo Censo'!K553</f>
        <v/>
      </c>
      <c r="H553" s="14">
        <f>'Empleo Censo'!L553</f>
        <v/>
      </c>
      <c r="I553" s="14">
        <f>'Empleo Censo'!M553</f>
        <v/>
      </c>
      <c r="J553" s="14">
        <f>SUM('Empleo Censo'!N553:AA553)</f>
        <v/>
      </c>
      <c r="K553" s="14">
        <f>SUM(C553:J553)</f>
        <v/>
      </c>
      <c r="L553" s="15">
        <f>SUMPRODUCT(C553:J553,Factores!$B$3:$I$3)</f>
        <v/>
      </c>
      <c r="M553" s="16">
        <f>'Empleo Censo'!E553</f>
        <v/>
      </c>
      <c r="N553" s="17">
        <f>IF(M553&gt;0,L553,Factores!$B$7)</f>
        <v/>
      </c>
      <c r="O553">
        <f>IF(M553&gt;0,"OK","sin PEA -&gt; peor")</f>
        <v/>
      </c>
    </row>
    <row r="554">
      <c r="A554" t="inlineStr">
        <is>
          <t>160110</t>
        </is>
      </c>
      <c r="B554" t="inlineStr">
        <is>
          <t>TORRES CAUSANA</t>
        </is>
      </c>
      <c r="C554" s="14">
        <f>'Empleo Censo'!G554-'Empleo Censo'!F554</f>
        <v/>
      </c>
      <c r="D554" s="14">
        <f>'Empleo Censo'!F554</f>
        <v/>
      </c>
      <c r="E554" s="14">
        <f>'Empleo Censo'!H554</f>
        <v/>
      </c>
      <c r="F554" s="14">
        <f>'Empleo Censo'!I554</f>
        <v/>
      </c>
      <c r="G554" s="14">
        <f>'Empleo Censo'!J554+'Empleo Censo'!K554</f>
        <v/>
      </c>
      <c r="H554" s="14">
        <f>'Empleo Censo'!L554</f>
        <v/>
      </c>
      <c r="I554" s="14">
        <f>'Empleo Censo'!M554</f>
        <v/>
      </c>
      <c r="J554" s="14">
        <f>SUM('Empleo Censo'!N554:AA554)</f>
        <v/>
      </c>
      <c r="K554" s="14">
        <f>SUM(C554:J554)</f>
        <v/>
      </c>
      <c r="L554" s="15">
        <f>SUMPRODUCT(C554:J554,Factores!$B$3:$I$3)</f>
        <v/>
      </c>
      <c r="M554" s="16">
        <f>'Empleo Censo'!E554</f>
        <v/>
      </c>
      <c r="N554" s="17">
        <f>IF(M554&gt;0,L554,Factores!$B$7)</f>
        <v/>
      </c>
      <c r="O554">
        <f>IF(M554&gt;0,"OK","sin PEA -&gt; peor")</f>
        <v/>
      </c>
    </row>
    <row r="555">
      <c r="A555" t="inlineStr">
        <is>
          <t>160112</t>
        </is>
      </c>
      <c r="B555" t="inlineStr">
        <is>
          <t>BELEN</t>
        </is>
      </c>
      <c r="C555" s="14">
        <f>'Empleo Censo'!G555-'Empleo Censo'!F555</f>
        <v/>
      </c>
      <c r="D555" s="14">
        <f>'Empleo Censo'!F555</f>
        <v/>
      </c>
      <c r="E555" s="14">
        <f>'Empleo Censo'!H555</f>
        <v/>
      </c>
      <c r="F555" s="14">
        <f>'Empleo Censo'!I555</f>
        <v/>
      </c>
      <c r="G555" s="14">
        <f>'Empleo Censo'!J555+'Empleo Censo'!K555</f>
        <v/>
      </c>
      <c r="H555" s="14">
        <f>'Empleo Censo'!L555</f>
        <v/>
      </c>
      <c r="I555" s="14">
        <f>'Empleo Censo'!M555</f>
        <v/>
      </c>
      <c r="J555" s="14">
        <f>SUM('Empleo Censo'!N555:AA555)</f>
        <v/>
      </c>
      <c r="K555" s="14">
        <f>SUM(C555:J555)</f>
        <v/>
      </c>
      <c r="L555" s="15">
        <f>SUMPRODUCT(C555:J555,Factores!$B$3:$I$3)</f>
        <v/>
      </c>
      <c r="M555" s="16">
        <f>'Empleo Censo'!E555</f>
        <v/>
      </c>
      <c r="N555" s="17">
        <f>IF(M555&gt;0,L555,Factores!$B$7)</f>
        <v/>
      </c>
      <c r="O555">
        <f>IF(M555&gt;0,"OK","sin PEA -&gt; peor")</f>
        <v/>
      </c>
    </row>
    <row r="556">
      <c r="A556" t="inlineStr">
        <is>
          <t>160113</t>
        </is>
      </c>
      <c r="B556" t="inlineStr">
        <is>
          <t>SAN JUAN BAUTISTA</t>
        </is>
      </c>
      <c r="C556" s="14">
        <f>'Empleo Censo'!G556-'Empleo Censo'!F556</f>
        <v/>
      </c>
      <c r="D556" s="14">
        <f>'Empleo Censo'!F556</f>
        <v/>
      </c>
      <c r="E556" s="14">
        <f>'Empleo Censo'!H556</f>
        <v/>
      </c>
      <c r="F556" s="14">
        <f>'Empleo Censo'!I556</f>
        <v/>
      </c>
      <c r="G556" s="14">
        <f>'Empleo Censo'!J556+'Empleo Censo'!K556</f>
        <v/>
      </c>
      <c r="H556" s="14">
        <f>'Empleo Censo'!L556</f>
        <v/>
      </c>
      <c r="I556" s="14">
        <f>'Empleo Censo'!M556</f>
        <v/>
      </c>
      <c r="J556" s="14">
        <f>SUM('Empleo Censo'!N556:AA556)</f>
        <v/>
      </c>
      <c r="K556" s="14">
        <f>SUM(C556:J556)</f>
        <v/>
      </c>
      <c r="L556" s="15">
        <f>SUMPRODUCT(C556:J556,Factores!$B$3:$I$3)</f>
        <v/>
      </c>
      <c r="M556" s="16">
        <f>'Empleo Censo'!E556</f>
        <v/>
      </c>
      <c r="N556" s="17">
        <f>IF(M556&gt;0,L556,Factores!$B$7)</f>
        <v/>
      </c>
      <c r="O556">
        <f>IF(M556&gt;0,"OK","sin PEA -&gt; peor")</f>
        <v/>
      </c>
    </row>
    <row r="557">
      <c r="A557" t="inlineStr">
        <is>
          <t>160201</t>
        </is>
      </c>
      <c r="B557" t="inlineStr">
        <is>
          <t>YURIMAGUAS</t>
        </is>
      </c>
      <c r="C557" s="14">
        <f>'Empleo Censo'!G557-'Empleo Censo'!F557</f>
        <v/>
      </c>
      <c r="D557" s="14">
        <f>'Empleo Censo'!F557</f>
        <v/>
      </c>
      <c r="E557" s="14">
        <f>'Empleo Censo'!H557</f>
        <v/>
      </c>
      <c r="F557" s="14">
        <f>'Empleo Censo'!I557</f>
        <v/>
      </c>
      <c r="G557" s="14">
        <f>'Empleo Censo'!J557+'Empleo Censo'!K557</f>
        <v/>
      </c>
      <c r="H557" s="14">
        <f>'Empleo Censo'!L557</f>
        <v/>
      </c>
      <c r="I557" s="14">
        <f>'Empleo Censo'!M557</f>
        <v/>
      </c>
      <c r="J557" s="14">
        <f>SUM('Empleo Censo'!N557:AA557)</f>
        <v/>
      </c>
      <c r="K557" s="14">
        <f>SUM(C557:J557)</f>
        <v/>
      </c>
      <c r="L557" s="15">
        <f>SUMPRODUCT(C557:J557,Factores!$B$3:$I$3)</f>
        <v/>
      </c>
      <c r="M557" s="16">
        <f>'Empleo Censo'!E557</f>
        <v/>
      </c>
      <c r="N557" s="17">
        <f>IF(M557&gt;0,L557,Factores!$B$7)</f>
        <v/>
      </c>
      <c r="O557">
        <f>IF(M557&gt;0,"OK","sin PEA -&gt; peor")</f>
        <v/>
      </c>
    </row>
    <row r="558">
      <c r="A558" t="inlineStr">
        <is>
          <t>160202</t>
        </is>
      </c>
      <c r="B558" t="inlineStr">
        <is>
          <t>BALSAPUERTO</t>
        </is>
      </c>
      <c r="C558" s="14">
        <f>'Empleo Censo'!G558-'Empleo Censo'!F558</f>
        <v/>
      </c>
      <c r="D558" s="14">
        <f>'Empleo Censo'!F558</f>
        <v/>
      </c>
      <c r="E558" s="14">
        <f>'Empleo Censo'!H558</f>
        <v/>
      </c>
      <c r="F558" s="14">
        <f>'Empleo Censo'!I558</f>
        <v/>
      </c>
      <c r="G558" s="14">
        <f>'Empleo Censo'!J558+'Empleo Censo'!K558</f>
        <v/>
      </c>
      <c r="H558" s="14">
        <f>'Empleo Censo'!L558</f>
        <v/>
      </c>
      <c r="I558" s="14">
        <f>'Empleo Censo'!M558</f>
        <v/>
      </c>
      <c r="J558" s="14">
        <f>SUM('Empleo Censo'!N558:AA558)</f>
        <v/>
      </c>
      <c r="K558" s="14">
        <f>SUM(C558:J558)</f>
        <v/>
      </c>
      <c r="L558" s="15">
        <f>SUMPRODUCT(C558:J558,Factores!$B$3:$I$3)</f>
        <v/>
      </c>
      <c r="M558" s="16">
        <f>'Empleo Censo'!E558</f>
        <v/>
      </c>
      <c r="N558" s="17">
        <f>IF(M558&gt;0,L558,Factores!$B$7)</f>
        <v/>
      </c>
      <c r="O558">
        <f>IF(M558&gt;0,"OK","sin PEA -&gt; peor")</f>
        <v/>
      </c>
    </row>
    <row r="559">
      <c r="A559" t="inlineStr">
        <is>
          <t>160205</t>
        </is>
      </c>
      <c r="B559" t="inlineStr">
        <is>
          <t>JEBEROS</t>
        </is>
      </c>
      <c r="C559" s="14">
        <f>'Empleo Censo'!G559-'Empleo Censo'!F559</f>
        <v/>
      </c>
      <c r="D559" s="14">
        <f>'Empleo Censo'!F559</f>
        <v/>
      </c>
      <c r="E559" s="14">
        <f>'Empleo Censo'!H559</f>
        <v/>
      </c>
      <c r="F559" s="14">
        <f>'Empleo Censo'!I559</f>
        <v/>
      </c>
      <c r="G559" s="14">
        <f>'Empleo Censo'!J559+'Empleo Censo'!K559</f>
        <v/>
      </c>
      <c r="H559" s="14">
        <f>'Empleo Censo'!L559</f>
        <v/>
      </c>
      <c r="I559" s="14">
        <f>'Empleo Censo'!M559</f>
        <v/>
      </c>
      <c r="J559" s="14">
        <f>SUM('Empleo Censo'!N559:AA559)</f>
        <v/>
      </c>
      <c r="K559" s="14">
        <f>SUM(C559:J559)</f>
        <v/>
      </c>
      <c r="L559" s="15">
        <f>SUMPRODUCT(C559:J559,Factores!$B$3:$I$3)</f>
        <v/>
      </c>
      <c r="M559" s="16">
        <f>'Empleo Censo'!E559</f>
        <v/>
      </c>
      <c r="N559" s="17">
        <f>IF(M559&gt;0,L559,Factores!$B$7)</f>
        <v/>
      </c>
      <c r="O559">
        <f>IF(M559&gt;0,"OK","sin PEA -&gt; peor")</f>
        <v/>
      </c>
    </row>
    <row r="560">
      <c r="A560" t="inlineStr">
        <is>
          <t>160206</t>
        </is>
      </c>
      <c r="B560" t="inlineStr">
        <is>
          <t>LAGUNAS</t>
        </is>
      </c>
      <c r="C560" s="14">
        <f>'Empleo Censo'!G560-'Empleo Censo'!F560</f>
        <v/>
      </c>
      <c r="D560" s="14">
        <f>'Empleo Censo'!F560</f>
        <v/>
      </c>
      <c r="E560" s="14">
        <f>'Empleo Censo'!H560</f>
        <v/>
      </c>
      <c r="F560" s="14">
        <f>'Empleo Censo'!I560</f>
        <v/>
      </c>
      <c r="G560" s="14">
        <f>'Empleo Censo'!J560+'Empleo Censo'!K560</f>
        <v/>
      </c>
      <c r="H560" s="14">
        <f>'Empleo Censo'!L560</f>
        <v/>
      </c>
      <c r="I560" s="14">
        <f>'Empleo Censo'!M560</f>
        <v/>
      </c>
      <c r="J560" s="14">
        <f>SUM('Empleo Censo'!N560:AA560)</f>
        <v/>
      </c>
      <c r="K560" s="14">
        <f>SUM(C560:J560)</f>
        <v/>
      </c>
      <c r="L560" s="15">
        <f>SUMPRODUCT(C560:J560,Factores!$B$3:$I$3)</f>
        <v/>
      </c>
      <c r="M560" s="16">
        <f>'Empleo Censo'!E560</f>
        <v/>
      </c>
      <c r="N560" s="17">
        <f>IF(M560&gt;0,L560,Factores!$B$7)</f>
        <v/>
      </c>
      <c r="O560">
        <f>IF(M560&gt;0,"OK","sin PEA -&gt; peor")</f>
        <v/>
      </c>
    </row>
    <row r="561">
      <c r="A561" t="inlineStr">
        <is>
          <t>160210</t>
        </is>
      </c>
      <c r="B561" t="inlineStr">
        <is>
          <t>SANTA CRUZ</t>
        </is>
      </c>
      <c r="C561" s="14">
        <f>'Empleo Censo'!G561-'Empleo Censo'!F561</f>
        <v/>
      </c>
      <c r="D561" s="14">
        <f>'Empleo Censo'!F561</f>
        <v/>
      </c>
      <c r="E561" s="14">
        <f>'Empleo Censo'!H561</f>
        <v/>
      </c>
      <c r="F561" s="14">
        <f>'Empleo Censo'!I561</f>
        <v/>
      </c>
      <c r="G561" s="14">
        <f>'Empleo Censo'!J561+'Empleo Censo'!K561</f>
        <v/>
      </c>
      <c r="H561" s="14">
        <f>'Empleo Censo'!L561</f>
        <v/>
      </c>
      <c r="I561" s="14">
        <f>'Empleo Censo'!M561</f>
        <v/>
      </c>
      <c r="J561" s="14">
        <f>SUM('Empleo Censo'!N561:AA561)</f>
        <v/>
      </c>
      <c r="K561" s="14">
        <f>SUM(C561:J561)</f>
        <v/>
      </c>
      <c r="L561" s="15">
        <f>SUMPRODUCT(C561:J561,Factores!$B$3:$I$3)</f>
        <v/>
      </c>
      <c r="M561" s="16">
        <f>'Empleo Censo'!E561</f>
        <v/>
      </c>
      <c r="N561" s="17">
        <f>IF(M561&gt;0,L561,Factores!$B$7)</f>
        <v/>
      </c>
      <c r="O561">
        <f>IF(M561&gt;0,"OK","sin PEA -&gt; peor")</f>
        <v/>
      </c>
    </row>
    <row r="562">
      <c r="A562" t="inlineStr">
        <is>
          <t>160211</t>
        </is>
      </c>
      <c r="B562" t="inlineStr">
        <is>
          <t>TENIENTE CESAR LOPEZ ROJAS</t>
        </is>
      </c>
      <c r="C562" s="14">
        <f>'Empleo Censo'!G562-'Empleo Censo'!F562</f>
        <v/>
      </c>
      <c r="D562" s="14">
        <f>'Empleo Censo'!F562</f>
        <v/>
      </c>
      <c r="E562" s="14">
        <f>'Empleo Censo'!H562</f>
        <v/>
      </c>
      <c r="F562" s="14">
        <f>'Empleo Censo'!I562</f>
        <v/>
      </c>
      <c r="G562" s="14">
        <f>'Empleo Censo'!J562+'Empleo Censo'!K562</f>
        <v/>
      </c>
      <c r="H562" s="14">
        <f>'Empleo Censo'!L562</f>
        <v/>
      </c>
      <c r="I562" s="14">
        <f>'Empleo Censo'!M562</f>
        <v/>
      </c>
      <c r="J562" s="14">
        <f>SUM('Empleo Censo'!N562:AA562)</f>
        <v/>
      </c>
      <c r="K562" s="14">
        <f>SUM(C562:J562)</f>
        <v/>
      </c>
      <c r="L562" s="15">
        <f>SUMPRODUCT(C562:J562,Factores!$B$3:$I$3)</f>
        <v/>
      </c>
      <c r="M562" s="16">
        <f>'Empleo Censo'!E562</f>
        <v/>
      </c>
      <c r="N562" s="17">
        <f>IF(M562&gt;0,L562,Factores!$B$7)</f>
        <v/>
      </c>
      <c r="O562">
        <f>IF(M562&gt;0,"OK","sin PEA -&gt; peor")</f>
        <v/>
      </c>
    </row>
    <row r="563">
      <c r="A563" t="inlineStr">
        <is>
          <t>160301</t>
        </is>
      </c>
      <c r="B563" t="inlineStr"/>
      <c r="C563" s="14">
        <f>'Empleo Censo'!G563-'Empleo Censo'!F563</f>
        <v/>
      </c>
      <c r="D563" s="14">
        <f>'Empleo Censo'!F563</f>
        <v/>
      </c>
      <c r="E563" s="14">
        <f>'Empleo Censo'!H563</f>
        <v/>
      </c>
      <c r="F563" s="14">
        <f>'Empleo Censo'!I563</f>
        <v/>
      </c>
      <c r="G563" s="14">
        <f>'Empleo Censo'!J563+'Empleo Censo'!K563</f>
        <v/>
      </c>
      <c r="H563" s="14">
        <f>'Empleo Censo'!L563</f>
        <v/>
      </c>
      <c r="I563" s="14">
        <f>'Empleo Censo'!M563</f>
        <v/>
      </c>
      <c r="J563" s="14">
        <f>SUM('Empleo Censo'!N563:AA563)</f>
        <v/>
      </c>
      <c r="K563" s="14">
        <f>SUM(C563:J563)</f>
        <v/>
      </c>
      <c r="L563" s="15">
        <f>SUMPRODUCT(C563:J563,Factores!$B$3:$I$3)</f>
        <v/>
      </c>
      <c r="M563" s="16">
        <f>'Empleo Censo'!E563</f>
        <v/>
      </c>
      <c r="N563" s="17">
        <f>IF(M563&gt;0,L563,Factores!$B$7)</f>
        <v/>
      </c>
      <c r="O563">
        <f>IF(M563&gt;0,"OK","sin PEA -&gt; peor")</f>
        <v/>
      </c>
    </row>
    <row r="564">
      <c r="A564" t="inlineStr">
        <is>
          <t>160302</t>
        </is>
      </c>
      <c r="B564" t="inlineStr">
        <is>
          <t>PARINARI</t>
        </is>
      </c>
      <c r="C564" s="14">
        <f>'Empleo Censo'!G564-'Empleo Censo'!F564</f>
        <v/>
      </c>
      <c r="D564" s="14">
        <f>'Empleo Censo'!F564</f>
        <v/>
      </c>
      <c r="E564" s="14">
        <f>'Empleo Censo'!H564</f>
        <v/>
      </c>
      <c r="F564" s="14">
        <f>'Empleo Censo'!I564</f>
        <v/>
      </c>
      <c r="G564" s="14">
        <f>'Empleo Censo'!J564+'Empleo Censo'!K564</f>
        <v/>
      </c>
      <c r="H564" s="14">
        <f>'Empleo Censo'!L564</f>
        <v/>
      </c>
      <c r="I564" s="14">
        <f>'Empleo Censo'!M564</f>
        <v/>
      </c>
      <c r="J564" s="14">
        <f>SUM('Empleo Censo'!N564:AA564)</f>
        <v/>
      </c>
      <c r="K564" s="14">
        <f>SUM(C564:J564)</f>
        <v/>
      </c>
      <c r="L564" s="15">
        <f>SUMPRODUCT(C564:J564,Factores!$B$3:$I$3)</f>
        <v/>
      </c>
      <c r="M564" s="16">
        <f>'Empleo Censo'!E564</f>
        <v/>
      </c>
      <c r="N564" s="17">
        <f>IF(M564&gt;0,L564,Factores!$B$7)</f>
        <v/>
      </c>
      <c r="O564">
        <f>IF(M564&gt;0,"OK","sin PEA -&gt; peor")</f>
        <v/>
      </c>
    </row>
    <row r="565">
      <c r="A565" t="inlineStr">
        <is>
          <t>160303</t>
        </is>
      </c>
      <c r="B565" t="inlineStr">
        <is>
          <t>TIGRE</t>
        </is>
      </c>
      <c r="C565" s="14">
        <f>'Empleo Censo'!G565-'Empleo Censo'!F565</f>
        <v/>
      </c>
      <c r="D565" s="14">
        <f>'Empleo Censo'!F565</f>
        <v/>
      </c>
      <c r="E565" s="14">
        <f>'Empleo Censo'!H565</f>
        <v/>
      </c>
      <c r="F565" s="14">
        <f>'Empleo Censo'!I565</f>
        <v/>
      </c>
      <c r="G565" s="14">
        <f>'Empleo Censo'!J565+'Empleo Censo'!K565</f>
        <v/>
      </c>
      <c r="H565" s="14">
        <f>'Empleo Censo'!L565</f>
        <v/>
      </c>
      <c r="I565" s="14">
        <f>'Empleo Censo'!M565</f>
        <v/>
      </c>
      <c r="J565" s="14">
        <f>SUM('Empleo Censo'!N565:AA565)</f>
        <v/>
      </c>
      <c r="K565" s="14">
        <f>SUM(C565:J565)</f>
        <v/>
      </c>
      <c r="L565" s="15">
        <f>SUMPRODUCT(C565:J565,Factores!$B$3:$I$3)</f>
        <v/>
      </c>
      <c r="M565" s="16">
        <f>'Empleo Censo'!E565</f>
        <v/>
      </c>
      <c r="N565" s="17">
        <f>IF(M565&gt;0,L565,Factores!$B$7)</f>
        <v/>
      </c>
      <c r="O565">
        <f>IF(M565&gt;0,"OK","sin PEA -&gt; peor")</f>
        <v/>
      </c>
    </row>
    <row r="566">
      <c r="A566" t="inlineStr">
        <is>
          <t>160304</t>
        </is>
      </c>
      <c r="B566" t="inlineStr">
        <is>
          <t>TROMPETEROS</t>
        </is>
      </c>
      <c r="C566" s="14">
        <f>'Empleo Censo'!G566-'Empleo Censo'!F566</f>
        <v/>
      </c>
      <c r="D566" s="14">
        <f>'Empleo Censo'!F566</f>
        <v/>
      </c>
      <c r="E566" s="14">
        <f>'Empleo Censo'!H566</f>
        <v/>
      </c>
      <c r="F566" s="14">
        <f>'Empleo Censo'!I566</f>
        <v/>
      </c>
      <c r="G566" s="14">
        <f>'Empleo Censo'!J566+'Empleo Censo'!K566</f>
        <v/>
      </c>
      <c r="H566" s="14">
        <f>'Empleo Censo'!L566</f>
        <v/>
      </c>
      <c r="I566" s="14">
        <f>'Empleo Censo'!M566</f>
        <v/>
      </c>
      <c r="J566" s="14">
        <f>SUM('Empleo Censo'!N566:AA566)</f>
        <v/>
      </c>
      <c r="K566" s="14">
        <f>SUM(C566:J566)</f>
        <v/>
      </c>
      <c r="L566" s="15">
        <f>SUMPRODUCT(C566:J566,Factores!$B$3:$I$3)</f>
        <v/>
      </c>
      <c r="M566" s="16">
        <f>'Empleo Censo'!E566</f>
        <v/>
      </c>
      <c r="N566" s="17">
        <f>IF(M566&gt;0,L566,Factores!$B$7)</f>
        <v/>
      </c>
      <c r="O566">
        <f>IF(M566&gt;0,"OK","sin PEA -&gt; peor")</f>
        <v/>
      </c>
    </row>
    <row r="567">
      <c r="A567" t="inlineStr">
        <is>
          <t>160305</t>
        </is>
      </c>
      <c r="B567" t="inlineStr">
        <is>
          <t>URARINAS</t>
        </is>
      </c>
      <c r="C567" s="14">
        <f>'Empleo Censo'!G567-'Empleo Censo'!F567</f>
        <v/>
      </c>
      <c r="D567" s="14">
        <f>'Empleo Censo'!F567</f>
        <v/>
      </c>
      <c r="E567" s="14">
        <f>'Empleo Censo'!H567</f>
        <v/>
      </c>
      <c r="F567" s="14">
        <f>'Empleo Censo'!I567</f>
        <v/>
      </c>
      <c r="G567" s="14">
        <f>'Empleo Censo'!J567+'Empleo Censo'!K567</f>
        <v/>
      </c>
      <c r="H567" s="14">
        <f>'Empleo Censo'!L567</f>
        <v/>
      </c>
      <c r="I567" s="14">
        <f>'Empleo Censo'!M567</f>
        <v/>
      </c>
      <c r="J567" s="14">
        <f>SUM('Empleo Censo'!N567:AA567)</f>
        <v/>
      </c>
      <c r="K567" s="14">
        <f>SUM(C567:J567)</f>
        <v/>
      </c>
      <c r="L567" s="15">
        <f>SUMPRODUCT(C567:J567,Factores!$B$3:$I$3)</f>
        <v/>
      </c>
      <c r="M567" s="16">
        <f>'Empleo Censo'!E567</f>
        <v/>
      </c>
      <c r="N567" s="17">
        <f>IF(M567&gt;0,L567,Factores!$B$7)</f>
        <v/>
      </c>
      <c r="O567">
        <f>IF(M567&gt;0,"OK","sin PEA -&gt; peor")</f>
        <v/>
      </c>
    </row>
    <row r="568">
      <c r="A568" t="inlineStr">
        <is>
          <t>160401</t>
        </is>
      </c>
      <c r="B568" t="inlineStr">
        <is>
          <t>RAMON CASTILLA</t>
        </is>
      </c>
      <c r="C568" s="14">
        <f>'Empleo Censo'!G568-'Empleo Censo'!F568</f>
        <v/>
      </c>
      <c r="D568" s="14">
        <f>'Empleo Censo'!F568</f>
        <v/>
      </c>
      <c r="E568" s="14">
        <f>'Empleo Censo'!H568</f>
        <v/>
      </c>
      <c r="F568" s="14">
        <f>'Empleo Censo'!I568</f>
        <v/>
      </c>
      <c r="G568" s="14">
        <f>'Empleo Censo'!J568+'Empleo Censo'!K568</f>
        <v/>
      </c>
      <c r="H568" s="14">
        <f>'Empleo Censo'!L568</f>
        <v/>
      </c>
      <c r="I568" s="14">
        <f>'Empleo Censo'!M568</f>
        <v/>
      </c>
      <c r="J568" s="14">
        <f>SUM('Empleo Censo'!N568:AA568)</f>
        <v/>
      </c>
      <c r="K568" s="14">
        <f>SUM(C568:J568)</f>
        <v/>
      </c>
      <c r="L568" s="15">
        <f>SUMPRODUCT(C568:J568,Factores!$B$3:$I$3)</f>
        <v/>
      </c>
      <c r="M568" s="16">
        <f>'Empleo Censo'!E568</f>
        <v/>
      </c>
      <c r="N568" s="17">
        <f>IF(M568&gt;0,L568,Factores!$B$7)</f>
        <v/>
      </c>
      <c r="O568">
        <f>IF(M568&gt;0,"OK","sin PEA -&gt; peor")</f>
        <v/>
      </c>
    </row>
    <row r="569">
      <c r="A569" t="inlineStr">
        <is>
          <t>160402</t>
        </is>
      </c>
      <c r="B569" t="inlineStr">
        <is>
          <t>PEBAS</t>
        </is>
      </c>
      <c r="C569" s="14">
        <f>'Empleo Censo'!G569-'Empleo Censo'!F569</f>
        <v/>
      </c>
      <c r="D569" s="14">
        <f>'Empleo Censo'!F569</f>
        <v/>
      </c>
      <c r="E569" s="14">
        <f>'Empleo Censo'!H569</f>
        <v/>
      </c>
      <c r="F569" s="14">
        <f>'Empleo Censo'!I569</f>
        <v/>
      </c>
      <c r="G569" s="14">
        <f>'Empleo Censo'!J569+'Empleo Censo'!K569</f>
        <v/>
      </c>
      <c r="H569" s="14">
        <f>'Empleo Censo'!L569</f>
        <v/>
      </c>
      <c r="I569" s="14">
        <f>'Empleo Censo'!M569</f>
        <v/>
      </c>
      <c r="J569" s="14">
        <f>SUM('Empleo Censo'!N569:AA569)</f>
        <v/>
      </c>
      <c r="K569" s="14">
        <f>SUM(C569:J569)</f>
        <v/>
      </c>
      <c r="L569" s="15">
        <f>SUMPRODUCT(C569:J569,Factores!$B$3:$I$3)</f>
        <v/>
      </c>
      <c r="M569" s="16">
        <f>'Empleo Censo'!E569</f>
        <v/>
      </c>
      <c r="N569" s="17">
        <f>IF(M569&gt;0,L569,Factores!$B$7)</f>
        <v/>
      </c>
      <c r="O569">
        <f>IF(M569&gt;0,"OK","sin PEA -&gt; peor")</f>
        <v/>
      </c>
    </row>
    <row r="570">
      <c r="A570" t="inlineStr">
        <is>
          <t>160403</t>
        </is>
      </c>
      <c r="B570" t="inlineStr">
        <is>
          <t>YAVARI</t>
        </is>
      </c>
      <c r="C570" s="14">
        <f>'Empleo Censo'!G570-'Empleo Censo'!F570</f>
        <v/>
      </c>
      <c r="D570" s="14">
        <f>'Empleo Censo'!F570</f>
        <v/>
      </c>
      <c r="E570" s="14">
        <f>'Empleo Censo'!H570</f>
        <v/>
      </c>
      <c r="F570" s="14">
        <f>'Empleo Censo'!I570</f>
        <v/>
      </c>
      <c r="G570" s="14">
        <f>'Empleo Censo'!J570+'Empleo Censo'!K570</f>
        <v/>
      </c>
      <c r="H570" s="14">
        <f>'Empleo Censo'!L570</f>
        <v/>
      </c>
      <c r="I570" s="14">
        <f>'Empleo Censo'!M570</f>
        <v/>
      </c>
      <c r="J570" s="14">
        <f>SUM('Empleo Censo'!N570:AA570)</f>
        <v/>
      </c>
      <c r="K570" s="14">
        <f>SUM(C570:J570)</f>
        <v/>
      </c>
      <c r="L570" s="15">
        <f>SUMPRODUCT(C570:J570,Factores!$B$3:$I$3)</f>
        <v/>
      </c>
      <c r="M570" s="16">
        <f>'Empleo Censo'!E570</f>
        <v/>
      </c>
      <c r="N570" s="17">
        <f>IF(M570&gt;0,L570,Factores!$B$7)</f>
        <v/>
      </c>
      <c r="O570">
        <f>IF(M570&gt;0,"OK","sin PEA -&gt; peor")</f>
        <v/>
      </c>
    </row>
    <row r="571">
      <c r="A571" t="inlineStr">
        <is>
          <t>160404</t>
        </is>
      </c>
      <c r="B571" t="inlineStr">
        <is>
          <t>SAN PABLO</t>
        </is>
      </c>
      <c r="C571" s="14">
        <f>'Empleo Censo'!G571-'Empleo Censo'!F571</f>
        <v/>
      </c>
      <c r="D571" s="14">
        <f>'Empleo Censo'!F571</f>
        <v/>
      </c>
      <c r="E571" s="14">
        <f>'Empleo Censo'!H571</f>
        <v/>
      </c>
      <c r="F571" s="14">
        <f>'Empleo Censo'!I571</f>
        <v/>
      </c>
      <c r="G571" s="14">
        <f>'Empleo Censo'!J571+'Empleo Censo'!K571</f>
        <v/>
      </c>
      <c r="H571" s="14">
        <f>'Empleo Censo'!L571</f>
        <v/>
      </c>
      <c r="I571" s="14">
        <f>'Empleo Censo'!M571</f>
        <v/>
      </c>
      <c r="J571" s="14">
        <f>SUM('Empleo Censo'!N571:AA571)</f>
        <v/>
      </c>
      <c r="K571" s="14">
        <f>SUM(C571:J571)</f>
        <v/>
      </c>
      <c r="L571" s="15">
        <f>SUMPRODUCT(C571:J571,Factores!$B$3:$I$3)</f>
        <v/>
      </c>
      <c r="M571" s="16">
        <f>'Empleo Censo'!E571</f>
        <v/>
      </c>
      <c r="N571" s="17">
        <f>IF(M571&gt;0,L571,Factores!$B$7)</f>
        <v/>
      </c>
      <c r="O571">
        <f>IF(M571&gt;0,"OK","sin PEA -&gt; peor")</f>
        <v/>
      </c>
    </row>
    <row r="572">
      <c r="A572" t="inlineStr">
        <is>
          <t>160501</t>
        </is>
      </c>
      <c r="B572" t="inlineStr">
        <is>
          <t>REQUENA</t>
        </is>
      </c>
      <c r="C572" s="14">
        <f>'Empleo Censo'!G572-'Empleo Censo'!F572</f>
        <v/>
      </c>
      <c r="D572" s="14">
        <f>'Empleo Censo'!F572</f>
        <v/>
      </c>
      <c r="E572" s="14">
        <f>'Empleo Censo'!H572</f>
        <v/>
      </c>
      <c r="F572" s="14">
        <f>'Empleo Censo'!I572</f>
        <v/>
      </c>
      <c r="G572" s="14">
        <f>'Empleo Censo'!J572+'Empleo Censo'!K572</f>
        <v/>
      </c>
      <c r="H572" s="14">
        <f>'Empleo Censo'!L572</f>
        <v/>
      </c>
      <c r="I572" s="14">
        <f>'Empleo Censo'!M572</f>
        <v/>
      </c>
      <c r="J572" s="14">
        <f>SUM('Empleo Censo'!N572:AA572)</f>
        <v/>
      </c>
      <c r="K572" s="14">
        <f>SUM(C572:J572)</f>
        <v/>
      </c>
      <c r="L572" s="15">
        <f>SUMPRODUCT(C572:J572,Factores!$B$3:$I$3)</f>
        <v/>
      </c>
      <c r="M572" s="16">
        <f>'Empleo Censo'!E572</f>
        <v/>
      </c>
      <c r="N572" s="17">
        <f>IF(M572&gt;0,L572,Factores!$B$7)</f>
        <v/>
      </c>
      <c r="O572">
        <f>IF(M572&gt;0,"OK","sin PEA -&gt; peor")</f>
        <v/>
      </c>
    </row>
    <row r="573">
      <c r="A573" t="inlineStr">
        <is>
          <t>160502</t>
        </is>
      </c>
      <c r="B573" t="inlineStr">
        <is>
          <t>ALTO TAPICHE</t>
        </is>
      </c>
      <c r="C573" s="14">
        <f>'Empleo Censo'!G573-'Empleo Censo'!F573</f>
        <v/>
      </c>
      <c r="D573" s="14">
        <f>'Empleo Censo'!F573</f>
        <v/>
      </c>
      <c r="E573" s="14">
        <f>'Empleo Censo'!H573</f>
        <v/>
      </c>
      <c r="F573" s="14">
        <f>'Empleo Censo'!I573</f>
        <v/>
      </c>
      <c r="G573" s="14">
        <f>'Empleo Censo'!J573+'Empleo Censo'!K573</f>
        <v/>
      </c>
      <c r="H573" s="14">
        <f>'Empleo Censo'!L573</f>
        <v/>
      </c>
      <c r="I573" s="14">
        <f>'Empleo Censo'!M573</f>
        <v/>
      </c>
      <c r="J573" s="14">
        <f>SUM('Empleo Censo'!N573:AA573)</f>
        <v/>
      </c>
      <c r="K573" s="14">
        <f>SUM(C573:J573)</f>
        <v/>
      </c>
      <c r="L573" s="15">
        <f>SUMPRODUCT(C573:J573,Factores!$B$3:$I$3)</f>
        <v/>
      </c>
      <c r="M573" s="16">
        <f>'Empleo Censo'!E573</f>
        <v/>
      </c>
      <c r="N573" s="17">
        <f>IF(M573&gt;0,L573,Factores!$B$7)</f>
        <v/>
      </c>
      <c r="O573">
        <f>IF(M573&gt;0,"OK","sin PEA -&gt; peor")</f>
        <v/>
      </c>
    </row>
    <row r="574">
      <c r="A574" t="inlineStr">
        <is>
          <t>160503</t>
        </is>
      </c>
      <c r="B574" t="inlineStr">
        <is>
          <t>CAPELO</t>
        </is>
      </c>
      <c r="C574" s="14">
        <f>'Empleo Censo'!G574-'Empleo Censo'!F574</f>
        <v/>
      </c>
      <c r="D574" s="14">
        <f>'Empleo Censo'!F574</f>
        <v/>
      </c>
      <c r="E574" s="14">
        <f>'Empleo Censo'!H574</f>
        <v/>
      </c>
      <c r="F574" s="14">
        <f>'Empleo Censo'!I574</f>
        <v/>
      </c>
      <c r="G574" s="14">
        <f>'Empleo Censo'!J574+'Empleo Censo'!K574</f>
        <v/>
      </c>
      <c r="H574" s="14">
        <f>'Empleo Censo'!L574</f>
        <v/>
      </c>
      <c r="I574" s="14">
        <f>'Empleo Censo'!M574</f>
        <v/>
      </c>
      <c r="J574" s="14">
        <f>SUM('Empleo Censo'!N574:AA574)</f>
        <v/>
      </c>
      <c r="K574" s="14">
        <f>SUM(C574:J574)</f>
        <v/>
      </c>
      <c r="L574" s="15">
        <f>SUMPRODUCT(C574:J574,Factores!$B$3:$I$3)</f>
        <v/>
      </c>
      <c r="M574" s="16">
        <f>'Empleo Censo'!E574</f>
        <v/>
      </c>
      <c r="N574" s="17">
        <f>IF(M574&gt;0,L574,Factores!$B$7)</f>
        <v/>
      </c>
      <c r="O574">
        <f>IF(M574&gt;0,"OK","sin PEA -&gt; peor")</f>
        <v/>
      </c>
    </row>
    <row r="575">
      <c r="A575" t="inlineStr">
        <is>
          <t>160504</t>
        </is>
      </c>
      <c r="B575" t="inlineStr">
        <is>
          <t>EMILIO SAN MARTIN</t>
        </is>
      </c>
      <c r="C575" s="14">
        <f>'Empleo Censo'!G575-'Empleo Censo'!F575</f>
        <v/>
      </c>
      <c r="D575" s="14">
        <f>'Empleo Censo'!F575</f>
        <v/>
      </c>
      <c r="E575" s="14">
        <f>'Empleo Censo'!H575</f>
        <v/>
      </c>
      <c r="F575" s="14">
        <f>'Empleo Censo'!I575</f>
        <v/>
      </c>
      <c r="G575" s="14">
        <f>'Empleo Censo'!J575+'Empleo Censo'!K575</f>
        <v/>
      </c>
      <c r="H575" s="14">
        <f>'Empleo Censo'!L575</f>
        <v/>
      </c>
      <c r="I575" s="14">
        <f>'Empleo Censo'!M575</f>
        <v/>
      </c>
      <c r="J575" s="14">
        <f>SUM('Empleo Censo'!N575:AA575)</f>
        <v/>
      </c>
      <c r="K575" s="14">
        <f>SUM(C575:J575)</f>
        <v/>
      </c>
      <c r="L575" s="15">
        <f>SUMPRODUCT(C575:J575,Factores!$B$3:$I$3)</f>
        <v/>
      </c>
      <c r="M575" s="16">
        <f>'Empleo Censo'!E575</f>
        <v/>
      </c>
      <c r="N575" s="17">
        <f>IF(M575&gt;0,L575,Factores!$B$7)</f>
        <v/>
      </c>
      <c r="O575">
        <f>IF(M575&gt;0,"OK","sin PEA -&gt; peor")</f>
        <v/>
      </c>
    </row>
    <row r="576">
      <c r="A576" t="inlineStr">
        <is>
          <t>160505</t>
        </is>
      </c>
      <c r="B576" t="inlineStr">
        <is>
          <t>MAQUIA</t>
        </is>
      </c>
      <c r="C576" s="14">
        <f>'Empleo Censo'!G576-'Empleo Censo'!F576</f>
        <v/>
      </c>
      <c r="D576" s="14">
        <f>'Empleo Censo'!F576</f>
        <v/>
      </c>
      <c r="E576" s="14">
        <f>'Empleo Censo'!H576</f>
        <v/>
      </c>
      <c r="F576" s="14">
        <f>'Empleo Censo'!I576</f>
        <v/>
      </c>
      <c r="G576" s="14">
        <f>'Empleo Censo'!J576+'Empleo Censo'!K576</f>
        <v/>
      </c>
      <c r="H576" s="14">
        <f>'Empleo Censo'!L576</f>
        <v/>
      </c>
      <c r="I576" s="14">
        <f>'Empleo Censo'!M576</f>
        <v/>
      </c>
      <c r="J576" s="14">
        <f>SUM('Empleo Censo'!N576:AA576)</f>
        <v/>
      </c>
      <c r="K576" s="14">
        <f>SUM(C576:J576)</f>
        <v/>
      </c>
      <c r="L576" s="15">
        <f>SUMPRODUCT(C576:J576,Factores!$B$3:$I$3)</f>
        <v/>
      </c>
      <c r="M576" s="16">
        <f>'Empleo Censo'!E576</f>
        <v/>
      </c>
      <c r="N576" s="17">
        <f>IF(M576&gt;0,L576,Factores!$B$7)</f>
        <v/>
      </c>
      <c r="O576">
        <f>IF(M576&gt;0,"OK","sin PEA -&gt; peor")</f>
        <v/>
      </c>
    </row>
    <row r="577">
      <c r="A577" t="inlineStr">
        <is>
          <t>160506</t>
        </is>
      </c>
      <c r="B577" t="inlineStr">
        <is>
          <t>PUINAHUA</t>
        </is>
      </c>
      <c r="C577" s="14">
        <f>'Empleo Censo'!G577-'Empleo Censo'!F577</f>
        <v/>
      </c>
      <c r="D577" s="14">
        <f>'Empleo Censo'!F577</f>
        <v/>
      </c>
      <c r="E577" s="14">
        <f>'Empleo Censo'!H577</f>
        <v/>
      </c>
      <c r="F577" s="14">
        <f>'Empleo Censo'!I577</f>
        <v/>
      </c>
      <c r="G577" s="14">
        <f>'Empleo Censo'!J577+'Empleo Censo'!K577</f>
        <v/>
      </c>
      <c r="H577" s="14">
        <f>'Empleo Censo'!L577</f>
        <v/>
      </c>
      <c r="I577" s="14">
        <f>'Empleo Censo'!M577</f>
        <v/>
      </c>
      <c r="J577" s="14">
        <f>SUM('Empleo Censo'!N577:AA577)</f>
        <v/>
      </c>
      <c r="K577" s="14">
        <f>SUM(C577:J577)</f>
        <v/>
      </c>
      <c r="L577" s="15">
        <f>SUMPRODUCT(C577:J577,Factores!$B$3:$I$3)</f>
        <v/>
      </c>
      <c r="M577" s="16">
        <f>'Empleo Censo'!E577</f>
        <v/>
      </c>
      <c r="N577" s="17">
        <f>IF(M577&gt;0,L577,Factores!$B$7)</f>
        <v/>
      </c>
      <c r="O577">
        <f>IF(M577&gt;0,"OK","sin PEA -&gt; peor")</f>
        <v/>
      </c>
    </row>
    <row r="578">
      <c r="A578" t="inlineStr">
        <is>
          <t>160507</t>
        </is>
      </c>
      <c r="B578" t="inlineStr">
        <is>
          <t>SAQUENA</t>
        </is>
      </c>
      <c r="C578" s="14">
        <f>'Empleo Censo'!G578-'Empleo Censo'!F578</f>
        <v/>
      </c>
      <c r="D578" s="14">
        <f>'Empleo Censo'!F578</f>
        <v/>
      </c>
      <c r="E578" s="14">
        <f>'Empleo Censo'!H578</f>
        <v/>
      </c>
      <c r="F578" s="14">
        <f>'Empleo Censo'!I578</f>
        <v/>
      </c>
      <c r="G578" s="14">
        <f>'Empleo Censo'!J578+'Empleo Censo'!K578</f>
        <v/>
      </c>
      <c r="H578" s="14">
        <f>'Empleo Censo'!L578</f>
        <v/>
      </c>
      <c r="I578" s="14">
        <f>'Empleo Censo'!M578</f>
        <v/>
      </c>
      <c r="J578" s="14">
        <f>SUM('Empleo Censo'!N578:AA578)</f>
        <v/>
      </c>
      <c r="K578" s="14">
        <f>SUM(C578:J578)</f>
        <v/>
      </c>
      <c r="L578" s="15">
        <f>SUMPRODUCT(C578:J578,Factores!$B$3:$I$3)</f>
        <v/>
      </c>
      <c r="M578" s="16">
        <f>'Empleo Censo'!E578</f>
        <v/>
      </c>
      <c r="N578" s="17">
        <f>IF(M578&gt;0,L578,Factores!$B$7)</f>
        <v/>
      </c>
      <c r="O578">
        <f>IF(M578&gt;0,"OK","sin PEA -&gt; peor")</f>
        <v/>
      </c>
    </row>
    <row r="579">
      <c r="A579" t="inlineStr">
        <is>
          <t>160508</t>
        </is>
      </c>
      <c r="B579" t="inlineStr">
        <is>
          <t>SOPLIN</t>
        </is>
      </c>
      <c r="C579" s="14">
        <f>'Empleo Censo'!G579-'Empleo Censo'!F579</f>
        <v/>
      </c>
      <c r="D579" s="14">
        <f>'Empleo Censo'!F579</f>
        <v/>
      </c>
      <c r="E579" s="14">
        <f>'Empleo Censo'!H579</f>
        <v/>
      </c>
      <c r="F579" s="14">
        <f>'Empleo Censo'!I579</f>
        <v/>
      </c>
      <c r="G579" s="14">
        <f>'Empleo Censo'!J579+'Empleo Censo'!K579</f>
        <v/>
      </c>
      <c r="H579" s="14">
        <f>'Empleo Censo'!L579</f>
        <v/>
      </c>
      <c r="I579" s="14">
        <f>'Empleo Censo'!M579</f>
        <v/>
      </c>
      <c r="J579" s="14">
        <f>SUM('Empleo Censo'!N579:AA579)</f>
        <v/>
      </c>
      <c r="K579" s="14">
        <f>SUM(C579:J579)</f>
        <v/>
      </c>
      <c r="L579" s="15">
        <f>SUMPRODUCT(C579:J579,Factores!$B$3:$I$3)</f>
        <v/>
      </c>
      <c r="M579" s="16">
        <f>'Empleo Censo'!E579</f>
        <v/>
      </c>
      <c r="N579" s="17">
        <f>IF(M579&gt;0,L579,Factores!$B$7)</f>
        <v/>
      </c>
      <c r="O579">
        <f>IF(M579&gt;0,"OK","sin PEA -&gt; peor")</f>
        <v/>
      </c>
    </row>
    <row r="580">
      <c r="A580" t="inlineStr">
        <is>
          <t>160509</t>
        </is>
      </c>
      <c r="B580" t="inlineStr">
        <is>
          <t>TAPICHE</t>
        </is>
      </c>
      <c r="C580" s="14">
        <f>'Empleo Censo'!G580-'Empleo Censo'!F580</f>
        <v/>
      </c>
      <c r="D580" s="14">
        <f>'Empleo Censo'!F580</f>
        <v/>
      </c>
      <c r="E580" s="14">
        <f>'Empleo Censo'!H580</f>
        <v/>
      </c>
      <c r="F580" s="14">
        <f>'Empleo Censo'!I580</f>
        <v/>
      </c>
      <c r="G580" s="14">
        <f>'Empleo Censo'!J580+'Empleo Censo'!K580</f>
        <v/>
      </c>
      <c r="H580" s="14">
        <f>'Empleo Censo'!L580</f>
        <v/>
      </c>
      <c r="I580" s="14">
        <f>'Empleo Censo'!M580</f>
        <v/>
      </c>
      <c r="J580" s="14">
        <f>SUM('Empleo Censo'!N580:AA580)</f>
        <v/>
      </c>
      <c r="K580" s="14">
        <f>SUM(C580:J580)</f>
        <v/>
      </c>
      <c r="L580" s="15">
        <f>SUMPRODUCT(C580:J580,Factores!$B$3:$I$3)</f>
        <v/>
      </c>
      <c r="M580" s="16">
        <f>'Empleo Censo'!E580</f>
        <v/>
      </c>
      <c r="N580" s="17">
        <f>IF(M580&gt;0,L580,Factores!$B$7)</f>
        <v/>
      </c>
      <c r="O580">
        <f>IF(M580&gt;0,"OK","sin PEA -&gt; peor")</f>
        <v/>
      </c>
    </row>
    <row r="581">
      <c r="A581" t="inlineStr">
        <is>
          <t>160510</t>
        </is>
      </c>
      <c r="B581" t="inlineStr">
        <is>
          <t>JENARO HERRERA</t>
        </is>
      </c>
      <c r="C581" s="14">
        <f>'Empleo Censo'!G581-'Empleo Censo'!F581</f>
        <v/>
      </c>
      <c r="D581" s="14">
        <f>'Empleo Censo'!F581</f>
        <v/>
      </c>
      <c r="E581" s="14">
        <f>'Empleo Censo'!H581</f>
        <v/>
      </c>
      <c r="F581" s="14">
        <f>'Empleo Censo'!I581</f>
        <v/>
      </c>
      <c r="G581" s="14">
        <f>'Empleo Censo'!J581+'Empleo Censo'!K581</f>
        <v/>
      </c>
      <c r="H581" s="14">
        <f>'Empleo Censo'!L581</f>
        <v/>
      </c>
      <c r="I581" s="14">
        <f>'Empleo Censo'!M581</f>
        <v/>
      </c>
      <c r="J581" s="14">
        <f>SUM('Empleo Censo'!N581:AA581)</f>
        <v/>
      </c>
      <c r="K581" s="14">
        <f>SUM(C581:J581)</f>
        <v/>
      </c>
      <c r="L581" s="15">
        <f>SUMPRODUCT(C581:J581,Factores!$B$3:$I$3)</f>
        <v/>
      </c>
      <c r="M581" s="16">
        <f>'Empleo Censo'!E581</f>
        <v/>
      </c>
      <c r="N581" s="17">
        <f>IF(M581&gt;0,L581,Factores!$B$7)</f>
        <v/>
      </c>
      <c r="O581">
        <f>IF(M581&gt;0,"OK","sin PEA -&gt; peor")</f>
        <v/>
      </c>
    </row>
    <row r="582">
      <c r="A582" t="inlineStr">
        <is>
          <t>160511</t>
        </is>
      </c>
      <c r="B582" t="inlineStr">
        <is>
          <t>YAQUERANA</t>
        </is>
      </c>
      <c r="C582" s="14">
        <f>'Empleo Censo'!G582-'Empleo Censo'!F582</f>
        <v/>
      </c>
      <c r="D582" s="14">
        <f>'Empleo Censo'!F582</f>
        <v/>
      </c>
      <c r="E582" s="14">
        <f>'Empleo Censo'!H582</f>
        <v/>
      </c>
      <c r="F582" s="14">
        <f>'Empleo Censo'!I582</f>
        <v/>
      </c>
      <c r="G582" s="14">
        <f>'Empleo Censo'!J582+'Empleo Censo'!K582</f>
        <v/>
      </c>
      <c r="H582" s="14">
        <f>'Empleo Censo'!L582</f>
        <v/>
      </c>
      <c r="I582" s="14">
        <f>'Empleo Censo'!M582</f>
        <v/>
      </c>
      <c r="J582" s="14">
        <f>SUM('Empleo Censo'!N582:AA582)</f>
        <v/>
      </c>
      <c r="K582" s="14">
        <f>SUM(C582:J582)</f>
        <v/>
      </c>
      <c r="L582" s="15">
        <f>SUMPRODUCT(C582:J582,Factores!$B$3:$I$3)</f>
        <v/>
      </c>
      <c r="M582" s="16">
        <f>'Empleo Censo'!E582</f>
        <v/>
      </c>
      <c r="N582" s="17">
        <f>IF(M582&gt;0,L582,Factores!$B$7)</f>
        <v/>
      </c>
      <c r="O582">
        <f>IF(M582&gt;0,"OK","sin PEA -&gt; peor")</f>
        <v/>
      </c>
    </row>
    <row r="583">
      <c r="A583" t="inlineStr">
        <is>
          <t>160601</t>
        </is>
      </c>
      <c r="B583" t="inlineStr">
        <is>
          <t>CONTAMANA</t>
        </is>
      </c>
      <c r="C583" s="14">
        <f>'Empleo Censo'!G583-'Empleo Censo'!F583</f>
        <v/>
      </c>
      <c r="D583" s="14">
        <f>'Empleo Censo'!F583</f>
        <v/>
      </c>
      <c r="E583" s="14">
        <f>'Empleo Censo'!H583</f>
        <v/>
      </c>
      <c r="F583" s="14">
        <f>'Empleo Censo'!I583</f>
        <v/>
      </c>
      <c r="G583" s="14">
        <f>'Empleo Censo'!J583+'Empleo Censo'!K583</f>
        <v/>
      </c>
      <c r="H583" s="14">
        <f>'Empleo Censo'!L583</f>
        <v/>
      </c>
      <c r="I583" s="14">
        <f>'Empleo Censo'!M583</f>
        <v/>
      </c>
      <c r="J583" s="14">
        <f>SUM('Empleo Censo'!N583:AA583)</f>
        <v/>
      </c>
      <c r="K583" s="14">
        <f>SUM(C583:J583)</f>
        <v/>
      </c>
      <c r="L583" s="15">
        <f>SUMPRODUCT(C583:J583,Factores!$B$3:$I$3)</f>
        <v/>
      </c>
      <c r="M583" s="16">
        <f>'Empleo Censo'!E583</f>
        <v/>
      </c>
      <c r="N583" s="17">
        <f>IF(M583&gt;0,L583,Factores!$B$7)</f>
        <v/>
      </c>
      <c r="O583">
        <f>IF(M583&gt;0,"OK","sin PEA -&gt; peor")</f>
        <v/>
      </c>
    </row>
    <row r="584">
      <c r="A584" t="inlineStr">
        <is>
          <t>160602</t>
        </is>
      </c>
      <c r="B584" t="inlineStr">
        <is>
          <t>INAHUAYA</t>
        </is>
      </c>
      <c r="C584" s="14">
        <f>'Empleo Censo'!G584-'Empleo Censo'!F584</f>
        <v/>
      </c>
      <c r="D584" s="14">
        <f>'Empleo Censo'!F584</f>
        <v/>
      </c>
      <c r="E584" s="14">
        <f>'Empleo Censo'!H584</f>
        <v/>
      </c>
      <c r="F584" s="14">
        <f>'Empleo Censo'!I584</f>
        <v/>
      </c>
      <c r="G584" s="14">
        <f>'Empleo Censo'!J584+'Empleo Censo'!K584</f>
        <v/>
      </c>
      <c r="H584" s="14">
        <f>'Empleo Censo'!L584</f>
        <v/>
      </c>
      <c r="I584" s="14">
        <f>'Empleo Censo'!M584</f>
        <v/>
      </c>
      <c r="J584" s="14">
        <f>SUM('Empleo Censo'!N584:AA584)</f>
        <v/>
      </c>
      <c r="K584" s="14">
        <f>SUM(C584:J584)</f>
        <v/>
      </c>
      <c r="L584" s="15">
        <f>SUMPRODUCT(C584:J584,Factores!$B$3:$I$3)</f>
        <v/>
      </c>
      <c r="M584" s="16">
        <f>'Empleo Censo'!E584</f>
        <v/>
      </c>
      <c r="N584" s="17">
        <f>IF(M584&gt;0,L584,Factores!$B$7)</f>
        <v/>
      </c>
      <c r="O584">
        <f>IF(M584&gt;0,"OK","sin PEA -&gt; peor")</f>
        <v/>
      </c>
    </row>
    <row r="585">
      <c r="A585" t="inlineStr">
        <is>
          <t>160603</t>
        </is>
      </c>
      <c r="B585" t="inlineStr">
        <is>
          <t>PADRE MARQUEZ</t>
        </is>
      </c>
      <c r="C585" s="14">
        <f>'Empleo Censo'!G585-'Empleo Censo'!F585</f>
        <v/>
      </c>
      <c r="D585" s="14">
        <f>'Empleo Censo'!F585</f>
        <v/>
      </c>
      <c r="E585" s="14">
        <f>'Empleo Censo'!H585</f>
        <v/>
      </c>
      <c r="F585" s="14">
        <f>'Empleo Censo'!I585</f>
        <v/>
      </c>
      <c r="G585" s="14">
        <f>'Empleo Censo'!J585+'Empleo Censo'!K585</f>
        <v/>
      </c>
      <c r="H585" s="14">
        <f>'Empleo Censo'!L585</f>
        <v/>
      </c>
      <c r="I585" s="14">
        <f>'Empleo Censo'!M585</f>
        <v/>
      </c>
      <c r="J585" s="14">
        <f>SUM('Empleo Censo'!N585:AA585)</f>
        <v/>
      </c>
      <c r="K585" s="14">
        <f>SUM(C585:J585)</f>
        <v/>
      </c>
      <c r="L585" s="15">
        <f>SUMPRODUCT(C585:J585,Factores!$B$3:$I$3)</f>
        <v/>
      </c>
      <c r="M585" s="16">
        <f>'Empleo Censo'!E585</f>
        <v/>
      </c>
      <c r="N585" s="17">
        <f>IF(M585&gt;0,L585,Factores!$B$7)</f>
        <v/>
      </c>
      <c r="O585">
        <f>IF(M585&gt;0,"OK","sin PEA -&gt; peor")</f>
        <v/>
      </c>
    </row>
    <row r="586">
      <c r="A586" t="inlineStr">
        <is>
          <t>160604</t>
        </is>
      </c>
      <c r="B586" t="inlineStr">
        <is>
          <t>PAMPA HERMOSA</t>
        </is>
      </c>
      <c r="C586" s="14">
        <f>'Empleo Censo'!G586-'Empleo Censo'!F586</f>
        <v/>
      </c>
      <c r="D586" s="14">
        <f>'Empleo Censo'!F586</f>
        <v/>
      </c>
      <c r="E586" s="14">
        <f>'Empleo Censo'!H586</f>
        <v/>
      </c>
      <c r="F586" s="14">
        <f>'Empleo Censo'!I586</f>
        <v/>
      </c>
      <c r="G586" s="14">
        <f>'Empleo Censo'!J586+'Empleo Censo'!K586</f>
        <v/>
      </c>
      <c r="H586" s="14">
        <f>'Empleo Censo'!L586</f>
        <v/>
      </c>
      <c r="I586" s="14">
        <f>'Empleo Censo'!M586</f>
        <v/>
      </c>
      <c r="J586" s="14">
        <f>SUM('Empleo Censo'!N586:AA586)</f>
        <v/>
      </c>
      <c r="K586" s="14">
        <f>SUM(C586:J586)</f>
        <v/>
      </c>
      <c r="L586" s="15">
        <f>SUMPRODUCT(C586:J586,Factores!$B$3:$I$3)</f>
        <v/>
      </c>
      <c r="M586" s="16">
        <f>'Empleo Censo'!E586</f>
        <v/>
      </c>
      <c r="N586" s="17">
        <f>IF(M586&gt;0,L586,Factores!$B$7)</f>
        <v/>
      </c>
      <c r="O586">
        <f>IF(M586&gt;0,"OK","sin PEA -&gt; peor")</f>
        <v/>
      </c>
    </row>
    <row r="587">
      <c r="A587" t="inlineStr">
        <is>
          <t>160605</t>
        </is>
      </c>
      <c r="B587" t="inlineStr">
        <is>
          <t>SARAYACU</t>
        </is>
      </c>
      <c r="C587" s="14">
        <f>'Empleo Censo'!G587-'Empleo Censo'!F587</f>
        <v/>
      </c>
      <c r="D587" s="14">
        <f>'Empleo Censo'!F587</f>
        <v/>
      </c>
      <c r="E587" s="14">
        <f>'Empleo Censo'!H587</f>
        <v/>
      </c>
      <c r="F587" s="14">
        <f>'Empleo Censo'!I587</f>
        <v/>
      </c>
      <c r="G587" s="14">
        <f>'Empleo Censo'!J587+'Empleo Censo'!K587</f>
        <v/>
      </c>
      <c r="H587" s="14">
        <f>'Empleo Censo'!L587</f>
        <v/>
      </c>
      <c r="I587" s="14">
        <f>'Empleo Censo'!M587</f>
        <v/>
      </c>
      <c r="J587" s="14">
        <f>SUM('Empleo Censo'!N587:AA587)</f>
        <v/>
      </c>
      <c r="K587" s="14">
        <f>SUM(C587:J587)</f>
        <v/>
      </c>
      <c r="L587" s="15">
        <f>SUMPRODUCT(C587:J587,Factores!$B$3:$I$3)</f>
        <v/>
      </c>
      <c r="M587" s="16">
        <f>'Empleo Censo'!E587</f>
        <v/>
      </c>
      <c r="N587" s="17">
        <f>IF(M587&gt;0,L587,Factores!$B$7)</f>
        <v/>
      </c>
      <c r="O587">
        <f>IF(M587&gt;0,"OK","sin PEA -&gt; peor")</f>
        <v/>
      </c>
    </row>
    <row r="588">
      <c r="A588" t="inlineStr">
        <is>
          <t>160606</t>
        </is>
      </c>
      <c r="B588" t="inlineStr">
        <is>
          <t>VARGAS GUERRA</t>
        </is>
      </c>
      <c r="C588" s="14">
        <f>'Empleo Censo'!G588-'Empleo Censo'!F588</f>
        <v/>
      </c>
      <c r="D588" s="14">
        <f>'Empleo Censo'!F588</f>
        <v/>
      </c>
      <c r="E588" s="14">
        <f>'Empleo Censo'!H588</f>
        <v/>
      </c>
      <c r="F588" s="14">
        <f>'Empleo Censo'!I588</f>
        <v/>
      </c>
      <c r="G588" s="14">
        <f>'Empleo Censo'!J588+'Empleo Censo'!K588</f>
        <v/>
      </c>
      <c r="H588" s="14">
        <f>'Empleo Censo'!L588</f>
        <v/>
      </c>
      <c r="I588" s="14">
        <f>'Empleo Censo'!M588</f>
        <v/>
      </c>
      <c r="J588" s="14">
        <f>SUM('Empleo Censo'!N588:AA588)</f>
        <v/>
      </c>
      <c r="K588" s="14">
        <f>SUM(C588:J588)</f>
        <v/>
      </c>
      <c r="L588" s="15">
        <f>SUMPRODUCT(C588:J588,Factores!$B$3:$I$3)</f>
        <v/>
      </c>
      <c r="M588" s="16">
        <f>'Empleo Censo'!E588</f>
        <v/>
      </c>
      <c r="N588" s="17">
        <f>IF(M588&gt;0,L588,Factores!$B$7)</f>
        <v/>
      </c>
      <c r="O588">
        <f>IF(M588&gt;0,"OK","sin PEA -&gt; peor")</f>
        <v/>
      </c>
    </row>
    <row r="589">
      <c r="A589" t="inlineStr">
        <is>
          <t>160701</t>
        </is>
      </c>
      <c r="B589" t="inlineStr">
        <is>
          <t>BARRANCA</t>
        </is>
      </c>
      <c r="C589" s="14">
        <f>'Empleo Censo'!G589-'Empleo Censo'!F589</f>
        <v/>
      </c>
      <c r="D589" s="14">
        <f>'Empleo Censo'!F589</f>
        <v/>
      </c>
      <c r="E589" s="14">
        <f>'Empleo Censo'!H589</f>
        <v/>
      </c>
      <c r="F589" s="14">
        <f>'Empleo Censo'!I589</f>
        <v/>
      </c>
      <c r="G589" s="14">
        <f>'Empleo Censo'!J589+'Empleo Censo'!K589</f>
        <v/>
      </c>
      <c r="H589" s="14">
        <f>'Empleo Censo'!L589</f>
        <v/>
      </c>
      <c r="I589" s="14">
        <f>'Empleo Censo'!M589</f>
        <v/>
      </c>
      <c r="J589" s="14">
        <f>SUM('Empleo Censo'!N589:AA589)</f>
        <v/>
      </c>
      <c r="K589" s="14">
        <f>SUM(C589:J589)</f>
        <v/>
      </c>
      <c r="L589" s="15">
        <f>SUMPRODUCT(C589:J589,Factores!$B$3:$I$3)</f>
        <v/>
      </c>
      <c r="M589" s="16">
        <f>'Empleo Censo'!E589</f>
        <v/>
      </c>
      <c r="N589" s="17">
        <f>IF(M589&gt;0,L589,Factores!$B$7)</f>
        <v/>
      </c>
      <c r="O589">
        <f>IF(M589&gt;0,"OK","sin PEA -&gt; peor")</f>
        <v/>
      </c>
    </row>
    <row r="590">
      <c r="A590" t="inlineStr">
        <is>
          <t>160702</t>
        </is>
      </c>
      <c r="B590" t="inlineStr">
        <is>
          <t>CAHUAPANAS</t>
        </is>
      </c>
      <c r="C590" s="14">
        <f>'Empleo Censo'!G590-'Empleo Censo'!F590</f>
        <v/>
      </c>
      <c r="D590" s="14">
        <f>'Empleo Censo'!F590</f>
        <v/>
      </c>
      <c r="E590" s="14">
        <f>'Empleo Censo'!H590</f>
        <v/>
      </c>
      <c r="F590" s="14">
        <f>'Empleo Censo'!I590</f>
        <v/>
      </c>
      <c r="G590" s="14">
        <f>'Empleo Censo'!J590+'Empleo Censo'!K590</f>
        <v/>
      </c>
      <c r="H590" s="14">
        <f>'Empleo Censo'!L590</f>
        <v/>
      </c>
      <c r="I590" s="14">
        <f>'Empleo Censo'!M590</f>
        <v/>
      </c>
      <c r="J590" s="14">
        <f>SUM('Empleo Censo'!N590:AA590)</f>
        <v/>
      </c>
      <c r="K590" s="14">
        <f>SUM(C590:J590)</f>
        <v/>
      </c>
      <c r="L590" s="15">
        <f>SUMPRODUCT(C590:J590,Factores!$B$3:$I$3)</f>
        <v/>
      </c>
      <c r="M590" s="16">
        <f>'Empleo Censo'!E590</f>
        <v/>
      </c>
      <c r="N590" s="17">
        <f>IF(M590&gt;0,L590,Factores!$B$7)</f>
        <v/>
      </c>
      <c r="O590">
        <f>IF(M590&gt;0,"OK","sin PEA -&gt; peor")</f>
        <v/>
      </c>
    </row>
    <row r="591">
      <c r="A591" t="inlineStr">
        <is>
          <t>160703</t>
        </is>
      </c>
      <c r="B591" t="inlineStr">
        <is>
          <t>MANSERICHE</t>
        </is>
      </c>
      <c r="C591" s="14">
        <f>'Empleo Censo'!G591-'Empleo Censo'!F591</f>
        <v/>
      </c>
      <c r="D591" s="14">
        <f>'Empleo Censo'!F591</f>
        <v/>
      </c>
      <c r="E591" s="14">
        <f>'Empleo Censo'!H591</f>
        <v/>
      </c>
      <c r="F591" s="14">
        <f>'Empleo Censo'!I591</f>
        <v/>
      </c>
      <c r="G591" s="14">
        <f>'Empleo Censo'!J591+'Empleo Censo'!K591</f>
        <v/>
      </c>
      <c r="H591" s="14">
        <f>'Empleo Censo'!L591</f>
        <v/>
      </c>
      <c r="I591" s="14">
        <f>'Empleo Censo'!M591</f>
        <v/>
      </c>
      <c r="J591" s="14">
        <f>SUM('Empleo Censo'!N591:AA591)</f>
        <v/>
      </c>
      <c r="K591" s="14">
        <f>SUM(C591:J591)</f>
        <v/>
      </c>
      <c r="L591" s="15">
        <f>SUMPRODUCT(C591:J591,Factores!$B$3:$I$3)</f>
        <v/>
      </c>
      <c r="M591" s="16">
        <f>'Empleo Censo'!E591</f>
        <v/>
      </c>
      <c r="N591" s="17">
        <f>IF(M591&gt;0,L591,Factores!$B$7)</f>
        <v/>
      </c>
      <c r="O591">
        <f>IF(M591&gt;0,"OK","sin PEA -&gt; peor")</f>
        <v/>
      </c>
    </row>
    <row r="592">
      <c r="A592" t="inlineStr">
        <is>
          <t>160704</t>
        </is>
      </c>
      <c r="B592" t="inlineStr">
        <is>
          <t>MORONA</t>
        </is>
      </c>
      <c r="C592" s="14">
        <f>'Empleo Censo'!G592-'Empleo Censo'!F592</f>
        <v/>
      </c>
      <c r="D592" s="14">
        <f>'Empleo Censo'!F592</f>
        <v/>
      </c>
      <c r="E592" s="14">
        <f>'Empleo Censo'!H592</f>
        <v/>
      </c>
      <c r="F592" s="14">
        <f>'Empleo Censo'!I592</f>
        <v/>
      </c>
      <c r="G592" s="14">
        <f>'Empleo Censo'!J592+'Empleo Censo'!K592</f>
        <v/>
      </c>
      <c r="H592" s="14">
        <f>'Empleo Censo'!L592</f>
        <v/>
      </c>
      <c r="I592" s="14">
        <f>'Empleo Censo'!M592</f>
        <v/>
      </c>
      <c r="J592" s="14">
        <f>SUM('Empleo Censo'!N592:AA592)</f>
        <v/>
      </c>
      <c r="K592" s="14">
        <f>SUM(C592:J592)</f>
        <v/>
      </c>
      <c r="L592" s="15">
        <f>SUMPRODUCT(C592:J592,Factores!$B$3:$I$3)</f>
        <v/>
      </c>
      <c r="M592" s="16">
        <f>'Empleo Censo'!E592</f>
        <v/>
      </c>
      <c r="N592" s="17">
        <f>IF(M592&gt;0,L592,Factores!$B$7)</f>
        <v/>
      </c>
      <c r="O592">
        <f>IF(M592&gt;0,"OK","sin PEA -&gt; peor")</f>
        <v/>
      </c>
    </row>
    <row r="593">
      <c r="A593" t="inlineStr">
        <is>
          <t>160705</t>
        </is>
      </c>
      <c r="B593" t="inlineStr">
        <is>
          <t>PASTAZA</t>
        </is>
      </c>
      <c r="C593" s="14">
        <f>'Empleo Censo'!G593-'Empleo Censo'!F593</f>
        <v/>
      </c>
      <c r="D593" s="14">
        <f>'Empleo Censo'!F593</f>
        <v/>
      </c>
      <c r="E593" s="14">
        <f>'Empleo Censo'!H593</f>
        <v/>
      </c>
      <c r="F593" s="14">
        <f>'Empleo Censo'!I593</f>
        <v/>
      </c>
      <c r="G593" s="14">
        <f>'Empleo Censo'!J593+'Empleo Censo'!K593</f>
        <v/>
      </c>
      <c r="H593" s="14">
        <f>'Empleo Censo'!L593</f>
        <v/>
      </c>
      <c r="I593" s="14">
        <f>'Empleo Censo'!M593</f>
        <v/>
      </c>
      <c r="J593" s="14">
        <f>SUM('Empleo Censo'!N593:AA593)</f>
        <v/>
      </c>
      <c r="K593" s="14">
        <f>SUM(C593:J593)</f>
        <v/>
      </c>
      <c r="L593" s="15">
        <f>SUMPRODUCT(C593:J593,Factores!$B$3:$I$3)</f>
        <v/>
      </c>
      <c r="M593" s="16">
        <f>'Empleo Censo'!E593</f>
        <v/>
      </c>
      <c r="N593" s="17">
        <f>IF(M593&gt;0,L593,Factores!$B$7)</f>
        <v/>
      </c>
      <c r="O593">
        <f>IF(M593&gt;0,"OK","sin PEA -&gt; peor")</f>
        <v/>
      </c>
    </row>
    <row r="594">
      <c r="A594" t="inlineStr">
        <is>
          <t>160706</t>
        </is>
      </c>
      <c r="B594" t="inlineStr">
        <is>
          <t>ANDOAS</t>
        </is>
      </c>
      <c r="C594" s="14">
        <f>'Empleo Censo'!G594-'Empleo Censo'!F594</f>
        <v/>
      </c>
      <c r="D594" s="14">
        <f>'Empleo Censo'!F594</f>
        <v/>
      </c>
      <c r="E594" s="14">
        <f>'Empleo Censo'!H594</f>
        <v/>
      </c>
      <c r="F594" s="14">
        <f>'Empleo Censo'!I594</f>
        <v/>
      </c>
      <c r="G594" s="14">
        <f>'Empleo Censo'!J594+'Empleo Censo'!K594</f>
        <v/>
      </c>
      <c r="H594" s="14">
        <f>'Empleo Censo'!L594</f>
        <v/>
      </c>
      <c r="I594" s="14">
        <f>'Empleo Censo'!M594</f>
        <v/>
      </c>
      <c r="J594" s="14">
        <f>SUM('Empleo Censo'!N594:AA594)</f>
        <v/>
      </c>
      <c r="K594" s="14">
        <f>SUM(C594:J594)</f>
        <v/>
      </c>
      <c r="L594" s="15">
        <f>SUMPRODUCT(C594:J594,Factores!$B$3:$I$3)</f>
        <v/>
      </c>
      <c r="M594" s="16">
        <f>'Empleo Censo'!E594</f>
        <v/>
      </c>
      <c r="N594" s="17">
        <f>IF(M594&gt;0,L594,Factores!$B$7)</f>
        <v/>
      </c>
      <c r="O594">
        <f>IF(M594&gt;0,"OK","sin PEA -&gt; peor")</f>
        <v/>
      </c>
    </row>
    <row r="595">
      <c r="A595" t="inlineStr">
        <is>
          <t>160801</t>
        </is>
      </c>
      <c r="B595" t="inlineStr">
        <is>
          <t>PUTUMAYO</t>
        </is>
      </c>
      <c r="C595" s="14">
        <f>'Empleo Censo'!G595-'Empleo Censo'!F595</f>
        <v/>
      </c>
      <c r="D595" s="14">
        <f>'Empleo Censo'!F595</f>
        <v/>
      </c>
      <c r="E595" s="14">
        <f>'Empleo Censo'!H595</f>
        <v/>
      </c>
      <c r="F595" s="14">
        <f>'Empleo Censo'!I595</f>
        <v/>
      </c>
      <c r="G595" s="14">
        <f>'Empleo Censo'!J595+'Empleo Censo'!K595</f>
        <v/>
      </c>
      <c r="H595" s="14">
        <f>'Empleo Censo'!L595</f>
        <v/>
      </c>
      <c r="I595" s="14">
        <f>'Empleo Censo'!M595</f>
        <v/>
      </c>
      <c r="J595" s="14">
        <f>SUM('Empleo Censo'!N595:AA595)</f>
        <v/>
      </c>
      <c r="K595" s="14">
        <f>SUM(C595:J595)</f>
        <v/>
      </c>
      <c r="L595" s="15">
        <f>SUMPRODUCT(C595:J595,Factores!$B$3:$I$3)</f>
        <v/>
      </c>
      <c r="M595" s="16">
        <f>'Empleo Censo'!E595</f>
        <v/>
      </c>
      <c r="N595" s="17">
        <f>IF(M595&gt;0,L595,Factores!$B$7)</f>
        <v/>
      </c>
      <c r="O595">
        <f>IF(M595&gt;0,"OK","sin PEA -&gt; peor")</f>
        <v/>
      </c>
    </row>
    <row r="596">
      <c r="A596" t="inlineStr">
        <is>
          <t>160802</t>
        </is>
      </c>
      <c r="B596" t="inlineStr">
        <is>
          <t>ROSA PANDURO</t>
        </is>
      </c>
      <c r="C596" s="14">
        <f>'Empleo Censo'!G596-'Empleo Censo'!F596</f>
        <v/>
      </c>
      <c r="D596" s="14">
        <f>'Empleo Censo'!F596</f>
        <v/>
      </c>
      <c r="E596" s="14">
        <f>'Empleo Censo'!H596</f>
        <v/>
      </c>
      <c r="F596" s="14">
        <f>'Empleo Censo'!I596</f>
        <v/>
      </c>
      <c r="G596" s="14">
        <f>'Empleo Censo'!J596+'Empleo Censo'!K596</f>
        <v/>
      </c>
      <c r="H596" s="14">
        <f>'Empleo Censo'!L596</f>
        <v/>
      </c>
      <c r="I596" s="14">
        <f>'Empleo Censo'!M596</f>
        <v/>
      </c>
      <c r="J596" s="14">
        <f>SUM('Empleo Censo'!N596:AA596)</f>
        <v/>
      </c>
      <c r="K596" s="14">
        <f>SUM(C596:J596)</f>
        <v/>
      </c>
      <c r="L596" s="15">
        <f>SUMPRODUCT(C596:J596,Factores!$B$3:$I$3)</f>
        <v/>
      </c>
      <c r="M596" s="16">
        <f>'Empleo Censo'!E596</f>
        <v/>
      </c>
      <c r="N596" s="17">
        <f>IF(M596&gt;0,L596,Factores!$B$7)</f>
        <v/>
      </c>
      <c r="O596">
        <f>IF(M596&gt;0,"OK","sin PEA -&gt; peor")</f>
        <v/>
      </c>
    </row>
    <row r="597">
      <c r="A597" t="inlineStr">
        <is>
          <t>160803</t>
        </is>
      </c>
      <c r="B597" t="inlineStr">
        <is>
          <t>TENIENTE MANUEL CLAVERO</t>
        </is>
      </c>
      <c r="C597" s="14">
        <f>'Empleo Censo'!G597-'Empleo Censo'!F597</f>
        <v/>
      </c>
      <c r="D597" s="14">
        <f>'Empleo Censo'!F597</f>
        <v/>
      </c>
      <c r="E597" s="14">
        <f>'Empleo Censo'!H597</f>
        <v/>
      </c>
      <c r="F597" s="14">
        <f>'Empleo Censo'!I597</f>
        <v/>
      </c>
      <c r="G597" s="14">
        <f>'Empleo Censo'!J597+'Empleo Censo'!K597</f>
        <v/>
      </c>
      <c r="H597" s="14">
        <f>'Empleo Censo'!L597</f>
        <v/>
      </c>
      <c r="I597" s="14">
        <f>'Empleo Censo'!M597</f>
        <v/>
      </c>
      <c r="J597" s="14">
        <f>SUM('Empleo Censo'!N597:AA597)</f>
        <v/>
      </c>
      <c r="K597" s="14">
        <f>SUM(C597:J597)</f>
        <v/>
      </c>
      <c r="L597" s="15">
        <f>SUMPRODUCT(C597:J597,Factores!$B$3:$I$3)</f>
        <v/>
      </c>
      <c r="M597" s="16">
        <f>'Empleo Censo'!E597</f>
        <v/>
      </c>
      <c r="N597" s="17">
        <f>IF(M597&gt;0,L597,Factores!$B$7)</f>
        <v/>
      </c>
      <c r="O597">
        <f>IF(M597&gt;0,"OK","sin PEA -&gt; peor")</f>
        <v/>
      </c>
    </row>
    <row r="598">
      <c r="A598" t="inlineStr">
        <is>
          <t>160804</t>
        </is>
      </c>
      <c r="B598" t="inlineStr">
        <is>
          <t>YAGUAS</t>
        </is>
      </c>
      <c r="C598" s="14">
        <f>'Empleo Censo'!G598-'Empleo Censo'!F598</f>
        <v/>
      </c>
      <c r="D598" s="14">
        <f>'Empleo Censo'!F598</f>
        <v/>
      </c>
      <c r="E598" s="14">
        <f>'Empleo Censo'!H598</f>
        <v/>
      </c>
      <c r="F598" s="14">
        <f>'Empleo Censo'!I598</f>
        <v/>
      </c>
      <c r="G598" s="14">
        <f>'Empleo Censo'!J598+'Empleo Censo'!K598</f>
        <v/>
      </c>
      <c r="H598" s="14">
        <f>'Empleo Censo'!L598</f>
        <v/>
      </c>
      <c r="I598" s="14">
        <f>'Empleo Censo'!M598</f>
        <v/>
      </c>
      <c r="J598" s="14">
        <f>SUM('Empleo Censo'!N598:AA598)</f>
        <v/>
      </c>
      <c r="K598" s="14">
        <f>SUM(C598:J598)</f>
        <v/>
      </c>
      <c r="L598" s="15">
        <f>SUMPRODUCT(C598:J598,Factores!$B$3:$I$3)</f>
        <v/>
      </c>
      <c r="M598" s="16">
        <f>'Empleo Censo'!E598</f>
        <v/>
      </c>
      <c r="N598" s="17">
        <f>IF(M598&gt;0,L598,Factores!$B$7)</f>
        <v/>
      </c>
      <c r="O598">
        <f>IF(M598&gt;0,"OK","sin PEA -&gt; peor")</f>
        <v/>
      </c>
    </row>
    <row r="599">
      <c r="A599" t="inlineStr">
        <is>
          <t>170101</t>
        </is>
      </c>
      <c r="B599" t="inlineStr">
        <is>
          <t>TAMBOPATA</t>
        </is>
      </c>
      <c r="C599" s="14">
        <f>'Empleo Censo'!G599-'Empleo Censo'!F599</f>
        <v/>
      </c>
      <c r="D599" s="14">
        <f>'Empleo Censo'!F599</f>
        <v/>
      </c>
      <c r="E599" s="14">
        <f>'Empleo Censo'!H599</f>
        <v/>
      </c>
      <c r="F599" s="14">
        <f>'Empleo Censo'!I599</f>
        <v/>
      </c>
      <c r="G599" s="14">
        <f>'Empleo Censo'!J599+'Empleo Censo'!K599</f>
        <v/>
      </c>
      <c r="H599" s="14">
        <f>'Empleo Censo'!L599</f>
        <v/>
      </c>
      <c r="I599" s="14">
        <f>'Empleo Censo'!M599</f>
        <v/>
      </c>
      <c r="J599" s="14">
        <f>SUM('Empleo Censo'!N599:AA599)</f>
        <v/>
      </c>
      <c r="K599" s="14">
        <f>SUM(C599:J599)</f>
        <v/>
      </c>
      <c r="L599" s="15">
        <f>SUMPRODUCT(C599:J599,Factores!$B$3:$I$3)</f>
        <v/>
      </c>
      <c r="M599" s="16">
        <f>'Empleo Censo'!E599</f>
        <v/>
      </c>
      <c r="N599" s="17">
        <f>IF(M599&gt;0,L599,Factores!$B$7)</f>
        <v/>
      </c>
      <c r="O599">
        <f>IF(M599&gt;0,"OK","sin PEA -&gt; peor")</f>
        <v/>
      </c>
    </row>
    <row r="600">
      <c r="A600" t="inlineStr">
        <is>
          <t>170102</t>
        </is>
      </c>
      <c r="B600" t="inlineStr">
        <is>
          <t>INAMBARI</t>
        </is>
      </c>
      <c r="C600" s="14">
        <f>'Empleo Censo'!G600-'Empleo Censo'!F600</f>
        <v/>
      </c>
      <c r="D600" s="14">
        <f>'Empleo Censo'!F600</f>
        <v/>
      </c>
      <c r="E600" s="14">
        <f>'Empleo Censo'!H600</f>
        <v/>
      </c>
      <c r="F600" s="14">
        <f>'Empleo Censo'!I600</f>
        <v/>
      </c>
      <c r="G600" s="14">
        <f>'Empleo Censo'!J600+'Empleo Censo'!K600</f>
        <v/>
      </c>
      <c r="H600" s="14">
        <f>'Empleo Censo'!L600</f>
        <v/>
      </c>
      <c r="I600" s="14">
        <f>'Empleo Censo'!M600</f>
        <v/>
      </c>
      <c r="J600" s="14">
        <f>SUM('Empleo Censo'!N600:AA600)</f>
        <v/>
      </c>
      <c r="K600" s="14">
        <f>SUM(C600:J600)</f>
        <v/>
      </c>
      <c r="L600" s="15">
        <f>SUMPRODUCT(C600:J600,Factores!$B$3:$I$3)</f>
        <v/>
      </c>
      <c r="M600" s="16">
        <f>'Empleo Censo'!E600</f>
        <v/>
      </c>
      <c r="N600" s="17">
        <f>IF(M600&gt;0,L600,Factores!$B$7)</f>
        <v/>
      </c>
      <c r="O600">
        <f>IF(M600&gt;0,"OK","sin PEA -&gt; peor")</f>
        <v/>
      </c>
    </row>
    <row r="601">
      <c r="A601" t="inlineStr">
        <is>
          <t>170103</t>
        </is>
      </c>
      <c r="B601" t="inlineStr">
        <is>
          <t>LAS PIEDRAS</t>
        </is>
      </c>
      <c r="C601" s="14">
        <f>'Empleo Censo'!G601-'Empleo Censo'!F601</f>
        <v/>
      </c>
      <c r="D601" s="14">
        <f>'Empleo Censo'!F601</f>
        <v/>
      </c>
      <c r="E601" s="14">
        <f>'Empleo Censo'!H601</f>
        <v/>
      </c>
      <c r="F601" s="14">
        <f>'Empleo Censo'!I601</f>
        <v/>
      </c>
      <c r="G601" s="14">
        <f>'Empleo Censo'!J601+'Empleo Censo'!K601</f>
        <v/>
      </c>
      <c r="H601" s="14">
        <f>'Empleo Censo'!L601</f>
        <v/>
      </c>
      <c r="I601" s="14">
        <f>'Empleo Censo'!M601</f>
        <v/>
      </c>
      <c r="J601" s="14">
        <f>SUM('Empleo Censo'!N601:AA601)</f>
        <v/>
      </c>
      <c r="K601" s="14">
        <f>SUM(C601:J601)</f>
        <v/>
      </c>
      <c r="L601" s="15">
        <f>SUMPRODUCT(C601:J601,Factores!$B$3:$I$3)</f>
        <v/>
      </c>
      <c r="M601" s="16">
        <f>'Empleo Censo'!E601</f>
        <v/>
      </c>
      <c r="N601" s="17">
        <f>IF(M601&gt;0,L601,Factores!$B$7)</f>
        <v/>
      </c>
      <c r="O601">
        <f>IF(M601&gt;0,"OK","sin PEA -&gt; peor")</f>
        <v/>
      </c>
    </row>
    <row r="602">
      <c r="A602" t="inlineStr">
        <is>
          <t>170104</t>
        </is>
      </c>
      <c r="B602" t="inlineStr">
        <is>
          <t>LABERINTO</t>
        </is>
      </c>
      <c r="C602" s="14">
        <f>'Empleo Censo'!G602-'Empleo Censo'!F602</f>
        <v/>
      </c>
      <c r="D602" s="14">
        <f>'Empleo Censo'!F602</f>
        <v/>
      </c>
      <c r="E602" s="14">
        <f>'Empleo Censo'!H602</f>
        <v/>
      </c>
      <c r="F602" s="14">
        <f>'Empleo Censo'!I602</f>
        <v/>
      </c>
      <c r="G602" s="14">
        <f>'Empleo Censo'!J602+'Empleo Censo'!K602</f>
        <v/>
      </c>
      <c r="H602" s="14">
        <f>'Empleo Censo'!L602</f>
        <v/>
      </c>
      <c r="I602" s="14">
        <f>'Empleo Censo'!M602</f>
        <v/>
      </c>
      <c r="J602" s="14">
        <f>SUM('Empleo Censo'!N602:AA602)</f>
        <v/>
      </c>
      <c r="K602" s="14">
        <f>SUM(C602:J602)</f>
        <v/>
      </c>
      <c r="L602" s="15">
        <f>SUMPRODUCT(C602:J602,Factores!$B$3:$I$3)</f>
        <v/>
      </c>
      <c r="M602" s="16">
        <f>'Empleo Censo'!E602</f>
        <v/>
      </c>
      <c r="N602" s="17">
        <f>IF(M602&gt;0,L602,Factores!$B$7)</f>
        <v/>
      </c>
      <c r="O602">
        <f>IF(M602&gt;0,"OK","sin PEA -&gt; peor")</f>
        <v/>
      </c>
    </row>
    <row r="603">
      <c r="A603" t="inlineStr">
        <is>
          <t>170201</t>
        </is>
      </c>
      <c r="B603" t="inlineStr">
        <is>
          <t>MANU</t>
        </is>
      </c>
      <c r="C603" s="14">
        <f>'Empleo Censo'!G603-'Empleo Censo'!F603</f>
        <v/>
      </c>
      <c r="D603" s="14">
        <f>'Empleo Censo'!F603</f>
        <v/>
      </c>
      <c r="E603" s="14">
        <f>'Empleo Censo'!H603</f>
        <v/>
      </c>
      <c r="F603" s="14">
        <f>'Empleo Censo'!I603</f>
        <v/>
      </c>
      <c r="G603" s="14">
        <f>'Empleo Censo'!J603+'Empleo Censo'!K603</f>
        <v/>
      </c>
      <c r="H603" s="14">
        <f>'Empleo Censo'!L603</f>
        <v/>
      </c>
      <c r="I603" s="14">
        <f>'Empleo Censo'!M603</f>
        <v/>
      </c>
      <c r="J603" s="14">
        <f>SUM('Empleo Censo'!N603:AA603)</f>
        <v/>
      </c>
      <c r="K603" s="14">
        <f>SUM(C603:J603)</f>
        <v/>
      </c>
      <c r="L603" s="15">
        <f>SUMPRODUCT(C603:J603,Factores!$B$3:$I$3)</f>
        <v/>
      </c>
      <c r="M603" s="16">
        <f>'Empleo Censo'!E603</f>
        <v/>
      </c>
      <c r="N603" s="17">
        <f>IF(M603&gt;0,L603,Factores!$B$7)</f>
        <v/>
      </c>
      <c r="O603">
        <f>IF(M603&gt;0,"OK","sin PEA -&gt; peor")</f>
        <v/>
      </c>
    </row>
    <row r="604">
      <c r="A604" t="inlineStr">
        <is>
          <t>170202</t>
        </is>
      </c>
      <c r="B604" t="inlineStr">
        <is>
          <t>FITZCARRALD</t>
        </is>
      </c>
      <c r="C604" s="14">
        <f>'Empleo Censo'!G604-'Empleo Censo'!F604</f>
        <v/>
      </c>
      <c r="D604" s="14">
        <f>'Empleo Censo'!F604</f>
        <v/>
      </c>
      <c r="E604" s="14">
        <f>'Empleo Censo'!H604</f>
        <v/>
      </c>
      <c r="F604" s="14">
        <f>'Empleo Censo'!I604</f>
        <v/>
      </c>
      <c r="G604" s="14">
        <f>'Empleo Censo'!J604+'Empleo Censo'!K604</f>
        <v/>
      </c>
      <c r="H604" s="14">
        <f>'Empleo Censo'!L604</f>
        <v/>
      </c>
      <c r="I604" s="14">
        <f>'Empleo Censo'!M604</f>
        <v/>
      </c>
      <c r="J604" s="14">
        <f>SUM('Empleo Censo'!N604:AA604)</f>
        <v/>
      </c>
      <c r="K604" s="14">
        <f>SUM(C604:J604)</f>
        <v/>
      </c>
      <c r="L604" s="15">
        <f>SUMPRODUCT(C604:J604,Factores!$B$3:$I$3)</f>
        <v/>
      </c>
      <c r="M604" s="16">
        <f>'Empleo Censo'!E604</f>
        <v/>
      </c>
      <c r="N604" s="17">
        <f>IF(M604&gt;0,L604,Factores!$B$7)</f>
        <v/>
      </c>
      <c r="O604">
        <f>IF(M604&gt;0,"OK","sin PEA -&gt; peor")</f>
        <v/>
      </c>
    </row>
    <row r="605">
      <c r="A605" t="inlineStr">
        <is>
          <t>170203</t>
        </is>
      </c>
      <c r="B605" t="inlineStr">
        <is>
          <t>MADRE DE DIOS</t>
        </is>
      </c>
      <c r="C605" s="14">
        <f>'Empleo Censo'!G605-'Empleo Censo'!F605</f>
        <v/>
      </c>
      <c r="D605" s="14">
        <f>'Empleo Censo'!F605</f>
        <v/>
      </c>
      <c r="E605" s="14">
        <f>'Empleo Censo'!H605</f>
        <v/>
      </c>
      <c r="F605" s="14">
        <f>'Empleo Censo'!I605</f>
        <v/>
      </c>
      <c r="G605" s="14">
        <f>'Empleo Censo'!J605+'Empleo Censo'!K605</f>
        <v/>
      </c>
      <c r="H605" s="14">
        <f>'Empleo Censo'!L605</f>
        <v/>
      </c>
      <c r="I605" s="14">
        <f>'Empleo Censo'!M605</f>
        <v/>
      </c>
      <c r="J605" s="14">
        <f>SUM('Empleo Censo'!N605:AA605)</f>
        <v/>
      </c>
      <c r="K605" s="14">
        <f>SUM(C605:J605)</f>
        <v/>
      </c>
      <c r="L605" s="15">
        <f>SUMPRODUCT(C605:J605,Factores!$B$3:$I$3)</f>
        <v/>
      </c>
      <c r="M605" s="16">
        <f>'Empleo Censo'!E605</f>
        <v/>
      </c>
      <c r="N605" s="17">
        <f>IF(M605&gt;0,L605,Factores!$B$7)</f>
        <v/>
      </c>
      <c r="O605">
        <f>IF(M605&gt;0,"OK","sin PEA -&gt; peor")</f>
        <v/>
      </c>
    </row>
    <row r="606">
      <c r="A606" t="inlineStr">
        <is>
          <t>170204</t>
        </is>
      </c>
      <c r="B606" t="inlineStr">
        <is>
          <t>HUEPETUHE</t>
        </is>
      </c>
      <c r="C606" s="14">
        <f>'Empleo Censo'!G606-'Empleo Censo'!F606</f>
        <v/>
      </c>
      <c r="D606" s="14">
        <f>'Empleo Censo'!F606</f>
        <v/>
      </c>
      <c r="E606" s="14">
        <f>'Empleo Censo'!H606</f>
        <v/>
      </c>
      <c r="F606" s="14">
        <f>'Empleo Censo'!I606</f>
        <v/>
      </c>
      <c r="G606" s="14">
        <f>'Empleo Censo'!J606+'Empleo Censo'!K606</f>
        <v/>
      </c>
      <c r="H606" s="14">
        <f>'Empleo Censo'!L606</f>
        <v/>
      </c>
      <c r="I606" s="14">
        <f>'Empleo Censo'!M606</f>
        <v/>
      </c>
      <c r="J606" s="14">
        <f>SUM('Empleo Censo'!N606:AA606)</f>
        <v/>
      </c>
      <c r="K606" s="14">
        <f>SUM(C606:J606)</f>
        <v/>
      </c>
      <c r="L606" s="15">
        <f>SUMPRODUCT(C606:J606,Factores!$B$3:$I$3)</f>
        <v/>
      </c>
      <c r="M606" s="16">
        <f>'Empleo Censo'!E606</f>
        <v/>
      </c>
      <c r="N606" s="17">
        <f>IF(M606&gt;0,L606,Factores!$B$7)</f>
        <v/>
      </c>
      <c r="O606">
        <f>IF(M606&gt;0,"OK","sin PEA -&gt; peor")</f>
        <v/>
      </c>
    </row>
    <row r="607">
      <c r="A607" t="inlineStr">
        <is>
          <t>170301</t>
        </is>
      </c>
      <c r="B607" t="inlineStr">
        <is>
          <t>IÑAPARI</t>
        </is>
      </c>
      <c r="C607" s="14">
        <f>'Empleo Censo'!G607-'Empleo Censo'!F607</f>
        <v/>
      </c>
      <c r="D607" s="14">
        <f>'Empleo Censo'!F607</f>
        <v/>
      </c>
      <c r="E607" s="14">
        <f>'Empleo Censo'!H607</f>
        <v/>
      </c>
      <c r="F607" s="14">
        <f>'Empleo Censo'!I607</f>
        <v/>
      </c>
      <c r="G607" s="14">
        <f>'Empleo Censo'!J607+'Empleo Censo'!K607</f>
        <v/>
      </c>
      <c r="H607" s="14">
        <f>'Empleo Censo'!L607</f>
        <v/>
      </c>
      <c r="I607" s="14">
        <f>'Empleo Censo'!M607</f>
        <v/>
      </c>
      <c r="J607" s="14">
        <f>SUM('Empleo Censo'!N607:AA607)</f>
        <v/>
      </c>
      <c r="K607" s="14">
        <f>SUM(C607:J607)</f>
        <v/>
      </c>
      <c r="L607" s="15">
        <f>SUMPRODUCT(C607:J607,Factores!$B$3:$I$3)</f>
        <v/>
      </c>
      <c r="M607" s="16">
        <f>'Empleo Censo'!E607</f>
        <v/>
      </c>
      <c r="N607" s="17">
        <f>IF(M607&gt;0,L607,Factores!$B$7)</f>
        <v/>
      </c>
      <c r="O607">
        <f>IF(M607&gt;0,"OK","sin PEA -&gt; peor")</f>
        <v/>
      </c>
    </row>
    <row r="608">
      <c r="A608" t="inlineStr">
        <is>
          <t>170302</t>
        </is>
      </c>
      <c r="B608" t="inlineStr">
        <is>
          <t>IBERIA</t>
        </is>
      </c>
      <c r="C608" s="14">
        <f>'Empleo Censo'!G608-'Empleo Censo'!F608</f>
        <v/>
      </c>
      <c r="D608" s="14">
        <f>'Empleo Censo'!F608</f>
        <v/>
      </c>
      <c r="E608" s="14">
        <f>'Empleo Censo'!H608</f>
        <v/>
      </c>
      <c r="F608" s="14">
        <f>'Empleo Censo'!I608</f>
        <v/>
      </c>
      <c r="G608" s="14">
        <f>'Empleo Censo'!J608+'Empleo Censo'!K608</f>
        <v/>
      </c>
      <c r="H608" s="14">
        <f>'Empleo Censo'!L608</f>
        <v/>
      </c>
      <c r="I608" s="14">
        <f>'Empleo Censo'!M608</f>
        <v/>
      </c>
      <c r="J608" s="14">
        <f>SUM('Empleo Censo'!N608:AA608)</f>
        <v/>
      </c>
      <c r="K608" s="14">
        <f>SUM(C608:J608)</f>
        <v/>
      </c>
      <c r="L608" s="15">
        <f>SUMPRODUCT(C608:J608,Factores!$B$3:$I$3)</f>
        <v/>
      </c>
      <c r="M608" s="16">
        <f>'Empleo Censo'!E608</f>
        <v/>
      </c>
      <c r="N608" s="17">
        <f>IF(M608&gt;0,L608,Factores!$B$7)</f>
        <v/>
      </c>
      <c r="O608">
        <f>IF(M608&gt;0,"OK","sin PEA -&gt; peor")</f>
        <v/>
      </c>
    </row>
    <row r="609">
      <c r="A609" t="inlineStr">
        <is>
          <t>170303</t>
        </is>
      </c>
      <c r="B609" t="inlineStr">
        <is>
          <t>TAHUAMANU</t>
        </is>
      </c>
      <c r="C609" s="14">
        <f>'Empleo Censo'!G609-'Empleo Censo'!F609</f>
        <v/>
      </c>
      <c r="D609" s="14">
        <f>'Empleo Censo'!F609</f>
        <v/>
      </c>
      <c r="E609" s="14">
        <f>'Empleo Censo'!H609</f>
        <v/>
      </c>
      <c r="F609" s="14">
        <f>'Empleo Censo'!I609</f>
        <v/>
      </c>
      <c r="G609" s="14">
        <f>'Empleo Censo'!J609+'Empleo Censo'!K609</f>
        <v/>
      </c>
      <c r="H609" s="14">
        <f>'Empleo Censo'!L609</f>
        <v/>
      </c>
      <c r="I609" s="14">
        <f>'Empleo Censo'!M609</f>
        <v/>
      </c>
      <c r="J609" s="14">
        <f>SUM('Empleo Censo'!N609:AA609)</f>
        <v/>
      </c>
      <c r="K609" s="14">
        <f>SUM(C609:J609)</f>
        <v/>
      </c>
      <c r="L609" s="15">
        <f>SUMPRODUCT(C609:J609,Factores!$B$3:$I$3)</f>
        <v/>
      </c>
      <c r="M609" s="16">
        <f>'Empleo Censo'!E609</f>
        <v/>
      </c>
      <c r="N609" s="17">
        <f>IF(M609&gt;0,L609,Factores!$B$7)</f>
        <v/>
      </c>
      <c r="O609">
        <f>IF(M609&gt;0,"OK","sin PEA -&gt; peor")</f>
        <v/>
      </c>
    </row>
    <row r="610">
      <c r="A610" t="inlineStr">
        <is>
          <t>180101</t>
        </is>
      </c>
      <c r="B610" t="inlineStr">
        <is>
          <t>MOQUEGUA</t>
        </is>
      </c>
      <c r="C610" s="14">
        <f>'Empleo Censo'!G610-'Empleo Censo'!F610</f>
        <v/>
      </c>
      <c r="D610" s="14">
        <f>'Empleo Censo'!F610</f>
        <v/>
      </c>
      <c r="E610" s="14">
        <f>'Empleo Censo'!H610</f>
        <v/>
      </c>
      <c r="F610" s="14">
        <f>'Empleo Censo'!I610</f>
        <v/>
      </c>
      <c r="G610" s="14">
        <f>'Empleo Censo'!J610+'Empleo Censo'!K610</f>
        <v/>
      </c>
      <c r="H610" s="14">
        <f>'Empleo Censo'!L610</f>
        <v/>
      </c>
      <c r="I610" s="14">
        <f>'Empleo Censo'!M610</f>
        <v/>
      </c>
      <c r="J610" s="14">
        <f>SUM('Empleo Censo'!N610:AA610)</f>
        <v/>
      </c>
      <c r="K610" s="14">
        <f>SUM(C610:J610)</f>
        <v/>
      </c>
      <c r="L610" s="15">
        <f>SUMPRODUCT(C610:J610,Factores!$B$3:$I$3)</f>
        <v/>
      </c>
      <c r="M610" s="16">
        <f>'Empleo Censo'!E610</f>
        <v/>
      </c>
      <c r="N610" s="17">
        <f>IF(M610&gt;0,L610,Factores!$B$7)</f>
        <v/>
      </c>
      <c r="O610">
        <f>IF(M610&gt;0,"OK","sin PEA -&gt; peor")</f>
        <v/>
      </c>
    </row>
    <row r="611">
      <c r="A611" t="inlineStr">
        <is>
          <t>180102</t>
        </is>
      </c>
      <c r="B611" t="inlineStr">
        <is>
          <t>CARUMAS</t>
        </is>
      </c>
      <c r="C611" s="14">
        <f>'Empleo Censo'!G611-'Empleo Censo'!F611</f>
        <v/>
      </c>
      <c r="D611" s="14">
        <f>'Empleo Censo'!F611</f>
        <v/>
      </c>
      <c r="E611" s="14">
        <f>'Empleo Censo'!H611</f>
        <v/>
      </c>
      <c r="F611" s="14">
        <f>'Empleo Censo'!I611</f>
        <v/>
      </c>
      <c r="G611" s="14">
        <f>'Empleo Censo'!J611+'Empleo Censo'!K611</f>
        <v/>
      </c>
      <c r="H611" s="14">
        <f>'Empleo Censo'!L611</f>
        <v/>
      </c>
      <c r="I611" s="14">
        <f>'Empleo Censo'!M611</f>
        <v/>
      </c>
      <c r="J611" s="14">
        <f>SUM('Empleo Censo'!N611:AA611)</f>
        <v/>
      </c>
      <c r="K611" s="14">
        <f>SUM(C611:J611)</f>
        <v/>
      </c>
      <c r="L611" s="15">
        <f>SUMPRODUCT(C611:J611,Factores!$B$3:$I$3)</f>
        <v/>
      </c>
      <c r="M611" s="16">
        <f>'Empleo Censo'!E611</f>
        <v/>
      </c>
      <c r="N611" s="17">
        <f>IF(M611&gt;0,L611,Factores!$B$7)</f>
        <v/>
      </c>
      <c r="O611">
        <f>IF(M611&gt;0,"OK","sin PEA -&gt; peor")</f>
        <v/>
      </c>
    </row>
    <row r="612">
      <c r="A612" t="inlineStr">
        <is>
          <t>180103</t>
        </is>
      </c>
      <c r="B612" t="inlineStr">
        <is>
          <t>CUCHUMBAYA</t>
        </is>
      </c>
      <c r="C612" s="14">
        <f>'Empleo Censo'!G612-'Empleo Censo'!F612</f>
        <v/>
      </c>
      <c r="D612" s="14">
        <f>'Empleo Censo'!F612</f>
        <v/>
      </c>
      <c r="E612" s="14">
        <f>'Empleo Censo'!H612</f>
        <v/>
      </c>
      <c r="F612" s="14">
        <f>'Empleo Censo'!I612</f>
        <v/>
      </c>
      <c r="G612" s="14">
        <f>'Empleo Censo'!J612+'Empleo Censo'!K612</f>
        <v/>
      </c>
      <c r="H612" s="14">
        <f>'Empleo Censo'!L612</f>
        <v/>
      </c>
      <c r="I612" s="14">
        <f>'Empleo Censo'!M612</f>
        <v/>
      </c>
      <c r="J612" s="14">
        <f>SUM('Empleo Censo'!N612:AA612)</f>
        <v/>
      </c>
      <c r="K612" s="14">
        <f>SUM(C612:J612)</f>
        <v/>
      </c>
      <c r="L612" s="15">
        <f>SUMPRODUCT(C612:J612,Factores!$B$3:$I$3)</f>
        <v/>
      </c>
      <c r="M612" s="16">
        <f>'Empleo Censo'!E612</f>
        <v/>
      </c>
      <c r="N612" s="17">
        <f>IF(M612&gt;0,L612,Factores!$B$7)</f>
        <v/>
      </c>
      <c r="O612">
        <f>IF(M612&gt;0,"OK","sin PEA -&gt; peor")</f>
        <v/>
      </c>
    </row>
    <row r="613">
      <c r="A613" t="inlineStr">
        <is>
          <t>180104</t>
        </is>
      </c>
      <c r="B613" t="inlineStr">
        <is>
          <t>SAMEGUA</t>
        </is>
      </c>
      <c r="C613" s="14">
        <f>'Empleo Censo'!G613-'Empleo Censo'!F613</f>
        <v/>
      </c>
      <c r="D613" s="14">
        <f>'Empleo Censo'!F613</f>
        <v/>
      </c>
      <c r="E613" s="14">
        <f>'Empleo Censo'!H613</f>
        <v/>
      </c>
      <c r="F613" s="14">
        <f>'Empleo Censo'!I613</f>
        <v/>
      </c>
      <c r="G613" s="14">
        <f>'Empleo Censo'!J613+'Empleo Censo'!K613</f>
        <v/>
      </c>
      <c r="H613" s="14">
        <f>'Empleo Censo'!L613</f>
        <v/>
      </c>
      <c r="I613" s="14">
        <f>'Empleo Censo'!M613</f>
        <v/>
      </c>
      <c r="J613" s="14">
        <f>SUM('Empleo Censo'!N613:AA613)</f>
        <v/>
      </c>
      <c r="K613" s="14">
        <f>SUM(C613:J613)</f>
        <v/>
      </c>
      <c r="L613" s="15">
        <f>SUMPRODUCT(C613:J613,Factores!$B$3:$I$3)</f>
        <v/>
      </c>
      <c r="M613" s="16">
        <f>'Empleo Censo'!E613</f>
        <v/>
      </c>
      <c r="N613" s="17">
        <f>IF(M613&gt;0,L613,Factores!$B$7)</f>
        <v/>
      </c>
      <c r="O613">
        <f>IF(M613&gt;0,"OK","sin PEA -&gt; peor")</f>
        <v/>
      </c>
    </row>
    <row r="614">
      <c r="A614" t="inlineStr">
        <is>
          <t>180105</t>
        </is>
      </c>
      <c r="B614" t="inlineStr">
        <is>
          <t>SAN CRISTOBAL</t>
        </is>
      </c>
      <c r="C614" s="14">
        <f>'Empleo Censo'!G614-'Empleo Censo'!F614</f>
        <v/>
      </c>
      <c r="D614" s="14">
        <f>'Empleo Censo'!F614</f>
        <v/>
      </c>
      <c r="E614" s="14">
        <f>'Empleo Censo'!H614</f>
        <v/>
      </c>
      <c r="F614" s="14">
        <f>'Empleo Censo'!I614</f>
        <v/>
      </c>
      <c r="G614" s="14">
        <f>'Empleo Censo'!J614+'Empleo Censo'!K614</f>
        <v/>
      </c>
      <c r="H614" s="14">
        <f>'Empleo Censo'!L614</f>
        <v/>
      </c>
      <c r="I614" s="14">
        <f>'Empleo Censo'!M614</f>
        <v/>
      </c>
      <c r="J614" s="14">
        <f>SUM('Empleo Censo'!N614:AA614)</f>
        <v/>
      </c>
      <c r="K614" s="14">
        <f>SUM(C614:J614)</f>
        <v/>
      </c>
      <c r="L614" s="15">
        <f>SUMPRODUCT(C614:J614,Factores!$B$3:$I$3)</f>
        <v/>
      </c>
      <c r="M614" s="16">
        <f>'Empleo Censo'!E614</f>
        <v/>
      </c>
      <c r="N614" s="17">
        <f>IF(M614&gt;0,L614,Factores!$B$7)</f>
        <v/>
      </c>
      <c r="O614">
        <f>IF(M614&gt;0,"OK","sin PEA -&gt; peor")</f>
        <v/>
      </c>
    </row>
    <row r="615">
      <c r="A615" t="inlineStr">
        <is>
          <t>180106</t>
        </is>
      </c>
      <c r="B615" t="inlineStr">
        <is>
          <t>TORATA</t>
        </is>
      </c>
      <c r="C615" s="14">
        <f>'Empleo Censo'!G615-'Empleo Censo'!F615</f>
        <v/>
      </c>
      <c r="D615" s="14">
        <f>'Empleo Censo'!F615</f>
        <v/>
      </c>
      <c r="E615" s="14">
        <f>'Empleo Censo'!H615</f>
        <v/>
      </c>
      <c r="F615" s="14">
        <f>'Empleo Censo'!I615</f>
        <v/>
      </c>
      <c r="G615" s="14">
        <f>'Empleo Censo'!J615+'Empleo Censo'!K615</f>
        <v/>
      </c>
      <c r="H615" s="14">
        <f>'Empleo Censo'!L615</f>
        <v/>
      </c>
      <c r="I615" s="14">
        <f>'Empleo Censo'!M615</f>
        <v/>
      </c>
      <c r="J615" s="14">
        <f>SUM('Empleo Censo'!N615:AA615)</f>
        <v/>
      </c>
      <c r="K615" s="14">
        <f>SUM(C615:J615)</f>
        <v/>
      </c>
      <c r="L615" s="15">
        <f>SUMPRODUCT(C615:J615,Factores!$B$3:$I$3)</f>
        <v/>
      </c>
      <c r="M615" s="16">
        <f>'Empleo Censo'!E615</f>
        <v/>
      </c>
      <c r="N615" s="17">
        <f>IF(M615&gt;0,L615,Factores!$B$7)</f>
        <v/>
      </c>
      <c r="O615">
        <f>IF(M615&gt;0,"OK","sin PEA -&gt; peor")</f>
        <v/>
      </c>
    </row>
    <row r="616">
      <c r="A616" t="inlineStr">
        <is>
          <t>180107</t>
        </is>
      </c>
      <c r="B616" t="inlineStr">
        <is>
          <t>SAN ANTONIO</t>
        </is>
      </c>
      <c r="C616" s="14">
        <f>'Empleo Censo'!G616-'Empleo Censo'!F616</f>
        <v/>
      </c>
      <c r="D616" s="14">
        <f>'Empleo Censo'!F616</f>
        <v/>
      </c>
      <c r="E616" s="14">
        <f>'Empleo Censo'!H616</f>
        <v/>
      </c>
      <c r="F616" s="14">
        <f>'Empleo Censo'!I616</f>
        <v/>
      </c>
      <c r="G616" s="14">
        <f>'Empleo Censo'!J616+'Empleo Censo'!K616</f>
        <v/>
      </c>
      <c r="H616" s="14">
        <f>'Empleo Censo'!L616</f>
        <v/>
      </c>
      <c r="I616" s="14">
        <f>'Empleo Censo'!M616</f>
        <v/>
      </c>
      <c r="J616" s="14">
        <f>SUM('Empleo Censo'!N616:AA616)</f>
        <v/>
      </c>
      <c r="K616" s="14">
        <f>SUM(C616:J616)</f>
        <v/>
      </c>
      <c r="L616" s="15">
        <f>SUMPRODUCT(C616:J616,Factores!$B$3:$I$3)</f>
        <v/>
      </c>
      <c r="M616" s="16">
        <f>'Empleo Censo'!E616</f>
        <v/>
      </c>
      <c r="N616" s="17">
        <f>IF(M616&gt;0,L616,Factores!$B$7)</f>
        <v/>
      </c>
      <c r="O616">
        <f>IF(M616&gt;0,"OK","sin PEA -&gt; peor")</f>
        <v/>
      </c>
    </row>
    <row r="617">
      <c r="A617" t="inlineStr">
        <is>
          <t>180201</t>
        </is>
      </c>
      <c r="B617" t="inlineStr">
        <is>
          <t>OMATE</t>
        </is>
      </c>
      <c r="C617" s="14">
        <f>'Empleo Censo'!G617-'Empleo Censo'!F617</f>
        <v/>
      </c>
      <c r="D617" s="14">
        <f>'Empleo Censo'!F617</f>
        <v/>
      </c>
      <c r="E617" s="14">
        <f>'Empleo Censo'!H617</f>
        <v/>
      </c>
      <c r="F617" s="14">
        <f>'Empleo Censo'!I617</f>
        <v/>
      </c>
      <c r="G617" s="14">
        <f>'Empleo Censo'!J617+'Empleo Censo'!K617</f>
        <v/>
      </c>
      <c r="H617" s="14">
        <f>'Empleo Censo'!L617</f>
        <v/>
      </c>
      <c r="I617" s="14">
        <f>'Empleo Censo'!M617</f>
        <v/>
      </c>
      <c r="J617" s="14">
        <f>SUM('Empleo Censo'!N617:AA617)</f>
        <v/>
      </c>
      <c r="K617" s="14">
        <f>SUM(C617:J617)</f>
        <v/>
      </c>
      <c r="L617" s="15">
        <f>SUMPRODUCT(C617:J617,Factores!$B$3:$I$3)</f>
        <v/>
      </c>
      <c r="M617" s="16">
        <f>'Empleo Censo'!E617</f>
        <v/>
      </c>
      <c r="N617" s="17">
        <f>IF(M617&gt;0,L617,Factores!$B$7)</f>
        <v/>
      </c>
      <c r="O617">
        <f>IF(M617&gt;0,"OK","sin PEA -&gt; peor")</f>
        <v/>
      </c>
    </row>
    <row r="618">
      <c r="A618" t="inlineStr">
        <is>
          <t>180202</t>
        </is>
      </c>
      <c r="B618" t="inlineStr">
        <is>
          <t>CHOJATA</t>
        </is>
      </c>
      <c r="C618" s="14">
        <f>'Empleo Censo'!G618-'Empleo Censo'!F618</f>
        <v/>
      </c>
      <c r="D618" s="14">
        <f>'Empleo Censo'!F618</f>
        <v/>
      </c>
      <c r="E618" s="14">
        <f>'Empleo Censo'!H618</f>
        <v/>
      </c>
      <c r="F618" s="14">
        <f>'Empleo Censo'!I618</f>
        <v/>
      </c>
      <c r="G618" s="14">
        <f>'Empleo Censo'!J618+'Empleo Censo'!K618</f>
        <v/>
      </c>
      <c r="H618" s="14">
        <f>'Empleo Censo'!L618</f>
        <v/>
      </c>
      <c r="I618" s="14">
        <f>'Empleo Censo'!M618</f>
        <v/>
      </c>
      <c r="J618" s="14">
        <f>SUM('Empleo Censo'!N618:AA618)</f>
        <v/>
      </c>
      <c r="K618" s="14">
        <f>SUM(C618:J618)</f>
        <v/>
      </c>
      <c r="L618" s="15">
        <f>SUMPRODUCT(C618:J618,Factores!$B$3:$I$3)</f>
        <v/>
      </c>
      <c r="M618" s="16">
        <f>'Empleo Censo'!E618</f>
        <v/>
      </c>
      <c r="N618" s="17">
        <f>IF(M618&gt;0,L618,Factores!$B$7)</f>
        <v/>
      </c>
      <c r="O618">
        <f>IF(M618&gt;0,"OK","sin PEA -&gt; peor")</f>
        <v/>
      </c>
    </row>
    <row r="619">
      <c r="A619" t="inlineStr">
        <is>
          <t>180203</t>
        </is>
      </c>
      <c r="B619" t="inlineStr">
        <is>
          <t>COALAQUE</t>
        </is>
      </c>
      <c r="C619" s="14">
        <f>'Empleo Censo'!G619-'Empleo Censo'!F619</f>
        <v/>
      </c>
      <c r="D619" s="14">
        <f>'Empleo Censo'!F619</f>
        <v/>
      </c>
      <c r="E619" s="14">
        <f>'Empleo Censo'!H619</f>
        <v/>
      </c>
      <c r="F619" s="14">
        <f>'Empleo Censo'!I619</f>
        <v/>
      </c>
      <c r="G619" s="14">
        <f>'Empleo Censo'!J619+'Empleo Censo'!K619</f>
        <v/>
      </c>
      <c r="H619" s="14">
        <f>'Empleo Censo'!L619</f>
        <v/>
      </c>
      <c r="I619" s="14">
        <f>'Empleo Censo'!M619</f>
        <v/>
      </c>
      <c r="J619" s="14">
        <f>SUM('Empleo Censo'!N619:AA619)</f>
        <v/>
      </c>
      <c r="K619" s="14">
        <f>SUM(C619:J619)</f>
        <v/>
      </c>
      <c r="L619" s="15">
        <f>SUMPRODUCT(C619:J619,Factores!$B$3:$I$3)</f>
        <v/>
      </c>
      <c r="M619" s="16">
        <f>'Empleo Censo'!E619</f>
        <v/>
      </c>
      <c r="N619" s="17">
        <f>IF(M619&gt;0,L619,Factores!$B$7)</f>
        <v/>
      </c>
      <c r="O619">
        <f>IF(M619&gt;0,"OK","sin PEA -&gt; peor")</f>
        <v/>
      </c>
    </row>
    <row r="620">
      <c r="A620" t="inlineStr">
        <is>
          <t>180204</t>
        </is>
      </c>
      <c r="B620" t="inlineStr">
        <is>
          <t>ICHUÑA</t>
        </is>
      </c>
      <c r="C620" s="14">
        <f>'Empleo Censo'!G620-'Empleo Censo'!F620</f>
        <v/>
      </c>
      <c r="D620" s="14">
        <f>'Empleo Censo'!F620</f>
        <v/>
      </c>
      <c r="E620" s="14">
        <f>'Empleo Censo'!H620</f>
        <v/>
      </c>
      <c r="F620" s="14">
        <f>'Empleo Censo'!I620</f>
        <v/>
      </c>
      <c r="G620" s="14">
        <f>'Empleo Censo'!J620+'Empleo Censo'!K620</f>
        <v/>
      </c>
      <c r="H620" s="14">
        <f>'Empleo Censo'!L620</f>
        <v/>
      </c>
      <c r="I620" s="14">
        <f>'Empleo Censo'!M620</f>
        <v/>
      </c>
      <c r="J620" s="14">
        <f>SUM('Empleo Censo'!N620:AA620)</f>
        <v/>
      </c>
      <c r="K620" s="14">
        <f>SUM(C620:J620)</f>
        <v/>
      </c>
      <c r="L620" s="15">
        <f>SUMPRODUCT(C620:J620,Factores!$B$3:$I$3)</f>
        <v/>
      </c>
      <c r="M620" s="16">
        <f>'Empleo Censo'!E620</f>
        <v/>
      </c>
      <c r="N620" s="17">
        <f>IF(M620&gt;0,L620,Factores!$B$7)</f>
        <v/>
      </c>
      <c r="O620">
        <f>IF(M620&gt;0,"OK","sin PEA -&gt; peor")</f>
        <v/>
      </c>
    </row>
    <row r="621">
      <c r="A621" t="inlineStr">
        <is>
          <t>180205</t>
        </is>
      </c>
      <c r="B621" t="inlineStr">
        <is>
          <t>LA CAPILLA</t>
        </is>
      </c>
      <c r="C621" s="14">
        <f>'Empleo Censo'!G621-'Empleo Censo'!F621</f>
        <v/>
      </c>
      <c r="D621" s="14">
        <f>'Empleo Censo'!F621</f>
        <v/>
      </c>
      <c r="E621" s="14">
        <f>'Empleo Censo'!H621</f>
        <v/>
      </c>
      <c r="F621" s="14">
        <f>'Empleo Censo'!I621</f>
        <v/>
      </c>
      <c r="G621" s="14">
        <f>'Empleo Censo'!J621+'Empleo Censo'!K621</f>
        <v/>
      </c>
      <c r="H621" s="14">
        <f>'Empleo Censo'!L621</f>
        <v/>
      </c>
      <c r="I621" s="14">
        <f>'Empleo Censo'!M621</f>
        <v/>
      </c>
      <c r="J621" s="14">
        <f>SUM('Empleo Censo'!N621:AA621)</f>
        <v/>
      </c>
      <c r="K621" s="14">
        <f>SUM(C621:J621)</f>
        <v/>
      </c>
      <c r="L621" s="15">
        <f>SUMPRODUCT(C621:J621,Factores!$B$3:$I$3)</f>
        <v/>
      </c>
      <c r="M621" s="16">
        <f>'Empleo Censo'!E621</f>
        <v/>
      </c>
      <c r="N621" s="17">
        <f>IF(M621&gt;0,L621,Factores!$B$7)</f>
        <v/>
      </c>
      <c r="O621">
        <f>IF(M621&gt;0,"OK","sin PEA -&gt; peor")</f>
        <v/>
      </c>
    </row>
    <row r="622">
      <c r="A622" t="inlineStr">
        <is>
          <t>180206</t>
        </is>
      </c>
      <c r="B622" t="inlineStr">
        <is>
          <t>LLOQUE</t>
        </is>
      </c>
      <c r="C622" s="14">
        <f>'Empleo Censo'!G622-'Empleo Censo'!F622</f>
        <v/>
      </c>
      <c r="D622" s="14">
        <f>'Empleo Censo'!F622</f>
        <v/>
      </c>
      <c r="E622" s="14">
        <f>'Empleo Censo'!H622</f>
        <v/>
      </c>
      <c r="F622" s="14">
        <f>'Empleo Censo'!I622</f>
        <v/>
      </c>
      <c r="G622" s="14">
        <f>'Empleo Censo'!J622+'Empleo Censo'!K622</f>
        <v/>
      </c>
      <c r="H622" s="14">
        <f>'Empleo Censo'!L622</f>
        <v/>
      </c>
      <c r="I622" s="14">
        <f>'Empleo Censo'!M622</f>
        <v/>
      </c>
      <c r="J622" s="14">
        <f>SUM('Empleo Censo'!N622:AA622)</f>
        <v/>
      </c>
      <c r="K622" s="14">
        <f>SUM(C622:J622)</f>
        <v/>
      </c>
      <c r="L622" s="15">
        <f>SUMPRODUCT(C622:J622,Factores!$B$3:$I$3)</f>
        <v/>
      </c>
      <c r="M622" s="16">
        <f>'Empleo Censo'!E622</f>
        <v/>
      </c>
      <c r="N622" s="17">
        <f>IF(M622&gt;0,L622,Factores!$B$7)</f>
        <v/>
      </c>
      <c r="O622">
        <f>IF(M622&gt;0,"OK","sin PEA -&gt; peor")</f>
        <v/>
      </c>
    </row>
    <row r="623">
      <c r="A623" t="inlineStr">
        <is>
          <t>180207</t>
        </is>
      </c>
      <c r="B623" t="inlineStr">
        <is>
          <t>MATALAQUE</t>
        </is>
      </c>
      <c r="C623" s="14">
        <f>'Empleo Censo'!G623-'Empleo Censo'!F623</f>
        <v/>
      </c>
      <c r="D623" s="14">
        <f>'Empleo Censo'!F623</f>
        <v/>
      </c>
      <c r="E623" s="14">
        <f>'Empleo Censo'!H623</f>
        <v/>
      </c>
      <c r="F623" s="14">
        <f>'Empleo Censo'!I623</f>
        <v/>
      </c>
      <c r="G623" s="14">
        <f>'Empleo Censo'!J623+'Empleo Censo'!K623</f>
        <v/>
      </c>
      <c r="H623" s="14">
        <f>'Empleo Censo'!L623</f>
        <v/>
      </c>
      <c r="I623" s="14">
        <f>'Empleo Censo'!M623</f>
        <v/>
      </c>
      <c r="J623" s="14">
        <f>SUM('Empleo Censo'!N623:AA623)</f>
        <v/>
      </c>
      <c r="K623" s="14">
        <f>SUM(C623:J623)</f>
        <v/>
      </c>
      <c r="L623" s="15">
        <f>SUMPRODUCT(C623:J623,Factores!$B$3:$I$3)</f>
        <v/>
      </c>
      <c r="M623" s="16">
        <f>'Empleo Censo'!E623</f>
        <v/>
      </c>
      <c r="N623" s="17">
        <f>IF(M623&gt;0,L623,Factores!$B$7)</f>
        <v/>
      </c>
      <c r="O623">
        <f>IF(M623&gt;0,"OK","sin PEA -&gt; peor")</f>
        <v/>
      </c>
    </row>
    <row r="624">
      <c r="A624" t="inlineStr">
        <is>
          <t>180208</t>
        </is>
      </c>
      <c r="B624" t="inlineStr">
        <is>
          <t>PUQUINA</t>
        </is>
      </c>
      <c r="C624" s="14">
        <f>'Empleo Censo'!G624-'Empleo Censo'!F624</f>
        <v/>
      </c>
      <c r="D624" s="14">
        <f>'Empleo Censo'!F624</f>
        <v/>
      </c>
      <c r="E624" s="14">
        <f>'Empleo Censo'!H624</f>
        <v/>
      </c>
      <c r="F624" s="14">
        <f>'Empleo Censo'!I624</f>
        <v/>
      </c>
      <c r="G624" s="14">
        <f>'Empleo Censo'!J624+'Empleo Censo'!K624</f>
        <v/>
      </c>
      <c r="H624" s="14">
        <f>'Empleo Censo'!L624</f>
        <v/>
      </c>
      <c r="I624" s="14">
        <f>'Empleo Censo'!M624</f>
        <v/>
      </c>
      <c r="J624" s="14">
        <f>SUM('Empleo Censo'!N624:AA624)</f>
        <v/>
      </c>
      <c r="K624" s="14">
        <f>SUM(C624:J624)</f>
        <v/>
      </c>
      <c r="L624" s="15">
        <f>SUMPRODUCT(C624:J624,Factores!$B$3:$I$3)</f>
        <v/>
      </c>
      <c r="M624" s="16">
        <f>'Empleo Censo'!E624</f>
        <v/>
      </c>
      <c r="N624" s="17">
        <f>IF(M624&gt;0,L624,Factores!$B$7)</f>
        <v/>
      </c>
      <c r="O624">
        <f>IF(M624&gt;0,"OK","sin PEA -&gt; peor")</f>
        <v/>
      </c>
    </row>
    <row r="625">
      <c r="A625" t="inlineStr">
        <is>
          <t>180209</t>
        </is>
      </c>
      <c r="B625" t="inlineStr">
        <is>
          <t>QUINISTAQUILLAS</t>
        </is>
      </c>
      <c r="C625" s="14">
        <f>'Empleo Censo'!G625-'Empleo Censo'!F625</f>
        <v/>
      </c>
      <c r="D625" s="14">
        <f>'Empleo Censo'!F625</f>
        <v/>
      </c>
      <c r="E625" s="14">
        <f>'Empleo Censo'!H625</f>
        <v/>
      </c>
      <c r="F625" s="14">
        <f>'Empleo Censo'!I625</f>
        <v/>
      </c>
      <c r="G625" s="14">
        <f>'Empleo Censo'!J625+'Empleo Censo'!K625</f>
        <v/>
      </c>
      <c r="H625" s="14">
        <f>'Empleo Censo'!L625</f>
        <v/>
      </c>
      <c r="I625" s="14">
        <f>'Empleo Censo'!M625</f>
        <v/>
      </c>
      <c r="J625" s="14">
        <f>SUM('Empleo Censo'!N625:AA625)</f>
        <v/>
      </c>
      <c r="K625" s="14">
        <f>SUM(C625:J625)</f>
        <v/>
      </c>
      <c r="L625" s="15">
        <f>SUMPRODUCT(C625:J625,Factores!$B$3:$I$3)</f>
        <v/>
      </c>
      <c r="M625" s="16">
        <f>'Empleo Censo'!E625</f>
        <v/>
      </c>
      <c r="N625" s="17">
        <f>IF(M625&gt;0,L625,Factores!$B$7)</f>
        <v/>
      </c>
      <c r="O625">
        <f>IF(M625&gt;0,"OK","sin PEA -&gt; peor")</f>
        <v/>
      </c>
    </row>
    <row r="626">
      <c r="A626" t="inlineStr">
        <is>
          <t>180210</t>
        </is>
      </c>
      <c r="B626" t="inlineStr">
        <is>
          <t>UBINAS</t>
        </is>
      </c>
      <c r="C626" s="14">
        <f>'Empleo Censo'!G626-'Empleo Censo'!F626</f>
        <v/>
      </c>
      <c r="D626" s="14">
        <f>'Empleo Censo'!F626</f>
        <v/>
      </c>
      <c r="E626" s="14">
        <f>'Empleo Censo'!H626</f>
        <v/>
      </c>
      <c r="F626" s="14">
        <f>'Empleo Censo'!I626</f>
        <v/>
      </c>
      <c r="G626" s="14">
        <f>'Empleo Censo'!J626+'Empleo Censo'!K626</f>
        <v/>
      </c>
      <c r="H626" s="14">
        <f>'Empleo Censo'!L626</f>
        <v/>
      </c>
      <c r="I626" s="14">
        <f>'Empleo Censo'!M626</f>
        <v/>
      </c>
      <c r="J626" s="14">
        <f>SUM('Empleo Censo'!N626:AA626)</f>
        <v/>
      </c>
      <c r="K626" s="14">
        <f>SUM(C626:J626)</f>
        <v/>
      </c>
      <c r="L626" s="15">
        <f>SUMPRODUCT(C626:J626,Factores!$B$3:$I$3)</f>
        <v/>
      </c>
      <c r="M626" s="16">
        <f>'Empleo Censo'!E626</f>
        <v/>
      </c>
      <c r="N626" s="17">
        <f>IF(M626&gt;0,L626,Factores!$B$7)</f>
        <v/>
      </c>
      <c r="O626">
        <f>IF(M626&gt;0,"OK","sin PEA -&gt; peor")</f>
        <v/>
      </c>
    </row>
    <row r="627">
      <c r="A627" t="inlineStr">
        <is>
          <t>180211</t>
        </is>
      </c>
      <c r="B627" t="inlineStr">
        <is>
          <t>YUNGA</t>
        </is>
      </c>
      <c r="C627" s="14">
        <f>'Empleo Censo'!G627-'Empleo Censo'!F627</f>
        <v/>
      </c>
      <c r="D627" s="14">
        <f>'Empleo Censo'!F627</f>
        <v/>
      </c>
      <c r="E627" s="14">
        <f>'Empleo Censo'!H627</f>
        <v/>
      </c>
      <c r="F627" s="14">
        <f>'Empleo Censo'!I627</f>
        <v/>
      </c>
      <c r="G627" s="14">
        <f>'Empleo Censo'!J627+'Empleo Censo'!K627</f>
        <v/>
      </c>
      <c r="H627" s="14">
        <f>'Empleo Censo'!L627</f>
        <v/>
      </c>
      <c r="I627" s="14">
        <f>'Empleo Censo'!M627</f>
        <v/>
      </c>
      <c r="J627" s="14">
        <f>SUM('Empleo Censo'!N627:AA627)</f>
        <v/>
      </c>
      <c r="K627" s="14">
        <f>SUM(C627:J627)</f>
        <v/>
      </c>
      <c r="L627" s="15">
        <f>SUMPRODUCT(C627:J627,Factores!$B$3:$I$3)</f>
        <v/>
      </c>
      <c r="M627" s="16">
        <f>'Empleo Censo'!E627</f>
        <v/>
      </c>
      <c r="N627" s="17">
        <f>IF(M627&gt;0,L627,Factores!$B$7)</f>
        <v/>
      </c>
      <c r="O627">
        <f>IF(M627&gt;0,"OK","sin PEA -&gt; peor")</f>
        <v/>
      </c>
    </row>
    <row r="628">
      <c r="A628" t="inlineStr">
        <is>
          <t>180301</t>
        </is>
      </c>
      <c r="B628" t="inlineStr">
        <is>
          <t>ILO</t>
        </is>
      </c>
      <c r="C628" s="14">
        <f>'Empleo Censo'!G628-'Empleo Censo'!F628</f>
        <v/>
      </c>
      <c r="D628" s="14">
        <f>'Empleo Censo'!F628</f>
        <v/>
      </c>
      <c r="E628" s="14">
        <f>'Empleo Censo'!H628</f>
        <v/>
      </c>
      <c r="F628" s="14">
        <f>'Empleo Censo'!I628</f>
        <v/>
      </c>
      <c r="G628" s="14">
        <f>'Empleo Censo'!J628+'Empleo Censo'!K628</f>
        <v/>
      </c>
      <c r="H628" s="14">
        <f>'Empleo Censo'!L628</f>
        <v/>
      </c>
      <c r="I628" s="14">
        <f>'Empleo Censo'!M628</f>
        <v/>
      </c>
      <c r="J628" s="14">
        <f>SUM('Empleo Censo'!N628:AA628)</f>
        <v/>
      </c>
      <c r="K628" s="14">
        <f>SUM(C628:J628)</f>
        <v/>
      </c>
      <c r="L628" s="15">
        <f>SUMPRODUCT(C628:J628,Factores!$B$3:$I$3)</f>
        <v/>
      </c>
      <c r="M628" s="16">
        <f>'Empleo Censo'!E628</f>
        <v/>
      </c>
      <c r="N628" s="17">
        <f>IF(M628&gt;0,L628,Factores!$B$7)</f>
        <v/>
      </c>
      <c r="O628">
        <f>IF(M628&gt;0,"OK","sin PEA -&gt; peor")</f>
        <v/>
      </c>
    </row>
    <row r="629">
      <c r="A629" t="inlineStr">
        <is>
          <t>180302</t>
        </is>
      </c>
      <c r="B629" t="inlineStr">
        <is>
          <t>EL ALGARROBAL</t>
        </is>
      </c>
      <c r="C629" s="14">
        <f>'Empleo Censo'!G629-'Empleo Censo'!F629</f>
        <v/>
      </c>
      <c r="D629" s="14">
        <f>'Empleo Censo'!F629</f>
        <v/>
      </c>
      <c r="E629" s="14">
        <f>'Empleo Censo'!H629</f>
        <v/>
      </c>
      <c r="F629" s="14">
        <f>'Empleo Censo'!I629</f>
        <v/>
      </c>
      <c r="G629" s="14">
        <f>'Empleo Censo'!J629+'Empleo Censo'!K629</f>
        <v/>
      </c>
      <c r="H629" s="14">
        <f>'Empleo Censo'!L629</f>
        <v/>
      </c>
      <c r="I629" s="14">
        <f>'Empleo Censo'!M629</f>
        <v/>
      </c>
      <c r="J629" s="14">
        <f>SUM('Empleo Censo'!N629:AA629)</f>
        <v/>
      </c>
      <c r="K629" s="14">
        <f>SUM(C629:J629)</f>
        <v/>
      </c>
      <c r="L629" s="15">
        <f>SUMPRODUCT(C629:J629,Factores!$B$3:$I$3)</f>
        <v/>
      </c>
      <c r="M629" s="16">
        <f>'Empleo Censo'!E629</f>
        <v/>
      </c>
      <c r="N629" s="17">
        <f>IF(M629&gt;0,L629,Factores!$B$7)</f>
        <v/>
      </c>
      <c r="O629">
        <f>IF(M629&gt;0,"OK","sin PEA -&gt; peor")</f>
        <v/>
      </c>
    </row>
    <row r="630">
      <c r="A630" t="inlineStr">
        <is>
          <t>180303</t>
        </is>
      </c>
      <c r="B630" t="inlineStr">
        <is>
          <t>PACOCHA</t>
        </is>
      </c>
      <c r="C630" s="14">
        <f>'Empleo Censo'!G630-'Empleo Censo'!F630</f>
        <v/>
      </c>
      <c r="D630" s="14">
        <f>'Empleo Censo'!F630</f>
        <v/>
      </c>
      <c r="E630" s="14">
        <f>'Empleo Censo'!H630</f>
        <v/>
      </c>
      <c r="F630" s="14">
        <f>'Empleo Censo'!I630</f>
        <v/>
      </c>
      <c r="G630" s="14">
        <f>'Empleo Censo'!J630+'Empleo Censo'!K630</f>
        <v/>
      </c>
      <c r="H630" s="14">
        <f>'Empleo Censo'!L630</f>
        <v/>
      </c>
      <c r="I630" s="14">
        <f>'Empleo Censo'!M630</f>
        <v/>
      </c>
      <c r="J630" s="14">
        <f>SUM('Empleo Censo'!N630:AA630)</f>
        <v/>
      </c>
      <c r="K630" s="14">
        <f>SUM(C630:J630)</f>
        <v/>
      </c>
      <c r="L630" s="15">
        <f>SUMPRODUCT(C630:J630,Factores!$B$3:$I$3)</f>
        <v/>
      </c>
      <c r="M630" s="16">
        <f>'Empleo Censo'!E630</f>
        <v/>
      </c>
      <c r="N630" s="17">
        <f>IF(M630&gt;0,L630,Factores!$B$7)</f>
        <v/>
      </c>
      <c r="O630">
        <f>IF(M630&gt;0,"OK","sin PEA -&gt; peor")</f>
        <v/>
      </c>
    </row>
    <row r="631">
      <c r="A631" t="inlineStr">
        <is>
          <t>190101</t>
        </is>
      </c>
      <c r="B631" t="inlineStr">
        <is>
          <t>CHAUPIMARCA</t>
        </is>
      </c>
      <c r="C631" s="14">
        <f>'Empleo Censo'!G631-'Empleo Censo'!F631</f>
        <v/>
      </c>
      <c r="D631" s="14">
        <f>'Empleo Censo'!F631</f>
        <v/>
      </c>
      <c r="E631" s="14">
        <f>'Empleo Censo'!H631</f>
        <v/>
      </c>
      <c r="F631" s="14">
        <f>'Empleo Censo'!I631</f>
        <v/>
      </c>
      <c r="G631" s="14">
        <f>'Empleo Censo'!J631+'Empleo Censo'!K631</f>
        <v/>
      </c>
      <c r="H631" s="14">
        <f>'Empleo Censo'!L631</f>
        <v/>
      </c>
      <c r="I631" s="14">
        <f>'Empleo Censo'!M631</f>
        <v/>
      </c>
      <c r="J631" s="14">
        <f>SUM('Empleo Censo'!N631:AA631)</f>
        <v/>
      </c>
      <c r="K631" s="14">
        <f>SUM(C631:J631)</f>
        <v/>
      </c>
      <c r="L631" s="15">
        <f>SUMPRODUCT(C631:J631,Factores!$B$3:$I$3)</f>
        <v/>
      </c>
      <c r="M631" s="16">
        <f>'Empleo Censo'!E631</f>
        <v/>
      </c>
      <c r="N631" s="17">
        <f>IF(M631&gt;0,L631,Factores!$B$7)</f>
        <v/>
      </c>
      <c r="O631">
        <f>IF(M631&gt;0,"OK","sin PEA -&gt; peor")</f>
        <v/>
      </c>
    </row>
    <row r="632">
      <c r="A632" t="inlineStr">
        <is>
          <t>190102</t>
        </is>
      </c>
      <c r="B632" t="inlineStr">
        <is>
          <t>HUACHON</t>
        </is>
      </c>
      <c r="C632" s="14">
        <f>'Empleo Censo'!G632-'Empleo Censo'!F632</f>
        <v/>
      </c>
      <c r="D632" s="14">
        <f>'Empleo Censo'!F632</f>
        <v/>
      </c>
      <c r="E632" s="14">
        <f>'Empleo Censo'!H632</f>
        <v/>
      </c>
      <c r="F632" s="14">
        <f>'Empleo Censo'!I632</f>
        <v/>
      </c>
      <c r="G632" s="14">
        <f>'Empleo Censo'!J632+'Empleo Censo'!K632</f>
        <v/>
      </c>
      <c r="H632" s="14">
        <f>'Empleo Censo'!L632</f>
        <v/>
      </c>
      <c r="I632" s="14">
        <f>'Empleo Censo'!M632</f>
        <v/>
      </c>
      <c r="J632" s="14">
        <f>SUM('Empleo Censo'!N632:AA632)</f>
        <v/>
      </c>
      <c r="K632" s="14">
        <f>SUM(C632:J632)</f>
        <v/>
      </c>
      <c r="L632" s="15">
        <f>SUMPRODUCT(C632:J632,Factores!$B$3:$I$3)</f>
        <v/>
      </c>
      <c r="M632" s="16">
        <f>'Empleo Censo'!E632</f>
        <v/>
      </c>
      <c r="N632" s="17">
        <f>IF(M632&gt;0,L632,Factores!$B$7)</f>
        <v/>
      </c>
      <c r="O632">
        <f>IF(M632&gt;0,"OK","sin PEA -&gt; peor")</f>
        <v/>
      </c>
    </row>
    <row r="633">
      <c r="A633" t="inlineStr">
        <is>
          <t>190103</t>
        </is>
      </c>
      <c r="B633" t="inlineStr">
        <is>
          <t>HUARIACA</t>
        </is>
      </c>
      <c r="C633" s="14">
        <f>'Empleo Censo'!G633-'Empleo Censo'!F633</f>
        <v/>
      </c>
      <c r="D633" s="14">
        <f>'Empleo Censo'!F633</f>
        <v/>
      </c>
      <c r="E633" s="14">
        <f>'Empleo Censo'!H633</f>
        <v/>
      </c>
      <c r="F633" s="14">
        <f>'Empleo Censo'!I633</f>
        <v/>
      </c>
      <c r="G633" s="14">
        <f>'Empleo Censo'!J633+'Empleo Censo'!K633</f>
        <v/>
      </c>
      <c r="H633" s="14">
        <f>'Empleo Censo'!L633</f>
        <v/>
      </c>
      <c r="I633" s="14">
        <f>'Empleo Censo'!M633</f>
        <v/>
      </c>
      <c r="J633" s="14">
        <f>SUM('Empleo Censo'!N633:AA633)</f>
        <v/>
      </c>
      <c r="K633" s="14">
        <f>SUM(C633:J633)</f>
        <v/>
      </c>
      <c r="L633" s="15">
        <f>SUMPRODUCT(C633:J633,Factores!$B$3:$I$3)</f>
        <v/>
      </c>
      <c r="M633" s="16">
        <f>'Empleo Censo'!E633</f>
        <v/>
      </c>
      <c r="N633" s="17">
        <f>IF(M633&gt;0,L633,Factores!$B$7)</f>
        <v/>
      </c>
      <c r="O633">
        <f>IF(M633&gt;0,"OK","sin PEA -&gt; peor")</f>
        <v/>
      </c>
    </row>
    <row r="634">
      <c r="A634" t="inlineStr">
        <is>
          <t>190104</t>
        </is>
      </c>
      <c r="B634" t="inlineStr">
        <is>
          <t>HUAYLLAY</t>
        </is>
      </c>
      <c r="C634" s="14">
        <f>'Empleo Censo'!G634-'Empleo Censo'!F634</f>
        <v/>
      </c>
      <c r="D634" s="14">
        <f>'Empleo Censo'!F634</f>
        <v/>
      </c>
      <c r="E634" s="14">
        <f>'Empleo Censo'!H634</f>
        <v/>
      </c>
      <c r="F634" s="14">
        <f>'Empleo Censo'!I634</f>
        <v/>
      </c>
      <c r="G634" s="14">
        <f>'Empleo Censo'!J634+'Empleo Censo'!K634</f>
        <v/>
      </c>
      <c r="H634" s="14">
        <f>'Empleo Censo'!L634</f>
        <v/>
      </c>
      <c r="I634" s="14">
        <f>'Empleo Censo'!M634</f>
        <v/>
      </c>
      <c r="J634" s="14">
        <f>SUM('Empleo Censo'!N634:AA634)</f>
        <v/>
      </c>
      <c r="K634" s="14">
        <f>SUM(C634:J634)</f>
        <v/>
      </c>
      <c r="L634" s="15">
        <f>SUMPRODUCT(C634:J634,Factores!$B$3:$I$3)</f>
        <v/>
      </c>
      <c r="M634" s="16">
        <f>'Empleo Censo'!E634</f>
        <v/>
      </c>
      <c r="N634" s="17">
        <f>IF(M634&gt;0,L634,Factores!$B$7)</f>
        <v/>
      </c>
      <c r="O634">
        <f>IF(M634&gt;0,"OK","sin PEA -&gt; peor")</f>
        <v/>
      </c>
    </row>
    <row r="635">
      <c r="A635" t="inlineStr">
        <is>
          <t>190105</t>
        </is>
      </c>
      <c r="B635" t="inlineStr">
        <is>
          <t>NINACACA</t>
        </is>
      </c>
      <c r="C635" s="14">
        <f>'Empleo Censo'!G635-'Empleo Censo'!F635</f>
        <v/>
      </c>
      <c r="D635" s="14">
        <f>'Empleo Censo'!F635</f>
        <v/>
      </c>
      <c r="E635" s="14">
        <f>'Empleo Censo'!H635</f>
        <v/>
      </c>
      <c r="F635" s="14">
        <f>'Empleo Censo'!I635</f>
        <v/>
      </c>
      <c r="G635" s="14">
        <f>'Empleo Censo'!J635+'Empleo Censo'!K635</f>
        <v/>
      </c>
      <c r="H635" s="14">
        <f>'Empleo Censo'!L635</f>
        <v/>
      </c>
      <c r="I635" s="14">
        <f>'Empleo Censo'!M635</f>
        <v/>
      </c>
      <c r="J635" s="14">
        <f>SUM('Empleo Censo'!N635:AA635)</f>
        <v/>
      </c>
      <c r="K635" s="14">
        <f>SUM(C635:J635)</f>
        <v/>
      </c>
      <c r="L635" s="15">
        <f>SUMPRODUCT(C635:J635,Factores!$B$3:$I$3)</f>
        <v/>
      </c>
      <c r="M635" s="16">
        <f>'Empleo Censo'!E635</f>
        <v/>
      </c>
      <c r="N635" s="17">
        <f>IF(M635&gt;0,L635,Factores!$B$7)</f>
        <v/>
      </c>
      <c r="O635">
        <f>IF(M635&gt;0,"OK","sin PEA -&gt; peor")</f>
        <v/>
      </c>
    </row>
    <row r="636">
      <c r="A636" t="inlineStr">
        <is>
          <t>190106</t>
        </is>
      </c>
      <c r="B636" t="inlineStr">
        <is>
          <t>PALLANCHACRA</t>
        </is>
      </c>
      <c r="C636" s="14">
        <f>'Empleo Censo'!G636-'Empleo Censo'!F636</f>
        <v/>
      </c>
      <c r="D636" s="14">
        <f>'Empleo Censo'!F636</f>
        <v/>
      </c>
      <c r="E636" s="14">
        <f>'Empleo Censo'!H636</f>
        <v/>
      </c>
      <c r="F636" s="14">
        <f>'Empleo Censo'!I636</f>
        <v/>
      </c>
      <c r="G636" s="14">
        <f>'Empleo Censo'!J636+'Empleo Censo'!K636</f>
        <v/>
      </c>
      <c r="H636" s="14">
        <f>'Empleo Censo'!L636</f>
        <v/>
      </c>
      <c r="I636" s="14">
        <f>'Empleo Censo'!M636</f>
        <v/>
      </c>
      <c r="J636" s="14">
        <f>SUM('Empleo Censo'!N636:AA636)</f>
        <v/>
      </c>
      <c r="K636" s="14">
        <f>SUM(C636:J636)</f>
        <v/>
      </c>
      <c r="L636" s="15">
        <f>SUMPRODUCT(C636:J636,Factores!$B$3:$I$3)</f>
        <v/>
      </c>
      <c r="M636" s="16">
        <f>'Empleo Censo'!E636</f>
        <v/>
      </c>
      <c r="N636" s="17">
        <f>IF(M636&gt;0,L636,Factores!$B$7)</f>
        <v/>
      </c>
      <c r="O636">
        <f>IF(M636&gt;0,"OK","sin PEA -&gt; peor")</f>
        <v/>
      </c>
    </row>
    <row r="637">
      <c r="A637" t="inlineStr">
        <is>
          <t>190107</t>
        </is>
      </c>
      <c r="B637" t="inlineStr">
        <is>
          <t>PAUCARTAMBO</t>
        </is>
      </c>
      <c r="C637" s="14">
        <f>'Empleo Censo'!G637-'Empleo Censo'!F637</f>
        <v/>
      </c>
      <c r="D637" s="14">
        <f>'Empleo Censo'!F637</f>
        <v/>
      </c>
      <c r="E637" s="14">
        <f>'Empleo Censo'!H637</f>
        <v/>
      </c>
      <c r="F637" s="14">
        <f>'Empleo Censo'!I637</f>
        <v/>
      </c>
      <c r="G637" s="14">
        <f>'Empleo Censo'!J637+'Empleo Censo'!K637</f>
        <v/>
      </c>
      <c r="H637" s="14">
        <f>'Empleo Censo'!L637</f>
        <v/>
      </c>
      <c r="I637" s="14">
        <f>'Empleo Censo'!M637</f>
        <v/>
      </c>
      <c r="J637" s="14">
        <f>SUM('Empleo Censo'!N637:AA637)</f>
        <v/>
      </c>
      <c r="K637" s="14">
        <f>SUM(C637:J637)</f>
        <v/>
      </c>
      <c r="L637" s="15">
        <f>SUMPRODUCT(C637:J637,Factores!$B$3:$I$3)</f>
        <v/>
      </c>
      <c r="M637" s="16">
        <f>'Empleo Censo'!E637</f>
        <v/>
      </c>
      <c r="N637" s="17">
        <f>IF(M637&gt;0,L637,Factores!$B$7)</f>
        <v/>
      </c>
      <c r="O637">
        <f>IF(M637&gt;0,"OK","sin PEA -&gt; peor")</f>
        <v/>
      </c>
    </row>
    <row r="638">
      <c r="A638" t="inlineStr">
        <is>
          <t>190108</t>
        </is>
      </c>
      <c r="B638" t="inlineStr">
        <is>
          <t>SAN FRANCISCO DE ASIS DE YARUSYACAN</t>
        </is>
      </c>
      <c r="C638" s="14">
        <f>'Empleo Censo'!G638-'Empleo Censo'!F638</f>
        <v/>
      </c>
      <c r="D638" s="14">
        <f>'Empleo Censo'!F638</f>
        <v/>
      </c>
      <c r="E638" s="14">
        <f>'Empleo Censo'!H638</f>
        <v/>
      </c>
      <c r="F638" s="14">
        <f>'Empleo Censo'!I638</f>
        <v/>
      </c>
      <c r="G638" s="14">
        <f>'Empleo Censo'!J638+'Empleo Censo'!K638</f>
        <v/>
      </c>
      <c r="H638" s="14">
        <f>'Empleo Censo'!L638</f>
        <v/>
      </c>
      <c r="I638" s="14">
        <f>'Empleo Censo'!M638</f>
        <v/>
      </c>
      <c r="J638" s="14">
        <f>SUM('Empleo Censo'!N638:AA638)</f>
        <v/>
      </c>
      <c r="K638" s="14">
        <f>SUM(C638:J638)</f>
        <v/>
      </c>
      <c r="L638" s="15">
        <f>SUMPRODUCT(C638:J638,Factores!$B$3:$I$3)</f>
        <v/>
      </c>
      <c r="M638" s="16">
        <f>'Empleo Censo'!E638</f>
        <v/>
      </c>
      <c r="N638" s="17">
        <f>IF(M638&gt;0,L638,Factores!$B$7)</f>
        <v/>
      </c>
      <c r="O638">
        <f>IF(M638&gt;0,"OK","sin PEA -&gt; peor")</f>
        <v/>
      </c>
    </row>
    <row r="639">
      <c r="A639" t="inlineStr">
        <is>
          <t>190109</t>
        </is>
      </c>
      <c r="B639" t="inlineStr">
        <is>
          <t>SIMON BOLIVAR</t>
        </is>
      </c>
      <c r="C639" s="14">
        <f>'Empleo Censo'!G639-'Empleo Censo'!F639</f>
        <v/>
      </c>
      <c r="D639" s="14">
        <f>'Empleo Censo'!F639</f>
        <v/>
      </c>
      <c r="E639" s="14">
        <f>'Empleo Censo'!H639</f>
        <v/>
      </c>
      <c r="F639" s="14">
        <f>'Empleo Censo'!I639</f>
        <v/>
      </c>
      <c r="G639" s="14">
        <f>'Empleo Censo'!J639+'Empleo Censo'!K639</f>
        <v/>
      </c>
      <c r="H639" s="14">
        <f>'Empleo Censo'!L639</f>
        <v/>
      </c>
      <c r="I639" s="14">
        <f>'Empleo Censo'!M639</f>
        <v/>
      </c>
      <c r="J639" s="14">
        <f>SUM('Empleo Censo'!N639:AA639)</f>
        <v/>
      </c>
      <c r="K639" s="14">
        <f>SUM(C639:J639)</f>
        <v/>
      </c>
      <c r="L639" s="15">
        <f>SUMPRODUCT(C639:J639,Factores!$B$3:$I$3)</f>
        <v/>
      </c>
      <c r="M639" s="16">
        <f>'Empleo Censo'!E639</f>
        <v/>
      </c>
      <c r="N639" s="17">
        <f>IF(M639&gt;0,L639,Factores!$B$7)</f>
        <v/>
      </c>
      <c r="O639">
        <f>IF(M639&gt;0,"OK","sin PEA -&gt; peor")</f>
        <v/>
      </c>
    </row>
    <row r="640">
      <c r="A640" t="inlineStr">
        <is>
          <t>190110</t>
        </is>
      </c>
      <c r="B640" t="inlineStr">
        <is>
          <t>TICLACAYAN</t>
        </is>
      </c>
      <c r="C640" s="14">
        <f>'Empleo Censo'!G640-'Empleo Censo'!F640</f>
        <v/>
      </c>
      <c r="D640" s="14">
        <f>'Empleo Censo'!F640</f>
        <v/>
      </c>
      <c r="E640" s="14">
        <f>'Empleo Censo'!H640</f>
        <v/>
      </c>
      <c r="F640" s="14">
        <f>'Empleo Censo'!I640</f>
        <v/>
      </c>
      <c r="G640" s="14">
        <f>'Empleo Censo'!J640+'Empleo Censo'!K640</f>
        <v/>
      </c>
      <c r="H640" s="14">
        <f>'Empleo Censo'!L640</f>
        <v/>
      </c>
      <c r="I640" s="14">
        <f>'Empleo Censo'!M640</f>
        <v/>
      </c>
      <c r="J640" s="14">
        <f>SUM('Empleo Censo'!N640:AA640)</f>
        <v/>
      </c>
      <c r="K640" s="14">
        <f>SUM(C640:J640)</f>
        <v/>
      </c>
      <c r="L640" s="15">
        <f>SUMPRODUCT(C640:J640,Factores!$B$3:$I$3)</f>
        <v/>
      </c>
      <c r="M640" s="16">
        <f>'Empleo Censo'!E640</f>
        <v/>
      </c>
      <c r="N640" s="17">
        <f>IF(M640&gt;0,L640,Factores!$B$7)</f>
        <v/>
      </c>
      <c r="O640">
        <f>IF(M640&gt;0,"OK","sin PEA -&gt; peor")</f>
        <v/>
      </c>
    </row>
    <row r="641">
      <c r="A641" t="inlineStr">
        <is>
          <t>190111</t>
        </is>
      </c>
      <c r="B641" t="inlineStr">
        <is>
          <t>TINYAHUARCO</t>
        </is>
      </c>
      <c r="C641" s="14">
        <f>'Empleo Censo'!G641-'Empleo Censo'!F641</f>
        <v/>
      </c>
      <c r="D641" s="14">
        <f>'Empleo Censo'!F641</f>
        <v/>
      </c>
      <c r="E641" s="14">
        <f>'Empleo Censo'!H641</f>
        <v/>
      </c>
      <c r="F641" s="14">
        <f>'Empleo Censo'!I641</f>
        <v/>
      </c>
      <c r="G641" s="14">
        <f>'Empleo Censo'!J641+'Empleo Censo'!K641</f>
        <v/>
      </c>
      <c r="H641" s="14">
        <f>'Empleo Censo'!L641</f>
        <v/>
      </c>
      <c r="I641" s="14">
        <f>'Empleo Censo'!M641</f>
        <v/>
      </c>
      <c r="J641" s="14">
        <f>SUM('Empleo Censo'!N641:AA641)</f>
        <v/>
      </c>
      <c r="K641" s="14">
        <f>SUM(C641:J641)</f>
        <v/>
      </c>
      <c r="L641" s="15">
        <f>SUMPRODUCT(C641:J641,Factores!$B$3:$I$3)</f>
        <v/>
      </c>
      <c r="M641" s="16">
        <f>'Empleo Censo'!E641</f>
        <v/>
      </c>
      <c r="N641" s="17">
        <f>IF(M641&gt;0,L641,Factores!$B$7)</f>
        <v/>
      </c>
      <c r="O641">
        <f>IF(M641&gt;0,"OK","sin PEA -&gt; peor")</f>
        <v/>
      </c>
    </row>
    <row r="642">
      <c r="A642" t="inlineStr">
        <is>
          <t>190112</t>
        </is>
      </c>
      <c r="B642" t="inlineStr">
        <is>
          <t>VICCO</t>
        </is>
      </c>
      <c r="C642" s="14">
        <f>'Empleo Censo'!G642-'Empleo Censo'!F642</f>
        <v/>
      </c>
      <c r="D642" s="14">
        <f>'Empleo Censo'!F642</f>
        <v/>
      </c>
      <c r="E642" s="14">
        <f>'Empleo Censo'!H642</f>
        <v/>
      </c>
      <c r="F642" s="14">
        <f>'Empleo Censo'!I642</f>
        <v/>
      </c>
      <c r="G642" s="14">
        <f>'Empleo Censo'!J642+'Empleo Censo'!K642</f>
        <v/>
      </c>
      <c r="H642" s="14">
        <f>'Empleo Censo'!L642</f>
        <v/>
      </c>
      <c r="I642" s="14">
        <f>'Empleo Censo'!M642</f>
        <v/>
      </c>
      <c r="J642" s="14">
        <f>SUM('Empleo Censo'!N642:AA642)</f>
        <v/>
      </c>
      <c r="K642" s="14">
        <f>SUM(C642:J642)</f>
        <v/>
      </c>
      <c r="L642" s="15">
        <f>SUMPRODUCT(C642:J642,Factores!$B$3:$I$3)</f>
        <v/>
      </c>
      <c r="M642" s="16">
        <f>'Empleo Censo'!E642</f>
        <v/>
      </c>
      <c r="N642" s="17">
        <f>IF(M642&gt;0,L642,Factores!$B$7)</f>
        <v/>
      </c>
      <c r="O642">
        <f>IF(M642&gt;0,"OK","sin PEA -&gt; peor")</f>
        <v/>
      </c>
    </row>
    <row r="643">
      <c r="A643" t="inlineStr">
        <is>
          <t>190113</t>
        </is>
      </c>
      <c r="B643" t="inlineStr">
        <is>
          <t>YANACANCHA</t>
        </is>
      </c>
      <c r="C643" s="14">
        <f>'Empleo Censo'!G643-'Empleo Censo'!F643</f>
        <v/>
      </c>
      <c r="D643" s="14">
        <f>'Empleo Censo'!F643</f>
        <v/>
      </c>
      <c r="E643" s="14">
        <f>'Empleo Censo'!H643</f>
        <v/>
      </c>
      <c r="F643" s="14">
        <f>'Empleo Censo'!I643</f>
        <v/>
      </c>
      <c r="G643" s="14">
        <f>'Empleo Censo'!J643+'Empleo Censo'!K643</f>
        <v/>
      </c>
      <c r="H643" s="14">
        <f>'Empleo Censo'!L643</f>
        <v/>
      </c>
      <c r="I643" s="14">
        <f>'Empleo Censo'!M643</f>
        <v/>
      </c>
      <c r="J643" s="14">
        <f>SUM('Empleo Censo'!N643:AA643)</f>
        <v/>
      </c>
      <c r="K643" s="14">
        <f>SUM(C643:J643)</f>
        <v/>
      </c>
      <c r="L643" s="15">
        <f>SUMPRODUCT(C643:J643,Factores!$B$3:$I$3)</f>
        <v/>
      </c>
      <c r="M643" s="16">
        <f>'Empleo Censo'!E643</f>
        <v/>
      </c>
      <c r="N643" s="17">
        <f>IF(M643&gt;0,L643,Factores!$B$7)</f>
        <v/>
      </c>
      <c r="O643">
        <f>IF(M643&gt;0,"OK","sin PEA -&gt; peor")</f>
        <v/>
      </c>
    </row>
    <row r="644">
      <c r="A644" t="inlineStr">
        <is>
          <t>190201</t>
        </is>
      </c>
      <c r="B644" t="inlineStr">
        <is>
          <t>YANAHUANCA</t>
        </is>
      </c>
      <c r="C644" s="14">
        <f>'Empleo Censo'!G644-'Empleo Censo'!F644</f>
        <v/>
      </c>
      <c r="D644" s="14">
        <f>'Empleo Censo'!F644</f>
        <v/>
      </c>
      <c r="E644" s="14">
        <f>'Empleo Censo'!H644</f>
        <v/>
      </c>
      <c r="F644" s="14">
        <f>'Empleo Censo'!I644</f>
        <v/>
      </c>
      <c r="G644" s="14">
        <f>'Empleo Censo'!J644+'Empleo Censo'!K644</f>
        <v/>
      </c>
      <c r="H644" s="14">
        <f>'Empleo Censo'!L644</f>
        <v/>
      </c>
      <c r="I644" s="14">
        <f>'Empleo Censo'!M644</f>
        <v/>
      </c>
      <c r="J644" s="14">
        <f>SUM('Empleo Censo'!N644:AA644)</f>
        <v/>
      </c>
      <c r="K644" s="14">
        <f>SUM(C644:J644)</f>
        <v/>
      </c>
      <c r="L644" s="15">
        <f>SUMPRODUCT(C644:J644,Factores!$B$3:$I$3)</f>
        <v/>
      </c>
      <c r="M644" s="16">
        <f>'Empleo Censo'!E644</f>
        <v/>
      </c>
      <c r="N644" s="17">
        <f>IF(M644&gt;0,L644,Factores!$B$7)</f>
        <v/>
      </c>
      <c r="O644">
        <f>IF(M644&gt;0,"OK","sin PEA -&gt; peor")</f>
        <v/>
      </c>
    </row>
    <row r="645">
      <c r="A645" t="inlineStr">
        <is>
          <t>190202</t>
        </is>
      </c>
      <c r="B645" t="inlineStr">
        <is>
          <t>CHACAYAN</t>
        </is>
      </c>
      <c r="C645" s="14">
        <f>'Empleo Censo'!G645-'Empleo Censo'!F645</f>
        <v/>
      </c>
      <c r="D645" s="14">
        <f>'Empleo Censo'!F645</f>
        <v/>
      </c>
      <c r="E645" s="14">
        <f>'Empleo Censo'!H645</f>
        <v/>
      </c>
      <c r="F645" s="14">
        <f>'Empleo Censo'!I645</f>
        <v/>
      </c>
      <c r="G645" s="14">
        <f>'Empleo Censo'!J645+'Empleo Censo'!K645</f>
        <v/>
      </c>
      <c r="H645" s="14">
        <f>'Empleo Censo'!L645</f>
        <v/>
      </c>
      <c r="I645" s="14">
        <f>'Empleo Censo'!M645</f>
        <v/>
      </c>
      <c r="J645" s="14">
        <f>SUM('Empleo Censo'!N645:AA645)</f>
        <v/>
      </c>
      <c r="K645" s="14">
        <f>SUM(C645:J645)</f>
        <v/>
      </c>
      <c r="L645" s="15">
        <f>SUMPRODUCT(C645:J645,Factores!$B$3:$I$3)</f>
        <v/>
      </c>
      <c r="M645" s="16">
        <f>'Empleo Censo'!E645</f>
        <v/>
      </c>
      <c r="N645" s="17">
        <f>IF(M645&gt;0,L645,Factores!$B$7)</f>
        <v/>
      </c>
      <c r="O645">
        <f>IF(M645&gt;0,"OK","sin PEA -&gt; peor")</f>
        <v/>
      </c>
    </row>
    <row r="646">
      <c r="A646" t="inlineStr">
        <is>
          <t>190203</t>
        </is>
      </c>
      <c r="B646" t="inlineStr">
        <is>
          <t>GOYLLARISQUIZGA</t>
        </is>
      </c>
      <c r="C646" s="14">
        <f>'Empleo Censo'!G646-'Empleo Censo'!F646</f>
        <v/>
      </c>
      <c r="D646" s="14">
        <f>'Empleo Censo'!F646</f>
        <v/>
      </c>
      <c r="E646" s="14">
        <f>'Empleo Censo'!H646</f>
        <v/>
      </c>
      <c r="F646" s="14">
        <f>'Empleo Censo'!I646</f>
        <v/>
      </c>
      <c r="G646" s="14">
        <f>'Empleo Censo'!J646+'Empleo Censo'!K646</f>
        <v/>
      </c>
      <c r="H646" s="14">
        <f>'Empleo Censo'!L646</f>
        <v/>
      </c>
      <c r="I646" s="14">
        <f>'Empleo Censo'!M646</f>
        <v/>
      </c>
      <c r="J646" s="14">
        <f>SUM('Empleo Censo'!N646:AA646)</f>
        <v/>
      </c>
      <c r="K646" s="14">
        <f>SUM(C646:J646)</f>
        <v/>
      </c>
      <c r="L646" s="15">
        <f>SUMPRODUCT(C646:J646,Factores!$B$3:$I$3)</f>
        <v/>
      </c>
      <c r="M646" s="16">
        <f>'Empleo Censo'!E646</f>
        <v/>
      </c>
      <c r="N646" s="17">
        <f>IF(M646&gt;0,L646,Factores!$B$7)</f>
        <v/>
      </c>
      <c r="O646">
        <f>IF(M646&gt;0,"OK","sin PEA -&gt; peor")</f>
        <v/>
      </c>
    </row>
    <row r="647">
      <c r="A647" t="inlineStr">
        <is>
          <t>190204</t>
        </is>
      </c>
      <c r="B647" t="inlineStr">
        <is>
          <t>PAUCAR</t>
        </is>
      </c>
      <c r="C647" s="14">
        <f>'Empleo Censo'!G647-'Empleo Censo'!F647</f>
        <v/>
      </c>
      <c r="D647" s="14">
        <f>'Empleo Censo'!F647</f>
        <v/>
      </c>
      <c r="E647" s="14">
        <f>'Empleo Censo'!H647</f>
        <v/>
      </c>
      <c r="F647" s="14">
        <f>'Empleo Censo'!I647</f>
        <v/>
      </c>
      <c r="G647" s="14">
        <f>'Empleo Censo'!J647+'Empleo Censo'!K647</f>
        <v/>
      </c>
      <c r="H647" s="14">
        <f>'Empleo Censo'!L647</f>
        <v/>
      </c>
      <c r="I647" s="14">
        <f>'Empleo Censo'!M647</f>
        <v/>
      </c>
      <c r="J647" s="14">
        <f>SUM('Empleo Censo'!N647:AA647)</f>
        <v/>
      </c>
      <c r="K647" s="14">
        <f>SUM(C647:J647)</f>
        <v/>
      </c>
      <c r="L647" s="15">
        <f>SUMPRODUCT(C647:J647,Factores!$B$3:$I$3)</f>
        <v/>
      </c>
      <c r="M647" s="16">
        <f>'Empleo Censo'!E647</f>
        <v/>
      </c>
      <c r="N647" s="17">
        <f>IF(M647&gt;0,L647,Factores!$B$7)</f>
        <v/>
      </c>
      <c r="O647">
        <f>IF(M647&gt;0,"OK","sin PEA -&gt; peor")</f>
        <v/>
      </c>
    </row>
    <row r="648">
      <c r="A648" t="inlineStr">
        <is>
          <t>190205</t>
        </is>
      </c>
      <c r="B648" t="inlineStr">
        <is>
          <t>SAN PEDRO DE PILLAO</t>
        </is>
      </c>
      <c r="C648" s="14">
        <f>'Empleo Censo'!G648-'Empleo Censo'!F648</f>
        <v/>
      </c>
      <c r="D648" s="14">
        <f>'Empleo Censo'!F648</f>
        <v/>
      </c>
      <c r="E648" s="14">
        <f>'Empleo Censo'!H648</f>
        <v/>
      </c>
      <c r="F648" s="14">
        <f>'Empleo Censo'!I648</f>
        <v/>
      </c>
      <c r="G648" s="14">
        <f>'Empleo Censo'!J648+'Empleo Censo'!K648</f>
        <v/>
      </c>
      <c r="H648" s="14">
        <f>'Empleo Censo'!L648</f>
        <v/>
      </c>
      <c r="I648" s="14">
        <f>'Empleo Censo'!M648</f>
        <v/>
      </c>
      <c r="J648" s="14">
        <f>SUM('Empleo Censo'!N648:AA648)</f>
        <v/>
      </c>
      <c r="K648" s="14">
        <f>SUM(C648:J648)</f>
        <v/>
      </c>
      <c r="L648" s="15">
        <f>SUMPRODUCT(C648:J648,Factores!$B$3:$I$3)</f>
        <v/>
      </c>
      <c r="M648" s="16">
        <f>'Empleo Censo'!E648</f>
        <v/>
      </c>
      <c r="N648" s="17">
        <f>IF(M648&gt;0,L648,Factores!$B$7)</f>
        <v/>
      </c>
      <c r="O648">
        <f>IF(M648&gt;0,"OK","sin PEA -&gt; peor")</f>
        <v/>
      </c>
    </row>
    <row r="649">
      <c r="A649" t="inlineStr">
        <is>
          <t>190206</t>
        </is>
      </c>
      <c r="B649" t="inlineStr">
        <is>
          <t>SANTA ANA DE TUSI</t>
        </is>
      </c>
      <c r="C649" s="14">
        <f>'Empleo Censo'!G649-'Empleo Censo'!F649</f>
        <v/>
      </c>
      <c r="D649" s="14">
        <f>'Empleo Censo'!F649</f>
        <v/>
      </c>
      <c r="E649" s="14">
        <f>'Empleo Censo'!H649</f>
        <v/>
      </c>
      <c r="F649" s="14">
        <f>'Empleo Censo'!I649</f>
        <v/>
      </c>
      <c r="G649" s="14">
        <f>'Empleo Censo'!J649+'Empleo Censo'!K649</f>
        <v/>
      </c>
      <c r="H649" s="14">
        <f>'Empleo Censo'!L649</f>
        <v/>
      </c>
      <c r="I649" s="14">
        <f>'Empleo Censo'!M649</f>
        <v/>
      </c>
      <c r="J649" s="14">
        <f>SUM('Empleo Censo'!N649:AA649)</f>
        <v/>
      </c>
      <c r="K649" s="14">
        <f>SUM(C649:J649)</f>
        <v/>
      </c>
      <c r="L649" s="15">
        <f>SUMPRODUCT(C649:J649,Factores!$B$3:$I$3)</f>
        <v/>
      </c>
      <c r="M649" s="16">
        <f>'Empleo Censo'!E649</f>
        <v/>
      </c>
      <c r="N649" s="17">
        <f>IF(M649&gt;0,L649,Factores!$B$7)</f>
        <v/>
      </c>
      <c r="O649">
        <f>IF(M649&gt;0,"OK","sin PEA -&gt; peor")</f>
        <v/>
      </c>
    </row>
    <row r="650">
      <c r="A650" t="inlineStr">
        <is>
          <t>190207</t>
        </is>
      </c>
      <c r="B650" t="inlineStr">
        <is>
          <t>TAPUC</t>
        </is>
      </c>
      <c r="C650" s="14">
        <f>'Empleo Censo'!G650-'Empleo Censo'!F650</f>
        <v/>
      </c>
      <c r="D650" s="14">
        <f>'Empleo Censo'!F650</f>
        <v/>
      </c>
      <c r="E650" s="14">
        <f>'Empleo Censo'!H650</f>
        <v/>
      </c>
      <c r="F650" s="14">
        <f>'Empleo Censo'!I650</f>
        <v/>
      </c>
      <c r="G650" s="14">
        <f>'Empleo Censo'!J650+'Empleo Censo'!K650</f>
        <v/>
      </c>
      <c r="H650" s="14">
        <f>'Empleo Censo'!L650</f>
        <v/>
      </c>
      <c r="I650" s="14">
        <f>'Empleo Censo'!M650</f>
        <v/>
      </c>
      <c r="J650" s="14">
        <f>SUM('Empleo Censo'!N650:AA650)</f>
        <v/>
      </c>
      <c r="K650" s="14">
        <f>SUM(C650:J650)</f>
        <v/>
      </c>
      <c r="L650" s="15">
        <f>SUMPRODUCT(C650:J650,Factores!$B$3:$I$3)</f>
        <v/>
      </c>
      <c r="M650" s="16">
        <f>'Empleo Censo'!E650</f>
        <v/>
      </c>
      <c r="N650" s="17">
        <f>IF(M650&gt;0,L650,Factores!$B$7)</f>
        <v/>
      </c>
      <c r="O650">
        <f>IF(M650&gt;0,"OK","sin PEA -&gt; peor")</f>
        <v/>
      </c>
    </row>
    <row r="651">
      <c r="A651" t="inlineStr">
        <is>
          <t>190208</t>
        </is>
      </c>
      <c r="B651" t="inlineStr">
        <is>
          <t>VILCABAMBA</t>
        </is>
      </c>
      <c r="C651" s="14">
        <f>'Empleo Censo'!G651-'Empleo Censo'!F651</f>
        <v/>
      </c>
      <c r="D651" s="14">
        <f>'Empleo Censo'!F651</f>
        <v/>
      </c>
      <c r="E651" s="14">
        <f>'Empleo Censo'!H651</f>
        <v/>
      </c>
      <c r="F651" s="14">
        <f>'Empleo Censo'!I651</f>
        <v/>
      </c>
      <c r="G651" s="14">
        <f>'Empleo Censo'!J651+'Empleo Censo'!K651</f>
        <v/>
      </c>
      <c r="H651" s="14">
        <f>'Empleo Censo'!L651</f>
        <v/>
      </c>
      <c r="I651" s="14">
        <f>'Empleo Censo'!M651</f>
        <v/>
      </c>
      <c r="J651" s="14">
        <f>SUM('Empleo Censo'!N651:AA651)</f>
        <v/>
      </c>
      <c r="K651" s="14">
        <f>SUM(C651:J651)</f>
        <v/>
      </c>
      <c r="L651" s="15">
        <f>SUMPRODUCT(C651:J651,Factores!$B$3:$I$3)</f>
        <v/>
      </c>
      <c r="M651" s="16">
        <f>'Empleo Censo'!E651</f>
        <v/>
      </c>
      <c r="N651" s="17">
        <f>IF(M651&gt;0,L651,Factores!$B$7)</f>
        <v/>
      </c>
      <c r="O651">
        <f>IF(M651&gt;0,"OK","sin PEA -&gt; peor")</f>
        <v/>
      </c>
    </row>
    <row r="652">
      <c r="A652" t="inlineStr">
        <is>
          <t>190301</t>
        </is>
      </c>
      <c r="B652" t="inlineStr">
        <is>
          <t>OXAPAMPA</t>
        </is>
      </c>
      <c r="C652" s="14">
        <f>'Empleo Censo'!G652-'Empleo Censo'!F652</f>
        <v/>
      </c>
      <c r="D652" s="14">
        <f>'Empleo Censo'!F652</f>
        <v/>
      </c>
      <c r="E652" s="14">
        <f>'Empleo Censo'!H652</f>
        <v/>
      </c>
      <c r="F652" s="14">
        <f>'Empleo Censo'!I652</f>
        <v/>
      </c>
      <c r="G652" s="14">
        <f>'Empleo Censo'!J652+'Empleo Censo'!K652</f>
        <v/>
      </c>
      <c r="H652" s="14">
        <f>'Empleo Censo'!L652</f>
        <v/>
      </c>
      <c r="I652" s="14">
        <f>'Empleo Censo'!M652</f>
        <v/>
      </c>
      <c r="J652" s="14">
        <f>SUM('Empleo Censo'!N652:AA652)</f>
        <v/>
      </c>
      <c r="K652" s="14">
        <f>SUM(C652:J652)</f>
        <v/>
      </c>
      <c r="L652" s="15">
        <f>SUMPRODUCT(C652:J652,Factores!$B$3:$I$3)</f>
        <v/>
      </c>
      <c r="M652" s="16">
        <f>'Empleo Censo'!E652</f>
        <v/>
      </c>
      <c r="N652" s="17">
        <f>IF(M652&gt;0,L652,Factores!$B$7)</f>
        <v/>
      </c>
      <c r="O652">
        <f>IF(M652&gt;0,"OK","sin PEA -&gt; peor")</f>
        <v/>
      </c>
    </row>
    <row r="653">
      <c r="A653" t="inlineStr">
        <is>
          <t>190302</t>
        </is>
      </c>
      <c r="B653" t="inlineStr">
        <is>
          <t>CHONTABAMBA</t>
        </is>
      </c>
      <c r="C653" s="14">
        <f>'Empleo Censo'!G653-'Empleo Censo'!F653</f>
        <v/>
      </c>
      <c r="D653" s="14">
        <f>'Empleo Censo'!F653</f>
        <v/>
      </c>
      <c r="E653" s="14">
        <f>'Empleo Censo'!H653</f>
        <v/>
      </c>
      <c r="F653" s="14">
        <f>'Empleo Censo'!I653</f>
        <v/>
      </c>
      <c r="G653" s="14">
        <f>'Empleo Censo'!J653+'Empleo Censo'!K653</f>
        <v/>
      </c>
      <c r="H653" s="14">
        <f>'Empleo Censo'!L653</f>
        <v/>
      </c>
      <c r="I653" s="14">
        <f>'Empleo Censo'!M653</f>
        <v/>
      </c>
      <c r="J653" s="14">
        <f>SUM('Empleo Censo'!N653:AA653)</f>
        <v/>
      </c>
      <c r="K653" s="14">
        <f>SUM(C653:J653)</f>
        <v/>
      </c>
      <c r="L653" s="15">
        <f>SUMPRODUCT(C653:J653,Factores!$B$3:$I$3)</f>
        <v/>
      </c>
      <c r="M653" s="16">
        <f>'Empleo Censo'!E653</f>
        <v/>
      </c>
      <c r="N653" s="17">
        <f>IF(M653&gt;0,L653,Factores!$B$7)</f>
        <v/>
      </c>
      <c r="O653">
        <f>IF(M653&gt;0,"OK","sin PEA -&gt; peor")</f>
        <v/>
      </c>
    </row>
    <row r="654">
      <c r="A654" t="inlineStr">
        <is>
          <t>190303</t>
        </is>
      </c>
      <c r="B654" t="inlineStr">
        <is>
          <t>HUANCABAMBA</t>
        </is>
      </c>
      <c r="C654" s="14">
        <f>'Empleo Censo'!G654-'Empleo Censo'!F654</f>
        <v/>
      </c>
      <c r="D654" s="14">
        <f>'Empleo Censo'!F654</f>
        <v/>
      </c>
      <c r="E654" s="14">
        <f>'Empleo Censo'!H654</f>
        <v/>
      </c>
      <c r="F654" s="14">
        <f>'Empleo Censo'!I654</f>
        <v/>
      </c>
      <c r="G654" s="14">
        <f>'Empleo Censo'!J654+'Empleo Censo'!K654</f>
        <v/>
      </c>
      <c r="H654" s="14">
        <f>'Empleo Censo'!L654</f>
        <v/>
      </c>
      <c r="I654" s="14">
        <f>'Empleo Censo'!M654</f>
        <v/>
      </c>
      <c r="J654" s="14">
        <f>SUM('Empleo Censo'!N654:AA654)</f>
        <v/>
      </c>
      <c r="K654" s="14">
        <f>SUM(C654:J654)</f>
        <v/>
      </c>
      <c r="L654" s="15">
        <f>SUMPRODUCT(C654:J654,Factores!$B$3:$I$3)</f>
        <v/>
      </c>
      <c r="M654" s="16">
        <f>'Empleo Censo'!E654</f>
        <v/>
      </c>
      <c r="N654" s="17">
        <f>IF(M654&gt;0,L654,Factores!$B$7)</f>
        <v/>
      </c>
      <c r="O654">
        <f>IF(M654&gt;0,"OK","sin PEA -&gt; peor")</f>
        <v/>
      </c>
    </row>
    <row r="655">
      <c r="A655" t="inlineStr">
        <is>
          <t>190304</t>
        </is>
      </c>
      <c r="B655" t="inlineStr">
        <is>
          <t>PALCAZU</t>
        </is>
      </c>
      <c r="C655" s="14">
        <f>'Empleo Censo'!G655-'Empleo Censo'!F655</f>
        <v/>
      </c>
      <c r="D655" s="14">
        <f>'Empleo Censo'!F655</f>
        <v/>
      </c>
      <c r="E655" s="14">
        <f>'Empleo Censo'!H655</f>
        <v/>
      </c>
      <c r="F655" s="14">
        <f>'Empleo Censo'!I655</f>
        <v/>
      </c>
      <c r="G655" s="14">
        <f>'Empleo Censo'!J655+'Empleo Censo'!K655</f>
        <v/>
      </c>
      <c r="H655" s="14">
        <f>'Empleo Censo'!L655</f>
        <v/>
      </c>
      <c r="I655" s="14">
        <f>'Empleo Censo'!M655</f>
        <v/>
      </c>
      <c r="J655" s="14">
        <f>SUM('Empleo Censo'!N655:AA655)</f>
        <v/>
      </c>
      <c r="K655" s="14">
        <f>SUM(C655:J655)</f>
        <v/>
      </c>
      <c r="L655" s="15">
        <f>SUMPRODUCT(C655:J655,Factores!$B$3:$I$3)</f>
        <v/>
      </c>
      <c r="M655" s="16">
        <f>'Empleo Censo'!E655</f>
        <v/>
      </c>
      <c r="N655" s="17">
        <f>IF(M655&gt;0,L655,Factores!$B$7)</f>
        <v/>
      </c>
      <c r="O655">
        <f>IF(M655&gt;0,"OK","sin PEA -&gt; peor")</f>
        <v/>
      </c>
    </row>
    <row r="656">
      <c r="A656" t="inlineStr">
        <is>
          <t>190305</t>
        </is>
      </c>
      <c r="B656" t="inlineStr">
        <is>
          <t>POZUZO</t>
        </is>
      </c>
      <c r="C656" s="14">
        <f>'Empleo Censo'!G656-'Empleo Censo'!F656</f>
        <v/>
      </c>
      <c r="D656" s="14">
        <f>'Empleo Censo'!F656</f>
        <v/>
      </c>
      <c r="E656" s="14">
        <f>'Empleo Censo'!H656</f>
        <v/>
      </c>
      <c r="F656" s="14">
        <f>'Empleo Censo'!I656</f>
        <v/>
      </c>
      <c r="G656" s="14">
        <f>'Empleo Censo'!J656+'Empleo Censo'!K656</f>
        <v/>
      </c>
      <c r="H656" s="14">
        <f>'Empleo Censo'!L656</f>
        <v/>
      </c>
      <c r="I656" s="14">
        <f>'Empleo Censo'!M656</f>
        <v/>
      </c>
      <c r="J656" s="14">
        <f>SUM('Empleo Censo'!N656:AA656)</f>
        <v/>
      </c>
      <c r="K656" s="14">
        <f>SUM(C656:J656)</f>
        <v/>
      </c>
      <c r="L656" s="15">
        <f>SUMPRODUCT(C656:J656,Factores!$B$3:$I$3)</f>
        <v/>
      </c>
      <c r="M656" s="16">
        <f>'Empleo Censo'!E656</f>
        <v/>
      </c>
      <c r="N656" s="17">
        <f>IF(M656&gt;0,L656,Factores!$B$7)</f>
        <v/>
      </c>
      <c r="O656">
        <f>IF(M656&gt;0,"OK","sin PEA -&gt; peor")</f>
        <v/>
      </c>
    </row>
    <row r="657">
      <c r="A657" t="inlineStr">
        <is>
          <t>190306</t>
        </is>
      </c>
      <c r="B657" t="inlineStr">
        <is>
          <t>PUERTO BERMUDEZ</t>
        </is>
      </c>
      <c r="C657" s="14">
        <f>'Empleo Censo'!G657-'Empleo Censo'!F657</f>
        <v/>
      </c>
      <c r="D657" s="14">
        <f>'Empleo Censo'!F657</f>
        <v/>
      </c>
      <c r="E657" s="14">
        <f>'Empleo Censo'!H657</f>
        <v/>
      </c>
      <c r="F657" s="14">
        <f>'Empleo Censo'!I657</f>
        <v/>
      </c>
      <c r="G657" s="14">
        <f>'Empleo Censo'!J657+'Empleo Censo'!K657</f>
        <v/>
      </c>
      <c r="H657" s="14">
        <f>'Empleo Censo'!L657</f>
        <v/>
      </c>
      <c r="I657" s="14">
        <f>'Empleo Censo'!M657</f>
        <v/>
      </c>
      <c r="J657" s="14">
        <f>SUM('Empleo Censo'!N657:AA657)</f>
        <v/>
      </c>
      <c r="K657" s="14">
        <f>SUM(C657:J657)</f>
        <v/>
      </c>
      <c r="L657" s="15">
        <f>SUMPRODUCT(C657:J657,Factores!$B$3:$I$3)</f>
        <v/>
      </c>
      <c r="M657" s="16">
        <f>'Empleo Censo'!E657</f>
        <v/>
      </c>
      <c r="N657" s="17">
        <f>IF(M657&gt;0,L657,Factores!$B$7)</f>
        <v/>
      </c>
      <c r="O657">
        <f>IF(M657&gt;0,"OK","sin PEA -&gt; peor")</f>
        <v/>
      </c>
    </row>
    <row r="658">
      <c r="A658" t="inlineStr">
        <is>
          <t>190307</t>
        </is>
      </c>
      <c r="B658" t="inlineStr">
        <is>
          <t>VILLA RICA</t>
        </is>
      </c>
      <c r="C658" s="14">
        <f>'Empleo Censo'!G658-'Empleo Censo'!F658</f>
        <v/>
      </c>
      <c r="D658" s="14">
        <f>'Empleo Censo'!F658</f>
        <v/>
      </c>
      <c r="E658" s="14">
        <f>'Empleo Censo'!H658</f>
        <v/>
      </c>
      <c r="F658" s="14">
        <f>'Empleo Censo'!I658</f>
        <v/>
      </c>
      <c r="G658" s="14">
        <f>'Empleo Censo'!J658+'Empleo Censo'!K658</f>
        <v/>
      </c>
      <c r="H658" s="14">
        <f>'Empleo Censo'!L658</f>
        <v/>
      </c>
      <c r="I658" s="14">
        <f>'Empleo Censo'!M658</f>
        <v/>
      </c>
      <c r="J658" s="14">
        <f>SUM('Empleo Censo'!N658:AA658)</f>
        <v/>
      </c>
      <c r="K658" s="14">
        <f>SUM(C658:J658)</f>
        <v/>
      </c>
      <c r="L658" s="15">
        <f>SUMPRODUCT(C658:J658,Factores!$B$3:$I$3)</f>
        <v/>
      </c>
      <c r="M658" s="16">
        <f>'Empleo Censo'!E658</f>
        <v/>
      </c>
      <c r="N658" s="17">
        <f>IF(M658&gt;0,L658,Factores!$B$7)</f>
        <v/>
      </c>
      <c r="O658">
        <f>IF(M658&gt;0,"OK","sin PEA -&gt; peor")</f>
        <v/>
      </c>
    </row>
    <row r="659">
      <c r="A659" t="inlineStr">
        <is>
          <t>190308</t>
        </is>
      </c>
      <c r="B659" t="inlineStr">
        <is>
          <t>CONSTITUCION</t>
        </is>
      </c>
      <c r="C659" s="14">
        <f>'Empleo Censo'!G659-'Empleo Censo'!F659</f>
        <v/>
      </c>
      <c r="D659" s="14">
        <f>'Empleo Censo'!F659</f>
        <v/>
      </c>
      <c r="E659" s="14">
        <f>'Empleo Censo'!H659</f>
        <v/>
      </c>
      <c r="F659" s="14">
        <f>'Empleo Censo'!I659</f>
        <v/>
      </c>
      <c r="G659" s="14">
        <f>'Empleo Censo'!J659+'Empleo Censo'!K659</f>
        <v/>
      </c>
      <c r="H659" s="14">
        <f>'Empleo Censo'!L659</f>
        <v/>
      </c>
      <c r="I659" s="14">
        <f>'Empleo Censo'!M659</f>
        <v/>
      </c>
      <c r="J659" s="14">
        <f>SUM('Empleo Censo'!N659:AA659)</f>
        <v/>
      </c>
      <c r="K659" s="14">
        <f>SUM(C659:J659)</f>
        <v/>
      </c>
      <c r="L659" s="15">
        <f>SUMPRODUCT(C659:J659,Factores!$B$3:$I$3)</f>
        <v/>
      </c>
      <c r="M659" s="16">
        <f>'Empleo Censo'!E659</f>
        <v/>
      </c>
      <c r="N659" s="17">
        <f>IF(M659&gt;0,L659,Factores!$B$7)</f>
        <v/>
      </c>
      <c r="O659">
        <f>IF(M659&gt;0,"OK","sin PEA -&gt; peor")</f>
        <v/>
      </c>
    </row>
    <row r="660">
      <c r="A660" t="inlineStr">
        <is>
          <t>200101</t>
        </is>
      </c>
      <c r="B660" t="inlineStr">
        <is>
          <t>PIURA</t>
        </is>
      </c>
      <c r="C660" s="14">
        <f>'Empleo Censo'!G660-'Empleo Censo'!F660</f>
        <v/>
      </c>
      <c r="D660" s="14">
        <f>'Empleo Censo'!F660</f>
        <v/>
      </c>
      <c r="E660" s="14">
        <f>'Empleo Censo'!H660</f>
        <v/>
      </c>
      <c r="F660" s="14">
        <f>'Empleo Censo'!I660</f>
        <v/>
      </c>
      <c r="G660" s="14">
        <f>'Empleo Censo'!J660+'Empleo Censo'!K660</f>
        <v/>
      </c>
      <c r="H660" s="14">
        <f>'Empleo Censo'!L660</f>
        <v/>
      </c>
      <c r="I660" s="14">
        <f>'Empleo Censo'!M660</f>
        <v/>
      </c>
      <c r="J660" s="14">
        <f>SUM('Empleo Censo'!N660:AA660)</f>
        <v/>
      </c>
      <c r="K660" s="14">
        <f>SUM(C660:J660)</f>
        <v/>
      </c>
      <c r="L660" s="15">
        <f>SUMPRODUCT(C660:J660,Factores!$B$3:$I$3)</f>
        <v/>
      </c>
      <c r="M660" s="16">
        <f>'Empleo Censo'!E660</f>
        <v/>
      </c>
      <c r="N660" s="17">
        <f>IF(M660&gt;0,L660,Factores!$B$7)</f>
        <v/>
      </c>
      <c r="O660">
        <f>IF(M660&gt;0,"OK","sin PEA -&gt; peor")</f>
        <v/>
      </c>
    </row>
    <row r="661">
      <c r="A661" t="inlineStr">
        <is>
          <t>200104</t>
        </is>
      </c>
      <c r="B661" t="inlineStr">
        <is>
          <t>CASTILLA</t>
        </is>
      </c>
      <c r="C661" s="14">
        <f>'Empleo Censo'!G661-'Empleo Censo'!F661</f>
        <v/>
      </c>
      <c r="D661" s="14">
        <f>'Empleo Censo'!F661</f>
        <v/>
      </c>
      <c r="E661" s="14">
        <f>'Empleo Censo'!H661</f>
        <v/>
      </c>
      <c r="F661" s="14">
        <f>'Empleo Censo'!I661</f>
        <v/>
      </c>
      <c r="G661" s="14">
        <f>'Empleo Censo'!J661+'Empleo Censo'!K661</f>
        <v/>
      </c>
      <c r="H661" s="14">
        <f>'Empleo Censo'!L661</f>
        <v/>
      </c>
      <c r="I661" s="14">
        <f>'Empleo Censo'!M661</f>
        <v/>
      </c>
      <c r="J661" s="14">
        <f>SUM('Empleo Censo'!N661:AA661)</f>
        <v/>
      </c>
      <c r="K661" s="14">
        <f>SUM(C661:J661)</f>
        <v/>
      </c>
      <c r="L661" s="15">
        <f>SUMPRODUCT(C661:J661,Factores!$B$3:$I$3)</f>
        <v/>
      </c>
      <c r="M661" s="16">
        <f>'Empleo Censo'!E661</f>
        <v/>
      </c>
      <c r="N661" s="17">
        <f>IF(M661&gt;0,L661,Factores!$B$7)</f>
        <v/>
      </c>
      <c r="O661">
        <f>IF(M661&gt;0,"OK","sin PEA -&gt; peor")</f>
        <v/>
      </c>
    </row>
    <row r="662">
      <c r="A662" t="inlineStr">
        <is>
          <t>200105</t>
        </is>
      </c>
      <c r="B662" t="inlineStr">
        <is>
          <t>CATACAOS</t>
        </is>
      </c>
      <c r="C662" s="14">
        <f>'Empleo Censo'!G662-'Empleo Censo'!F662</f>
        <v/>
      </c>
      <c r="D662" s="14">
        <f>'Empleo Censo'!F662</f>
        <v/>
      </c>
      <c r="E662" s="14">
        <f>'Empleo Censo'!H662</f>
        <v/>
      </c>
      <c r="F662" s="14">
        <f>'Empleo Censo'!I662</f>
        <v/>
      </c>
      <c r="G662" s="14">
        <f>'Empleo Censo'!J662+'Empleo Censo'!K662</f>
        <v/>
      </c>
      <c r="H662" s="14">
        <f>'Empleo Censo'!L662</f>
        <v/>
      </c>
      <c r="I662" s="14">
        <f>'Empleo Censo'!M662</f>
        <v/>
      </c>
      <c r="J662" s="14">
        <f>SUM('Empleo Censo'!N662:AA662)</f>
        <v/>
      </c>
      <c r="K662" s="14">
        <f>SUM(C662:J662)</f>
        <v/>
      </c>
      <c r="L662" s="15">
        <f>SUMPRODUCT(C662:J662,Factores!$B$3:$I$3)</f>
        <v/>
      </c>
      <c r="M662" s="16">
        <f>'Empleo Censo'!E662</f>
        <v/>
      </c>
      <c r="N662" s="17">
        <f>IF(M662&gt;0,L662,Factores!$B$7)</f>
        <v/>
      </c>
      <c r="O662">
        <f>IF(M662&gt;0,"OK","sin PEA -&gt; peor")</f>
        <v/>
      </c>
    </row>
    <row r="663">
      <c r="A663" t="inlineStr">
        <is>
          <t>200107</t>
        </is>
      </c>
      <c r="B663" t="inlineStr">
        <is>
          <t>CURA MORI</t>
        </is>
      </c>
      <c r="C663" s="14">
        <f>'Empleo Censo'!G663-'Empleo Censo'!F663</f>
        <v/>
      </c>
      <c r="D663" s="14">
        <f>'Empleo Censo'!F663</f>
        <v/>
      </c>
      <c r="E663" s="14">
        <f>'Empleo Censo'!H663</f>
        <v/>
      </c>
      <c r="F663" s="14">
        <f>'Empleo Censo'!I663</f>
        <v/>
      </c>
      <c r="G663" s="14">
        <f>'Empleo Censo'!J663+'Empleo Censo'!K663</f>
        <v/>
      </c>
      <c r="H663" s="14">
        <f>'Empleo Censo'!L663</f>
        <v/>
      </c>
      <c r="I663" s="14">
        <f>'Empleo Censo'!M663</f>
        <v/>
      </c>
      <c r="J663" s="14">
        <f>SUM('Empleo Censo'!N663:AA663)</f>
        <v/>
      </c>
      <c r="K663" s="14">
        <f>SUM(C663:J663)</f>
        <v/>
      </c>
      <c r="L663" s="15">
        <f>SUMPRODUCT(C663:J663,Factores!$B$3:$I$3)</f>
        <v/>
      </c>
      <c r="M663" s="16">
        <f>'Empleo Censo'!E663</f>
        <v/>
      </c>
      <c r="N663" s="17">
        <f>IF(M663&gt;0,L663,Factores!$B$7)</f>
        <v/>
      </c>
      <c r="O663">
        <f>IF(M663&gt;0,"OK","sin PEA -&gt; peor")</f>
        <v/>
      </c>
    </row>
    <row r="664">
      <c r="A664" t="inlineStr">
        <is>
          <t>200108</t>
        </is>
      </c>
      <c r="B664" t="inlineStr">
        <is>
          <t>EL TALLAN</t>
        </is>
      </c>
      <c r="C664" s="14">
        <f>'Empleo Censo'!G664-'Empleo Censo'!F664</f>
        <v/>
      </c>
      <c r="D664" s="14">
        <f>'Empleo Censo'!F664</f>
        <v/>
      </c>
      <c r="E664" s="14">
        <f>'Empleo Censo'!H664</f>
        <v/>
      </c>
      <c r="F664" s="14">
        <f>'Empleo Censo'!I664</f>
        <v/>
      </c>
      <c r="G664" s="14">
        <f>'Empleo Censo'!J664+'Empleo Censo'!K664</f>
        <v/>
      </c>
      <c r="H664" s="14">
        <f>'Empleo Censo'!L664</f>
        <v/>
      </c>
      <c r="I664" s="14">
        <f>'Empleo Censo'!M664</f>
        <v/>
      </c>
      <c r="J664" s="14">
        <f>SUM('Empleo Censo'!N664:AA664)</f>
        <v/>
      </c>
      <c r="K664" s="14">
        <f>SUM(C664:J664)</f>
        <v/>
      </c>
      <c r="L664" s="15">
        <f>SUMPRODUCT(C664:J664,Factores!$B$3:$I$3)</f>
        <v/>
      </c>
      <c r="M664" s="16">
        <f>'Empleo Censo'!E664</f>
        <v/>
      </c>
      <c r="N664" s="17">
        <f>IF(M664&gt;0,L664,Factores!$B$7)</f>
        <v/>
      </c>
      <c r="O664">
        <f>IF(M664&gt;0,"OK","sin PEA -&gt; peor")</f>
        <v/>
      </c>
    </row>
    <row r="665">
      <c r="A665" t="inlineStr">
        <is>
          <t>200109</t>
        </is>
      </c>
      <c r="B665" t="inlineStr">
        <is>
          <t>LA ARENA</t>
        </is>
      </c>
      <c r="C665" s="14">
        <f>'Empleo Censo'!G665-'Empleo Censo'!F665</f>
        <v/>
      </c>
      <c r="D665" s="14">
        <f>'Empleo Censo'!F665</f>
        <v/>
      </c>
      <c r="E665" s="14">
        <f>'Empleo Censo'!H665</f>
        <v/>
      </c>
      <c r="F665" s="14">
        <f>'Empleo Censo'!I665</f>
        <v/>
      </c>
      <c r="G665" s="14">
        <f>'Empleo Censo'!J665+'Empleo Censo'!K665</f>
        <v/>
      </c>
      <c r="H665" s="14">
        <f>'Empleo Censo'!L665</f>
        <v/>
      </c>
      <c r="I665" s="14">
        <f>'Empleo Censo'!M665</f>
        <v/>
      </c>
      <c r="J665" s="14">
        <f>SUM('Empleo Censo'!N665:AA665)</f>
        <v/>
      </c>
      <c r="K665" s="14">
        <f>SUM(C665:J665)</f>
        <v/>
      </c>
      <c r="L665" s="15">
        <f>SUMPRODUCT(C665:J665,Factores!$B$3:$I$3)</f>
        <v/>
      </c>
      <c r="M665" s="16">
        <f>'Empleo Censo'!E665</f>
        <v/>
      </c>
      <c r="N665" s="17">
        <f>IF(M665&gt;0,L665,Factores!$B$7)</f>
        <v/>
      </c>
      <c r="O665">
        <f>IF(M665&gt;0,"OK","sin PEA -&gt; peor")</f>
        <v/>
      </c>
    </row>
    <row r="666">
      <c r="A666" t="inlineStr">
        <is>
          <t>200110</t>
        </is>
      </c>
      <c r="B666" t="inlineStr">
        <is>
          <t>LA UNION</t>
        </is>
      </c>
      <c r="C666" s="14">
        <f>'Empleo Censo'!G666-'Empleo Censo'!F666</f>
        <v/>
      </c>
      <c r="D666" s="14">
        <f>'Empleo Censo'!F666</f>
        <v/>
      </c>
      <c r="E666" s="14">
        <f>'Empleo Censo'!H666</f>
        <v/>
      </c>
      <c r="F666" s="14">
        <f>'Empleo Censo'!I666</f>
        <v/>
      </c>
      <c r="G666" s="14">
        <f>'Empleo Censo'!J666+'Empleo Censo'!K666</f>
        <v/>
      </c>
      <c r="H666" s="14">
        <f>'Empleo Censo'!L666</f>
        <v/>
      </c>
      <c r="I666" s="14">
        <f>'Empleo Censo'!M666</f>
        <v/>
      </c>
      <c r="J666" s="14">
        <f>SUM('Empleo Censo'!N666:AA666)</f>
        <v/>
      </c>
      <c r="K666" s="14">
        <f>SUM(C666:J666)</f>
        <v/>
      </c>
      <c r="L666" s="15">
        <f>SUMPRODUCT(C666:J666,Factores!$B$3:$I$3)</f>
        <v/>
      </c>
      <c r="M666" s="16">
        <f>'Empleo Censo'!E666</f>
        <v/>
      </c>
      <c r="N666" s="17">
        <f>IF(M666&gt;0,L666,Factores!$B$7)</f>
        <v/>
      </c>
      <c r="O666">
        <f>IF(M666&gt;0,"OK","sin PEA -&gt; peor")</f>
        <v/>
      </c>
    </row>
    <row r="667">
      <c r="A667" t="inlineStr">
        <is>
          <t>200111</t>
        </is>
      </c>
      <c r="B667" t="inlineStr">
        <is>
          <t>LAS LOMAS</t>
        </is>
      </c>
      <c r="C667" s="14">
        <f>'Empleo Censo'!G667-'Empleo Censo'!F667</f>
        <v/>
      </c>
      <c r="D667" s="14">
        <f>'Empleo Censo'!F667</f>
        <v/>
      </c>
      <c r="E667" s="14">
        <f>'Empleo Censo'!H667</f>
        <v/>
      </c>
      <c r="F667" s="14">
        <f>'Empleo Censo'!I667</f>
        <v/>
      </c>
      <c r="G667" s="14">
        <f>'Empleo Censo'!J667+'Empleo Censo'!K667</f>
        <v/>
      </c>
      <c r="H667" s="14">
        <f>'Empleo Censo'!L667</f>
        <v/>
      </c>
      <c r="I667" s="14">
        <f>'Empleo Censo'!M667</f>
        <v/>
      </c>
      <c r="J667" s="14">
        <f>SUM('Empleo Censo'!N667:AA667)</f>
        <v/>
      </c>
      <c r="K667" s="14">
        <f>SUM(C667:J667)</f>
        <v/>
      </c>
      <c r="L667" s="15">
        <f>SUMPRODUCT(C667:J667,Factores!$B$3:$I$3)</f>
        <v/>
      </c>
      <c r="M667" s="16">
        <f>'Empleo Censo'!E667</f>
        <v/>
      </c>
      <c r="N667" s="17">
        <f>IF(M667&gt;0,L667,Factores!$B$7)</f>
        <v/>
      </c>
      <c r="O667">
        <f>IF(M667&gt;0,"OK","sin PEA -&gt; peor")</f>
        <v/>
      </c>
    </row>
    <row r="668">
      <c r="A668" t="inlineStr">
        <is>
          <t>200114</t>
        </is>
      </c>
      <c r="B668" t="inlineStr">
        <is>
          <t>TAMBO GRANDE</t>
        </is>
      </c>
      <c r="C668" s="14">
        <f>'Empleo Censo'!G668-'Empleo Censo'!F668</f>
        <v/>
      </c>
      <c r="D668" s="14">
        <f>'Empleo Censo'!F668</f>
        <v/>
      </c>
      <c r="E668" s="14">
        <f>'Empleo Censo'!H668</f>
        <v/>
      </c>
      <c r="F668" s="14">
        <f>'Empleo Censo'!I668</f>
        <v/>
      </c>
      <c r="G668" s="14">
        <f>'Empleo Censo'!J668+'Empleo Censo'!K668</f>
        <v/>
      </c>
      <c r="H668" s="14">
        <f>'Empleo Censo'!L668</f>
        <v/>
      </c>
      <c r="I668" s="14">
        <f>'Empleo Censo'!M668</f>
        <v/>
      </c>
      <c r="J668" s="14">
        <f>SUM('Empleo Censo'!N668:AA668)</f>
        <v/>
      </c>
      <c r="K668" s="14">
        <f>SUM(C668:J668)</f>
        <v/>
      </c>
      <c r="L668" s="15">
        <f>SUMPRODUCT(C668:J668,Factores!$B$3:$I$3)</f>
        <v/>
      </c>
      <c r="M668" s="16">
        <f>'Empleo Censo'!E668</f>
        <v/>
      </c>
      <c r="N668" s="17">
        <f>IF(M668&gt;0,L668,Factores!$B$7)</f>
        <v/>
      </c>
      <c r="O668">
        <f>IF(M668&gt;0,"OK","sin PEA -&gt; peor")</f>
        <v/>
      </c>
    </row>
    <row r="669">
      <c r="A669" t="inlineStr">
        <is>
          <t>200115</t>
        </is>
      </c>
      <c r="B669" t="inlineStr">
        <is>
          <t>VEINTISEIS DE OCTUBRE</t>
        </is>
      </c>
      <c r="C669" s="14">
        <f>'Empleo Censo'!G669-'Empleo Censo'!F669</f>
        <v/>
      </c>
      <c r="D669" s="14">
        <f>'Empleo Censo'!F669</f>
        <v/>
      </c>
      <c r="E669" s="14">
        <f>'Empleo Censo'!H669</f>
        <v/>
      </c>
      <c r="F669" s="14">
        <f>'Empleo Censo'!I669</f>
        <v/>
      </c>
      <c r="G669" s="14">
        <f>'Empleo Censo'!J669+'Empleo Censo'!K669</f>
        <v/>
      </c>
      <c r="H669" s="14">
        <f>'Empleo Censo'!L669</f>
        <v/>
      </c>
      <c r="I669" s="14">
        <f>'Empleo Censo'!M669</f>
        <v/>
      </c>
      <c r="J669" s="14">
        <f>SUM('Empleo Censo'!N669:AA669)</f>
        <v/>
      </c>
      <c r="K669" s="14">
        <f>SUM(C669:J669)</f>
        <v/>
      </c>
      <c r="L669" s="15">
        <f>SUMPRODUCT(C669:J669,Factores!$B$3:$I$3)</f>
        <v/>
      </c>
      <c r="M669" s="16">
        <f>'Empleo Censo'!E669</f>
        <v/>
      </c>
      <c r="N669" s="17">
        <f>IF(M669&gt;0,L669,Factores!$B$7)</f>
        <v/>
      </c>
      <c r="O669">
        <f>IF(M669&gt;0,"OK","sin PEA -&gt; peor")</f>
        <v/>
      </c>
    </row>
    <row r="670">
      <c r="A670" t="inlineStr">
        <is>
          <t>200201</t>
        </is>
      </c>
      <c r="B670" t="inlineStr">
        <is>
          <t>AYABACA</t>
        </is>
      </c>
      <c r="C670" s="14">
        <f>'Empleo Censo'!G670-'Empleo Censo'!F670</f>
        <v/>
      </c>
      <c r="D670" s="14">
        <f>'Empleo Censo'!F670</f>
        <v/>
      </c>
      <c r="E670" s="14">
        <f>'Empleo Censo'!H670</f>
        <v/>
      </c>
      <c r="F670" s="14">
        <f>'Empleo Censo'!I670</f>
        <v/>
      </c>
      <c r="G670" s="14">
        <f>'Empleo Censo'!J670+'Empleo Censo'!K670</f>
        <v/>
      </c>
      <c r="H670" s="14">
        <f>'Empleo Censo'!L670</f>
        <v/>
      </c>
      <c r="I670" s="14">
        <f>'Empleo Censo'!M670</f>
        <v/>
      </c>
      <c r="J670" s="14">
        <f>SUM('Empleo Censo'!N670:AA670)</f>
        <v/>
      </c>
      <c r="K670" s="14">
        <f>SUM(C670:J670)</f>
        <v/>
      </c>
      <c r="L670" s="15">
        <f>SUMPRODUCT(C670:J670,Factores!$B$3:$I$3)</f>
        <v/>
      </c>
      <c r="M670" s="16">
        <f>'Empleo Censo'!E670</f>
        <v/>
      </c>
      <c r="N670" s="17">
        <f>IF(M670&gt;0,L670,Factores!$B$7)</f>
        <v/>
      </c>
      <c r="O670">
        <f>IF(M670&gt;0,"OK","sin PEA -&gt; peor")</f>
        <v/>
      </c>
    </row>
    <row r="671">
      <c r="A671" t="inlineStr">
        <is>
          <t>200202</t>
        </is>
      </c>
      <c r="B671" t="inlineStr">
        <is>
          <t>FRIAS</t>
        </is>
      </c>
      <c r="C671" s="14">
        <f>'Empleo Censo'!G671-'Empleo Censo'!F671</f>
        <v/>
      </c>
      <c r="D671" s="14">
        <f>'Empleo Censo'!F671</f>
        <v/>
      </c>
      <c r="E671" s="14">
        <f>'Empleo Censo'!H671</f>
        <v/>
      </c>
      <c r="F671" s="14">
        <f>'Empleo Censo'!I671</f>
        <v/>
      </c>
      <c r="G671" s="14">
        <f>'Empleo Censo'!J671+'Empleo Censo'!K671</f>
        <v/>
      </c>
      <c r="H671" s="14">
        <f>'Empleo Censo'!L671</f>
        <v/>
      </c>
      <c r="I671" s="14">
        <f>'Empleo Censo'!M671</f>
        <v/>
      </c>
      <c r="J671" s="14">
        <f>SUM('Empleo Censo'!N671:AA671)</f>
        <v/>
      </c>
      <c r="K671" s="14">
        <f>SUM(C671:J671)</f>
        <v/>
      </c>
      <c r="L671" s="15">
        <f>SUMPRODUCT(C671:J671,Factores!$B$3:$I$3)</f>
        <v/>
      </c>
      <c r="M671" s="16">
        <f>'Empleo Censo'!E671</f>
        <v/>
      </c>
      <c r="N671" s="17">
        <f>IF(M671&gt;0,L671,Factores!$B$7)</f>
        <v/>
      </c>
      <c r="O671">
        <f>IF(M671&gt;0,"OK","sin PEA -&gt; peor")</f>
        <v/>
      </c>
    </row>
    <row r="672">
      <c r="A672" t="inlineStr">
        <is>
          <t>200203</t>
        </is>
      </c>
      <c r="B672" t="inlineStr">
        <is>
          <t>JILILI</t>
        </is>
      </c>
      <c r="C672" s="14">
        <f>'Empleo Censo'!G672-'Empleo Censo'!F672</f>
        <v/>
      </c>
      <c r="D672" s="14">
        <f>'Empleo Censo'!F672</f>
        <v/>
      </c>
      <c r="E672" s="14">
        <f>'Empleo Censo'!H672</f>
        <v/>
      </c>
      <c r="F672" s="14">
        <f>'Empleo Censo'!I672</f>
        <v/>
      </c>
      <c r="G672" s="14">
        <f>'Empleo Censo'!J672+'Empleo Censo'!K672</f>
        <v/>
      </c>
      <c r="H672" s="14">
        <f>'Empleo Censo'!L672</f>
        <v/>
      </c>
      <c r="I672" s="14">
        <f>'Empleo Censo'!M672</f>
        <v/>
      </c>
      <c r="J672" s="14">
        <f>SUM('Empleo Censo'!N672:AA672)</f>
        <v/>
      </c>
      <c r="K672" s="14">
        <f>SUM(C672:J672)</f>
        <v/>
      </c>
      <c r="L672" s="15">
        <f>SUMPRODUCT(C672:J672,Factores!$B$3:$I$3)</f>
        <v/>
      </c>
      <c r="M672" s="16">
        <f>'Empleo Censo'!E672</f>
        <v/>
      </c>
      <c r="N672" s="17">
        <f>IF(M672&gt;0,L672,Factores!$B$7)</f>
        <v/>
      </c>
      <c r="O672">
        <f>IF(M672&gt;0,"OK","sin PEA -&gt; peor")</f>
        <v/>
      </c>
    </row>
    <row r="673">
      <c r="A673" t="inlineStr">
        <is>
          <t>200204</t>
        </is>
      </c>
      <c r="B673" t="inlineStr">
        <is>
          <t>LAGUNAS</t>
        </is>
      </c>
      <c r="C673" s="14">
        <f>'Empleo Censo'!G673-'Empleo Censo'!F673</f>
        <v/>
      </c>
      <c r="D673" s="14">
        <f>'Empleo Censo'!F673</f>
        <v/>
      </c>
      <c r="E673" s="14">
        <f>'Empleo Censo'!H673</f>
        <v/>
      </c>
      <c r="F673" s="14">
        <f>'Empleo Censo'!I673</f>
        <v/>
      </c>
      <c r="G673" s="14">
        <f>'Empleo Censo'!J673+'Empleo Censo'!K673</f>
        <v/>
      </c>
      <c r="H673" s="14">
        <f>'Empleo Censo'!L673</f>
        <v/>
      </c>
      <c r="I673" s="14">
        <f>'Empleo Censo'!M673</f>
        <v/>
      </c>
      <c r="J673" s="14">
        <f>SUM('Empleo Censo'!N673:AA673)</f>
        <v/>
      </c>
      <c r="K673" s="14">
        <f>SUM(C673:J673)</f>
        <v/>
      </c>
      <c r="L673" s="15">
        <f>SUMPRODUCT(C673:J673,Factores!$B$3:$I$3)</f>
        <v/>
      </c>
      <c r="M673" s="16">
        <f>'Empleo Censo'!E673</f>
        <v/>
      </c>
      <c r="N673" s="17">
        <f>IF(M673&gt;0,L673,Factores!$B$7)</f>
        <v/>
      </c>
      <c r="O673">
        <f>IF(M673&gt;0,"OK","sin PEA -&gt; peor")</f>
        <v/>
      </c>
    </row>
    <row r="674">
      <c r="A674" t="inlineStr">
        <is>
          <t>200205</t>
        </is>
      </c>
      <c r="B674" t="inlineStr">
        <is>
          <t>MONTERO</t>
        </is>
      </c>
      <c r="C674" s="14">
        <f>'Empleo Censo'!G674-'Empleo Censo'!F674</f>
        <v/>
      </c>
      <c r="D674" s="14">
        <f>'Empleo Censo'!F674</f>
        <v/>
      </c>
      <c r="E674" s="14">
        <f>'Empleo Censo'!H674</f>
        <v/>
      </c>
      <c r="F674" s="14">
        <f>'Empleo Censo'!I674</f>
        <v/>
      </c>
      <c r="G674" s="14">
        <f>'Empleo Censo'!J674+'Empleo Censo'!K674</f>
        <v/>
      </c>
      <c r="H674" s="14">
        <f>'Empleo Censo'!L674</f>
        <v/>
      </c>
      <c r="I674" s="14">
        <f>'Empleo Censo'!M674</f>
        <v/>
      </c>
      <c r="J674" s="14">
        <f>SUM('Empleo Censo'!N674:AA674)</f>
        <v/>
      </c>
      <c r="K674" s="14">
        <f>SUM(C674:J674)</f>
        <v/>
      </c>
      <c r="L674" s="15">
        <f>SUMPRODUCT(C674:J674,Factores!$B$3:$I$3)</f>
        <v/>
      </c>
      <c r="M674" s="16">
        <f>'Empleo Censo'!E674</f>
        <v/>
      </c>
      <c r="N674" s="17">
        <f>IF(M674&gt;0,L674,Factores!$B$7)</f>
        <v/>
      </c>
      <c r="O674">
        <f>IF(M674&gt;0,"OK","sin PEA -&gt; peor")</f>
        <v/>
      </c>
    </row>
    <row r="675">
      <c r="A675" t="inlineStr">
        <is>
          <t>200206</t>
        </is>
      </c>
      <c r="B675" t="inlineStr">
        <is>
          <t>PACAIPAMPA</t>
        </is>
      </c>
      <c r="C675" s="14">
        <f>'Empleo Censo'!G675-'Empleo Censo'!F675</f>
        <v/>
      </c>
      <c r="D675" s="14">
        <f>'Empleo Censo'!F675</f>
        <v/>
      </c>
      <c r="E675" s="14">
        <f>'Empleo Censo'!H675</f>
        <v/>
      </c>
      <c r="F675" s="14">
        <f>'Empleo Censo'!I675</f>
        <v/>
      </c>
      <c r="G675" s="14">
        <f>'Empleo Censo'!J675+'Empleo Censo'!K675</f>
        <v/>
      </c>
      <c r="H675" s="14">
        <f>'Empleo Censo'!L675</f>
        <v/>
      </c>
      <c r="I675" s="14">
        <f>'Empleo Censo'!M675</f>
        <v/>
      </c>
      <c r="J675" s="14">
        <f>SUM('Empleo Censo'!N675:AA675)</f>
        <v/>
      </c>
      <c r="K675" s="14">
        <f>SUM(C675:J675)</f>
        <v/>
      </c>
      <c r="L675" s="15">
        <f>SUMPRODUCT(C675:J675,Factores!$B$3:$I$3)</f>
        <v/>
      </c>
      <c r="M675" s="16">
        <f>'Empleo Censo'!E675</f>
        <v/>
      </c>
      <c r="N675" s="17">
        <f>IF(M675&gt;0,L675,Factores!$B$7)</f>
        <v/>
      </c>
      <c r="O675">
        <f>IF(M675&gt;0,"OK","sin PEA -&gt; peor")</f>
        <v/>
      </c>
    </row>
    <row r="676">
      <c r="A676" t="inlineStr">
        <is>
          <t>200207</t>
        </is>
      </c>
      <c r="B676" t="inlineStr">
        <is>
          <t>PAIMAS</t>
        </is>
      </c>
      <c r="C676" s="14">
        <f>'Empleo Censo'!G676-'Empleo Censo'!F676</f>
        <v/>
      </c>
      <c r="D676" s="14">
        <f>'Empleo Censo'!F676</f>
        <v/>
      </c>
      <c r="E676" s="14">
        <f>'Empleo Censo'!H676</f>
        <v/>
      </c>
      <c r="F676" s="14">
        <f>'Empleo Censo'!I676</f>
        <v/>
      </c>
      <c r="G676" s="14">
        <f>'Empleo Censo'!J676+'Empleo Censo'!K676</f>
        <v/>
      </c>
      <c r="H676" s="14">
        <f>'Empleo Censo'!L676</f>
        <v/>
      </c>
      <c r="I676" s="14">
        <f>'Empleo Censo'!M676</f>
        <v/>
      </c>
      <c r="J676" s="14">
        <f>SUM('Empleo Censo'!N676:AA676)</f>
        <v/>
      </c>
      <c r="K676" s="14">
        <f>SUM(C676:J676)</f>
        <v/>
      </c>
      <c r="L676" s="15">
        <f>SUMPRODUCT(C676:J676,Factores!$B$3:$I$3)</f>
        <v/>
      </c>
      <c r="M676" s="16">
        <f>'Empleo Censo'!E676</f>
        <v/>
      </c>
      <c r="N676" s="17">
        <f>IF(M676&gt;0,L676,Factores!$B$7)</f>
        <v/>
      </c>
      <c r="O676">
        <f>IF(M676&gt;0,"OK","sin PEA -&gt; peor")</f>
        <v/>
      </c>
    </row>
    <row r="677">
      <c r="A677" t="inlineStr">
        <is>
          <t>200208</t>
        </is>
      </c>
      <c r="B677" t="inlineStr">
        <is>
          <t>SAPILLICA</t>
        </is>
      </c>
      <c r="C677" s="14">
        <f>'Empleo Censo'!G677-'Empleo Censo'!F677</f>
        <v/>
      </c>
      <c r="D677" s="14">
        <f>'Empleo Censo'!F677</f>
        <v/>
      </c>
      <c r="E677" s="14">
        <f>'Empleo Censo'!H677</f>
        <v/>
      </c>
      <c r="F677" s="14">
        <f>'Empleo Censo'!I677</f>
        <v/>
      </c>
      <c r="G677" s="14">
        <f>'Empleo Censo'!J677+'Empleo Censo'!K677</f>
        <v/>
      </c>
      <c r="H677" s="14">
        <f>'Empleo Censo'!L677</f>
        <v/>
      </c>
      <c r="I677" s="14">
        <f>'Empleo Censo'!M677</f>
        <v/>
      </c>
      <c r="J677" s="14">
        <f>SUM('Empleo Censo'!N677:AA677)</f>
        <v/>
      </c>
      <c r="K677" s="14">
        <f>SUM(C677:J677)</f>
        <v/>
      </c>
      <c r="L677" s="15">
        <f>SUMPRODUCT(C677:J677,Factores!$B$3:$I$3)</f>
        <v/>
      </c>
      <c r="M677" s="16">
        <f>'Empleo Censo'!E677</f>
        <v/>
      </c>
      <c r="N677" s="17">
        <f>IF(M677&gt;0,L677,Factores!$B$7)</f>
        <v/>
      </c>
      <c r="O677">
        <f>IF(M677&gt;0,"OK","sin PEA -&gt; peor")</f>
        <v/>
      </c>
    </row>
    <row r="678">
      <c r="A678" t="inlineStr">
        <is>
          <t>200209</t>
        </is>
      </c>
      <c r="B678" t="inlineStr">
        <is>
          <t>SICCHEZ</t>
        </is>
      </c>
      <c r="C678" s="14">
        <f>'Empleo Censo'!G678-'Empleo Censo'!F678</f>
        <v/>
      </c>
      <c r="D678" s="14">
        <f>'Empleo Censo'!F678</f>
        <v/>
      </c>
      <c r="E678" s="14">
        <f>'Empleo Censo'!H678</f>
        <v/>
      </c>
      <c r="F678" s="14">
        <f>'Empleo Censo'!I678</f>
        <v/>
      </c>
      <c r="G678" s="14">
        <f>'Empleo Censo'!J678+'Empleo Censo'!K678</f>
        <v/>
      </c>
      <c r="H678" s="14">
        <f>'Empleo Censo'!L678</f>
        <v/>
      </c>
      <c r="I678" s="14">
        <f>'Empleo Censo'!M678</f>
        <v/>
      </c>
      <c r="J678" s="14">
        <f>SUM('Empleo Censo'!N678:AA678)</f>
        <v/>
      </c>
      <c r="K678" s="14">
        <f>SUM(C678:J678)</f>
        <v/>
      </c>
      <c r="L678" s="15">
        <f>SUMPRODUCT(C678:J678,Factores!$B$3:$I$3)</f>
        <v/>
      </c>
      <c r="M678" s="16">
        <f>'Empleo Censo'!E678</f>
        <v/>
      </c>
      <c r="N678" s="17">
        <f>IF(M678&gt;0,L678,Factores!$B$7)</f>
        <v/>
      </c>
      <c r="O678">
        <f>IF(M678&gt;0,"OK","sin PEA -&gt; peor")</f>
        <v/>
      </c>
    </row>
    <row r="679">
      <c r="A679" t="inlineStr">
        <is>
          <t>200210</t>
        </is>
      </c>
      <c r="B679" t="inlineStr">
        <is>
          <t>SUYO</t>
        </is>
      </c>
      <c r="C679" s="14">
        <f>'Empleo Censo'!G679-'Empleo Censo'!F679</f>
        <v/>
      </c>
      <c r="D679" s="14">
        <f>'Empleo Censo'!F679</f>
        <v/>
      </c>
      <c r="E679" s="14">
        <f>'Empleo Censo'!H679</f>
        <v/>
      </c>
      <c r="F679" s="14">
        <f>'Empleo Censo'!I679</f>
        <v/>
      </c>
      <c r="G679" s="14">
        <f>'Empleo Censo'!J679+'Empleo Censo'!K679</f>
        <v/>
      </c>
      <c r="H679" s="14">
        <f>'Empleo Censo'!L679</f>
        <v/>
      </c>
      <c r="I679" s="14">
        <f>'Empleo Censo'!M679</f>
        <v/>
      </c>
      <c r="J679" s="14">
        <f>SUM('Empleo Censo'!N679:AA679)</f>
        <v/>
      </c>
      <c r="K679" s="14">
        <f>SUM(C679:J679)</f>
        <v/>
      </c>
      <c r="L679" s="15">
        <f>SUMPRODUCT(C679:J679,Factores!$B$3:$I$3)</f>
        <v/>
      </c>
      <c r="M679" s="16">
        <f>'Empleo Censo'!E679</f>
        <v/>
      </c>
      <c r="N679" s="17">
        <f>IF(M679&gt;0,L679,Factores!$B$7)</f>
        <v/>
      </c>
      <c r="O679">
        <f>IF(M679&gt;0,"OK","sin PEA -&gt; peor")</f>
        <v/>
      </c>
    </row>
    <row r="680">
      <c r="A680" t="inlineStr">
        <is>
          <t>200301</t>
        </is>
      </c>
      <c r="B680" t="inlineStr">
        <is>
          <t>HUANCABAMBA</t>
        </is>
      </c>
      <c r="C680" s="14">
        <f>'Empleo Censo'!G680-'Empleo Censo'!F680</f>
        <v/>
      </c>
      <c r="D680" s="14">
        <f>'Empleo Censo'!F680</f>
        <v/>
      </c>
      <c r="E680" s="14">
        <f>'Empleo Censo'!H680</f>
        <v/>
      </c>
      <c r="F680" s="14">
        <f>'Empleo Censo'!I680</f>
        <v/>
      </c>
      <c r="G680" s="14">
        <f>'Empleo Censo'!J680+'Empleo Censo'!K680</f>
        <v/>
      </c>
      <c r="H680" s="14">
        <f>'Empleo Censo'!L680</f>
        <v/>
      </c>
      <c r="I680" s="14">
        <f>'Empleo Censo'!M680</f>
        <v/>
      </c>
      <c r="J680" s="14">
        <f>SUM('Empleo Censo'!N680:AA680)</f>
        <v/>
      </c>
      <c r="K680" s="14">
        <f>SUM(C680:J680)</f>
        <v/>
      </c>
      <c r="L680" s="15">
        <f>SUMPRODUCT(C680:J680,Factores!$B$3:$I$3)</f>
        <v/>
      </c>
      <c r="M680" s="16">
        <f>'Empleo Censo'!E680</f>
        <v/>
      </c>
      <c r="N680" s="17">
        <f>IF(M680&gt;0,L680,Factores!$B$7)</f>
        <v/>
      </c>
      <c r="O680">
        <f>IF(M680&gt;0,"OK","sin PEA -&gt; peor")</f>
        <v/>
      </c>
    </row>
    <row r="681">
      <c r="A681" t="inlineStr">
        <is>
          <t>200302</t>
        </is>
      </c>
      <c r="B681" t="inlineStr">
        <is>
          <t>CANCHAQUE</t>
        </is>
      </c>
      <c r="C681" s="14">
        <f>'Empleo Censo'!G681-'Empleo Censo'!F681</f>
        <v/>
      </c>
      <c r="D681" s="14">
        <f>'Empleo Censo'!F681</f>
        <v/>
      </c>
      <c r="E681" s="14">
        <f>'Empleo Censo'!H681</f>
        <v/>
      </c>
      <c r="F681" s="14">
        <f>'Empleo Censo'!I681</f>
        <v/>
      </c>
      <c r="G681" s="14">
        <f>'Empleo Censo'!J681+'Empleo Censo'!K681</f>
        <v/>
      </c>
      <c r="H681" s="14">
        <f>'Empleo Censo'!L681</f>
        <v/>
      </c>
      <c r="I681" s="14">
        <f>'Empleo Censo'!M681</f>
        <v/>
      </c>
      <c r="J681" s="14">
        <f>SUM('Empleo Censo'!N681:AA681)</f>
        <v/>
      </c>
      <c r="K681" s="14">
        <f>SUM(C681:J681)</f>
        <v/>
      </c>
      <c r="L681" s="15">
        <f>SUMPRODUCT(C681:J681,Factores!$B$3:$I$3)</f>
        <v/>
      </c>
      <c r="M681" s="16">
        <f>'Empleo Censo'!E681</f>
        <v/>
      </c>
      <c r="N681" s="17">
        <f>IF(M681&gt;0,L681,Factores!$B$7)</f>
        <v/>
      </c>
      <c r="O681">
        <f>IF(M681&gt;0,"OK","sin PEA -&gt; peor")</f>
        <v/>
      </c>
    </row>
    <row r="682">
      <c r="A682" t="inlineStr">
        <is>
          <t>200303</t>
        </is>
      </c>
      <c r="B682" t="inlineStr">
        <is>
          <t>EL CARMEN DE LA FRONTERA</t>
        </is>
      </c>
      <c r="C682" s="14">
        <f>'Empleo Censo'!G682-'Empleo Censo'!F682</f>
        <v/>
      </c>
      <c r="D682" s="14">
        <f>'Empleo Censo'!F682</f>
        <v/>
      </c>
      <c r="E682" s="14">
        <f>'Empleo Censo'!H682</f>
        <v/>
      </c>
      <c r="F682" s="14">
        <f>'Empleo Censo'!I682</f>
        <v/>
      </c>
      <c r="G682" s="14">
        <f>'Empleo Censo'!J682+'Empleo Censo'!K682</f>
        <v/>
      </c>
      <c r="H682" s="14">
        <f>'Empleo Censo'!L682</f>
        <v/>
      </c>
      <c r="I682" s="14">
        <f>'Empleo Censo'!M682</f>
        <v/>
      </c>
      <c r="J682" s="14">
        <f>SUM('Empleo Censo'!N682:AA682)</f>
        <v/>
      </c>
      <c r="K682" s="14">
        <f>SUM(C682:J682)</f>
        <v/>
      </c>
      <c r="L682" s="15">
        <f>SUMPRODUCT(C682:J682,Factores!$B$3:$I$3)</f>
        <v/>
      </c>
      <c r="M682" s="16">
        <f>'Empleo Censo'!E682</f>
        <v/>
      </c>
      <c r="N682" s="17">
        <f>IF(M682&gt;0,L682,Factores!$B$7)</f>
        <v/>
      </c>
      <c r="O682">
        <f>IF(M682&gt;0,"OK","sin PEA -&gt; peor")</f>
        <v/>
      </c>
    </row>
    <row r="683">
      <c r="A683" t="inlineStr">
        <is>
          <t>200304</t>
        </is>
      </c>
      <c r="B683" t="inlineStr">
        <is>
          <t>HUARMACA</t>
        </is>
      </c>
      <c r="C683" s="14">
        <f>'Empleo Censo'!G683-'Empleo Censo'!F683</f>
        <v/>
      </c>
      <c r="D683" s="14">
        <f>'Empleo Censo'!F683</f>
        <v/>
      </c>
      <c r="E683" s="14">
        <f>'Empleo Censo'!H683</f>
        <v/>
      </c>
      <c r="F683" s="14">
        <f>'Empleo Censo'!I683</f>
        <v/>
      </c>
      <c r="G683" s="14">
        <f>'Empleo Censo'!J683+'Empleo Censo'!K683</f>
        <v/>
      </c>
      <c r="H683" s="14">
        <f>'Empleo Censo'!L683</f>
        <v/>
      </c>
      <c r="I683" s="14">
        <f>'Empleo Censo'!M683</f>
        <v/>
      </c>
      <c r="J683" s="14">
        <f>SUM('Empleo Censo'!N683:AA683)</f>
        <v/>
      </c>
      <c r="K683" s="14">
        <f>SUM(C683:J683)</f>
        <v/>
      </c>
      <c r="L683" s="15">
        <f>SUMPRODUCT(C683:J683,Factores!$B$3:$I$3)</f>
        <v/>
      </c>
      <c r="M683" s="16">
        <f>'Empleo Censo'!E683</f>
        <v/>
      </c>
      <c r="N683" s="17">
        <f>IF(M683&gt;0,L683,Factores!$B$7)</f>
        <v/>
      </c>
      <c r="O683">
        <f>IF(M683&gt;0,"OK","sin PEA -&gt; peor")</f>
        <v/>
      </c>
    </row>
    <row r="684">
      <c r="A684" t="inlineStr">
        <is>
          <t>200305</t>
        </is>
      </c>
      <c r="B684" t="inlineStr">
        <is>
          <t>LALAQUIZ</t>
        </is>
      </c>
      <c r="C684" s="14">
        <f>'Empleo Censo'!G684-'Empleo Censo'!F684</f>
        <v/>
      </c>
      <c r="D684" s="14">
        <f>'Empleo Censo'!F684</f>
        <v/>
      </c>
      <c r="E684" s="14">
        <f>'Empleo Censo'!H684</f>
        <v/>
      </c>
      <c r="F684" s="14">
        <f>'Empleo Censo'!I684</f>
        <v/>
      </c>
      <c r="G684" s="14">
        <f>'Empleo Censo'!J684+'Empleo Censo'!K684</f>
        <v/>
      </c>
      <c r="H684" s="14">
        <f>'Empleo Censo'!L684</f>
        <v/>
      </c>
      <c r="I684" s="14">
        <f>'Empleo Censo'!M684</f>
        <v/>
      </c>
      <c r="J684" s="14">
        <f>SUM('Empleo Censo'!N684:AA684)</f>
        <v/>
      </c>
      <c r="K684" s="14">
        <f>SUM(C684:J684)</f>
        <v/>
      </c>
      <c r="L684" s="15">
        <f>SUMPRODUCT(C684:J684,Factores!$B$3:$I$3)</f>
        <v/>
      </c>
      <c r="M684" s="16">
        <f>'Empleo Censo'!E684</f>
        <v/>
      </c>
      <c r="N684" s="17">
        <f>IF(M684&gt;0,L684,Factores!$B$7)</f>
        <v/>
      </c>
      <c r="O684">
        <f>IF(M684&gt;0,"OK","sin PEA -&gt; peor")</f>
        <v/>
      </c>
    </row>
    <row r="685">
      <c r="A685" t="inlineStr">
        <is>
          <t>200306</t>
        </is>
      </c>
      <c r="B685" t="inlineStr">
        <is>
          <t>SAN MIGUEL DE EL FAIQUE</t>
        </is>
      </c>
      <c r="C685" s="14">
        <f>'Empleo Censo'!G685-'Empleo Censo'!F685</f>
        <v/>
      </c>
      <c r="D685" s="14">
        <f>'Empleo Censo'!F685</f>
        <v/>
      </c>
      <c r="E685" s="14">
        <f>'Empleo Censo'!H685</f>
        <v/>
      </c>
      <c r="F685" s="14">
        <f>'Empleo Censo'!I685</f>
        <v/>
      </c>
      <c r="G685" s="14">
        <f>'Empleo Censo'!J685+'Empleo Censo'!K685</f>
        <v/>
      </c>
      <c r="H685" s="14">
        <f>'Empleo Censo'!L685</f>
        <v/>
      </c>
      <c r="I685" s="14">
        <f>'Empleo Censo'!M685</f>
        <v/>
      </c>
      <c r="J685" s="14">
        <f>SUM('Empleo Censo'!N685:AA685)</f>
        <v/>
      </c>
      <c r="K685" s="14">
        <f>SUM(C685:J685)</f>
        <v/>
      </c>
      <c r="L685" s="15">
        <f>SUMPRODUCT(C685:J685,Factores!$B$3:$I$3)</f>
        <v/>
      </c>
      <c r="M685" s="16">
        <f>'Empleo Censo'!E685</f>
        <v/>
      </c>
      <c r="N685" s="17">
        <f>IF(M685&gt;0,L685,Factores!$B$7)</f>
        <v/>
      </c>
      <c r="O685">
        <f>IF(M685&gt;0,"OK","sin PEA -&gt; peor")</f>
        <v/>
      </c>
    </row>
    <row r="686">
      <c r="A686" t="inlineStr">
        <is>
          <t>200307</t>
        </is>
      </c>
      <c r="B686" t="inlineStr">
        <is>
          <t>SONDOR</t>
        </is>
      </c>
      <c r="C686" s="14">
        <f>'Empleo Censo'!G686-'Empleo Censo'!F686</f>
        <v/>
      </c>
      <c r="D686" s="14">
        <f>'Empleo Censo'!F686</f>
        <v/>
      </c>
      <c r="E686" s="14">
        <f>'Empleo Censo'!H686</f>
        <v/>
      </c>
      <c r="F686" s="14">
        <f>'Empleo Censo'!I686</f>
        <v/>
      </c>
      <c r="G686" s="14">
        <f>'Empleo Censo'!J686+'Empleo Censo'!K686</f>
        <v/>
      </c>
      <c r="H686" s="14">
        <f>'Empleo Censo'!L686</f>
        <v/>
      </c>
      <c r="I686" s="14">
        <f>'Empleo Censo'!M686</f>
        <v/>
      </c>
      <c r="J686" s="14">
        <f>SUM('Empleo Censo'!N686:AA686)</f>
        <v/>
      </c>
      <c r="K686" s="14">
        <f>SUM(C686:J686)</f>
        <v/>
      </c>
      <c r="L686" s="15">
        <f>SUMPRODUCT(C686:J686,Factores!$B$3:$I$3)</f>
        <v/>
      </c>
      <c r="M686" s="16">
        <f>'Empleo Censo'!E686</f>
        <v/>
      </c>
      <c r="N686" s="17">
        <f>IF(M686&gt;0,L686,Factores!$B$7)</f>
        <v/>
      </c>
      <c r="O686">
        <f>IF(M686&gt;0,"OK","sin PEA -&gt; peor")</f>
        <v/>
      </c>
    </row>
    <row r="687">
      <c r="A687" t="inlineStr">
        <is>
          <t>200308</t>
        </is>
      </c>
      <c r="B687" t="inlineStr">
        <is>
          <t>SONDORILLO</t>
        </is>
      </c>
      <c r="C687" s="14">
        <f>'Empleo Censo'!G687-'Empleo Censo'!F687</f>
        <v/>
      </c>
      <c r="D687" s="14">
        <f>'Empleo Censo'!F687</f>
        <v/>
      </c>
      <c r="E687" s="14">
        <f>'Empleo Censo'!H687</f>
        <v/>
      </c>
      <c r="F687" s="14">
        <f>'Empleo Censo'!I687</f>
        <v/>
      </c>
      <c r="G687" s="14">
        <f>'Empleo Censo'!J687+'Empleo Censo'!K687</f>
        <v/>
      </c>
      <c r="H687" s="14">
        <f>'Empleo Censo'!L687</f>
        <v/>
      </c>
      <c r="I687" s="14">
        <f>'Empleo Censo'!M687</f>
        <v/>
      </c>
      <c r="J687" s="14">
        <f>SUM('Empleo Censo'!N687:AA687)</f>
        <v/>
      </c>
      <c r="K687" s="14">
        <f>SUM(C687:J687)</f>
        <v/>
      </c>
      <c r="L687" s="15">
        <f>SUMPRODUCT(C687:J687,Factores!$B$3:$I$3)</f>
        <v/>
      </c>
      <c r="M687" s="16">
        <f>'Empleo Censo'!E687</f>
        <v/>
      </c>
      <c r="N687" s="17">
        <f>IF(M687&gt;0,L687,Factores!$B$7)</f>
        <v/>
      </c>
      <c r="O687">
        <f>IF(M687&gt;0,"OK","sin PEA -&gt; peor")</f>
        <v/>
      </c>
    </row>
    <row r="688">
      <c r="A688" t="inlineStr">
        <is>
          <t>200401</t>
        </is>
      </c>
      <c r="B688" t="inlineStr">
        <is>
          <t>CHULUCANAS</t>
        </is>
      </c>
      <c r="C688" s="14">
        <f>'Empleo Censo'!G688-'Empleo Censo'!F688</f>
        <v/>
      </c>
      <c r="D688" s="14">
        <f>'Empleo Censo'!F688</f>
        <v/>
      </c>
      <c r="E688" s="14">
        <f>'Empleo Censo'!H688</f>
        <v/>
      </c>
      <c r="F688" s="14">
        <f>'Empleo Censo'!I688</f>
        <v/>
      </c>
      <c r="G688" s="14">
        <f>'Empleo Censo'!J688+'Empleo Censo'!K688</f>
        <v/>
      </c>
      <c r="H688" s="14">
        <f>'Empleo Censo'!L688</f>
        <v/>
      </c>
      <c r="I688" s="14">
        <f>'Empleo Censo'!M688</f>
        <v/>
      </c>
      <c r="J688" s="14">
        <f>SUM('Empleo Censo'!N688:AA688)</f>
        <v/>
      </c>
      <c r="K688" s="14">
        <f>SUM(C688:J688)</f>
        <v/>
      </c>
      <c r="L688" s="15">
        <f>SUMPRODUCT(C688:J688,Factores!$B$3:$I$3)</f>
        <v/>
      </c>
      <c r="M688" s="16">
        <f>'Empleo Censo'!E688</f>
        <v/>
      </c>
      <c r="N688" s="17">
        <f>IF(M688&gt;0,L688,Factores!$B$7)</f>
        <v/>
      </c>
      <c r="O688">
        <f>IF(M688&gt;0,"OK","sin PEA -&gt; peor")</f>
        <v/>
      </c>
    </row>
    <row r="689">
      <c r="A689" t="inlineStr">
        <is>
          <t>200402</t>
        </is>
      </c>
      <c r="B689" t="inlineStr">
        <is>
          <t>BUENOS AIRES</t>
        </is>
      </c>
      <c r="C689" s="14">
        <f>'Empleo Censo'!G689-'Empleo Censo'!F689</f>
        <v/>
      </c>
      <c r="D689" s="14">
        <f>'Empleo Censo'!F689</f>
        <v/>
      </c>
      <c r="E689" s="14">
        <f>'Empleo Censo'!H689</f>
        <v/>
      </c>
      <c r="F689" s="14">
        <f>'Empleo Censo'!I689</f>
        <v/>
      </c>
      <c r="G689" s="14">
        <f>'Empleo Censo'!J689+'Empleo Censo'!K689</f>
        <v/>
      </c>
      <c r="H689" s="14">
        <f>'Empleo Censo'!L689</f>
        <v/>
      </c>
      <c r="I689" s="14">
        <f>'Empleo Censo'!M689</f>
        <v/>
      </c>
      <c r="J689" s="14">
        <f>SUM('Empleo Censo'!N689:AA689)</f>
        <v/>
      </c>
      <c r="K689" s="14">
        <f>SUM(C689:J689)</f>
        <v/>
      </c>
      <c r="L689" s="15">
        <f>SUMPRODUCT(C689:J689,Factores!$B$3:$I$3)</f>
        <v/>
      </c>
      <c r="M689" s="16">
        <f>'Empleo Censo'!E689</f>
        <v/>
      </c>
      <c r="N689" s="17">
        <f>IF(M689&gt;0,L689,Factores!$B$7)</f>
        <v/>
      </c>
      <c r="O689">
        <f>IF(M689&gt;0,"OK","sin PEA -&gt; peor")</f>
        <v/>
      </c>
    </row>
    <row r="690">
      <c r="A690" t="inlineStr">
        <is>
          <t>200403</t>
        </is>
      </c>
      <c r="B690" t="inlineStr">
        <is>
          <t>CHALACO</t>
        </is>
      </c>
      <c r="C690" s="14">
        <f>'Empleo Censo'!G690-'Empleo Censo'!F690</f>
        <v/>
      </c>
      <c r="D690" s="14">
        <f>'Empleo Censo'!F690</f>
        <v/>
      </c>
      <c r="E690" s="14">
        <f>'Empleo Censo'!H690</f>
        <v/>
      </c>
      <c r="F690" s="14">
        <f>'Empleo Censo'!I690</f>
        <v/>
      </c>
      <c r="G690" s="14">
        <f>'Empleo Censo'!J690+'Empleo Censo'!K690</f>
        <v/>
      </c>
      <c r="H690" s="14">
        <f>'Empleo Censo'!L690</f>
        <v/>
      </c>
      <c r="I690" s="14">
        <f>'Empleo Censo'!M690</f>
        <v/>
      </c>
      <c r="J690" s="14">
        <f>SUM('Empleo Censo'!N690:AA690)</f>
        <v/>
      </c>
      <c r="K690" s="14">
        <f>SUM(C690:J690)</f>
        <v/>
      </c>
      <c r="L690" s="15">
        <f>SUMPRODUCT(C690:J690,Factores!$B$3:$I$3)</f>
        <v/>
      </c>
      <c r="M690" s="16">
        <f>'Empleo Censo'!E690</f>
        <v/>
      </c>
      <c r="N690" s="17">
        <f>IF(M690&gt;0,L690,Factores!$B$7)</f>
        <v/>
      </c>
      <c r="O690">
        <f>IF(M690&gt;0,"OK","sin PEA -&gt; peor")</f>
        <v/>
      </c>
    </row>
    <row r="691">
      <c r="A691" t="inlineStr">
        <is>
          <t>200404</t>
        </is>
      </c>
      <c r="B691" t="inlineStr">
        <is>
          <t>LA MATANZA</t>
        </is>
      </c>
      <c r="C691" s="14">
        <f>'Empleo Censo'!G691-'Empleo Censo'!F691</f>
        <v/>
      </c>
      <c r="D691" s="14">
        <f>'Empleo Censo'!F691</f>
        <v/>
      </c>
      <c r="E691" s="14">
        <f>'Empleo Censo'!H691</f>
        <v/>
      </c>
      <c r="F691" s="14">
        <f>'Empleo Censo'!I691</f>
        <v/>
      </c>
      <c r="G691" s="14">
        <f>'Empleo Censo'!J691+'Empleo Censo'!K691</f>
        <v/>
      </c>
      <c r="H691" s="14">
        <f>'Empleo Censo'!L691</f>
        <v/>
      </c>
      <c r="I691" s="14">
        <f>'Empleo Censo'!M691</f>
        <v/>
      </c>
      <c r="J691" s="14">
        <f>SUM('Empleo Censo'!N691:AA691)</f>
        <v/>
      </c>
      <c r="K691" s="14">
        <f>SUM(C691:J691)</f>
        <v/>
      </c>
      <c r="L691" s="15">
        <f>SUMPRODUCT(C691:J691,Factores!$B$3:$I$3)</f>
        <v/>
      </c>
      <c r="M691" s="16">
        <f>'Empleo Censo'!E691</f>
        <v/>
      </c>
      <c r="N691" s="17">
        <f>IF(M691&gt;0,L691,Factores!$B$7)</f>
        <v/>
      </c>
      <c r="O691">
        <f>IF(M691&gt;0,"OK","sin PEA -&gt; peor")</f>
        <v/>
      </c>
    </row>
    <row r="692">
      <c r="A692" t="inlineStr">
        <is>
          <t>200405</t>
        </is>
      </c>
      <c r="B692" t="inlineStr">
        <is>
          <t>MORROPON</t>
        </is>
      </c>
      <c r="C692" s="14">
        <f>'Empleo Censo'!G692-'Empleo Censo'!F692</f>
        <v/>
      </c>
      <c r="D692" s="14">
        <f>'Empleo Censo'!F692</f>
        <v/>
      </c>
      <c r="E692" s="14">
        <f>'Empleo Censo'!H692</f>
        <v/>
      </c>
      <c r="F692" s="14">
        <f>'Empleo Censo'!I692</f>
        <v/>
      </c>
      <c r="G692" s="14">
        <f>'Empleo Censo'!J692+'Empleo Censo'!K692</f>
        <v/>
      </c>
      <c r="H692" s="14">
        <f>'Empleo Censo'!L692</f>
        <v/>
      </c>
      <c r="I692" s="14">
        <f>'Empleo Censo'!M692</f>
        <v/>
      </c>
      <c r="J692" s="14">
        <f>SUM('Empleo Censo'!N692:AA692)</f>
        <v/>
      </c>
      <c r="K692" s="14">
        <f>SUM(C692:J692)</f>
        <v/>
      </c>
      <c r="L692" s="15">
        <f>SUMPRODUCT(C692:J692,Factores!$B$3:$I$3)</f>
        <v/>
      </c>
      <c r="M692" s="16">
        <f>'Empleo Censo'!E692</f>
        <v/>
      </c>
      <c r="N692" s="17">
        <f>IF(M692&gt;0,L692,Factores!$B$7)</f>
        <v/>
      </c>
      <c r="O692">
        <f>IF(M692&gt;0,"OK","sin PEA -&gt; peor")</f>
        <v/>
      </c>
    </row>
    <row r="693">
      <c r="A693" t="inlineStr">
        <is>
          <t>200406</t>
        </is>
      </c>
      <c r="B693" t="inlineStr">
        <is>
          <t>SALITRAL</t>
        </is>
      </c>
      <c r="C693" s="14">
        <f>'Empleo Censo'!G693-'Empleo Censo'!F693</f>
        <v/>
      </c>
      <c r="D693" s="14">
        <f>'Empleo Censo'!F693</f>
        <v/>
      </c>
      <c r="E693" s="14">
        <f>'Empleo Censo'!H693</f>
        <v/>
      </c>
      <c r="F693" s="14">
        <f>'Empleo Censo'!I693</f>
        <v/>
      </c>
      <c r="G693" s="14">
        <f>'Empleo Censo'!J693+'Empleo Censo'!K693</f>
        <v/>
      </c>
      <c r="H693" s="14">
        <f>'Empleo Censo'!L693</f>
        <v/>
      </c>
      <c r="I693" s="14">
        <f>'Empleo Censo'!M693</f>
        <v/>
      </c>
      <c r="J693" s="14">
        <f>SUM('Empleo Censo'!N693:AA693)</f>
        <v/>
      </c>
      <c r="K693" s="14">
        <f>SUM(C693:J693)</f>
        <v/>
      </c>
      <c r="L693" s="15">
        <f>SUMPRODUCT(C693:J693,Factores!$B$3:$I$3)</f>
        <v/>
      </c>
      <c r="M693" s="16">
        <f>'Empleo Censo'!E693</f>
        <v/>
      </c>
      <c r="N693" s="17">
        <f>IF(M693&gt;0,L693,Factores!$B$7)</f>
        <v/>
      </c>
      <c r="O693">
        <f>IF(M693&gt;0,"OK","sin PEA -&gt; peor")</f>
        <v/>
      </c>
    </row>
    <row r="694">
      <c r="A694" t="inlineStr">
        <is>
          <t>200407</t>
        </is>
      </c>
      <c r="B694" t="inlineStr">
        <is>
          <t>SAN JUAN DE BIGOTE</t>
        </is>
      </c>
      <c r="C694" s="14">
        <f>'Empleo Censo'!G694-'Empleo Censo'!F694</f>
        <v/>
      </c>
      <c r="D694" s="14">
        <f>'Empleo Censo'!F694</f>
        <v/>
      </c>
      <c r="E694" s="14">
        <f>'Empleo Censo'!H694</f>
        <v/>
      </c>
      <c r="F694" s="14">
        <f>'Empleo Censo'!I694</f>
        <v/>
      </c>
      <c r="G694" s="14">
        <f>'Empleo Censo'!J694+'Empleo Censo'!K694</f>
        <v/>
      </c>
      <c r="H694" s="14">
        <f>'Empleo Censo'!L694</f>
        <v/>
      </c>
      <c r="I694" s="14">
        <f>'Empleo Censo'!M694</f>
        <v/>
      </c>
      <c r="J694" s="14">
        <f>SUM('Empleo Censo'!N694:AA694)</f>
        <v/>
      </c>
      <c r="K694" s="14">
        <f>SUM(C694:J694)</f>
        <v/>
      </c>
      <c r="L694" s="15">
        <f>SUMPRODUCT(C694:J694,Factores!$B$3:$I$3)</f>
        <v/>
      </c>
      <c r="M694" s="16">
        <f>'Empleo Censo'!E694</f>
        <v/>
      </c>
      <c r="N694" s="17">
        <f>IF(M694&gt;0,L694,Factores!$B$7)</f>
        <v/>
      </c>
      <c r="O694">
        <f>IF(M694&gt;0,"OK","sin PEA -&gt; peor")</f>
        <v/>
      </c>
    </row>
    <row r="695">
      <c r="A695" t="inlineStr">
        <is>
          <t>200408</t>
        </is>
      </c>
      <c r="B695" t="inlineStr">
        <is>
          <t>SANTA CATALINA DE MOSSA</t>
        </is>
      </c>
      <c r="C695" s="14">
        <f>'Empleo Censo'!G695-'Empleo Censo'!F695</f>
        <v/>
      </c>
      <c r="D695" s="14">
        <f>'Empleo Censo'!F695</f>
        <v/>
      </c>
      <c r="E695" s="14">
        <f>'Empleo Censo'!H695</f>
        <v/>
      </c>
      <c r="F695" s="14">
        <f>'Empleo Censo'!I695</f>
        <v/>
      </c>
      <c r="G695" s="14">
        <f>'Empleo Censo'!J695+'Empleo Censo'!K695</f>
        <v/>
      </c>
      <c r="H695" s="14">
        <f>'Empleo Censo'!L695</f>
        <v/>
      </c>
      <c r="I695" s="14">
        <f>'Empleo Censo'!M695</f>
        <v/>
      </c>
      <c r="J695" s="14">
        <f>SUM('Empleo Censo'!N695:AA695)</f>
        <v/>
      </c>
      <c r="K695" s="14">
        <f>SUM(C695:J695)</f>
        <v/>
      </c>
      <c r="L695" s="15">
        <f>SUMPRODUCT(C695:J695,Factores!$B$3:$I$3)</f>
        <v/>
      </c>
      <c r="M695" s="16">
        <f>'Empleo Censo'!E695</f>
        <v/>
      </c>
      <c r="N695" s="17">
        <f>IF(M695&gt;0,L695,Factores!$B$7)</f>
        <v/>
      </c>
      <c r="O695">
        <f>IF(M695&gt;0,"OK","sin PEA -&gt; peor")</f>
        <v/>
      </c>
    </row>
    <row r="696">
      <c r="A696" t="inlineStr">
        <is>
          <t>200409</t>
        </is>
      </c>
      <c r="B696" t="inlineStr">
        <is>
          <t>SANTO DOMINGO</t>
        </is>
      </c>
      <c r="C696" s="14">
        <f>'Empleo Censo'!G696-'Empleo Censo'!F696</f>
        <v/>
      </c>
      <c r="D696" s="14">
        <f>'Empleo Censo'!F696</f>
        <v/>
      </c>
      <c r="E696" s="14">
        <f>'Empleo Censo'!H696</f>
        <v/>
      </c>
      <c r="F696" s="14">
        <f>'Empleo Censo'!I696</f>
        <v/>
      </c>
      <c r="G696" s="14">
        <f>'Empleo Censo'!J696+'Empleo Censo'!K696</f>
        <v/>
      </c>
      <c r="H696" s="14">
        <f>'Empleo Censo'!L696</f>
        <v/>
      </c>
      <c r="I696" s="14">
        <f>'Empleo Censo'!M696</f>
        <v/>
      </c>
      <c r="J696" s="14">
        <f>SUM('Empleo Censo'!N696:AA696)</f>
        <v/>
      </c>
      <c r="K696" s="14">
        <f>SUM(C696:J696)</f>
        <v/>
      </c>
      <c r="L696" s="15">
        <f>SUMPRODUCT(C696:J696,Factores!$B$3:$I$3)</f>
        <v/>
      </c>
      <c r="M696" s="16">
        <f>'Empleo Censo'!E696</f>
        <v/>
      </c>
      <c r="N696" s="17">
        <f>IF(M696&gt;0,L696,Factores!$B$7)</f>
        <v/>
      </c>
      <c r="O696">
        <f>IF(M696&gt;0,"OK","sin PEA -&gt; peor")</f>
        <v/>
      </c>
    </row>
    <row r="697">
      <c r="A697" t="inlineStr">
        <is>
          <t>200410</t>
        </is>
      </c>
      <c r="B697" t="inlineStr">
        <is>
          <t>YAMANGO</t>
        </is>
      </c>
      <c r="C697" s="14">
        <f>'Empleo Censo'!G697-'Empleo Censo'!F697</f>
        <v/>
      </c>
      <c r="D697" s="14">
        <f>'Empleo Censo'!F697</f>
        <v/>
      </c>
      <c r="E697" s="14">
        <f>'Empleo Censo'!H697</f>
        <v/>
      </c>
      <c r="F697" s="14">
        <f>'Empleo Censo'!I697</f>
        <v/>
      </c>
      <c r="G697" s="14">
        <f>'Empleo Censo'!J697+'Empleo Censo'!K697</f>
        <v/>
      </c>
      <c r="H697" s="14">
        <f>'Empleo Censo'!L697</f>
        <v/>
      </c>
      <c r="I697" s="14">
        <f>'Empleo Censo'!M697</f>
        <v/>
      </c>
      <c r="J697" s="14">
        <f>SUM('Empleo Censo'!N697:AA697)</f>
        <v/>
      </c>
      <c r="K697" s="14">
        <f>SUM(C697:J697)</f>
        <v/>
      </c>
      <c r="L697" s="15">
        <f>SUMPRODUCT(C697:J697,Factores!$B$3:$I$3)</f>
        <v/>
      </c>
      <c r="M697" s="16">
        <f>'Empleo Censo'!E697</f>
        <v/>
      </c>
      <c r="N697" s="17">
        <f>IF(M697&gt;0,L697,Factores!$B$7)</f>
        <v/>
      </c>
      <c r="O697">
        <f>IF(M697&gt;0,"OK","sin PEA -&gt; peor")</f>
        <v/>
      </c>
    </row>
    <row r="698">
      <c r="A698" t="inlineStr">
        <is>
          <t>200501</t>
        </is>
      </c>
      <c r="B698" t="inlineStr">
        <is>
          <t>PAITA</t>
        </is>
      </c>
      <c r="C698" s="14">
        <f>'Empleo Censo'!G698-'Empleo Censo'!F698</f>
        <v/>
      </c>
      <c r="D698" s="14">
        <f>'Empleo Censo'!F698</f>
        <v/>
      </c>
      <c r="E698" s="14">
        <f>'Empleo Censo'!H698</f>
        <v/>
      </c>
      <c r="F698" s="14">
        <f>'Empleo Censo'!I698</f>
        <v/>
      </c>
      <c r="G698" s="14">
        <f>'Empleo Censo'!J698+'Empleo Censo'!K698</f>
        <v/>
      </c>
      <c r="H698" s="14">
        <f>'Empleo Censo'!L698</f>
        <v/>
      </c>
      <c r="I698" s="14">
        <f>'Empleo Censo'!M698</f>
        <v/>
      </c>
      <c r="J698" s="14">
        <f>SUM('Empleo Censo'!N698:AA698)</f>
        <v/>
      </c>
      <c r="K698" s="14">
        <f>SUM(C698:J698)</f>
        <v/>
      </c>
      <c r="L698" s="15">
        <f>SUMPRODUCT(C698:J698,Factores!$B$3:$I$3)</f>
        <v/>
      </c>
      <c r="M698" s="16">
        <f>'Empleo Censo'!E698</f>
        <v/>
      </c>
      <c r="N698" s="17">
        <f>IF(M698&gt;0,L698,Factores!$B$7)</f>
        <v/>
      </c>
      <c r="O698">
        <f>IF(M698&gt;0,"OK","sin PEA -&gt; peor")</f>
        <v/>
      </c>
    </row>
    <row r="699">
      <c r="A699" t="inlineStr">
        <is>
          <t>200502</t>
        </is>
      </c>
      <c r="B699" t="inlineStr">
        <is>
          <t>AMOTAPE</t>
        </is>
      </c>
      <c r="C699" s="14">
        <f>'Empleo Censo'!G699-'Empleo Censo'!F699</f>
        <v/>
      </c>
      <c r="D699" s="14">
        <f>'Empleo Censo'!F699</f>
        <v/>
      </c>
      <c r="E699" s="14">
        <f>'Empleo Censo'!H699</f>
        <v/>
      </c>
      <c r="F699" s="14">
        <f>'Empleo Censo'!I699</f>
        <v/>
      </c>
      <c r="G699" s="14">
        <f>'Empleo Censo'!J699+'Empleo Censo'!K699</f>
        <v/>
      </c>
      <c r="H699" s="14">
        <f>'Empleo Censo'!L699</f>
        <v/>
      </c>
      <c r="I699" s="14">
        <f>'Empleo Censo'!M699</f>
        <v/>
      </c>
      <c r="J699" s="14">
        <f>SUM('Empleo Censo'!N699:AA699)</f>
        <v/>
      </c>
      <c r="K699" s="14">
        <f>SUM(C699:J699)</f>
        <v/>
      </c>
      <c r="L699" s="15">
        <f>SUMPRODUCT(C699:J699,Factores!$B$3:$I$3)</f>
        <v/>
      </c>
      <c r="M699" s="16">
        <f>'Empleo Censo'!E699</f>
        <v/>
      </c>
      <c r="N699" s="17">
        <f>IF(M699&gt;0,L699,Factores!$B$7)</f>
        <v/>
      </c>
      <c r="O699">
        <f>IF(M699&gt;0,"OK","sin PEA -&gt; peor")</f>
        <v/>
      </c>
    </row>
    <row r="700">
      <c r="A700" t="inlineStr">
        <is>
          <t>200503</t>
        </is>
      </c>
      <c r="B700" t="inlineStr">
        <is>
          <t>ARENAL</t>
        </is>
      </c>
      <c r="C700" s="14">
        <f>'Empleo Censo'!G700-'Empleo Censo'!F700</f>
        <v/>
      </c>
      <c r="D700" s="14">
        <f>'Empleo Censo'!F700</f>
        <v/>
      </c>
      <c r="E700" s="14">
        <f>'Empleo Censo'!H700</f>
        <v/>
      </c>
      <c r="F700" s="14">
        <f>'Empleo Censo'!I700</f>
        <v/>
      </c>
      <c r="G700" s="14">
        <f>'Empleo Censo'!J700+'Empleo Censo'!K700</f>
        <v/>
      </c>
      <c r="H700" s="14">
        <f>'Empleo Censo'!L700</f>
        <v/>
      </c>
      <c r="I700" s="14">
        <f>'Empleo Censo'!M700</f>
        <v/>
      </c>
      <c r="J700" s="14">
        <f>SUM('Empleo Censo'!N700:AA700)</f>
        <v/>
      </c>
      <c r="K700" s="14">
        <f>SUM(C700:J700)</f>
        <v/>
      </c>
      <c r="L700" s="15">
        <f>SUMPRODUCT(C700:J700,Factores!$B$3:$I$3)</f>
        <v/>
      </c>
      <c r="M700" s="16">
        <f>'Empleo Censo'!E700</f>
        <v/>
      </c>
      <c r="N700" s="17">
        <f>IF(M700&gt;0,L700,Factores!$B$7)</f>
        <v/>
      </c>
      <c r="O700">
        <f>IF(M700&gt;0,"OK","sin PEA -&gt; peor")</f>
        <v/>
      </c>
    </row>
    <row r="701">
      <c r="A701" t="inlineStr">
        <is>
          <t>200504</t>
        </is>
      </c>
      <c r="B701" t="inlineStr">
        <is>
          <t>COLAN</t>
        </is>
      </c>
      <c r="C701" s="14">
        <f>'Empleo Censo'!G701-'Empleo Censo'!F701</f>
        <v/>
      </c>
      <c r="D701" s="14">
        <f>'Empleo Censo'!F701</f>
        <v/>
      </c>
      <c r="E701" s="14">
        <f>'Empleo Censo'!H701</f>
        <v/>
      </c>
      <c r="F701" s="14">
        <f>'Empleo Censo'!I701</f>
        <v/>
      </c>
      <c r="G701" s="14">
        <f>'Empleo Censo'!J701+'Empleo Censo'!K701</f>
        <v/>
      </c>
      <c r="H701" s="14">
        <f>'Empleo Censo'!L701</f>
        <v/>
      </c>
      <c r="I701" s="14">
        <f>'Empleo Censo'!M701</f>
        <v/>
      </c>
      <c r="J701" s="14">
        <f>SUM('Empleo Censo'!N701:AA701)</f>
        <v/>
      </c>
      <c r="K701" s="14">
        <f>SUM(C701:J701)</f>
        <v/>
      </c>
      <c r="L701" s="15">
        <f>SUMPRODUCT(C701:J701,Factores!$B$3:$I$3)</f>
        <v/>
      </c>
      <c r="M701" s="16">
        <f>'Empleo Censo'!E701</f>
        <v/>
      </c>
      <c r="N701" s="17">
        <f>IF(M701&gt;0,L701,Factores!$B$7)</f>
        <v/>
      </c>
      <c r="O701">
        <f>IF(M701&gt;0,"OK","sin PEA -&gt; peor")</f>
        <v/>
      </c>
    </row>
    <row r="702">
      <c r="A702" t="inlineStr">
        <is>
          <t>200505</t>
        </is>
      </c>
      <c r="B702" t="inlineStr">
        <is>
          <t>LA HUACA</t>
        </is>
      </c>
      <c r="C702" s="14">
        <f>'Empleo Censo'!G702-'Empleo Censo'!F702</f>
        <v/>
      </c>
      <c r="D702" s="14">
        <f>'Empleo Censo'!F702</f>
        <v/>
      </c>
      <c r="E702" s="14">
        <f>'Empleo Censo'!H702</f>
        <v/>
      </c>
      <c r="F702" s="14">
        <f>'Empleo Censo'!I702</f>
        <v/>
      </c>
      <c r="G702" s="14">
        <f>'Empleo Censo'!J702+'Empleo Censo'!K702</f>
        <v/>
      </c>
      <c r="H702" s="14">
        <f>'Empleo Censo'!L702</f>
        <v/>
      </c>
      <c r="I702" s="14">
        <f>'Empleo Censo'!M702</f>
        <v/>
      </c>
      <c r="J702" s="14">
        <f>SUM('Empleo Censo'!N702:AA702)</f>
        <v/>
      </c>
      <c r="K702" s="14">
        <f>SUM(C702:J702)</f>
        <v/>
      </c>
      <c r="L702" s="15">
        <f>SUMPRODUCT(C702:J702,Factores!$B$3:$I$3)</f>
        <v/>
      </c>
      <c r="M702" s="16">
        <f>'Empleo Censo'!E702</f>
        <v/>
      </c>
      <c r="N702" s="17">
        <f>IF(M702&gt;0,L702,Factores!$B$7)</f>
        <v/>
      </c>
      <c r="O702">
        <f>IF(M702&gt;0,"OK","sin PEA -&gt; peor")</f>
        <v/>
      </c>
    </row>
    <row r="703">
      <c r="A703" t="inlineStr">
        <is>
          <t>200506</t>
        </is>
      </c>
      <c r="B703" t="inlineStr">
        <is>
          <t>TAMARINDO</t>
        </is>
      </c>
      <c r="C703" s="14">
        <f>'Empleo Censo'!G703-'Empleo Censo'!F703</f>
        <v/>
      </c>
      <c r="D703" s="14">
        <f>'Empleo Censo'!F703</f>
        <v/>
      </c>
      <c r="E703" s="14">
        <f>'Empleo Censo'!H703</f>
        <v/>
      </c>
      <c r="F703" s="14">
        <f>'Empleo Censo'!I703</f>
        <v/>
      </c>
      <c r="G703" s="14">
        <f>'Empleo Censo'!J703+'Empleo Censo'!K703</f>
        <v/>
      </c>
      <c r="H703" s="14">
        <f>'Empleo Censo'!L703</f>
        <v/>
      </c>
      <c r="I703" s="14">
        <f>'Empleo Censo'!M703</f>
        <v/>
      </c>
      <c r="J703" s="14">
        <f>SUM('Empleo Censo'!N703:AA703)</f>
        <v/>
      </c>
      <c r="K703" s="14">
        <f>SUM(C703:J703)</f>
        <v/>
      </c>
      <c r="L703" s="15">
        <f>SUMPRODUCT(C703:J703,Factores!$B$3:$I$3)</f>
        <v/>
      </c>
      <c r="M703" s="16">
        <f>'Empleo Censo'!E703</f>
        <v/>
      </c>
      <c r="N703" s="17">
        <f>IF(M703&gt;0,L703,Factores!$B$7)</f>
        <v/>
      </c>
      <c r="O703">
        <f>IF(M703&gt;0,"OK","sin PEA -&gt; peor")</f>
        <v/>
      </c>
    </row>
    <row r="704">
      <c r="A704" t="inlineStr">
        <is>
          <t>200507</t>
        </is>
      </c>
      <c r="B704" t="inlineStr">
        <is>
          <t>VICHAYAL</t>
        </is>
      </c>
      <c r="C704" s="14">
        <f>'Empleo Censo'!G704-'Empleo Censo'!F704</f>
        <v/>
      </c>
      <c r="D704" s="14">
        <f>'Empleo Censo'!F704</f>
        <v/>
      </c>
      <c r="E704" s="14">
        <f>'Empleo Censo'!H704</f>
        <v/>
      </c>
      <c r="F704" s="14">
        <f>'Empleo Censo'!I704</f>
        <v/>
      </c>
      <c r="G704" s="14">
        <f>'Empleo Censo'!J704+'Empleo Censo'!K704</f>
        <v/>
      </c>
      <c r="H704" s="14">
        <f>'Empleo Censo'!L704</f>
        <v/>
      </c>
      <c r="I704" s="14">
        <f>'Empleo Censo'!M704</f>
        <v/>
      </c>
      <c r="J704" s="14">
        <f>SUM('Empleo Censo'!N704:AA704)</f>
        <v/>
      </c>
      <c r="K704" s="14">
        <f>SUM(C704:J704)</f>
        <v/>
      </c>
      <c r="L704" s="15">
        <f>SUMPRODUCT(C704:J704,Factores!$B$3:$I$3)</f>
        <v/>
      </c>
      <c r="M704" s="16">
        <f>'Empleo Censo'!E704</f>
        <v/>
      </c>
      <c r="N704" s="17">
        <f>IF(M704&gt;0,L704,Factores!$B$7)</f>
        <v/>
      </c>
      <c r="O704">
        <f>IF(M704&gt;0,"OK","sin PEA -&gt; peor")</f>
        <v/>
      </c>
    </row>
    <row r="705">
      <c r="A705" t="inlineStr">
        <is>
          <t>200601</t>
        </is>
      </c>
      <c r="B705" t="inlineStr">
        <is>
          <t>SULLANA</t>
        </is>
      </c>
      <c r="C705" s="14">
        <f>'Empleo Censo'!G705-'Empleo Censo'!F705</f>
        <v/>
      </c>
      <c r="D705" s="14">
        <f>'Empleo Censo'!F705</f>
        <v/>
      </c>
      <c r="E705" s="14">
        <f>'Empleo Censo'!H705</f>
        <v/>
      </c>
      <c r="F705" s="14">
        <f>'Empleo Censo'!I705</f>
        <v/>
      </c>
      <c r="G705" s="14">
        <f>'Empleo Censo'!J705+'Empleo Censo'!K705</f>
        <v/>
      </c>
      <c r="H705" s="14">
        <f>'Empleo Censo'!L705</f>
        <v/>
      </c>
      <c r="I705" s="14">
        <f>'Empleo Censo'!M705</f>
        <v/>
      </c>
      <c r="J705" s="14">
        <f>SUM('Empleo Censo'!N705:AA705)</f>
        <v/>
      </c>
      <c r="K705" s="14">
        <f>SUM(C705:J705)</f>
        <v/>
      </c>
      <c r="L705" s="15">
        <f>SUMPRODUCT(C705:J705,Factores!$B$3:$I$3)</f>
        <v/>
      </c>
      <c r="M705" s="16">
        <f>'Empleo Censo'!E705</f>
        <v/>
      </c>
      <c r="N705" s="17">
        <f>IF(M705&gt;0,L705,Factores!$B$7)</f>
        <v/>
      </c>
      <c r="O705">
        <f>IF(M705&gt;0,"OK","sin PEA -&gt; peor")</f>
        <v/>
      </c>
    </row>
    <row r="706">
      <c r="A706" t="inlineStr">
        <is>
          <t>200602</t>
        </is>
      </c>
      <c r="B706" t="inlineStr">
        <is>
          <t>BELLAVISTA</t>
        </is>
      </c>
      <c r="C706" s="14">
        <f>'Empleo Censo'!G706-'Empleo Censo'!F706</f>
        <v/>
      </c>
      <c r="D706" s="14">
        <f>'Empleo Censo'!F706</f>
        <v/>
      </c>
      <c r="E706" s="14">
        <f>'Empleo Censo'!H706</f>
        <v/>
      </c>
      <c r="F706" s="14">
        <f>'Empleo Censo'!I706</f>
        <v/>
      </c>
      <c r="G706" s="14">
        <f>'Empleo Censo'!J706+'Empleo Censo'!K706</f>
        <v/>
      </c>
      <c r="H706" s="14">
        <f>'Empleo Censo'!L706</f>
        <v/>
      </c>
      <c r="I706" s="14">
        <f>'Empleo Censo'!M706</f>
        <v/>
      </c>
      <c r="J706" s="14">
        <f>SUM('Empleo Censo'!N706:AA706)</f>
        <v/>
      </c>
      <c r="K706" s="14">
        <f>SUM(C706:J706)</f>
        <v/>
      </c>
      <c r="L706" s="15">
        <f>SUMPRODUCT(C706:J706,Factores!$B$3:$I$3)</f>
        <v/>
      </c>
      <c r="M706" s="16">
        <f>'Empleo Censo'!E706</f>
        <v/>
      </c>
      <c r="N706" s="17">
        <f>IF(M706&gt;0,L706,Factores!$B$7)</f>
        <v/>
      </c>
      <c r="O706">
        <f>IF(M706&gt;0,"OK","sin PEA -&gt; peor")</f>
        <v/>
      </c>
    </row>
    <row r="707">
      <c r="A707" t="inlineStr">
        <is>
          <t>200603</t>
        </is>
      </c>
      <c r="B707" t="inlineStr">
        <is>
          <t>IGNACIO ESCUDERO</t>
        </is>
      </c>
      <c r="C707" s="14">
        <f>'Empleo Censo'!G707-'Empleo Censo'!F707</f>
        <v/>
      </c>
      <c r="D707" s="14">
        <f>'Empleo Censo'!F707</f>
        <v/>
      </c>
      <c r="E707" s="14">
        <f>'Empleo Censo'!H707</f>
        <v/>
      </c>
      <c r="F707" s="14">
        <f>'Empleo Censo'!I707</f>
        <v/>
      </c>
      <c r="G707" s="14">
        <f>'Empleo Censo'!J707+'Empleo Censo'!K707</f>
        <v/>
      </c>
      <c r="H707" s="14">
        <f>'Empleo Censo'!L707</f>
        <v/>
      </c>
      <c r="I707" s="14">
        <f>'Empleo Censo'!M707</f>
        <v/>
      </c>
      <c r="J707" s="14">
        <f>SUM('Empleo Censo'!N707:AA707)</f>
        <v/>
      </c>
      <c r="K707" s="14">
        <f>SUM(C707:J707)</f>
        <v/>
      </c>
      <c r="L707" s="15">
        <f>SUMPRODUCT(C707:J707,Factores!$B$3:$I$3)</f>
        <v/>
      </c>
      <c r="M707" s="16">
        <f>'Empleo Censo'!E707</f>
        <v/>
      </c>
      <c r="N707" s="17">
        <f>IF(M707&gt;0,L707,Factores!$B$7)</f>
        <v/>
      </c>
      <c r="O707">
        <f>IF(M707&gt;0,"OK","sin PEA -&gt; peor")</f>
        <v/>
      </c>
    </row>
    <row r="708">
      <c r="A708" t="inlineStr">
        <is>
          <t>200604</t>
        </is>
      </c>
      <c r="B708" t="inlineStr">
        <is>
          <t>LANCONES</t>
        </is>
      </c>
      <c r="C708" s="14">
        <f>'Empleo Censo'!G708-'Empleo Censo'!F708</f>
        <v/>
      </c>
      <c r="D708" s="14">
        <f>'Empleo Censo'!F708</f>
        <v/>
      </c>
      <c r="E708" s="14">
        <f>'Empleo Censo'!H708</f>
        <v/>
      </c>
      <c r="F708" s="14">
        <f>'Empleo Censo'!I708</f>
        <v/>
      </c>
      <c r="G708" s="14">
        <f>'Empleo Censo'!J708+'Empleo Censo'!K708</f>
        <v/>
      </c>
      <c r="H708" s="14">
        <f>'Empleo Censo'!L708</f>
        <v/>
      </c>
      <c r="I708" s="14">
        <f>'Empleo Censo'!M708</f>
        <v/>
      </c>
      <c r="J708" s="14">
        <f>SUM('Empleo Censo'!N708:AA708)</f>
        <v/>
      </c>
      <c r="K708" s="14">
        <f>SUM(C708:J708)</f>
        <v/>
      </c>
      <c r="L708" s="15">
        <f>SUMPRODUCT(C708:J708,Factores!$B$3:$I$3)</f>
        <v/>
      </c>
      <c r="M708" s="16">
        <f>'Empleo Censo'!E708</f>
        <v/>
      </c>
      <c r="N708" s="17">
        <f>IF(M708&gt;0,L708,Factores!$B$7)</f>
        <v/>
      </c>
      <c r="O708">
        <f>IF(M708&gt;0,"OK","sin PEA -&gt; peor")</f>
        <v/>
      </c>
    </row>
    <row r="709">
      <c r="A709" t="inlineStr">
        <is>
          <t>200605</t>
        </is>
      </c>
      <c r="B709" t="inlineStr">
        <is>
          <t>MARCAVELICA</t>
        </is>
      </c>
      <c r="C709" s="14">
        <f>'Empleo Censo'!G709-'Empleo Censo'!F709</f>
        <v/>
      </c>
      <c r="D709" s="14">
        <f>'Empleo Censo'!F709</f>
        <v/>
      </c>
      <c r="E709" s="14">
        <f>'Empleo Censo'!H709</f>
        <v/>
      </c>
      <c r="F709" s="14">
        <f>'Empleo Censo'!I709</f>
        <v/>
      </c>
      <c r="G709" s="14">
        <f>'Empleo Censo'!J709+'Empleo Censo'!K709</f>
        <v/>
      </c>
      <c r="H709" s="14">
        <f>'Empleo Censo'!L709</f>
        <v/>
      </c>
      <c r="I709" s="14">
        <f>'Empleo Censo'!M709</f>
        <v/>
      </c>
      <c r="J709" s="14">
        <f>SUM('Empleo Censo'!N709:AA709)</f>
        <v/>
      </c>
      <c r="K709" s="14">
        <f>SUM(C709:J709)</f>
        <v/>
      </c>
      <c r="L709" s="15">
        <f>SUMPRODUCT(C709:J709,Factores!$B$3:$I$3)</f>
        <v/>
      </c>
      <c r="M709" s="16">
        <f>'Empleo Censo'!E709</f>
        <v/>
      </c>
      <c r="N709" s="17">
        <f>IF(M709&gt;0,L709,Factores!$B$7)</f>
        <v/>
      </c>
      <c r="O709">
        <f>IF(M709&gt;0,"OK","sin PEA -&gt; peor")</f>
        <v/>
      </c>
    </row>
    <row r="710">
      <c r="A710" t="inlineStr">
        <is>
          <t>200606</t>
        </is>
      </c>
      <c r="B710" t="inlineStr">
        <is>
          <t>MIGUEL CHECA</t>
        </is>
      </c>
      <c r="C710" s="14">
        <f>'Empleo Censo'!G710-'Empleo Censo'!F710</f>
        <v/>
      </c>
      <c r="D710" s="14">
        <f>'Empleo Censo'!F710</f>
        <v/>
      </c>
      <c r="E710" s="14">
        <f>'Empleo Censo'!H710</f>
        <v/>
      </c>
      <c r="F710" s="14">
        <f>'Empleo Censo'!I710</f>
        <v/>
      </c>
      <c r="G710" s="14">
        <f>'Empleo Censo'!J710+'Empleo Censo'!K710</f>
        <v/>
      </c>
      <c r="H710" s="14">
        <f>'Empleo Censo'!L710</f>
        <v/>
      </c>
      <c r="I710" s="14">
        <f>'Empleo Censo'!M710</f>
        <v/>
      </c>
      <c r="J710" s="14">
        <f>SUM('Empleo Censo'!N710:AA710)</f>
        <v/>
      </c>
      <c r="K710" s="14">
        <f>SUM(C710:J710)</f>
        <v/>
      </c>
      <c r="L710" s="15">
        <f>SUMPRODUCT(C710:J710,Factores!$B$3:$I$3)</f>
        <v/>
      </c>
      <c r="M710" s="16">
        <f>'Empleo Censo'!E710</f>
        <v/>
      </c>
      <c r="N710" s="17">
        <f>IF(M710&gt;0,L710,Factores!$B$7)</f>
        <v/>
      </c>
      <c r="O710">
        <f>IF(M710&gt;0,"OK","sin PEA -&gt; peor")</f>
        <v/>
      </c>
    </row>
    <row r="711">
      <c r="A711" t="inlineStr">
        <is>
          <t>200607</t>
        </is>
      </c>
      <c r="B711" t="inlineStr">
        <is>
          <t>QUERECOTILLO</t>
        </is>
      </c>
      <c r="C711" s="14">
        <f>'Empleo Censo'!G711-'Empleo Censo'!F711</f>
        <v/>
      </c>
      <c r="D711" s="14">
        <f>'Empleo Censo'!F711</f>
        <v/>
      </c>
      <c r="E711" s="14">
        <f>'Empleo Censo'!H711</f>
        <v/>
      </c>
      <c r="F711" s="14">
        <f>'Empleo Censo'!I711</f>
        <v/>
      </c>
      <c r="G711" s="14">
        <f>'Empleo Censo'!J711+'Empleo Censo'!K711</f>
        <v/>
      </c>
      <c r="H711" s="14">
        <f>'Empleo Censo'!L711</f>
        <v/>
      </c>
      <c r="I711" s="14">
        <f>'Empleo Censo'!M711</f>
        <v/>
      </c>
      <c r="J711" s="14">
        <f>SUM('Empleo Censo'!N711:AA711)</f>
        <v/>
      </c>
      <c r="K711" s="14">
        <f>SUM(C711:J711)</f>
        <v/>
      </c>
      <c r="L711" s="15">
        <f>SUMPRODUCT(C711:J711,Factores!$B$3:$I$3)</f>
        <v/>
      </c>
      <c r="M711" s="16">
        <f>'Empleo Censo'!E711</f>
        <v/>
      </c>
      <c r="N711" s="17">
        <f>IF(M711&gt;0,L711,Factores!$B$7)</f>
        <v/>
      </c>
      <c r="O711">
        <f>IF(M711&gt;0,"OK","sin PEA -&gt; peor")</f>
        <v/>
      </c>
    </row>
    <row r="712">
      <c r="A712" t="inlineStr">
        <is>
          <t>200608</t>
        </is>
      </c>
      <c r="B712" t="inlineStr">
        <is>
          <t>SALITRAL</t>
        </is>
      </c>
      <c r="C712" s="14">
        <f>'Empleo Censo'!G712-'Empleo Censo'!F712</f>
        <v/>
      </c>
      <c r="D712" s="14">
        <f>'Empleo Censo'!F712</f>
        <v/>
      </c>
      <c r="E712" s="14">
        <f>'Empleo Censo'!H712</f>
        <v/>
      </c>
      <c r="F712" s="14">
        <f>'Empleo Censo'!I712</f>
        <v/>
      </c>
      <c r="G712" s="14">
        <f>'Empleo Censo'!J712+'Empleo Censo'!K712</f>
        <v/>
      </c>
      <c r="H712" s="14">
        <f>'Empleo Censo'!L712</f>
        <v/>
      </c>
      <c r="I712" s="14">
        <f>'Empleo Censo'!M712</f>
        <v/>
      </c>
      <c r="J712" s="14">
        <f>SUM('Empleo Censo'!N712:AA712)</f>
        <v/>
      </c>
      <c r="K712" s="14">
        <f>SUM(C712:J712)</f>
        <v/>
      </c>
      <c r="L712" s="15">
        <f>SUMPRODUCT(C712:J712,Factores!$B$3:$I$3)</f>
        <v/>
      </c>
      <c r="M712" s="16">
        <f>'Empleo Censo'!E712</f>
        <v/>
      </c>
      <c r="N712" s="17">
        <f>IF(M712&gt;0,L712,Factores!$B$7)</f>
        <v/>
      </c>
      <c r="O712">
        <f>IF(M712&gt;0,"OK","sin PEA -&gt; peor")</f>
        <v/>
      </c>
    </row>
    <row r="713">
      <c r="A713" t="inlineStr">
        <is>
          <t>200701</t>
        </is>
      </c>
      <c r="B713" t="inlineStr">
        <is>
          <t>PARIÑAS</t>
        </is>
      </c>
      <c r="C713" s="14">
        <f>'Empleo Censo'!G713-'Empleo Censo'!F713</f>
        <v/>
      </c>
      <c r="D713" s="14">
        <f>'Empleo Censo'!F713</f>
        <v/>
      </c>
      <c r="E713" s="14">
        <f>'Empleo Censo'!H713</f>
        <v/>
      </c>
      <c r="F713" s="14">
        <f>'Empleo Censo'!I713</f>
        <v/>
      </c>
      <c r="G713" s="14">
        <f>'Empleo Censo'!J713+'Empleo Censo'!K713</f>
        <v/>
      </c>
      <c r="H713" s="14">
        <f>'Empleo Censo'!L713</f>
        <v/>
      </c>
      <c r="I713" s="14">
        <f>'Empleo Censo'!M713</f>
        <v/>
      </c>
      <c r="J713" s="14">
        <f>SUM('Empleo Censo'!N713:AA713)</f>
        <v/>
      </c>
      <c r="K713" s="14">
        <f>SUM(C713:J713)</f>
        <v/>
      </c>
      <c r="L713" s="15">
        <f>SUMPRODUCT(C713:J713,Factores!$B$3:$I$3)</f>
        <v/>
      </c>
      <c r="M713" s="16">
        <f>'Empleo Censo'!E713</f>
        <v/>
      </c>
      <c r="N713" s="17">
        <f>IF(M713&gt;0,L713,Factores!$B$7)</f>
        <v/>
      </c>
      <c r="O713">
        <f>IF(M713&gt;0,"OK","sin PEA -&gt; peor")</f>
        <v/>
      </c>
    </row>
    <row r="714">
      <c r="A714" t="inlineStr">
        <is>
          <t>200702</t>
        </is>
      </c>
      <c r="B714" t="inlineStr">
        <is>
          <t>EL ALTO</t>
        </is>
      </c>
      <c r="C714" s="14">
        <f>'Empleo Censo'!G714-'Empleo Censo'!F714</f>
        <v/>
      </c>
      <c r="D714" s="14">
        <f>'Empleo Censo'!F714</f>
        <v/>
      </c>
      <c r="E714" s="14">
        <f>'Empleo Censo'!H714</f>
        <v/>
      </c>
      <c r="F714" s="14">
        <f>'Empleo Censo'!I714</f>
        <v/>
      </c>
      <c r="G714" s="14">
        <f>'Empleo Censo'!J714+'Empleo Censo'!K714</f>
        <v/>
      </c>
      <c r="H714" s="14">
        <f>'Empleo Censo'!L714</f>
        <v/>
      </c>
      <c r="I714" s="14">
        <f>'Empleo Censo'!M714</f>
        <v/>
      </c>
      <c r="J714" s="14">
        <f>SUM('Empleo Censo'!N714:AA714)</f>
        <v/>
      </c>
      <c r="K714" s="14">
        <f>SUM(C714:J714)</f>
        <v/>
      </c>
      <c r="L714" s="15">
        <f>SUMPRODUCT(C714:J714,Factores!$B$3:$I$3)</f>
        <v/>
      </c>
      <c r="M714" s="16">
        <f>'Empleo Censo'!E714</f>
        <v/>
      </c>
      <c r="N714" s="17">
        <f>IF(M714&gt;0,L714,Factores!$B$7)</f>
        <v/>
      </c>
      <c r="O714">
        <f>IF(M714&gt;0,"OK","sin PEA -&gt; peor")</f>
        <v/>
      </c>
    </row>
    <row r="715">
      <c r="A715" t="inlineStr">
        <is>
          <t>200703</t>
        </is>
      </c>
      <c r="B715" t="inlineStr">
        <is>
          <t>LA BREA</t>
        </is>
      </c>
      <c r="C715" s="14">
        <f>'Empleo Censo'!G715-'Empleo Censo'!F715</f>
        <v/>
      </c>
      <c r="D715" s="14">
        <f>'Empleo Censo'!F715</f>
        <v/>
      </c>
      <c r="E715" s="14">
        <f>'Empleo Censo'!H715</f>
        <v/>
      </c>
      <c r="F715" s="14">
        <f>'Empleo Censo'!I715</f>
        <v/>
      </c>
      <c r="G715" s="14">
        <f>'Empleo Censo'!J715+'Empleo Censo'!K715</f>
        <v/>
      </c>
      <c r="H715" s="14">
        <f>'Empleo Censo'!L715</f>
        <v/>
      </c>
      <c r="I715" s="14">
        <f>'Empleo Censo'!M715</f>
        <v/>
      </c>
      <c r="J715" s="14">
        <f>SUM('Empleo Censo'!N715:AA715)</f>
        <v/>
      </c>
      <c r="K715" s="14">
        <f>SUM(C715:J715)</f>
        <v/>
      </c>
      <c r="L715" s="15">
        <f>SUMPRODUCT(C715:J715,Factores!$B$3:$I$3)</f>
        <v/>
      </c>
      <c r="M715" s="16">
        <f>'Empleo Censo'!E715</f>
        <v/>
      </c>
      <c r="N715" s="17">
        <f>IF(M715&gt;0,L715,Factores!$B$7)</f>
        <v/>
      </c>
      <c r="O715">
        <f>IF(M715&gt;0,"OK","sin PEA -&gt; peor")</f>
        <v/>
      </c>
    </row>
    <row r="716">
      <c r="A716" t="inlineStr">
        <is>
          <t>200704</t>
        </is>
      </c>
      <c r="B716" t="inlineStr">
        <is>
          <t>LOBITOS</t>
        </is>
      </c>
      <c r="C716" s="14">
        <f>'Empleo Censo'!G716-'Empleo Censo'!F716</f>
        <v/>
      </c>
      <c r="D716" s="14">
        <f>'Empleo Censo'!F716</f>
        <v/>
      </c>
      <c r="E716" s="14">
        <f>'Empleo Censo'!H716</f>
        <v/>
      </c>
      <c r="F716" s="14">
        <f>'Empleo Censo'!I716</f>
        <v/>
      </c>
      <c r="G716" s="14">
        <f>'Empleo Censo'!J716+'Empleo Censo'!K716</f>
        <v/>
      </c>
      <c r="H716" s="14">
        <f>'Empleo Censo'!L716</f>
        <v/>
      </c>
      <c r="I716" s="14">
        <f>'Empleo Censo'!M716</f>
        <v/>
      </c>
      <c r="J716" s="14">
        <f>SUM('Empleo Censo'!N716:AA716)</f>
        <v/>
      </c>
      <c r="K716" s="14">
        <f>SUM(C716:J716)</f>
        <v/>
      </c>
      <c r="L716" s="15">
        <f>SUMPRODUCT(C716:J716,Factores!$B$3:$I$3)</f>
        <v/>
      </c>
      <c r="M716" s="16">
        <f>'Empleo Censo'!E716</f>
        <v/>
      </c>
      <c r="N716" s="17">
        <f>IF(M716&gt;0,L716,Factores!$B$7)</f>
        <v/>
      </c>
      <c r="O716">
        <f>IF(M716&gt;0,"OK","sin PEA -&gt; peor")</f>
        <v/>
      </c>
    </row>
    <row r="717">
      <c r="A717" t="inlineStr">
        <is>
          <t>200705</t>
        </is>
      </c>
      <c r="B717" t="inlineStr">
        <is>
          <t>LOS ORGANOS</t>
        </is>
      </c>
      <c r="C717" s="14">
        <f>'Empleo Censo'!G717-'Empleo Censo'!F717</f>
        <v/>
      </c>
      <c r="D717" s="14">
        <f>'Empleo Censo'!F717</f>
        <v/>
      </c>
      <c r="E717" s="14">
        <f>'Empleo Censo'!H717</f>
        <v/>
      </c>
      <c r="F717" s="14">
        <f>'Empleo Censo'!I717</f>
        <v/>
      </c>
      <c r="G717" s="14">
        <f>'Empleo Censo'!J717+'Empleo Censo'!K717</f>
        <v/>
      </c>
      <c r="H717" s="14">
        <f>'Empleo Censo'!L717</f>
        <v/>
      </c>
      <c r="I717" s="14">
        <f>'Empleo Censo'!M717</f>
        <v/>
      </c>
      <c r="J717" s="14">
        <f>SUM('Empleo Censo'!N717:AA717)</f>
        <v/>
      </c>
      <c r="K717" s="14">
        <f>SUM(C717:J717)</f>
        <v/>
      </c>
      <c r="L717" s="15">
        <f>SUMPRODUCT(C717:J717,Factores!$B$3:$I$3)</f>
        <v/>
      </c>
      <c r="M717" s="16">
        <f>'Empleo Censo'!E717</f>
        <v/>
      </c>
      <c r="N717" s="17">
        <f>IF(M717&gt;0,L717,Factores!$B$7)</f>
        <v/>
      </c>
      <c r="O717">
        <f>IF(M717&gt;0,"OK","sin PEA -&gt; peor")</f>
        <v/>
      </c>
    </row>
    <row r="718">
      <c r="A718" t="inlineStr">
        <is>
          <t>200706</t>
        </is>
      </c>
      <c r="B718" t="inlineStr">
        <is>
          <t>MANCORA</t>
        </is>
      </c>
      <c r="C718" s="14">
        <f>'Empleo Censo'!G718-'Empleo Censo'!F718</f>
        <v/>
      </c>
      <c r="D718" s="14">
        <f>'Empleo Censo'!F718</f>
        <v/>
      </c>
      <c r="E718" s="14">
        <f>'Empleo Censo'!H718</f>
        <v/>
      </c>
      <c r="F718" s="14">
        <f>'Empleo Censo'!I718</f>
        <v/>
      </c>
      <c r="G718" s="14">
        <f>'Empleo Censo'!J718+'Empleo Censo'!K718</f>
        <v/>
      </c>
      <c r="H718" s="14">
        <f>'Empleo Censo'!L718</f>
        <v/>
      </c>
      <c r="I718" s="14">
        <f>'Empleo Censo'!M718</f>
        <v/>
      </c>
      <c r="J718" s="14">
        <f>SUM('Empleo Censo'!N718:AA718)</f>
        <v/>
      </c>
      <c r="K718" s="14">
        <f>SUM(C718:J718)</f>
        <v/>
      </c>
      <c r="L718" s="15">
        <f>SUMPRODUCT(C718:J718,Factores!$B$3:$I$3)</f>
        <v/>
      </c>
      <c r="M718" s="16">
        <f>'Empleo Censo'!E718</f>
        <v/>
      </c>
      <c r="N718" s="17">
        <f>IF(M718&gt;0,L718,Factores!$B$7)</f>
        <v/>
      </c>
      <c r="O718">
        <f>IF(M718&gt;0,"OK","sin PEA -&gt; peor")</f>
        <v/>
      </c>
    </row>
    <row r="719">
      <c r="A719" t="inlineStr">
        <is>
          <t>200801</t>
        </is>
      </c>
      <c r="B719" t="inlineStr">
        <is>
          <t>SECHURA</t>
        </is>
      </c>
      <c r="C719" s="14">
        <f>'Empleo Censo'!G719-'Empleo Censo'!F719</f>
        <v/>
      </c>
      <c r="D719" s="14">
        <f>'Empleo Censo'!F719</f>
        <v/>
      </c>
      <c r="E719" s="14">
        <f>'Empleo Censo'!H719</f>
        <v/>
      </c>
      <c r="F719" s="14">
        <f>'Empleo Censo'!I719</f>
        <v/>
      </c>
      <c r="G719" s="14">
        <f>'Empleo Censo'!J719+'Empleo Censo'!K719</f>
        <v/>
      </c>
      <c r="H719" s="14">
        <f>'Empleo Censo'!L719</f>
        <v/>
      </c>
      <c r="I719" s="14">
        <f>'Empleo Censo'!M719</f>
        <v/>
      </c>
      <c r="J719" s="14">
        <f>SUM('Empleo Censo'!N719:AA719)</f>
        <v/>
      </c>
      <c r="K719" s="14">
        <f>SUM(C719:J719)</f>
        <v/>
      </c>
      <c r="L719" s="15">
        <f>SUMPRODUCT(C719:J719,Factores!$B$3:$I$3)</f>
        <v/>
      </c>
      <c r="M719" s="16">
        <f>'Empleo Censo'!E719</f>
        <v/>
      </c>
      <c r="N719" s="17">
        <f>IF(M719&gt;0,L719,Factores!$B$7)</f>
        <v/>
      </c>
      <c r="O719">
        <f>IF(M719&gt;0,"OK","sin PEA -&gt; peor")</f>
        <v/>
      </c>
    </row>
    <row r="720">
      <c r="A720" t="inlineStr">
        <is>
          <t>200802</t>
        </is>
      </c>
      <c r="B720" t="inlineStr">
        <is>
          <t>BELLAVISTA DE LA UNION</t>
        </is>
      </c>
      <c r="C720" s="14">
        <f>'Empleo Censo'!G720-'Empleo Censo'!F720</f>
        <v/>
      </c>
      <c r="D720" s="14">
        <f>'Empleo Censo'!F720</f>
        <v/>
      </c>
      <c r="E720" s="14">
        <f>'Empleo Censo'!H720</f>
        <v/>
      </c>
      <c r="F720" s="14">
        <f>'Empleo Censo'!I720</f>
        <v/>
      </c>
      <c r="G720" s="14">
        <f>'Empleo Censo'!J720+'Empleo Censo'!K720</f>
        <v/>
      </c>
      <c r="H720" s="14">
        <f>'Empleo Censo'!L720</f>
        <v/>
      </c>
      <c r="I720" s="14">
        <f>'Empleo Censo'!M720</f>
        <v/>
      </c>
      <c r="J720" s="14">
        <f>SUM('Empleo Censo'!N720:AA720)</f>
        <v/>
      </c>
      <c r="K720" s="14">
        <f>SUM(C720:J720)</f>
        <v/>
      </c>
      <c r="L720" s="15">
        <f>SUMPRODUCT(C720:J720,Factores!$B$3:$I$3)</f>
        <v/>
      </c>
      <c r="M720" s="16">
        <f>'Empleo Censo'!E720</f>
        <v/>
      </c>
      <c r="N720" s="17">
        <f>IF(M720&gt;0,L720,Factores!$B$7)</f>
        <v/>
      </c>
      <c r="O720">
        <f>IF(M720&gt;0,"OK","sin PEA -&gt; peor")</f>
        <v/>
      </c>
    </row>
    <row r="721">
      <c r="A721" t="inlineStr">
        <is>
          <t>200803</t>
        </is>
      </c>
      <c r="B721" t="inlineStr">
        <is>
          <t>BERNAL</t>
        </is>
      </c>
      <c r="C721" s="14">
        <f>'Empleo Censo'!G721-'Empleo Censo'!F721</f>
        <v/>
      </c>
      <c r="D721" s="14">
        <f>'Empleo Censo'!F721</f>
        <v/>
      </c>
      <c r="E721" s="14">
        <f>'Empleo Censo'!H721</f>
        <v/>
      </c>
      <c r="F721" s="14">
        <f>'Empleo Censo'!I721</f>
        <v/>
      </c>
      <c r="G721" s="14">
        <f>'Empleo Censo'!J721+'Empleo Censo'!K721</f>
        <v/>
      </c>
      <c r="H721" s="14">
        <f>'Empleo Censo'!L721</f>
        <v/>
      </c>
      <c r="I721" s="14">
        <f>'Empleo Censo'!M721</f>
        <v/>
      </c>
      <c r="J721" s="14">
        <f>SUM('Empleo Censo'!N721:AA721)</f>
        <v/>
      </c>
      <c r="K721" s="14">
        <f>SUM(C721:J721)</f>
        <v/>
      </c>
      <c r="L721" s="15">
        <f>SUMPRODUCT(C721:J721,Factores!$B$3:$I$3)</f>
        <v/>
      </c>
      <c r="M721" s="16">
        <f>'Empleo Censo'!E721</f>
        <v/>
      </c>
      <c r="N721" s="17">
        <f>IF(M721&gt;0,L721,Factores!$B$7)</f>
        <v/>
      </c>
      <c r="O721">
        <f>IF(M721&gt;0,"OK","sin PEA -&gt; peor")</f>
        <v/>
      </c>
    </row>
    <row r="722">
      <c r="A722" t="inlineStr">
        <is>
          <t>200804</t>
        </is>
      </c>
      <c r="B722" t="inlineStr">
        <is>
          <t>CRISTO NOS VALGA</t>
        </is>
      </c>
      <c r="C722" s="14">
        <f>'Empleo Censo'!G722-'Empleo Censo'!F722</f>
        <v/>
      </c>
      <c r="D722" s="14">
        <f>'Empleo Censo'!F722</f>
        <v/>
      </c>
      <c r="E722" s="14">
        <f>'Empleo Censo'!H722</f>
        <v/>
      </c>
      <c r="F722" s="14">
        <f>'Empleo Censo'!I722</f>
        <v/>
      </c>
      <c r="G722" s="14">
        <f>'Empleo Censo'!J722+'Empleo Censo'!K722</f>
        <v/>
      </c>
      <c r="H722" s="14">
        <f>'Empleo Censo'!L722</f>
        <v/>
      </c>
      <c r="I722" s="14">
        <f>'Empleo Censo'!M722</f>
        <v/>
      </c>
      <c r="J722" s="14">
        <f>SUM('Empleo Censo'!N722:AA722)</f>
        <v/>
      </c>
      <c r="K722" s="14">
        <f>SUM(C722:J722)</f>
        <v/>
      </c>
      <c r="L722" s="15">
        <f>SUMPRODUCT(C722:J722,Factores!$B$3:$I$3)</f>
        <v/>
      </c>
      <c r="M722" s="16">
        <f>'Empleo Censo'!E722</f>
        <v/>
      </c>
      <c r="N722" s="17">
        <f>IF(M722&gt;0,L722,Factores!$B$7)</f>
        <v/>
      </c>
      <c r="O722">
        <f>IF(M722&gt;0,"OK","sin PEA -&gt; peor")</f>
        <v/>
      </c>
    </row>
    <row r="723">
      <c r="A723" t="inlineStr">
        <is>
          <t>200805</t>
        </is>
      </c>
      <c r="B723" t="inlineStr">
        <is>
          <t>VICE</t>
        </is>
      </c>
      <c r="C723" s="14">
        <f>'Empleo Censo'!G723-'Empleo Censo'!F723</f>
        <v/>
      </c>
      <c r="D723" s="14">
        <f>'Empleo Censo'!F723</f>
        <v/>
      </c>
      <c r="E723" s="14">
        <f>'Empleo Censo'!H723</f>
        <v/>
      </c>
      <c r="F723" s="14">
        <f>'Empleo Censo'!I723</f>
        <v/>
      </c>
      <c r="G723" s="14">
        <f>'Empleo Censo'!J723+'Empleo Censo'!K723</f>
        <v/>
      </c>
      <c r="H723" s="14">
        <f>'Empleo Censo'!L723</f>
        <v/>
      </c>
      <c r="I723" s="14">
        <f>'Empleo Censo'!M723</f>
        <v/>
      </c>
      <c r="J723" s="14">
        <f>SUM('Empleo Censo'!N723:AA723)</f>
        <v/>
      </c>
      <c r="K723" s="14">
        <f>SUM(C723:J723)</f>
        <v/>
      </c>
      <c r="L723" s="15">
        <f>SUMPRODUCT(C723:J723,Factores!$B$3:$I$3)</f>
        <v/>
      </c>
      <c r="M723" s="16">
        <f>'Empleo Censo'!E723</f>
        <v/>
      </c>
      <c r="N723" s="17">
        <f>IF(M723&gt;0,L723,Factores!$B$7)</f>
        <v/>
      </c>
      <c r="O723">
        <f>IF(M723&gt;0,"OK","sin PEA -&gt; peor")</f>
        <v/>
      </c>
    </row>
    <row r="724">
      <c r="A724" t="inlineStr">
        <is>
          <t>200806</t>
        </is>
      </c>
      <c r="B724" t="inlineStr">
        <is>
          <t>RINCONADA LLICUAR</t>
        </is>
      </c>
      <c r="C724" s="14">
        <f>'Empleo Censo'!G724-'Empleo Censo'!F724</f>
        <v/>
      </c>
      <c r="D724" s="14">
        <f>'Empleo Censo'!F724</f>
        <v/>
      </c>
      <c r="E724" s="14">
        <f>'Empleo Censo'!H724</f>
        <v/>
      </c>
      <c r="F724" s="14">
        <f>'Empleo Censo'!I724</f>
        <v/>
      </c>
      <c r="G724" s="14">
        <f>'Empleo Censo'!J724+'Empleo Censo'!K724</f>
        <v/>
      </c>
      <c r="H724" s="14">
        <f>'Empleo Censo'!L724</f>
        <v/>
      </c>
      <c r="I724" s="14">
        <f>'Empleo Censo'!M724</f>
        <v/>
      </c>
      <c r="J724" s="14">
        <f>SUM('Empleo Censo'!N724:AA724)</f>
        <v/>
      </c>
      <c r="K724" s="14">
        <f>SUM(C724:J724)</f>
        <v/>
      </c>
      <c r="L724" s="15">
        <f>SUMPRODUCT(C724:J724,Factores!$B$3:$I$3)</f>
        <v/>
      </c>
      <c r="M724" s="16">
        <f>'Empleo Censo'!E724</f>
        <v/>
      </c>
      <c r="N724" s="17">
        <f>IF(M724&gt;0,L724,Factores!$B$7)</f>
        <v/>
      </c>
      <c r="O724">
        <f>IF(M724&gt;0,"OK","sin PEA -&gt; peor")</f>
        <v/>
      </c>
    </row>
    <row r="725">
      <c r="A725" t="inlineStr">
        <is>
          <t>210101</t>
        </is>
      </c>
      <c r="B725" t="inlineStr">
        <is>
          <t>PUNO</t>
        </is>
      </c>
      <c r="C725" s="14">
        <f>'Empleo Censo'!G725-'Empleo Censo'!F725</f>
        <v/>
      </c>
      <c r="D725" s="14">
        <f>'Empleo Censo'!F725</f>
        <v/>
      </c>
      <c r="E725" s="14">
        <f>'Empleo Censo'!H725</f>
        <v/>
      </c>
      <c r="F725" s="14">
        <f>'Empleo Censo'!I725</f>
        <v/>
      </c>
      <c r="G725" s="14">
        <f>'Empleo Censo'!J725+'Empleo Censo'!K725</f>
        <v/>
      </c>
      <c r="H725" s="14">
        <f>'Empleo Censo'!L725</f>
        <v/>
      </c>
      <c r="I725" s="14">
        <f>'Empleo Censo'!M725</f>
        <v/>
      </c>
      <c r="J725" s="14">
        <f>SUM('Empleo Censo'!N725:AA725)</f>
        <v/>
      </c>
      <c r="K725" s="14">
        <f>SUM(C725:J725)</f>
        <v/>
      </c>
      <c r="L725" s="15">
        <f>SUMPRODUCT(C725:J725,Factores!$B$3:$I$3)</f>
        <v/>
      </c>
      <c r="M725" s="16">
        <f>'Empleo Censo'!E725</f>
        <v/>
      </c>
      <c r="N725" s="17">
        <f>IF(M725&gt;0,L725,Factores!$B$7)</f>
        <v/>
      </c>
      <c r="O725">
        <f>IF(M725&gt;0,"OK","sin PEA -&gt; peor")</f>
        <v/>
      </c>
    </row>
    <row r="726">
      <c r="A726" t="inlineStr">
        <is>
          <t>210102</t>
        </is>
      </c>
      <c r="B726" t="inlineStr">
        <is>
          <t>ACORA</t>
        </is>
      </c>
      <c r="C726" s="14">
        <f>'Empleo Censo'!G726-'Empleo Censo'!F726</f>
        <v/>
      </c>
      <c r="D726" s="14">
        <f>'Empleo Censo'!F726</f>
        <v/>
      </c>
      <c r="E726" s="14">
        <f>'Empleo Censo'!H726</f>
        <v/>
      </c>
      <c r="F726" s="14">
        <f>'Empleo Censo'!I726</f>
        <v/>
      </c>
      <c r="G726" s="14">
        <f>'Empleo Censo'!J726+'Empleo Censo'!K726</f>
        <v/>
      </c>
      <c r="H726" s="14">
        <f>'Empleo Censo'!L726</f>
        <v/>
      </c>
      <c r="I726" s="14">
        <f>'Empleo Censo'!M726</f>
        <v/>
      </c>
      <c r="J726" s="14">
        <f>SUM('Empleo Censo'!N726:AA726)</f>
        <v/>
      </c>
      <c r="K726" s="14">
        <f>SUM(C726:J726)</f>
        <v/>
      </c>
      <c r="L726" s="15">
        <f>SUMPRODUCT(C726:J726,Factores!$B$3:$I$3)</f>
        <v/>
      </c>
      <c r="M726" s="16">
        <f>'Empleo Censo'!E726</f>
        <v/>
      </c>
      <c r="N726" s="17">
        <f>IF(M726&gt;0,L726,Factores!$B$7)</f>
        <v/>
      </c>
      <c r="O726">
        <f>IF(M726&gt;0,"OK","sin PEA -&gt; peor")</f>
        <v/>
      </c>
    </row>
    <row r="727">
      <c r="A727" t="inlineStr">
        <is>
          <t>210103</t>
        </is>
      </c>
      <c r="B727" t="inlineStr">
        <is>
          <t>AMANTANI</t>
        </is>
      </c>
      <c r="C727" s="14">
        <f>'Empleo Censo'!G727-'Empleo Censo'!F727</f>
        <v/>
      </c>
      <c r="D727" s="14">
        <f>'Empleo Censo'!F727</f>
        <v/>
      </c>
      <c r="E727" s="14">
        <f>'Empleo Censo'!H727</f>
        <v/>
      </c>
      <c r="F727" s="14">
        <f>'Empleo Censo'!I727</f>
        <v/>
      </c>
      <c r="G727" s="14">
        <f>'Empleo Censo'!J727+'Empleo Censo'!K727</f>
        <v/>
      </c>
      <c r="H727" s="14">
        <f>'Empleo Censo'!L727</f>
        <v/>
      </c>
      <c r="I727" s="14">
        <f>'Empleo Censo'!M727</f>
        <v/>
      </c>
      <c r="J727" s="14">
        <f>SUM('Empleo Censo'!N727:AA727)</f>
        <v/>
      </c>
      <c r="K727" s="14">
        <f>SUM(C727:J727)</f>
        <v/>
      </c>
      <c r="L727" s="15">
        <f>SUMPRODUCT(C727:J727,Factores!$B$3:$I$3)</f>
        <v/>
      </c>
      <c r="M727" s="16">
        <f>'Empleo Censo'!E727</f>
        <v/>
      </c>
      <c r="N727" s="17">
        <f>IF(M727&gt;0,L727,Factores!$B$7)</f>
        <v/>
      </c>
      <c r="O727">
        <f>IF(M727&gt;0,"OK","sin PEA -&gt; peor")</f>
        <v/>
      </c>
    </row>
    <row r="728">
      <c r="A728" t="inlineStr">
        <is>
          <t>210104</t>
        </is>
      </c>
      <c r="B728" t="inlineStr">
        <is>
          <t>ATUNCOLLA</t>
        </is>
      </c>
      <c r="C728" s="14">
        <f>'Empleo Censo'!G728-'Empleo Censo'!F728</f>
        <v/>
      </c>
      <c r="D728" s="14">
        <f>'Empleo Censo'!F728</f>
        <v/>
      </c>
      <c r="E728" s="14">
        <f>'Empleo Censo'!H728</f>
        <v/>
      </c>
      <c r="F728" s="14">
        <f>'Empleo Censo'!I728</f>
        <v/>
      </c>
      <c r="G728" s="14">
        <f>'Empleo Censo'!J728+'Empleo Censo'!K728</f>
        <v/>
      </c>
      <c r="H728" s="14">
        <f>'Empleo Censo'!L728</f>
        <v/>
      </c>
      <c r="I728" s="14">
        <f>'Empleo Censo'!M728</f>
        <v/>
      </c>
      <c r="J728" s="14">
        <f>SUM('Empleo Censo'!N728:AA728)</f>
        <v/>
      </c>
      <c r="K728" s="14">
        <f>SUM(C728:J728)</f>
        <v/>
      </c>
      <c r="L728" s="15">
        <f>SUMPRODUCT(C728:J728,Factores!$B$3:$I$3)</f>
        <v/>
      </c>
      <c r="M728" s="16">
        <f>'Empleo Censo'!E728</f>
        <v/>
      </c>
      <c r="N728" s="17">
        <f>IF(M728&gt;0,L728,Factores!$B$7)</f>
        <v/>
      </c>
      <c r="O728">
        <f>IF(M728&gt;0,"OK","sin PEA -&gt; peor")</f>
        <v/>
      </c>
    </row>
    <row r="729">
      <c r="A729" t="inlineStr">
        <is>
          <t>210105</t>
        </is>
      </c>
      <c r="B729" t="inlineStr">
        <is>
          <t>CAPACHICA</t>
        </is>
      </c>
      <c r="C729" s="14">
        <f>'Empleo Censo'!G729-'Empleo Censo'!F729</f>
        <v/>
      </c>
      <c r="D729" s="14">
        <f>'Empleo Censo'!F729</f>
        <v/>
      </c>
      <c r="E729" s="14">
        <f>'Empleo Censo'!H729</f>
        <v/>
      </c>
      <c r="F729" s="14">
        <f>'Empleo Censo'!I729</f>
        <v/>
      </c>
      <c r="G729" s="14">
        <f>'Empleo Censo'!J729+'Empleo Censo'!K729</f>
        <v/>
      </c>
      <c r="H729" s="14">
        <f>'Empleo Censo'!L729</f>
        <v/>
      </c>
      <c r="I729" s="14">
        <f>'Empleo Censo'!M729</f>
        <v/>
      </c>
      <c r="J729" s="14">
        <f>SUM('Empleo Censo'!N729:AA729)</f>
        <v/>
      </c>
      <c r="K729" s="14">
        <f>SUM(C729:J729)</f>
        <v/>
      </c>
      <c r="L729" s="15">
        <f>SUMPRODUCT(C729:J729,Factores!$B$3:$I$3)</f>
        <v/>
      </c>
      <c r="M729" s="16">
        <f>'Empleo Censo'!E729</f>
        <v/>
      </c>
      <c r="N729" s="17">
        <f>IF(M729&gt;0,L729,Factores!$B$7)</f>
        <v/>
      </c>
      <c r="O729">
        <f>IF(M729&gt;0,"OK","sin PEA -&gt; peor")</f>
        <v/>
      </c>
    </row>
    <row r="730">
      <c r="A730" t="inlineStr">
        <is>
          <t>210106</t>
        </is>
      </c>
      <c r="B730" t="inlineStr">
        <is>
          <t>CHUCUITO</t>
        </is>
      </c>
      <c r="C730" s="14">
        <f>'Empleo Censo'!G730-'Empleo Censo'!F730</f>
        <v/>
      </c>
      <c r="D730" s="14">
        <f>'Empleo Censo'!F730</f>
        <v/>
      </c>
      <c r="E730" s="14">
        <f>'Empleo Censo'!H730</f>
        <v/>
      </c>
      <c r="F730" s="14">
        <f>'Empleo Censo'!I730</f>
        <v/>
      </c>
      <c r="G730" s="14">
        <f>'Empleo Censo'!J730+'Empleo Censo'!K730</f>
        <v/>
      </c>
      <c r="H730" s="14">
        <f>'Empleo Censo'!L730</f>
        <v/>
      </c>
      <c r="I730" s="14">
        <f>'Empleo Censo'!M730</f>
        <v/>
      </c>
      <c r="J730" s="14">
        <f>SUM('Empleo Censo'!N730:AA730)</f>
        <v/>
      </c>
      <c r="K730" s="14">
        <f>SUM(C730:J730)</f>
        <v/>
      </c>
      <c r="L730" s="15">
        <f>SUMPRODUCT(C730:J730,Factores!$B$3:$I$3)</f>
        <v/>
      </c>
      <c r="M730" s="16">
        <f>'Empleo Censo'!E730</f>
        <v/>
      </c>
      <c r="N730" s="17">
        <f>IF(M730&gt;0,L730,Factores!$B$7)</f>
        <v/>
      </c>
      <c r="O730">
        <f>IF(M730&gt;0,"OK","sin PEA -&gt; peor")</f>
        <v/>
      </c>
    </row>
    <row r="731">
      <c r="A731" t="inlineStr">
        <is>
          <t>210107</t>
        </is>
      </c>
      <c r="B731" t="inlineStr">
        <is>
          <t>COATA</t>
        </is>
      </c>
      <c r="C731" s="14">
        <f>'Empleo Censo'!G731-'Empleo Censo'!F731</f>
        <v/>
      </c>
      <c r="D731" s="14">
        <f>'Empleo Censo'!F731</f>
        <v/>
      </c>
      <c r="E731" s="14">
        <f>'Empleo Censo'!H731</f>
        <v/>
      </c>
      <c r="F731" s="14">
        <f>'Empleo Censo'!I731</f>
        <v/>
      </c>
      <c r="G731" s="14">
        <f>'Empleo Censo'!J731+'Empleo Censo'!K731</f>
        <v/>
      </c>
      <c r="H731" s="14">
        <f>'Empleo Censo'!L731</f>
        <v/>
      </c>
      <c r="I731" s="14">
        <f>'Empleo Censo'!M731</f>
        <v/>
      </c>
      <c r="J731" s="14">
        <f>SUM('Empleo Censo'!N731:AA731)</f>
        <v/>
      </c>
      <c r="K731" s="14">
        <f>SUM(C731:J731)</f>
        <v/>
      </c>
      <c r="L731" s="15">
        <f>SUMPRODUCT(C731:J731,Factores!$B$3:$I$3)</f>
        <v/>
      </c>
      <c r="M731" s="16">
        <f>'Empleo Censo'!E731</f>
        <v/>
      </c>
      <c r="N731" s="17">
        <f>IF(M731&gt;0,L731,Factores!$B$7)</f>
        <v/>
      </c>
      <c r="O731">
        <f>IF(M731&gt;0,"OK","sin PEA -&gt; peor")</f>
        <v/>
      </c>
    </row>
    <row r="732">
      <c r="A732" t="inlineStr">
        <is>
          <t>210108</t>
        </is>
      </c>
      <c r="B732" t="inlineStr">
        <is>
          <t>HUATA</t>
        </is>
      </c>
      <c r="C732" s="14">
        <f>'Empleo Censo'!G732-'Empleo Censo'!F732</f>
        <v/>
      </c>
      <c r="D732" s="14">
        <f>'Empleo Censo'!F732</f>
        <v/>
      </c>
      <c r="E732" s="14">
        <f>'Empleo Censo'!H732</f>
        <v/>
      </c>
      <c r="F732" s="14">
        <f>'Empleo Censo'!I732</f>
        <v/>
      </c>
      <c r="G732" s="14">
        <f>'Empleo Censo'!J732+'Empleo Censo'!K732</f>
        <v/>
      </c>
      <c r="H732" s="14">
        <f>'Empleo Censo'!L732</f>
        <v/>
      </c>
      <c r="I732" s="14">
        <f>'Empleo Censo'!M732</f>
        <v/>
      </c>
      <c r="J732" s="14">
        <f>SUM('Empleo Censo'!N732:AA732)</f>
        <v/>
      </c>
      <c r="K732" s="14">
        <f>SUM(C732:J732)</f>
        <v/>
      </c>
      <c r="L732" s="15">
        <f>SUMPRODUCT(C732:J732,Factores!$B$3:$I$3)</f>
        <v/>
      </c>
      <c r="M732" s="16">
        <f>'Empleo Censo'!E732</f>
        <v/>
      </c>
      <c r="N732" s="17">
        <f>IF(M732&gt;0,L732,Factores!$B$7)</f>
        <v/>
      </c>
      <c r="O732">
        <f>IF(M732&gt;0,"OK","sin PEA -&gt; peor")</f>
        <v/>
      </c>
    </row>
    <row r="733">
      <c r="A733" t="inlineStr">
        <is>
          <t>210109</t>
        </is>
      </c>
      <c r="B733" t="inlineStr">
        <is>
          <t>MAÑAZO</t>
        </is>
      </c>
      <c r="C733" s="14">
        <f>'Empleo Censo'!G733-'Empleo Censo'!F733</f>
        <v/>
      </c>
      <c r="D733" s="14">
        <f>'Empleo Censo'!F733</f>
        <v/>
      </c>
      <c r="E733" s="14">
        <f>'Empleo Censo'!H733</f>
        <v/>
      </c>
      <c r="F733" s="14">
        <f>'Empleo Censo'!I733</f>
        <v/>
      </c>
      <c r="G733" s="14">
        <f>'Empleo Censo'!J733+'Empleo Censo'!K733</f>
        <v/>
      </c>
      <c r="H733" s="14">
        <f>'Empleo Censo'!L733</f>
        <v/>
      </c>
      <c r="I733" s="14">
        <f>'Empleo Censo'!M733</f>
        <v/>
      </c>
      <c r="J733" s="14">
        <f>SUM('Empleo Censo'!N733:AA733)</f>
        <v/>
      </c>
      <c r="K733" s="14">
        <f>SUM(C733:J733)</f>
        <v/>
      </c>
      <c r="L733" s="15">
        <f>SUMPRODUCT(C733:J733,Factores!$B$3:$I$3)</f>
        <v/>
      </c>
      <c r="M733" s="16">
        <f>'Empleo Censo'!E733</f>
        <v/>
      </c>
      <c r="N733" s="17">
        <f>IF(M733&gt;0,L733,Factores!$B$7)</f>
        <v/>
      </c>
      <c r="O733">
        <f>IF(M733&gt;0,"OK","sin PEA -&gt; peor")</f>
        <v/>
      </c>
    </row>
    <row r="734">
      <c r="A734" t="inlineStr">
        <is>
          <t>210110</t>
        </is>
      </c>
      <c r="B734" t="inlineStr">
        <is>
          <t>PAUCARCOLLA</t>
        </is>
      </c>
      <c r="C734" s="14">
        <f>'Empleo Censo'!G734-'Empleo Censo'!F734</f>
        <v/>
      </c>
      <c r="D734" s="14">
        <f>'Empleo Censo'!F734</f>
        <v/>
      </c>
      <c r="E734" s="14">
        <f>'Empleo Censo'!H734</f>
        <v/>
      </c>
      <c r="F734" s="14">
        <f>'Empleo Censo'!I734</f>
        <v/>
      </c>
      <c r="G734" s="14">
        <f>'Empleo Censo'!J734+'Empleo Censo'!K734</f>
        <v/>
      </c>
      <c r="H734" s="14">
        <f>'Empleo Censo'!L734</f>
        <v/>
      </c>
      <c r="I734" s="14">
        <f>'Empleo Censo'!M734</f>
        <v/>
      </c>
      <c r="J734" s="14">
        <f>SUM('Empleo Censo'!N734:AA734)</f>
        <v/>
      </c>
      <c r="K734" s="14">
        <f>SUM(C734:J734)</f>
        <v/>
      </c>
      <c r="L734" s="15">
        <f>SUMPRODUCT(C734:J734,Factores!$B$3:$I$3)</f>
        <v/>
      </c>
      <c r="M734" s="16">
        <f>'Empleo Censo'!E734</f>
        <v/>
      </c>
      <c r="N734" s="17">
        <f>IF(M734&gt;0,L734,Factores!$B$7)</f>
        <v/>
      </c>
      <c r="O734">
        <f>IF(M734&gt;0,"OK","sin PEA -&gt; peor")</f>
        <v/>
      </c>
    </row>
    <row r="735">
      <c r="A735" t="inlineStr">
        <is>
          <t>210111</t>
        </is>
      </c>
      <c r="B735" t="inlineStr">
        <is>
          <t>PICHACANI</t>
        </is>
      </c>
      <c r="C735" s="14">
        <f>'Empleo Censo'!G735-'Empleo Censo'!F735</f>
        <v/>
      </c>
      <c r="D735" s="14">
        <f>'Empleo Censo'!F735</f>
        <v/>
      </c>
      <c r="E735" s="14">
        <f>'Empleo Censo'!H735</f>
        <v/>
      </c>
      <c r="F735" s="14">
        <f>'Empleo Censo'!I735</f>
        <v/>
      </c>
      <c r="G735" s="14">
        <f>'Empleo Censo'!J735+'Empleo Censo'!K735</f>
        <v/>
      </c>
      <c r="H735" s="14">
        <f>'Empleo Censo'!L735</f>
        <v/>
      </c>
      <c r="I735" s="14">
        <f>'Empleo Censo'!M735</f>
        <v/>
      </c>
      <c r="J735" s="14">
        <f>SUM('Empleo Censo'!N735:AA735)</f>
        <v/>
      </c>
      <c r="K735" s="14">
        <f>SUM(C735:J735)</f>
        <v/>
      </c>
      <c r="L735" s="15">
        <f>SUMPRODUCT(C735:J735,Factores!$B$3:$I$3)</f>
        <v/>
      </c>
      <c r="M735" s="16">
        <f>'Empleo Censo'!E735</f>
        <v/>
      </c>
      <c r="N735" s="17">
        <f>IF(M735&gt;0,L735,Factores!$B$7)</f>
        <v/>
      </c>
      <c r="O735">
        <f>IF(M735&gt;0,"OK","sin PEA -&gt; peor")</f>
        <v/>
      </c>
    </row>
    <row r="736">
      <c r="A736" t="inlineStr">
        <is>
          <t>210112</t>
        </is>
      </c>
      <c r="B736" t="inlineStr">
        <is>
          <t>PLATERIA</t>
        </is>
      </c>
      <c r="C736" s="14">
        <f>'Empleo Censo'!G736-'Empleo Censo'!F736</f>
        <v/>
      </c>
      <c r="D736" s="14">
        <f>'Empleo Censo'!F736</f>
        <v/>
      </c>
      <c r="E736" s="14">
        <f>'Empleo Censo'!H736</f>
        <v/>
      </c>
      <c r="F736" s="14">
        <f>'Empleo Censo'!I736</f>
        <v/>
      </c>
      <c r="G736" s="14">
        <f>'Empleo Censo'!J736+'Empleo Censo'!K736</f>
        <v/>
      </c>
      <c r="H736" s="14">
        <f>'Empleo Censo'!L736</f>
        <v/>
      </c>
      <c r="I736" s="14">
        <f>'Empleo Censo'!M736</f>
        <v/>
      </c>
      <c r="J736" s="14">
        <f>SUM('Empleo Censo'!N736:AA736)</f>
        <v/>
      </c>
      <c r="K736" s="14">
        <f>SUM(C736:J736)</f>
        <v/>
      </c>
      <c r="L736" s="15">
        <f>SUMPRODUCT(C736:J736,Factores!$B$3:$I$3)</f>
        <v/>
      </c>
      <c r="M736" s="16">
        <f>'Empleo Censo'!E736</f>
        <v/>
      </c>
      <c r="N736" s="17">
        <f>IF(M736&gt;0,L736,Factores!$B$7)</f>
        <v/>
      </c>
      <c r="O736">
        <f>IF(M736&gt;0,"OK","sin PEA -&gt; peor")</f>
        <v/>
      </c>
    </row>
    <row r="737">
      <c r="A737" t="inlineStr">
        <is>
          <t>210113</t>
        </is>
      </c>
      <c r="B737" t="inlineStr">
        <is>
          <t>SAN ANTONIO</t>
        </is>
      </c>
      <c r="C737" s="14">
        <f>'Empleo Censo'!G737-'Empleo Censo'!F737</f>
        <v/>
      </c>
      <c r="D737" s="14">
        <f>'Empleo Censo'!F737</f>
        <v/>
      </c>
      <c r="E737" s="14">
        <f>'Empleo Censo'!H737</f>
        <v/>
      </c>
      <c r="F737" s="14">
        <f>'Empleo Censo'!I737</f>
        <v/>
      </c>
      <c r="G737" s="14">
        <f>'Empleo Censo'!J737+'Empleo Censo'!K737</f>
        <v/>
      </c>
      <c r="H737" s="14">
        <f>'Empleo Censo'!L737</f>
        <v/>
      </c>
      <c r="I737" s="14">
        <f>'Empleo Censo'!M737</f>
        <v/>
      </c>
      <c r="J737" s="14">
        <f>SUM('Empleo Censo'!N737:AA737)</f>
        <v/>
      </c>
      <c r="K737" s="14">
        <f>SUM(C737:J737)</f>
        <v/>
      </c>
      <c r="L737" s="15">
        <f>SUMPRODUCT(C737:J737,Factores!$B$3:$I$3)</f>
        <v/>
      </c>
      <c r="M737" s="16">
        <f>'Empleo Censo'!E737</f>
        <v/>
      </c>
      <c r="N737" s="17">
        <f>IF(M737&gt;0,L737,Factores!$B$7)</f>
        <v/>
      </c>
      <c r="O737">
        <f>IF(M737&gt;0,"OK","sin PEA -&gt; peor")</f>
        <v/>
      </c>
    </row>
    <row r="738">
      <c r="A738" t="inlineStr">
        <is>
          <t>210114</t>
        </is>
      </c>
      <c r="B738" t="inlineStr">
        <is>
          <t>TIQUILLACA</t>
        </is>
      </c>
      <c r="C738" s="14">
        <f>'Empleo Censo'!G738-'Empleo Censo'!F738</f>
        <v/>
      </c>
      <c r="D738" s="14">
        <f>'Empleo Censo'!F738</f>
        <v/>
      </c>
      <c r="E738" s="14">
        <f>'Empleo Censo'!H738</f>
        <v/>
      </c>
      <c r="F738" s="14">
        <f>'Empleo Censo'!I738</f>
        <v/>
      </c>
      <c r="G738" s="14">
        <f>'Empleo Censo'!J738+'Empleo Censo'!K738</f>
        <v/>
      </c>
      <c r="H738" s="14">
        <f>'Empleo Censo'!L738</f>
        <v/>
      </c>
      <c r="I738" s="14">
        <f>'Empleo Censo'!M738</f>
        <v/>
      </c>
      <c r="J738" s="14">
        <f>SUM('Empleo Censo'!N738:AA738)</f>
        <v/>
      </c>
      <c r="K738" s="14">
        <f>SUM(C738:J738)</f>
        <v/>
      </c>
      <c r="L738" s="15">
        <f>SUMPRODUCT(C738:J738,Factores!$B$3:$I$3)</f>
        <v/>
      </c>
      <c r="M738" s="16">
        <f>'Empleo Censo'!E738</f>
        <v/>
      </c>
      <c r="N738" s="17">
        <f>IF(M738&gt;0,L738,Factores!$B$7)</f>
        <v/>
      </c>
      <c r="O738">
        <f>IF(M738&gt;0,"OK","sin PEA -&gt; peor")</f>
        <v/>
      </c>
    </row>
    <row r="739">
      <c r="A739" t="inlineStr">
        <is>
          <t>210115</t>
        </is>
      </c>
      <c r="B739" t="inlineStr">
        <is>
          <t>VILQUE</t>
        </is>
      </c>
      <c r="C739" s="14">
        <f>'Empleo Censo'!G739-'Empleo Censo'!F739</f>
        <v/>
      </c>
      <c r="D739" s="14">
        <f>'Empleo Censo'!F739</f>
        <v/>
      </c>
      <c r="E739" s="14">
        <f>'Empleo Censo'!H739</f>
        <v/>
      </c>
      <c r="F739" s="14">
        <f>'Empleo Censo'!I739</f>
        <v/>
      </c>
      <c r="G739" s="14">
        <f>'Empleo Censo'!J739+'Empleo Censo'!K739</f>
        <v/>
      </c>
      <c r="H739" s="14">
        <f>'Empleo Censo'!L739</f>
        <v/>
      </c>
      <c r="I739" s="14">
        <f>'Empleo Censo'!M739</f>
        <v/>
      </c>
      <c r="J739" s="14">
        <f>SUM('Empleo Censo'!N739:AA739)</f>
        <v/>
      </c>
      <c r="K739" s="14">
        <f>SUM(C739:J739)</f>
        <v/>
      </c>
      <c r="L739" s="15">
        <f>SUMPRODUCT(C739:J739,Factores!$B$3:$I$3)</f>
        <v/>
      </c>
      <c r="M739" s="16">
        <f>'Empleo Censo'!E739</f>
        <v/>
      </c>
      <c r="N739" s="17">
        <f>IF(M739&gt;0,L739,Factores!$B$7)</f>
        <v/>
      </c>
      <c r="O739">
        <f>IF(M739&gt;0,"OK","sin PEA -&gt; peor")</f>
        <v/>
      </c>
    </row>
    <row r="740">
      <c r="A740" t="inlineStr">
        <is>
          <t>210201</t>
        </is>
      </c>
      <c r="B740" t="inlineStr">
        <is>
          <t>AZANGARO</t>
        </is>
      </c>
      <c r="C740" s="14">
        <f>'Empleo Censo'!G740-'Empleo Censo'!F740</f>
        <v/>
      </c>
      <c r="D740" s="14">
        <f>'Empleo Censo'!F740</f>
        <v/>
      </c>
      <c r="E740" s="14">
        <f>'Empleo Censo'!H740</f>
        <v/>
      </c>
      <c r="F740" s="14">
        <f>'Empleo Censo'!I740</f>
        <v/>
      </c>
      <c r="G740" s="14">
        <f>'Empleo Censo'!J740+'Empleo Censo'!K740</f>
        <v/>
      </c>
      <c r="H740" s="14">
        <f>'Empleo Censo'!L740</f>
        <v/>
      </c>
      <c r="I740" s="14">
        <f>'Empleo Censo'!M740</f>
        <v/>
      </c>
      <c r="J740" s="14">
        <f>SUM('Empleo Censo'!N740:AA740)</f>
        <v/>
      </c>
      <c r="K740" s="14">
        <f>SUM(C740:J740)</f>
        <v/>
      </c>
      <c r="L740" s="15">
        <f>SUMPRODUCT(C740:J740,Factores!$B$3:$I$3)</f>
        <v/>
      </c>
      <c r="M740" s="16">
        <f>'Empleo Censo'!E740</f>
        <v/>
      </c>
      <c r="N740" s="17">
        <f>IF(M740&gt;0,L740,Factores!$B$7)</f>
        <v/>
      </c>
      <c r="O740">
        <f>IF(M740&gt;0,"OK","sin PEA -&gt; peor")</f>
        <v/>
      </c>
    </row>
    <row r="741">
      <c r="A741" t="inlineStr">
        <is>
          <t>210202</t>
        </is>
      </c>
      <c r="B741" t="inlineStr">
        <is>
          <t>ACHAYA</t>
        </is>
      </c>
      <c r="C741" s="14">
        <f>'Empleo Censo'!G741-'Empleo Censo'!F741</f>
        <v/>
      </c>
      <c r="D741" s="14">
        <f>'Empleo Censo'!F741</f>
        <v/>
      </c>
      <c r="E741" s="14">
        <f>'Empleo Censo'!H741</f>
        <v/>
      </c>
      <c r="F741" s="14">
        <f>'Empleo Censo'!I741</f>
        <v/>
      </c>
      <c r="G741" s="14">
        <f>'Empleo Censo'!J741+'Empleo Censo'!K741</f>
        <v/>
      </c>
      <c r="H741" s="14">
        <f>'Empleo Censo'!L741</f>
        <v/>
      </c>
      <c r="I741" s="14">
        <f>'Empleo Censo'!M741</f>
        <v/>
      </c>
      <c r="J741" s="14">
        <f>SUM('Empleo Censo'!N741:AA741)</f>
        <v/>
      </c>
      <c r="K741" s="14">
        <f>SUM(C741:J741)</f>
        <v/>
      </c>
      <c r="L741" s="15">
        <f>SUMPRODUCT(C741:J741,Factores!$B$3:$I$3)</f>
        <v/>
      </c>
      <c r="M741" s="16">
        <f>'Empleo Censo'!E741</f>
        <v/>
      </c>
      <c r="N741" s="17">
        <f>IF(M741&gt;0,L741,Factores!$B$7)</f>
        <v/>
      </c>
      <c r="O741">
        <f>IF(M741&gt;0,"OK","sin PEA -&gt; peor")</f>
        <v/>
      </c>
    </row>
    <row r="742">
      <c r="A742" t="inlineStr">
        <is>
          <t>210203</t>
        </is>
      </c>
      <c r="B742" t="inlineStr">
        <is>
          <t>ARAPA</t>
        </is>
      </c>
      <c r="C742" s="14">
        <f>'Empleo Censo'!G742-'Empleo Censo'!F742</f>
        <v/>
      </c>
      <c r="D742" s="14">
        <f>'Empleo Censo'!F742</f>
        <v/>
      </c>
      <c r="E742" s="14">
        <f>'Empleo Censo'!H742</f>
        <v/>
      </c>
      <c r="F742" s="14">
        <f>'Empleo Censo'!I742</f>
        <v/>
      </c>
      <c r="G742" s="14">
        <f>'Empleo Censo'!J742+'Empleo Censo'!K742</f>
        <v/>
      </c>
      <c r="H742" s="14">
        <f>'Empleo Censo'!L742</f>
        <v/>
      </c>
      <c r="I742" s="14">
        <f>'Empleo Censo'!M742</f>
        <v/>
      </c>
      <c r="J742" s="14">
        <f>SUM('Empleo Censo'!N742:AA742)</f>
        <v/>
      </c>
      <c r="K742" s="14">
        <f>SUM(C742:J742)</f>
        <v/>
      </c>
      <c r="L742" s="15">
        <f>SUMPRODUCT(C742:J742,Factores!$B$3:$I$3)</f>
        <v/>
      </c>
      <c r="M742" s="16">
        <f>'Empleo Censo'!E742</f>
        <v/>
      </c>
      <c r="N742" s="17">
        <f>IF(M742&gt;0,L742,Factores!$B$7)</f>
        <v/>
      </c>
      <c r="O742">
        <f>IF(M742&gt;0,"OK","sin PEA -&gt; peor")</f>
        <v/>
      </c>
    </row>
    <row r="743">
      <c r="A743" t="inlineStr">
        <is>
          <t>210204</t>
        </is>
      </c>
      <c r="B743" t="inlineStr">
        <is>
          <t>ASILLO</t>
        </is>
      </c>
      <c r="C743" s="14">
        <f>'Empleo Censo'!G743-'Empleo Censo'!F743</f>
        <v/>
      </c>
      <c r="D743" s="14">
        <f>'Empleo Censo'!F743</f>
        <v/>
      </c>
      <c r="E743" s="14">
        <f>'Empleo Censo'!H743</f>
        <v/>
      </c>
      <c r="F743" s="14">
        <f>'Empleo Censo'!I743</f>
        <v/>
      </c>
      <c r="G743" s="14">
        <f>'Empleo Censo'!J743+'Empleo Censo'!K743</f>
        <v/>
      </c>
      <c r="H743" s="14">
        <f>'Empleo Censo'!L743</f>
        <v/>
      </c>
      <c r="I743" s="14">
        <f>'Empleo Censo'!M743</f>
        <v/>
      </c>
      <c r="J743" s="14">
        <f>SUM('Empleo Censo'!N743:AA743)</f>
        <v/>
      </c>
      <c r="K743" s="14">
        <f>SUM(C743:J743)</f>
        <v/>
      </c>
      <c r="L743" s="15">
        <f>SUMPRODUCT(C743:J743,Factores!$B$3:$I$3)</f>
        <v/>
      </c>
      <c r="M743" s="16">
        <f>'Empleo Censo'!E743</f>
        <v/>
      </c>
      <c r="N743" s="17">
        <f>IF(M743&gt;0,L743,Factores!$B$7)</f>
        <v/>
      </c>
      <c r="O743">
        <f>IF(M743&gt;0,"OK","sin PEA -&gt; peor")</f>
        <v/>
      </c>
    </row>
    <row r="744">
      <c r="A744" t="inlineStr">
        <is>
          <t>210205</t>
        </is>
      </c>
      <c r="B744" t="inlineStr">
        <is>
          <t>CAMINACA</t>
        </is>
      </c>
      <c r="C744" s="14">
        <f>'Empleo Censo'!G744-'Empleo Censo'!F744</f>
        <v/>
      </c>
      <c r="D744" s="14">
        <f>'Empleo Censo'!F744</f>
        <v/>
      </c>
      <c r="E744" s="14">
        <f>'Empleo Censo'!H744</f>
        <v/>
      </c>
      <c r="F744" s="14">
        <f>'Empleo Censo'!I744</f>
        <v/>
      </c>
      <c r="G744" s="14">
        <f>'Empleo Censo'!J744+'Empleo Censo'!K744</f>
        <v/>
      </c>
      <c r="H744" s="14">
        <f>'Empleo Censo'!L744</f>
        <v/>
      </c>
      <c r="I744" s="14">
        <f>'Empleo Censo'!M744</f>
        <v/>
      </c>
      <c r="J744" s="14">
        <f>SUM('Empleo Censo'!N744:AA744)</f>
        <v/>
      </c>
      <c r="K744" s="14">
        <f>SUM(C744:J744)</f>
        <v/>
      </c>
      <c r="L744" s="15">
        <f>SUMPRODUCT(C744:J744,Factores!$B$3:$I$3)</f>
        <v/>
      </c>
      <c r="M744" s="16">
        <f>'Empleo Censo'!E744</f>
        <v/>
      </c>
      <c r="N744" s="17">
        <f>IF(M744&gt;0,L744,Factores!$B$7)</f>
        <v/>
      </c>
      <c r="O744">
        <f>IF(M744&gt;0,"OK","sin PEA -&gt; peor")</f>
        <v/>
      </c>
    </row>
    <row r="745">
      <c r="A745" t="inlineStr">
        <is>
          <t>210206</t>
        </is>
      </c>
      <c r="B745" t="inlineStr">
        <is>
          <t>CHUPA</t>
        </is>
      </c>
      <c r="C745" s="14">
        <f>'Empleo Censo'!G745-'Empleo Censo'!F745</f>
        <v/>
      </c>
      <c r="D745" s="14">
        <f>'Empleo Censo'!F745</f>
        <v/>
      </c>
      <c r="E745" s="14">
        <f>'Empleo Censo'!H745</f>
        <v/>
      </c>
      <c r="F745" s="14">
        <f>'Empleo Censo'!I745</f>
        <v/>
      </c>
      <c r="G745" s="14">
        <f>'Empleo Censo'!J745+'Empleo Censo'!K745</f>
        <v/>
      </c>
      <c r="H745" s="14">
        <f>'Empleo Censo'!L745</f>
        <v/>
      </c>
      <c r="I745" s="14">
        <f>'Empleo Censo'!M745</f>
        <v/>
      </c>
      <c r="J745" s="14">
        <f>SUM('Empleo Censo'!N745:AA745)</f>
        <v/>
      </c>
      <c r="K745" s="14">
        <f>SUM(C745:J745)</f>
        <v/>
      </c>
      <c r="L745" s="15">
        <f>SUMPRODUCT(C745:J745,Factores!$B$3:$I$3)</f>
        <v/>
      </c>
      <c r="M745" s="16">
        <f>'Empleo Censo'!E745</f>
        <v/>
      </c>
      <c r="N745" s="17">
        <f>IF(M745&gt;0,L745,Factores!$B$7)</f>
        <v/>
      </c>
      <c r="O745">
        <f>IF(M745&gt;0,"OK","sin PEA -&gt; peor")</f>
        <v/>
      </c>
    </row>
    <row r="746">
      <c r="A746" t="inlineStr">
        <is>
          <t>210207</t>
        </is>
      </c>
      <c r="B746" t="inlineStr">
        <is>
          <t>JOSE DOMINGO CHOQUEHUANCA</t>
        </is>
      </c>
      <c r="C746" s="14">
        <f>'Empleo Censo'!G746-'Empleo Censo'!F746</f>
        <v/>
      </c>
      <c r="D746" s="14">
        <f>'Empleo Censo'!F746</f>
        <v/>
      </c>
      <c r="E746" s="14">
        <f>'Empleo Censo'!H746</f>
        <v/>
      </c>
      <c r="F746" s="14">
        <f>'Empleo Censo'!I746</f>
        <v/>
      </c>
      <c r="G746" s="14">
        <f>'Empleo Censo'!J746+'Empleo Censo'!K746</f>
        <v/>
      </c>
      <c r="H746" s="14">
        <f>'Empleo Censo'!L746</f>
        <v/>
      </c>
      <c r="I746" s="14">
        <f>'Empleo Censo'!M746</f>
        <v/>
      </c>
      <c r="J746" s="14">
        <f>SUM('Empleo Censo'!N746:AA746)</f>
        <v/>
      </c>
      <c r="K746" s="14">
        <f>SUM(C746:J746)</f>
        <v/>
      </c>
      <c r="L746" s="15">
        <f>SUMPRODUCT(C746:J746,Factores!$B$3:$I$3)</f>
        <v/>
      </c>
      <c r="M746" s="16">
        <f>'Empleo Censo'!E746</f>
        <v/>
      </c>
      <c r="N746" s="17">
        <f>IF(M746&gt;0,L746,Factores!$B$7)</f>
        <v/>
      </c>
      <c r="O746">
        <f>IF(M746&gt;0,"OK","sin PEA -&gt; peor")</f>
        <v/>
      </c>
    </row>
    <row r="747">
      <c r="A747" t="inlineStr">
        <is>
          <t>210208</t>
        </is>
      </c>
      <c r="B747" t="inlineStr">
        <is>
          <t>MUÑANI</t>
        </is>
      </c>
      <c r="C747" s="14">
        <f>'Empleo Censo'!G747-'Empleo Censo'!F747</f>
        <v/>
      </c>
      <c r="D747" s="14">
        <f>'Empleo Censo'!F747</f>
        <v/>
      </c>
      <c r="E747" s="14">
        <f>'Empleo Censo'!H747</f>
        <v/>
      </c>
      <c r="F747" s="14">
        <f>'Empleo Censo'!I747</f>
        <v/>
      </c>
      <c r="G747" s="14">
        <f>'Empleo Censo'!J747+'Empleo Censo'!K747</f>
        <v/>
      </c>
      <c r="H747" s="14">
        <f>'Empleo Censo'!L747</f>
        <v/>
      </c>
      <c r="I747" s="14">
        <f>'Empleo Censo'!M747</f>
        <v/>
      </c>
      <c r="J747" s="14">
        <f>SUM('Empleo Censo'!N747:AA747)</f>
        <v/>
      </c>
      <c r="K747" s="14">
        <f>SUM(C747:J747)</f>
        <v/>
      </c>
      <c r="L747" s="15">
        <f>SUMPRODUCT(C747:J747,Factores!$B$3:$I$3)</f>
        <v/>
      </c>
      <c r="M747" s="16">
        <f>'Empleo Censo'!E747</f>
        <v/>
      </c>
      <c r="N747" s="17">
        <f>IF(M747&gt;0,L747,Factores!$B$7)</f>
        <v/>
      </c>
      <c r="O747">
        <f>IF(M747&gt;0,"OK","sin PEA -&gt; peor")</f>
        <v/>
      </c>
    </row>
    <row r="748">
      <c r="A748" t="inlineStr">
        <is>
          <t>210209</t>
        </is>
      </c>
      <c r="B748" t="inlineStr">
        <is>
          <t>POTONI</t>
        </is>
      </c>
      <c r="C748" s="14">
        <f>'Empleo Censo'!G748-'Empleo Censo'!F748</f>
        <v/>
      </c>
      <c r="D748" s="14">
        <f>'Empleo Censo'!F748</f>
        <v/>
      </c>
      <c r="E748" s="14">
        <f>'Empleo Censo'!H748</f>
        <v/>
      </c>
      <c r="F748" s="14">
        <f>'Empleo Censo'!I748</f>
        <v/>
      </c>
      <c r="G748" s="14">
        <f>'Empleo Censo'!J748+'Empleo Censo'!K748</f>
        <v/>
      </c>
      <c r="H748" s="14">
        <f>'Empleo Censo'!L748</f>
        <v/>
      </c>
      <c r="I748" s="14">
        <f>'Empleo Censo'!M748</f>
        <v/>
      </c>
      <c r="J748" s="14">
        <f>SUM('Empleo Censo'!N748:AA748)</f>
        <v/>
      </c>
      <c r="K748" s="14">
        <f>SUM(C748:J748)</f>
        <v/>
      </c>
      <c r="L748" s="15">
        <f>SUMPRODUCT(C748:J748,Factores!$B$3:$I$3)</f>
        <v/>
      </c>
      <c r="M748" s="16">
        <f>'Empleo Censo'!E748</f>
        <v/>
      </c>
      <c r="N748" s="17">
        <f>IF(M748&gt;0,L748,Factores!$B$7)</f>
        <v/>
      </c>
      <c r="O748">
        <f>IF(M748&gt;0,"OK","sin PEA -&gt; peor")</f>
        <v/>
      </c>
    </row>
    <row r="749">
      <c r="A749" t="inlineStr">
        <is>
          <t>210210</t>
        </is>
      </c>
      <c r="B749" t="inlineStr">
        <is>
          <t>SAMAN</t>
        </is>
      </c>
      <c r="C749" s="14">
        <f>'Empleo Censo'!G749-'Empleo Censo'!F749</f>
        <v/>
      </c>
      <c r="D749" s="14">
        <f>'Empleo Censo'!F749</f>
        <v/>
      </c>
      <c r="E749" s="14">
        <f>'Empleo Censo'!H749</f>
        <v/>
      </c>
      <c r="F749" s="14">
        <f>'Empleo Censo'!I749</f>
        <v/>
      </c>
      <c r="G749" s="14">
        <f>'Empleo Censo'!J749+'Empleo Censo'!K749</f>
        <v/>
      </c>
      <c r="H749" s="14">
        <f>'Empleo Censo'!L749</f>
        <v/>
      </c>
      <c r="I749" s="14">
        <f>'Empleo Censo'!M749</f>
        <v/>
      </c>
      <c r="J749" s="14">
        <f>SUM('Empleo Censo'!N749:AA749)</f>
        <v/>
      </c>
      <c r="K749" s="14">
        <f>SUM(C749:J749)</f>
        <v/>
      </c>
      <c r="L749" s="15">
        <f>SUMPRODUCT(C749:J749,Factores!$B$3:$I$3)</f>
        <v/>
      </c>
      <c r="M749" s="16">
        <f>'Empleo Censo'!E749</f>
        <v/>
      </c>
      <c r="N749" s="17">
        <f>IF(M749&gt;0,L749,Factores!$B$7)</f>
        <v/>
      </c>
      <c r="O749">
        <f>IF(M749&gt;0,"OK","sin PEA -&gt; peor")</f>
        <v/>
      </c>
    </row>
    <row r="750">
      <c r="A750" t="inlineStr">
        <is>
          <t>210211</t>
        </is>
      </c>
      <c r="B750" t="inlineStr">
        <is>
          <t>SAN ANTON</t>
        </is>
      </c>
      <c r="C750" s="14">
        <f>'Empleo Censo'!G750-'Empleo Censo'!F750</f>
        <v/>
      </c>
      <c r="D750" s="14">
        <f>'Empleo Censo'!F750</f>
        <v/>
      </c>
      <c r="E750" s="14">
        <f>'Empleo Censo'!H750</f>
        <v/>
      </c>
      <c r="F750" s="14">
        <f>'Empleo Censo'!I750</f>
        <v/>
      </c>
      <c r="G750" s="14">
        <f>'Empleo Censo'!J750+'Empleo Censo'!K750</f>
        <v/>
      </c>
      <c r="H750" s="14">
        <f>'Empleo Censo'!L750</f>
        <v/>
      </c>
      <c r="I750" s="14">
        <f>'Empleo Censo'!M750</f>
        <v/>
      </c>
      <c r="J750" s="14">
        <f>SUM('Empleo Censo'!N750:AA750)</f>
        <v/>
      </c>
      <c r="K750" s="14">
        <f>SUM(C750:J750)</f>
        <v/>
      </c>
      <c r="L750" s="15">
        <f>SUMPRODUCT(C750:J750,Factores!$B$3:$I$3)</f>
        <v/>
      </c>
      <c r="M750" s="16">
        <f>'Empleo Censo'!E750</f>
        <v/>
      </c>
      <c r="N750" s="17">
        <f>IF(M750&gt;0,L750,Factores!$B$7)</f>
        <v/>
      </c>
      <c r="O750">
        <f>IF(M750&gt;0,"OK","sin PEA -&gt; peor")</f>
        <v/>
      </c>
    </row>
    <row r="751">
      <c r="A751" t="inlineStr">
        <is>
          <t>210212</t>
        </is>
      </c>
      <c r="B751" t="inlineStr">
        <is>
          <t>SAN JOSE</t>
        </is>
      </c>
      <c r="C751" s="14">
        <f>'Empleo Censo'!G751-'Empleo Censo'!F751</f>
        <v/>
      </c>
      <c r="D751" s="14">
        <f>'Empleo Censo'!F751</f>
        <v/>
      </c>
      <c r="E751" s="14">
        <f>'Empleo Censo'!H751</f>
        <v/>
      </c>
      <c r="F751" s="14">
        <f>'Empleo Censo'!I751</f>
        <v/>
      </c>
      <c r="G751" s="14">
        <f>'Empleo Censo'!J751+'Empleo Censo'!K751</f>
        <v/>
      </c>
      <c r="H751" s="14">
        <f>'Empleo Censo'!L751</f>
        <v/>
      </c>
      <c r="I751" s="14">
        <f>'Empleo Censo'!M751</f>
        <v/>
      </c>
      <c r="J751" s="14">
        <f>SUM('Empleo Censo'!N751:AA751)</f>
        <v/>
      </c>
      <c r="K751" s="14">
        <f>SUM(C751:J751)</f>
        <v/>
      </c>
      <c r="L751" s="15">
        <f>SUMPRODUCT(C751:J751,Factores!$B$3:$I$3)</f>
        <v/>
      </c>
      <c r="M751" s="16">
        <f>'Empleo Censo'!E751</f>
        <v/>
      </c>
      <c r="N751" s="17">
        <f>IF(M751&gt;0,L751,Factores!$B$7)</f>
        <v/>
      </c>
      <c r="O751">
        <f>IF(M751&gt;0,"OK","sin PEA -&gt; peor")</f>
        <v/>
      </c>
    </row>
    <row r="752">
      <c r="A752" t="inlineStr">
        <is>
          <t>210213</t>
        </is>
      </c>
      <c r="B752" t="inlineStr">
        <is>
          <t>SAN JUAN DE SALINAS</t>
        </is>
      </c>
      <c r="C752" s="14">
        <f>'Empleo Censo'!G752-'Empleo Censo'!F752</f>
        <v/>
      </c>
      <c r="D752" s="14">
        <f>'Empleo Censo'!F752</f>
        <v/>
      </c>
      <c r="E752" s="14">
        <f>'Empleo Censo'!H752</f>
        <v/>
      </c>
      <c r="F752" s="14">
        <f>'Empleo Censo'!I752</f>
        <v/>
      </c>
      <c r="G752" s="14">
        <f>'Empleo Censo'!J752+'Empleo Censo'!K752</f>
        <v/>
      </c>
      <c r="H752" s="14">
        <f>'Empleo Censo'!L752</f>
        <v/>
      </c>
      <c r="I752" s="14">
        <f>'Empleo Censo'!M752</f>
        <v/>
      </c>
      <c r="J752" s="14">
        <f>SUM('Empleo Censo'!N752:AA752)</f>
        <v/>
      </c>
      <c r="K752" s="14">
        <f>SUM(C752:J752)</f>
        <v/>
      </c>
      <c r="L752" s="15">
        <f>SUMPRODUCT(C752:J752,Factores!$B$3:$I$3)</f>
        <v/>
      </c>
      <c r="M752" s="16">
        <f>'Empleo Censo'!E752</f>
        <v/>
      </c>
      <c r="N752" s="17">
        <f>IF(M752&gt;0,L752,Factores!$B$7)</f>
        <v/>
      </c>
      <c r="O752">
        <f>IF(M752&gt;0,"OK","sin PEA -&gt; peor")</f>
        <v/>
      </c>
    </row>
    <row r="753">
      <c r="A753" t="inlineStr">
        <is>
          <t>210214</t>
        </is>
      </c>
      <c r="B753" t="inlineStr">
        <is>
          <t>SANTIAGO DE PUPUJA</t>
        </is>
      </c>
      <c r="C753" s="14">
        <f>'Empleo Censo'!G753-'Empleo Censo'!F753</f>
        <v/>
      </c>
      <c r="D753" s="14">
        <f>'Empleo Censo'!F753</f>
        <v/>
      </c>
      <c r="E753" s="14">
        <f>'Empleo Censo'!H753</f>
        <v/>
      </c>
      <c r="F753" s="14">
        <f>'Empleo Censo'!I753</f>
        <v/>
      </c>
      <c r="G753" s="14">
        <f>'Empleo Censo'!J753+'Empleo Censo'!K753</f>
        <v/>
      </c>
      <c r="H753" s="14">
        <f>'Empleo Censo'!L753</f>
        <v/>
      </c>
      <c r="I753" s="14">
        <f>'Empleo Censo'!M753</f>
        <v/>
      </c>
      <c r="J753" s="14">
        <f>SUM('Empleo Censo'!N753:AA753)</f>
        <v/>
      </c>
      <c r="K753" s="14">
        <f>SUM(C753:J753)</f>
        <v/>
      </c>
      <c r="L753" s="15">
        <f>SUMPRODUCT(C753:J753,Factores!$B$3:$I$3)</f>
        <v/>
      </c>
      <c r="M753" s="16">
        <f>'Empleo Censo'!E753</f>
        <v/>
      </c>
      <c r="N753" s="17">
        <f>IF(M753&gt;0,L753,Factores!$B$7)</f>
        <v/>
      </c>
      <c r="O753">
        <f>IF(M753&gt;0,"OK","sin PEA -&gt; peor")</f>
        <v/>
      </c>
    </row>
    <row r="754">
      <c r="A754" t="inlineStr">
        <is>
          <t>210215</t>
        </is>
      </c>
      <c r="B754" t="inlineStr">
        <is>
          <t>TIRAPATA</t>
        </is>
      </c>
      <c r="C754" s="14">
        <f>'Empleo Censo'!G754-'Empleo Censo'!F754</f>
        <v/>
      </c>
      <c r="D754" s="14">
        <f>'Empleo Censo'!F754</f>
        <v/>
      </c>
      <c r="E754" s="14">
        <f>'Empleo Censo'!H754</f>
        <v/>
      </c>
      <c r="F754" s="14">
        <f>'Empleo Censo'!I754</f>
        <v/>
      </c>
      <c r="G754" s="14">
        <f>'Empleo Censo'!J754+'Empleo Censo'!K754</f>
        <v/>
      </c>
      <c r="H754" s="14">
        <f>'Empleo Censo'!L754</f>
        <v/>
      </c>
      <c r="I754" s="14">
        <f>'Empleo Censo'!M754</f>
        <v/>
      </c>
      <c r="J754" s="14">
        <f>SUM('Empleo Censo'!N754:AA754)</f>
        <v/>
      </c>
      <c r="K754" s="14">
        <f>SUM(C754:J754)</f>
        <v/>
      </c>
      <c r="L754" s="15">
        <f>SUMPRODUCT(C754:J754,Factores!$B$3:$I$3)</f>
        <v/>
      </c>
      <c r="M754" s="16">
        <f>'Empleo Censo'!E754</f>
        <v/>
      </c>
      <c r="N754" s="17">
        <f>IF(M754&gt;0,L754,Factores!$B$7)</f>
        <v/>
      </c>
      <c r="O754">
        <f>IF(M754&gt;0,"OK","sin PEA -&gt; peor")</f>
        <v/>
      </c>
    </row>
    <row r="755">
      <c r="A755" t="inlineStr">
        <is>
          <t>210301</t>
        </is>
      </c>
      <c r="B755" t="inlineStr">
        <is>
          <t>MACUSANI</t>
        </is>
      </c>
      <c r="C755" s="14">
        <f>'Empleo Censo'!G755-'Empleo Censo'!F755</f>
        <v/>
      </c>
      <c r="D755" s="14">
        <f>'Empleo Censo'!F755</f>
        <v/>
      </c>
      <c r="E755" s="14">
        <f>'Empleo Censo'!H755</f>
        <v/>
      </c>
      <c r="F755" s="14">
        <f>'Empleo Censo'!I755</f>
        <v/>
      </c>
      <c r="G755" s="14">
        <f>'Empleo Censo'!J755+'Empleo Censo'!K755</f>
        <v/>
      </c>
      <c r="H755" s="14">
        <f>'Empleo Censo'!L755</f>
        <v/>
      </c>
      <c r="I755" s="14">
        <f>'Empleo Censo'!M755</f>
        <v/>
      </c>
      <c r="J755" s="14">
        <f>SUM('Empleo Censo'!N755:AA755)</f>
        <v/>
      </c>
      <c r="K755" s="14">
        <f>SUM(C755:J755)</f>
        <v/>
      </c>
      <c r="L755" s="15">
        <f>SUMPRODUCT(C755:J755,Factores!$B$3:$I$3)</f>
        <v/>
      </c>
      <c r="M755" s="16">
        <f>'Empleo Censo'!E755</f>
        <v/>
      </c>
      <c r="N755" s="17">
        <f>IF(M755&gt;0,L755,Factores!$B$7)</f>
        <v/>
      </c>
      <c r="O755">
        <f>IF(M755&gt;0,"OK","sin PEA -&gt; peor")</f>
        <v/>
      </c>
    </row>
    <row r="756">
      <c r="A756" t="inlineStr">
        <is>
          <t>210302</t>
        </is>
      </c>
      <c r="B756" t="inlineStr">
        <is>
          <t>AJOYANI</t>
        </is>
      </c>
      <c r="C756" s="14">
        <f>'Empleo Censo'!G756-'Empleo Censo'!F756</f>
        <v/>
      </c>
      <c r="D756" s="14">
        <f>'Empleo Censo'!F756</f>
        <v/>
      </c>
      <c r="E756" s="14">
        <f>'Empleo Censo'!H756</f>
        <v/>
      </c>
      <c r="F756" s="14">
        <f>'Empleo Censo'!I756</f>
        <v/>
      </c>
      <c r="G756" s="14">
        <f>'Empleo Censo'!J756+'Empleo Censo'!K756</f>
        <v/>
      </c>
      <c r="H756" s="14">
        <f>'Empleo Censo'!L756</f>
        <v/>
      </c>
      <c r="I756" s="14">
        <f>'Empleo Censo'!M756</f>
        <v/>
      </c>
      <c r="J756" s="14">
        <f>SUM('Empleo Censo'!N756:AA756)</f>
        <v/>
      </c>
      <c r="K756" s="14">
        <f>SUM(C756:J756)</f>
        <v/>
      </c>
      <c r="L756" s="15">
        <f>SUMPRODUCT(C756:J756,Factores!$B$3:$I$3)</f>
        <v/>
      </c>
      <c r="M756" s="16">
        <f>'Empleo Censo'!E756</f>
        <v/>
      </c>
      <c r="N756" s="17">
        <f>IF(M756&gt;0,L756,Factores!$B$7)</f>
        <v/>
      </c>
      <c r="O756">
        <f>IF(M756&gt;0,"OK","sin PEA -&gt; peor")</f>
        <v/>
      </c>
    </row>
    <row r="757">
      <c r="A757" t="inlineStr">
        <is>
          <t>210303</t>
        </is>
      </c>
      <c r="B757" t="inlineStr">
        <is>
          <t>AYAPATA</t>
        </is>
      </c>
      <c r="C757" s="14">
        <f>'Empleo Censo'!G757-'Empleo Censo'!F757</f>
        <v/>
      </c>
      <c r="D757" s="14">
        <f>'Empleo Censo'!F757</f>
        <v/>
      </c>
      <c r="E757" s="14">
        <f>'Empleo Censo'!H757</f>
        <v/>
      </c>
      <c r="F757" s="14">
        <f>'Empleo Censo'!I757</f>
        <v/>
      </c>
      <c r="G757" s="14">
        <f>'Empleo Censo'!J757+'Empleo Censo'!K757</f>
        <v/>
      </c>
      <c r="H757" s="14">
        <f>'Empleo Censo'!L757</f>
        <v/>
      </c>
      <c r="I757" s="14">
        <f>'Empleo Censo'!M757</f>
        <v/>
      </c>
      <c r="J757" s="14">
        <f>SUM('Empleo Censo'!N757:AA757)</f>
        <v/>
      </c>
      <c r="K757" s="14">
        <f>SUM(C757:J757)</f>
        <v/>
      </c>
      <c r="L757" s="15">
        <f>SUMPRODUCT(C757:J757,Factores!$B$3:$I$3)</f>
        <v/>
      </c>
      <c r="M757" s="16">
        <f>'Empleo Censo'!E757</f>
        <v/>
      </c>
      <c r="N757" s="17">
        <f>IF(M757&gt;0,L757,Factores!$B$7)</f>
        <v/>
      </c>
      <c r="O757">
        <f>IF(M757&gt;0,"OK","sin PEA -&gt; peor")</f>
        <v/>
      </c>
    </row>
    <row r="758">
      <c r="A758" t="inlineStr">
        <is>
          <t>210304</t>
        </is>
      </c>
      <c r="B758" t="inlineStr">
        <is>
          <t>COASA</t>
        </is>
      </c>
      <c r="C758" s="14">
        <f>'Empleo Censo'!G758-'Empleo Censo'!F758</f>
        <v/>
      </c>
      <c r="D758" s="14">
        <f>'Empleo Censo'!F758</f>
        <v/>
      </c>
      <c r="E758" s="14">
        <f>'Empleo Censo'!H758</f>
        <v/>
      </c>
      <c r="F758" s="14">
        <f>'Empleo Censo'!I758</f>
        <v/>
      </c>
      <c r="G758" s="14">
        <f>'Empleo Censo'!J758+'Empleo Censo'!K758</f>
        <v/>
      </c>
      <c r="H758" s="14">
        <f>'Empleo Censo'!L758</f>
        <v/>
      </c>
      <c r="I758" s="14">
        <f>'Empleo Censo'!M758</f>
        <v/>
      </c>
      <c r="J758" s="14">
        <f>SUM('Empleo Censo'!N758:AA758)</f>
        <v/>
      </c>
      <c r="K758" s="14">
        <f>SUM(C758:J758)</f>
        <v/>
      </c>
      <c r="L758" s="15">
        <f>SUMPRODUCT(C758:J758,Factores!$B$3:$I$3)</f>
        <v/>
      </c>
      <c r="M758" s="16">
        <f>'Empleo Censo'!E758</f>
        <v/>
      </c>
      <c r="N758" s="17">
        <f>IF(M758&gt;0,L758,Factores!$B$7)</f>
        <v/>
      </c>
      <c r="O758">
        <f>IF(M758&gt;0,"OK","sin PEA -&gt; peor")</f>
        <v/>
      </c>
    </row>
    <row r="759">
      <c r="A759" t="inlineStr">
        <is>
          <t>210305</t>
        </is>
      </c>
      <c r="B759" t="inlineStr">
        <is>
          <t>CORANI</t>
        </is>
      </c>
      <c r="C759" s="14">
        <f>'Empleo Censo'!G759-'Empleo Censo'!F759</f>
        <v/>
      </c>
      <c r="D759" s="14">
        <f>'Empleo Censo'!F759</f>
        <v/>
      </c>
      <c r="E759" s="14">
        <f>'Empleo Censo'!H759</f>
        <v/>
      </c>
      <c r="F759" s="14">
        <f>'Empleo Censo'!I759</f>
        <v/>
      </c>
      <c r="G759" s="14">
        <f>'Empleo Censo'!J759+'Empleo Censo'!K759</f>
        <v/>
      </c>
      <c r="H759" s="14">
        <f>'Empleo Censo'!L759</f>
        <v/>
      </c>
      <c r="I759" s="14">
        <f>'Empleo Censo'!M759</f>
        <v/>
      </c>
      <c r="J759" s="14">
        <f>SUM('Empleo Censo'!N759:AA759)</f>
        <v/>
      </c>
      <c r="K759" s="14">
        <f>SUM(C759:J759)</f>
        <v/>
      </c>
      <c r="L759" s="15">
        <f>SUMPRODUCT(C759:J759,Factores!$B$3:$I$3)</f>
        <v/>
      </c>
      <c r="M759" s="16">
        <f>'Empleo Censo'!E759</f>
        <v/>
      </c>
      <c r="N759" s="17">
        <f>IF(M759&gt;0,L759,Factores!$B$7)</f>
        <v/>
      </c>
      <c r="O759">
        <f>IF(M759&gt;0,"OK","sin PEA -&gt; peor")</f>
        <v/>
      </c>
    </row>
    <row r="760">
      <c r="A760" t="inlineStr">
        <is>
          <t>210306</t>
        </is>
      </c>
      <c r="B760" t="inlineStr">
        <is>
          <t>CRUCERO</t>
        </is>
      </c>
      <c r="C760" s="14">
        <f>'Empleo Censo'!G760-'Empleo Censo'!F760</f>
        <v/>
      </c>
      <c r="D760" s="14">
        <f>'Empleo Censo'!F760</f>
        <v/>
      </c>
      <c r="E760" s="14">
        <f>'Empleo Censo'!H760</f>
        <v/>
      </c>
      <c r="F760" s="14">
        <f>'Empleo Censo'!I760</f>
        <v/>
      </c>
      <c r="G760" s="14">
        <f>'Empleo Censo'!J760+'Empleo Censo'!K760</f>
        <v/>
      </c>
      <c r="H760" s="14">
        <f>'Empleo Censo'!L760</f>
        <v/>
      </c>
      <c r="I760" s="14">
        <f>'Empleo Censo'!M760</f>
        <v/>
      </c>
      <c r="J760" s="14">
        <f>SUM('Empleo Censo'!N760:AA760)</f>
        <v/>
      </c>
      <c r="K760" s="14">
        <f>SUM(C760:J760)</f>
        <v/>
      </c>
      <c r="L760" s="15">
        <f>SUMPRODUCT(C760:J760,Factores!$B$3:$I$3)</f>
        <v/>
      </c>
      <c r="M760" s="16">
        <f>'Empleo Censo'!E760</f>
        <v/>
      </c>
      <c r="N760" s="17">
        <f>IF(M760&gt;0,L760,Factores!$B$7)</f>
        <v/>
      </c>
      <c r="O760">
        <f>IF(M760&gt;0,"OK","sin PEA -&gt; peor")</f>
        <v/>
      </c>
    </row>
    <row r="761">
      <c r="A761" t="inlineStr">
        <is>
          <t>210307</t>
        </is>
      </c>
      <c r="B761" t="inlineStr">
        <is>
          <t>ITUATA</t>
        </is>
      </c>
      <c r="C761" s="14">
        <f>'Empleo Censo'!G761-'Empleo Censo'!F761</f>
        <v/>
      </c>
      <c r="D761" s="14">
        <f>'Empleo Censo'!F761</f>
        <v/>
      </c>
      <c r="E761" s="14">
        <f>'Empleo Censo'!H761</f>
        <v/>
      </c>
      <c r="F761" s="14">
        <f>'Empleo Censo'!I761</f>
        <v/>
      </c>
      <c r="G761" s="14">
        <f>'Empleo Censo'!J761+'Empleo Censo'!K761</f>
        <v/>
      </c>
      <c r="H761" s="14">
        <f>'Empleo Censo'!L761</f>
        <v/>
      </c>
      <c r="I761" s="14">
        <f>'Empleo Censo'!M761</f>
        <v/>
      </c>
      <c r="J761" s="14">
        <f>SUM('Empleo Censo'!N761:AA761)</f>
        <v/>
      </c>
      <c r="K761" s="14">
        <f>SUM(C761:J761)</f>
        <v/>
      </c>
      <c r="L761" s="15">
        <f>SUMPRODUCT(C761:J761,Factores!$B$3:$I$3)</f>
        <v/>
      </c>
      <c r="M761" s="16">
        <f>'Empleo Censo'!E761</f>
        <v/>
      </c>
      <c r="N761" s="17">
        <f>IF(M761&gt;0,L761,Factores!$B$7)</f>
        <v/>
      </c>
      <c r="O761">
        <f>IF(M761&gt;0,"OK","sin PEA -&gt; peor")</f>
        <v/>
      </c>
    </row>
    <row r="762">
      <c r="A762" t="inlineStr">
        <is>
          <t>210308</t>
        </is>
      </c>
      <c r="B762" t="inlineStr">
        <is>
          <t>OLLACHEA</t>
        </is>
      </c>
      <c r="C762" s="14">
        <f>'Empleo Censo'!G762-'Empleo Censo'!F762</f>
        <v/>
      </c>
      <c r="D762" s="14">
        <f>'Empleo Censo'!F762</f>
        <v/>
      </c>
      <c r="E762" s="14">
        <f>'Empleo Censo'!H762</f>
        <v/>
      </c>
      <c r="F762" s="14">
        <f>'Empleo Censo'!I762</f>
        <v/>
      </c>
      <c r="G762" s="14">
        <f>'Empleo Censo'!J762+'Empleo Censo'!K762</f>
        <v/>
      </c>
      <c r="H762" s="14">
        <f>'Empleo Censo'!L762</f>
        <v/>
      </c>
      <c r="I762" s="14">
        <f>'Empleo Censo'!M762</f>
        <v/>
      </c>
      <c r="J762" s="14">
        <f>SUM('Empleo Censo'!N762:AA762)</f>
        <v/>
      </c>
      <c r="K762" s="14">
        <f>SUM(C762:J762)</f>
        <v/>
      </c>
      <c r="L762" s="15">
        <f>SUMPRODUCT(C762:J762,Factores!$B$3:$I$3)</f>
        <v/>
      </c>
      <c r="M762" s="16">
        <f>'Empleo Censo'!E762</f>
        <v/>
      </c>
      <c r="N762" s="17">
        <f>IF(M762&gt;0,L762,Factores!$B$7)</f>
        <v/>
      </c>
      <c r="O762">
        <f>IF(M762&gt;0,"OK","sin PEA -&gt; peor")</f>
        <v/>
      </c>
    </row>
    <row r="763">
      <c r="A763" t="inlineStr">
        <is>
          <t>210309</t>
        </is>
      </c>
      <c r="B763" t="inlineStr">
        <is>
          <t>SAN GABAN</t>
        </is>
      </c>
      <c r="C763" s="14">
        <f>'Empleo Censo'!G763-'Empleo Censo'!F763</f>
        <v/>
      </c>
      <c r="D763" s="14">
        <f>'Empleo Censo'!F763</f>
        <v/>
      </c>
      <c r="E763" s="14">
        <f>'Empleo Censo'!H763</f>
        <v/>
      </c>
      <c r="F763" s="14">
        <f>'Empleo Censo'!I763</f>
        <v/>
      </c>
      <c r="G763" s="14">
        <f>'Empleo Censo'!J763+'Empleo Censo'!K763</f>
        <v/>
      </c>
      <c r="H763" s="14">
        <f>'Empleo Censo'!L763</f>
        <v/>
      </c>
      <c r="I763" s="14">
        <f>'Empleo Censo'!M763</f>
        <v/>
      </c>
      <c r="J763" s="14">
        <f>SUM('Empleo Censo'!N763:AA763)</f>
        <v/>
      </c>
      <c r="K763" s="14">
        <f>SUM(C763:J763)</f>
        <v/>
      </c>
      <c r="L763" s="15">
        <f>SUMPRODUCT(C763:J763,Factores!$B$3:$I$3)</f>
        <v/>
      </c>
      <c r="M763" s="16">
        <f>'Empleo Censo'!E763</f>
        <v/>
      </c>
      <c r="N763" s="17">
        <f>IF(M763&gt;0,L763,Factores!$B$7)</f>
        <v/>
      </c>
      <c r="O763">
        <f>IF(M763&gt;0,"OK","sin PEA -&gt; peor")</f>
        <v/>
      </c>
    </row>
    <row r="764">
      <c r="A764" t="inlineStr">
        <is>
          <t>210310</t>
        </is>
      </c>
      <c r="B764" t="inlineStr">
        <is>
          <t>USICAYOS</t>
        </is>
      </c>
      <c r="C764" s="14">
        <f>'Empleo Censo'!G764-'Empleo Censo'!F764</f>
        <v/>
      </c>
      <c r="D764" s="14">
        <f>'Empleo Censo'!F764</f>
        <v/>
      </c>
      <c r="E764" s="14">
        <f>'Empleo Censo'!H764</f>
        <v/>
      </c>
      <c r="F764" s="14">
        <f>'Empleo Censo'!I764</f>
        <v/>
      </c>
      <c r="G764" s="14">
        <f>'Empleo Censo'!J764+'Empleo Censo'!K764</f>
        <v/>
      </c>
      <c r="H764" s="14">
        <f>'Empleo Censo'!L764</f>
        <v/>
      </c>
      <c r="I764" s="14">
        <f>'Empleo Censo'!M764</f>
        <v/>
      </c>
      <c r="J764" s="14">
        <f>SUM('Empleo Censo'!N764:AA764)</f>
        <v/>
      </c>
      <c r="K764" s="14">
        <f>SUM(C764:J764)</f>
        <v/>
      </c>
      <c r="L764" s="15">
        <f>SUMPRODUCT(C764:J764,Factores!$B$3:$I$3)</f>
        <v/>
      </c>
      <c r="M764" s="16">
        <f>'Empleo Censo'!E764</f>
        <v/>
      </c>
      <c r="N764" s="17">
        <f>IF(M764&gt;0,L764,Factores!$B$7)</f>
        <v/>
      </c>
      <c r="O764">
        <f>IF(M764&gt;0,"OK","sin PEA -&gt; peor")</f>
        <v/>
      </c>
    </row>
    <row r="765">
      <c r="A765" t="inlineStr">
        <is>
          <t>210401</t>
        </is>
      </c>
      <c r="B765" t="inlineStr">
        <is>
          <t>JULI</t>
        </is>
      </c>
      <c r="C765" s="14">
        <f>'Empleo Censo'!G765-'Empleo Censo'!F765</f>
        <v/>
      </c>
      <c r="D765" s="14">
        <f>'Empleo Censo'!F765</f>
        <v/>
      </c>
      <c r="E765" s="14">
        <f>'Empleo Censo'!H765</f>
        <v/>
      </c>
      <c r="F765" s="14">
        <f>'Empleo Censo'!I765</f>
        <v/>
      </c>
      <c r="G765" s="14">
        <f>'Empleo Censo'!J765+'Empleo Censo'!K765</f>
        <v/>
      </c>
      <c r="H765" s="14">
        <f>'Empleo Censo'!L765</f>
        <v/>
      </c>
      <c r="I765" s="14">
        <f>'Empleo Censo'!M765</f>
        <v/>
      </c>
      <c r="J765" s="14">
        <f>SUM('Empleo Censo'!N765:AA765)</f>
        <v/>
      </c>
      <c r="K765" s="14">
        <f>SUM(C765:J765)</f>
        <v/>
      </c>
      <c r="L765" s="15">
        <f>SUMPRODUCT(C765:J765,Factores!$B$3:$I$3)</f>
        <v/>
      </c>
      <c r="M765" s="16">
        <f>'Empleo Censo'!E765</f>
        <v/>
      </c>
      <c r="N765" s="17">
        <f>IF(M765&gt;0,L765,Factores!$B$7)</f>
        <v/>
      </c>
      <c r="O765">
        <f>IF(M765&gt;0,"OK","sin PEA -&gt; peor")</f>
        <v/>
      </c>
    </row>
    <row r="766">
      <c r="A766" t="inlineStr">
        <is>
          <t>210402</t>
        </is>
      </c>
      <c r="B766" t="inlineStr">
        <is>
          <t>DESAGUADERO</t>
        </is>
      </c>
      <c r="C766" s="14">
        <f>'Empleo Censo'!G766-'Empleo Censo'!F766</f>
        <v/>
      </c>
      <c r="D766" s="14">
        <f>'Empleo Censo'!F766</f>
        <v/>
      </c>
      <c r="E766" s="14">
        <f>'Empleo Censo'!H766</f>
        <v/>
      </c>
      <c r="F766" s="14">
        <f>'Empleo Censo'!I766</f>
        <v/>
      </c>
      <c r="G766" s="14">
        <f>'Empleo Censo'!J766+'Empleo Censo'!K766</f>
        <v/>
      </c>
      <c r="H766" s="14">
        <f>'Empleo Censo'!L766</f>
        <v/>
      </c>
      <c r="I766" s="14">
        <f>'Empleo Censo'!M766</f>
        <v/>
      </c>
      <c r="J766" s="14">
        <f>SUM('Empleo Censo'!N766:AA766)</f>
        <v/>
      </c>
      <c r="K766" s="14">
        <f>SUM(C766:J766)</f>
        <v/>
      </c>
      <c r="L766" s="15">
        <f>SUMPRODUCT(C766:J766,Factores!$B$3:$I$3)</f>
        <v/>
      </c>
      <c r="M766" s="16">
        <f>'Empleo Censo'!E766</f>
        <v/>
      </c>
      <c r="N766" s="17">
        <f>IF(M766&gt;0,L766,Factores!$B$7)</f>
        <v/>
      </c>
      <c r="O766">
        <f>IF(M766&gt;0,"OK","sin PEA -&gt; peor")</f>
        <v/>
      </c>
    </row>
    <row r="767">
      <c r="A767" t="inlineStr">
        <is>
          <t>210403</t>
        </is>
      </c>
      <c r="B767" t="inlineStr">
        <is>
          <t>HUACULLANI</t>
        </is>
      </c>
      <c r="C767" s="14">
        <f>'Empleo Censo'!G767-'Empleo Censo'!F767</f>
        <v/>
      </c>
      <c r="D767" s="14">
        <f>'Empleo Censo'!F767</f>
        <v/>
      </c>
      <c r="E767" s="14">
        <f>'Empleo Censo'!H767</f>
        <v/>
      </c>
      <c r="F767" s="14">
        <f>'Empleo Censo'!I767</f>
        <v/>
      </c>
      <c r="G767" s="14">
        <f>'Empleo Censo'!J767+'Empleo Censo'!K767</f>
        <v/>
      </c>
      <c r="H767" s="14">
        <f>'Empleo Censo'!L767</f>
        <v/>
      </c>
      <c r="I767" s="14">
        <f>'Empleo Censo'!M767</f>
        <v/>
      </c>
      <c r="J767" s="14">
        <f>SUM('Empleo Censo'!N767:AA767)</f>
        <v/>
      </c>
      <c r="K767" s="14">
        <f>SUM(C767:J767)</f>
        <v/>
      </c>
      <c r="L767" s="15">
        <f>SUMPRODUCT(C767:J767,Factores!$B$3:$I$3)</f>
        <v/>
      </c>
      <c r="M767" s="16">
        <f>'Empleo Censo'!E767</f>
        <v/>
      </c>
      <c r="N767" s="17">
        <f>IF(M767&gt;0,L767,Factores!$B$7)</f>
        <v/>
      </c>
      <c r="O767">
        <f>IF(M767&gt;0,"OK","sin PEA -&gt; peor")</f>
        <v/>
      </c>
    </row>
    <row r="768">
      <c r="A768" t="inlineStr">
        <is>
          <t>210404</t>
        </is>
      </c>
      <c r="B768" t="inlineStr">
        <is>
          <t>KELLUYO</t>
        </is>
      </c>
      <c r="C768" s="14">
        <f>'Empleo Censo'!G768-'Empleo Censo'!F768</f>
        <v/>
      </c>
      <c r="D768" s="14">
        <f>'Empleo Censo'!F768</f>
        <v/>
      </c>
      <c r="E768" s="14">
        <f>'Empleo Censo'!H768</f>
        <v/>
      </c>
      <c r="F768" s="14">
        <f>'Empleo Censo'!I768</f>
        <v/>
      </c>
      <c r="G768" s="14">
        <f>'Empleo Censo'!J768+'Empleo Censo'!K768</f>
        <v/>
      </c>
      <c r="H768" s="14">
        <f>'Empleo Censo'!L768</f>
        <v/>
      </c>
      <c r="I768" s="14">
        <f>'Empleo Censo'!M768</f>
        <v/>
      </c>
      <c r="J768" s="14">
        <f>SUM('Empleo Censo'!N768:AA768)</f>
        <v/>
      </c>
      <c r="K768" s="14">
        <f>SUM(C768:J768)</f>
        <v/>
      </c>
      <c r="L768" s="15">
        <f>SUMPRODUCT(C768:J768,Factores!$B$3:$I$3)</f>
        <v/>
      </c>
      <c r="M768" s="16">
        <f>'Empleo Censo'!E768</f>
        <v/>
      </c>
      <c r="N768" s="17">
        <f>IF(M768&gt;0,L768,Factores!$B$7)</f>
        <v/>
      </c>
      <c r="O768">
        <f>IF(M768&gt;0,"OK","sin PEA -&gt; peor")</f>
        <v/>
      </c>
    </row>
    <row r="769">
      <c r="A769" t="inlineStr">
        <is>
          <t>210405</t>
        </is>
      </c>
      <c r="B769" t="inlineStr">
        <is>
          <t>PISACOMA</t>
        </is>
      </c>
      <c r="C769" s="14">
        <f>'Empleo Censo'!G769-'Empleo Censo'!F769</f>
        <v/>
      </c>
      <c r="D769" s="14">
        <f>'Empleo Censo'!F769</f>
        <v/>
      </c>
      <c r="E769" s="14">
        <f>'Empleo Censo'!H769</f>
        <v/>
      </c>
      <c r="F769" s="14">
        <f>'Empleo Censo'!I769</f>
        <v/>
      </c>
      <c r="G769" s="14">
        <f>'Empleo Censo'!J769+'Empleo Censo'!K769</f>
        <v/>
      </c>
      <c r="H769" s="14">
        <f>'Empleo Censo'!L769</f>
        <v/>
      </c>
      <c r="I769" s="14">
        <f>'Empleo Censo'!M769</f>
        <v/>
      </c>
      <c r="J769" s="14">
        <f>SUM('Empleo Censo'!N769:AA769)</f>
        <v/>
      </c>
      <c r="K769" s="14">
        <f>SUM(C769:J769)</f>
        <v/>
      </c>
      <c r="L769" s="15">
        <f>SUMPRODUCT(C769:J769,Factores!$B$3:$I$3)</f>
        <v/>
      </c>
      <c r="M769" s="16">
        <f>'Empleo Censo'!E769</f>
        <v/>
      </c>
      <c r="N769" s="17">
        <f>IF(M769&gt;0,L769,Factores!$B$7)</f>
        <v/>
      </c>
      <c r="O769">
        <f>IF(M769&gt;0,"OK","sin PEA -&gt; peor")</f>
        <v/>
      </c>
    </row>
    <row r="770">
      <c r="A770" t="inlineStr">
        <is>
          <t>210406</t>
        </is>
      </c>
      <c r="B770" t="inlineStr">
        <is>
          <t>POMATA</t>
        </is>
      </c>
      <c r="C770" s="14">
        <f>'Empleo Censo'!G770-'Empleo Censo'!F770</f>
        <v/>
      </c>
      <c r="D770" s="14">
        <f>'Empleo Censo'!F770</f>
        <v/>
      </c>
      <c r="E770" s="14">
        <f>'Empleo Censo'!H770</f>
        <v/>
      </c>
      <c r="F770" s="14">
        <f>'Empleo Censo'!I770</f>
        <v/>
      </c>
      <c r="G770" s="14">
        <f>'Empleo Censo'!J770+'Empleo Censo'!K770</f>
        <v/>
      </c>
      <c r="H770" s="14">
        <f>'Empleo Censo'!L770</f>
        <v/>
      </c>
      <c r="I770" s="14">
        <f>'Empleo Censo'!M770</f>
        <v/>
      </c>
      <c r="J770" s="14">
        <f>SUM('Empleo Censo'!N770:AA770)</f>
        <v/>
      </c>
      <c r="K770" s="14">
        <f>SUM(C770:J770)</f>
        <v/>
      </c>
      <c r="L770" s="15">
        <f>SUMPRODUCT(C770:J770,Factores!$B$3:$I$3)</f>
        <v/>
      </c>
      <c r="M770" s="16">
        <f>'Empleo Censo'!E770</f>
        <v/>
      </c>
      <c r="N770" s="17">
        <f>IF(M770&gt;0,L770,Factores!$B$7)</f>
        <v/>
      </c>
      <c r="O770">
        <f>IF(M770&gt;0,"OK","sin PEA -&gt; peor")</f>
        <v/>
      </c>
    </row>
    <row r="771">
      <c r="A771" t="inlineStr">
        <is>
          <t>210407</t>
        </is>
      </c>
      <c r="B771" t="inlineStr">
        <is>
          <t>ZEPITA</t>
        </is>
      </c>
      <c r="C771" s="14">
        <f>'Empleo Censo'!G771-'Empleo Censo'!F771</f>
        <v/>
      </c>
      <c r="D771" s="14">
        <f>'Empleo Censo'!F771</f>
        <v/>
      </c>
      <c r="E771" s="14">
        <f>'Empleo Censo'!H771</f>
        <v/>
      </c>
      <c r="F771" s="14">
        <f>'Empleo Censo'!I771</f>
        <v/>
      </c>
      <c r="G771" s="14">
        <f>'Empleo Censo'!J771+'Empleo Censo'!K771</f>
        <v/>
      </c>
      <c r="H771" s="14">
        <f>'Empleo Censo'!L771</f>
        <v/>
      </c>
      <c r="I771" s="14">
        <f>'Empleo Censo'!M771</f>
        <v/>
      </c>
      <c r="J771" s="14">
        <f>SUM('Empleo Censo'!N771:AA771)</f>
        <v/>
      </c>
      <c r="K771" s="14">
        <f>SUM(C771:J771)</f>
        <v/>
      </c>
      <c r="L771" s="15">
        <f>SUMPRODUCT(C771:J771,Factores!$B$3:$I$3)</f>
        <v/>
      </c>
      <c r="M771" s="16">
        <f>'Empleo Censo'!E771</f>
        <v/>
      </c>
      <c r="N771" s="17">
        <f>IF(M771&gt;0,L771,Factores!$B$7)</f>
        <v/>
      </c>
      <c r="O771">
        <f>IF(M771&gt;0,"OK","sin PEA -&gt; peor")</f>
        <v/>
      </c>
    </row>
    <row r="772">
      <c r="A772" t="inlineStr">
        <is>
          <t>210501</t>
        </is>
      </c>
      <c r="B772" t="inlineStr">
        <is>
          <t>ILAVE</t>
        </is>
      </c>
      <c r="C772" s="14">
        <f>'Empleo Censo'!G772-'Empleo Censo'!F772</f>
        <v/>
      </c>
      <c r="D772" s="14">
        <f>'Empleo Censo'!F772</f>
        <v/>
      </c>
      <c r="E772" s="14">
        <f>'Empleo Censo'!H772</f>
        <v/>
      </c>
      <c r="F772" s="14">
        <f>'Empleo Censo'!I772</f>
        <v/>
      </c>
      <c r="G772" s="14">
        <f>'Empleo Censo'!J772+'Empleo Censo'!K772</f>
        <v/>
      </c>
      <c r="H772" s="14">
        <f>'Empleo Censo'!L772</f>
        <v/>
      </c>
      <c r="I772" s="14">
        <f>'Empleo Censo'!M772</f>
        <v/>
      </c>
      <c r="J772" s="14">
        <f>SUM('Empleo Censo'!N772:AA772)</f>
        <v/>
      </c>
      <c r="K772" s="14">
        <f>SUM(C772:J772)</f>
        <v/>
      </c>
      <c r="L772" s="15">
        <f>SUMPRODUCT(C772:J772,Factores!$B$3:$I$3)</f>
        <v/>
      </c>
      <c r="M772" s="16">
        <f>'Empleo Censo'!E772</f>
        <v/>
      </c>
      <c r="N772" s="17">
        <f>IF(M772&gt;0,L772,Factores!$B$7)</f>
        <v/>
      </c>
      <c r="O772">
        <f>IF(M772&gt;0,"OK","sin PEA -&gt; peor")</f>
        <v/>
      </c>
    </row>
    <row r="773">
      <c r="A773" t="inlineStr">
        <is>
          <t>210502</t>
        </is>
      </c>
      <c r="B773" t="inlineStr">
        <is>
          <t>CAPAZO</t>
        </is>
      </c>
      <c r="C773" s="14">
        <f>'Empleo Censo'!G773-'Empleo Censo'!F773</f>
        <v/>
      </c>
      <c r="D773" s="14">
        <f>'Empleo Censo'!F773</f>
        <v/>
      </c>
      <c r="E773" s="14">
        <f>'Empleo Censo'!H773</f>
        <v/>
      </c>
      <c r="F773" s="14">
        <f>'Empleo Censo'!I773</f>
        <v/>
      </c>
      <c r="G773" s="14">
        <f>'Empleo Censo'!J773+'Empleo Censo'!K773</f>
        <v/>
      </c>
      <c r="H773" s="14">
        <f>'Empleo Censo'!L773</f>
        <v/>
      </c>
      <c r="I773" s="14">
        <f>'Empleo Censo'!M773</f>
        <v/>
      </c>
      <c r="J773" s="14">
        <f>SUM('Empleo Censo'!N773:AA773)</f>
        <v/>
      </c>
      <c r="K773" s="14">
        <f>SUM(C773:J773)</f>
        <v/>
      </c>
      <c r="L773" s="15">
        <f>SUMPRODUCT(C773:J773,Factores!$B$3:$I$3)</f>
        <v/>
      </c>
      <c r="M773" s="16">
        <f>'Empleo Censo'!E773</f>
        <v/>
      </c>
      <c r="N773" s="17">
        <f>IF(M773&gt;0,L773,Factores!$B$7)</f>
        <v/>
      </c>
      <c r="O773">
        <f>IF(M773&gt;0,"OK","sin PEA -&gt; peor")</f>
        <v/>
      </c>
    </row>
    <row r="774">
      <c r="A774" t="inlineStr">
        <is>
          <t>210503</t>
        </is>
      </c>
      <c r="B774" t="inlineStr">
        <is>
          <t>PILCUYO</t>
        </is>
      </c>
      <c r="C774" s="14">
        <f>'Empleo Censo'!G774-'Empleo Censo'!F774</f>
        <v/>
      </c>
      <c r="D774" s="14">
        <f>'Empleo Censo'!F774</f>
        <v/>
      </c>
      <c r="E774" s="14">
        <f>'Empleo Censo'!H774</f>
        <v/>
      </c>
      <c r="F774" s="14">
        <f>'Empleo Censo'!I774</f>
        <v/>
      </c>
      <c r="G774" s="14">
        <f>'Empleo Censo'!J774+'Empleo Censo'!K774</f>
        <v/>
      </c>
      <c r="H774" s="14">
        <f>'Empleo Censo'!L774</f>
        <v/>
      </c>
      <c r="I774" s="14">
        <f>'Empleo Censo'!M774</f>
        <v/>
      </c>
      <c r="J774" s="14">
        <f>SUM('Empleo Censo'!N774:AA774)</f>
        <v/>
      </c>
      <c r="K774" s="14">
        <f>SUM(C774:J774)</f>
        <v/>
      </c>
      <c r="L774" s="15">
        <f>SUMPRODUCT(C774:J774,Factores!$B$3:$I$3)</f>
        <v/>
      </c>
      <c r="M774" s="16">
        <f>'Empleo Censo'!E774</f>
        <v/>
      </c>
      <c r="N774" s="17">
        <f>IF(M774&gt;0,L774,Factores!$B$7)</f>
        <v/>
      </c>
      <c r="O774">
        <f>IF(M774&gt;0,"OK","sin PEA -&gt; peor")</f>
        <v/>
      </c>
    </row>
    <row r="775">
      <c r="A775" t="inlineStr">
        <is>
          <t>210504</t>
        </is>
      </c>
      <c r="B775" t="inlineStr">
        <is>
          <t>SANTA ROSA</t>
        </is>
      </c>
      <c r="C775" s="14">
        <f>'Empleo Censo'!G775-'Empleo Censo'!F775</f>
        <v/>
      </c>
      <c r="D775" s="14">
        <f>'Empleo Censo'!F775</f>
        <v/>
      </c>
      <c r="E775" s="14">
        <f>'Empleo Censo'!H775</f>
        <v/>
      </c>
      <c r="F775" s="14">
        <f>'Empleo Censo'!I775</f>
        <v/>
      </c>
      <c r="G775" s="14">
        <f>'Empleo Censo'!J775+'Empleo Censo'!K775</f>
        <v/>
      </c>
      <c r="H775" s="14">
        <f>'Empleo Censo'!L775</f>
        <v/>
      </c>
      <c r="I775" s="14">
        <f>'Empleo Censo'!M775</f>
        <v/>
      </c>
      <c r="J775" s="14">
        <f>SUM('Empleo Censo'!N775:AA775)</f>
        <v/>
      </c>
      <c r="K775" s="14">
        <f>SUM(C775:J775)</f>
        <v/>
      </c>
      <c r="L775" s="15">
        <f>SUMPRODUCT(C775:J775,Factores!$B$3:$I$3)</f>
        <v/>
      </c>
      <c r="M775" s="16">
        <f>'Empleo Censo'!E775</f>
        <v/>
      </c>
      <c r="N775" s="17">
        <f>IF(M775&gt;0,L775,Factores!$B$7)</f>
        <v/>
      </c>
      <c r="O775">
        <f>IF(M775&gt;0,"OK","sin PEA -&gt; peor")</f>
        <v/>
      </c>
    </row>
    <row r="776">
      <c r="A776" t="inlineStr">
        <is>
          <t>210505</t>
        </is>
      </c>
      <c r="B776" t="inlineStr">
        <is>
          <t>CONDURIRI</t>
        </is>
      </c>
      <c r="C776" s="14">
        <f>'Empleo Censo'!G776-'Empleo Censo'!F776</f>
        <v/>
      </c>
      <c r="D776" s="14">
        <f>'Empleo Censo'!F776</f>
        <v/>
      </c>
      <c r="E776" s="14">
        <f>'Empleo Censo'!H776</f>
        <v/>
      </c>
      <c r="F776" s="14">
        <f>'Empleo Censo'!I776</f>
        <v/>
      </c>
      <c r="G776" s="14">
        <f>'Empleo Censo'!J776+'Empleo Censo'!K776</f>
        <v/>
      </c>
      <c r="H776" s="14">
        <f>'Empleo Censo'!L776</f>
        <v/>
      </c>
      <c r="I776" s="14">
        <f>'Empleo Censo'!M776</f>
        <v/>
      </c>
      <c r="J776" s="14">
        <f>SUM('Empleo Censo'!N776:AA776)</f>
        <v/>
      </c>
      <c r="K776" s="14">
        <f>SUM(C776:J776)</f>
        <v/>
      </c>
      <c r="L776" s="15">
        <f>SUMPRODUCT(C776:J776,Factores!$B$3:$I$3)</f>
        <v/>
      </c>
      <c r="M776" s="16">
        <f>'Empleo Censo'!E776</f>
        <v/>
      </c>
      <c r="N776" s="17">
        <f>IF(M776&gt;0,L776,Factores!$B$7)</f>
        <v/>
      </c>
      <c r="O776">
        <f>IF(M776&gt;0,"OK","sin PEA -&gt; peor")</f>
        <v/>
      </c>
    </row>
    <row r="777">
      <c r="A777" t="inlineStr">
        <is>
          <t>210601</t>
        </is>
      </c>
      <c r="B777" t="inlineStr">
        <is>
          <t>HUANCANE</t>
        </is>
      </c>
      <c r="C777" s="14">
        <f>'Empleo Censo'!G777-'Empleo Censo'!F777</f>
        <v/>
      </c>
      <c r="D777" s="14">
        <f>'Empleo Censo'!F777</f>
        <v/>
      </c>
      <c r="E777" s="14">
        <f>'Empleo Censo'!H777</f>
        <v/>
      </c>
      <c r="F777" s="14">
        <f>'Empleo Censo'!I777</f>
        <v/>
      </c>
      <c r="G777" s="14">
        <f>'Empleo Censo'!J777+'Empleo Censo'!K777</f>
        <v/>
      </c>
      <c r="H777" s="14">
        <f>'Empleo Censo'!L777</f>
        <v/>
      </c>
      <c r="I777" s="14">
        <f>'Empleo Censo'!M777</f>
        <v/>
      </c>
      <c r="J777" s="14">
        <f>SUM('Empleo Censo'!N777:AA777)</f>
        <v/>
      </c>
      <c r="K777" s="14">
        <f>SUM(C777:J777)</f>
        <v/>
      </c>
      <c r="L777" s="15">
        <f>SUMPRODUCT(C777:J777,Factores!$B$3:$I$3)</f>
        <v/>
      </c>
      <c r="M777" s="16">
        <f>'Empleo Censo'!E777</f>
        <v/>
      </c>
      <c r="N777" s="17">
        <f>IF(M777&gt;0,L777,Factores!$B$7)</f>
        <v/>
      </c>
      <c r="O777">
        <f>IF(M777&gt;0,"OK","sin PEA -&gt; peor")</f>
        <v/>
      </c>
    </row>
    <row r="778">
      <c r="A778" t="inlineStr">
        <is>
          <t>210602</t>
        </is>
      </c>
      <c r="B778" t="inlineStr">
        <is>
          <t>COJATA</t>
        </is>
      </c>
      <c r="C778" s="14">
        <f>'Empleo Censo'!G778-'Empleo Censo'!F778</f>
        <v/>
      </c>
      <c r="D778" s="14">
        <f>'Empleo Censo'!F778</f>
        <v/>
      </c>
      <c r="E778" s="14">
        <f>'Empleo Censo'!H778</f>
        <v/>
      </c>
      <c r="F778" s="14">
        <f>'Empleo Censo'!I778</f>
        <v/>
      </c>
      <c r="G778" s="14">
        <f>'Empleo Censo'!J778+'Empleo Censo'!K778</f>
        <v/>
      </c>
      <c r="H778" s="14">
        <f>'Empleo Censo'!L778</f>
        <v/>
      </c>
      <c r="I778" s="14">
        <f>'Empleo Censo'!M778</f>
        <v/>
      </c>
      <c r="J778" s="14">
        <f>SUM('Empleo Censo'!N778:AA778)</f>
        <v/>
      </c>
      <c r="K778" s="14">
        <f>SUM(C778:J778)</f>
        <v/>
      </c>
      <c r="L778" s="15">
        <f>SUMPRODUCT(C778:J778,Factores!$B$3:$I$3)</f>
        <v/>
      </c>
      <c r="M778" s="16">
        <f>'Empleo Censo'!E778</f>
        <v/>
      </c>
      <c r="N778" s="17">
        <f>IF(M778&gt;0,L778,Factores!$B$7)</f>
        <v/>
      </c>
      <c r="O778">
        <f>IF(M778&gt;0,"OK","sin PEA -&gt; peor")</f>
        <v/>
      </c>
    </row>
    <row r="779">
      <c r="A779" t="inlineStr">
        <is>
          <t>210603</t>
        </is>
      </c>
      <c r="B779" t="inlineStr">
        <is>
          <t>HUATASANI</t>
        </is>
      </c>
      <c r="C779" s="14">
        <f>'Empleo Censo'!G779-'Empleo Censo'!F779</f>
        <v/>
      </c>
      <c r="D779" s="14">
        <f>'Empleo Censo'!F779</f>
        <v/>
      </c>
      <c r="E779" s="14">
        <f>'Empleo Censo'!H779</f>
        <v/>
      </c>
      <c r="F779" s="14">
        <f>'Empleo Censo'!I779</f>
        <v/>
      </c>
      <c r="G779" s="14">
        <f>'Empleo Censo'!J779+'Empleo Censo'!K779</f>
        <v/>
      </c>
      <c r="H779" s="14">
        <f>'Empleo Censo'!L779</f>
        <v/>
      </c>
      <c r="I779" s="14">
        <f>'Empleo Censo'!M779</f>
        <v/>
      </c>
      <c r="J779" s="14">
        <f>SUM('Empleo Censo'!N779:AA779)</f>
        <v/>
      </c>
      <c r="K779" s="14">
        <f>SUM(C779:J779)</f>
        <v/>
      </c>
      <c r="L779" s="15">
        <f>SUMPRODUCT(C779:J779,Factores!$B$3:$I$3)</f>
        <v/>
      </c>
      <c r="M779" s="16">
        <f>'Empleo Censo'!E779</f>
        <v/>
      </c>
      <c r="N779" s="17">
        <f>IF(M779&gt;0,L779,Factores!$B$7)</f>
        <v/>
      </c>
      <c r="O779">
        <f>IF(M779&gt;0,"OK","sin PEA -&gt; peor")</f>
        <v/>
      </c>
    </row>
    <row r="780">
      <c r="A780" t="inlineStr">
        <is>
          <t>210604</t>
        </is>
      </c>
      <c r="B780" t="inlineStr">
        <is>
          <t>INCHUPALLA</t>
        </is>
      </c>
      <c r="C780" s="14">
        <f>'Empleo Censo'!G780-'Empleo Censo'!F780</f>
        <v/>
      </c>
      <c r="D780" s="14">
        <f>'Empleo Censo'!F780</f>
        <v/>
      </c>
      <c r="E780" s="14">
        <f>'Empleo Censo'!H780</f>
        <v/>
      </c>
      <c r="F780" s="14">
        <f>'Empleo Censo'!I780</f>
        <v/>
      </c>
      <c r="G780" s="14">
        <f>'Empleo Censo'!J780+'Empleo Censo'!K780</f>
        <v/>
      </c>
      <c r="H780" s="14">
        <f>'Empleo Censo'!L780</f>
        <v/>
      </c>
      <c r="I780" s="14">
        <f>'Empleo Censo'!M780</f>
        <v/>
      </c>
      <c r="J780" s="14">
        <f>SUM('Empleo Censo'!N780:AA780)</f>
        <v/>
      </c>
      <c r="K780" s="14">
        <f>SUM(C780:J780)</f>
        <v/>
      </c>
      <c r="L780" s="15">
        <f>SUMPRODUCT(C780:J780,Factores!$B$3:$I$3)</f>
        <v/>
      </c>
      <c r="M780" s="16">
        <f>'Empleo Censo'!E780</f>
        <v/>
      </c>
      <c r="N780" s="17">
        <f>IF(M780&gt;0,L780,Factores!$B$7)</f>
        <v/>
      </c>
      <c r="O780">
        <f>IF(M780&gt;0,"OK","sin PEA -&gt; peor")</f>
        <v/>
      </c>
    </row>
    <row r="781">
      <c r="A781" t="inlineStr">
        <is>
          <t>210605</t>
        </is>
      </c>
      <c r="B781" t="inlineStr">
        <is>
          <t>PUSI</t>
        </is>
      </c>
      <c r="C781" s="14">
        <f>'Empleo Censo'!G781-'Empleo Censo'!F781</f>
        <v/>
      </c>
      <c r="D781" s="14">
        <f>'Empleo Censo'!F781</f>
        <v/>
      </c>
      <c r="E781" s="14">
        <f>'Empleo Censo'!H781</f>
        <v/>
      </c>
      <c r="F781" s="14">
        <f>'Empleo Censo'!I781</f>
        <v/>
      </c>
      <c r="G781" s="14">
        <f>'Empleo Censo'!J781+'Empleo Censo'!K781</f>
        <v/>
      </c>
      <c r="H781" s="14">
        <f>'Empleo Censo'!L781</f>
        <v/>
      </c>
      <c r="I781" s="14">
        <f>'Empleo Censo'!M781</f>
        <v/>
      </c>
      <c r="J781" s="14">
        <f>SUM('Empleo Censo'!N781:AA781)</f>
        <v/>
      </c>
      <c r="K781" s="14">
        <f>SUM(C781:J781)</f>
        <v/>
      </c>
      <c r="L781" s="15">
        <f>SUMPRODUCT(C781:J781,Factores!$B$3:$I$3)</f>
        <v/>
      </c>
      <c r="M781" s="16">
        <f>'Empleo Censo'!E781</f>
        <v/>
      </c>
      <c r="N781" s="17">
        <f>IF(M781&gt;0,L781,Factores!$B$7)</f>
        <v/>
      </c>
      <c r="O781">
        <f>IF(M781&gt;0,"OK","sin PEA -&gt; peor")</f>
        <v/>
      </c>
    </row>
    <row r="782">
      <c r="A782" t="inlineStr">
        <is>
          <t>210606</t>
        </is>
      </c>
      <c r="B782" t="inlineStr">
        <is>
          <t>ROSASPATA</t>
        </is>
      </c>
      <c r="C782" s="14">
        <f>'Empleo Censo'!G782-'Empleo Censo'!F782</f>
        <v/>
      </c>
      <c r="D782" s="14">
        <f>'Empleo Censo'!F782</f>
        <v/>
      </c>
      <c r="E782" s="14">
        <f>'Empleo Censo'!H782</f>
        <v/>
      </c>
      <c r="F782" s="14">
        <f>'Empleo Censo'!I782</f>
        <v/>
      </c>
      <c r="G782" s="14">
        <f>'Empleo Censo'!J782+'Empleo Censo'!K782</f>
        <v/>
      </c>
      <c r="H782" s="14">
        <f>'Empleo Censo'!L782</f>
        <v/>
      </c>
      <c r="I782" s="14">
        <f>'Empleo Censo'!M782</f>
        <v/>
      </c>
      <c r="J782" s="14">
        <f>SUM('Empleo Censo'!N782:AA782)</f>
        <v/>
      </c>
      <c r="K782" s="14">
        <f>SUM(C782:J782)</f>
        <v/>
      </c>
      <c r="L782" s="15">
        <f>SUMPRODUCT(C782:J782,Factores!$B$3:$I$3)</f>
        <v/>
      </c>
      <c r="M782" s="16">
        <f>'Empleo Censo'!E782</f>
        <v/>
      </c>
      <c r="N782" s="17">
        <f>IF(M782&gt;0,L782,Factores!$B$7)</f>
        <v/>
      </c>
      <c r="O782">
        <f>IF(M782&gt;0,"OK","sin PEA -&gt; peor")</f>
        <v/>
      </c>
    </row>
    <row r="783">
      <c r="A783" t="inlineStr">
        <is>
          <t>210607</t>
        </is>
      </c>
      <c r="B783" t="inlineStr">
        <is>
          <t>TARACO</t>
        </is>
      </c>
      <c r="C783" s="14">
        <f>'Empleo Censo'!G783-'Empleo Censo'!F783</f>
        <v/>
      </c>
      <c r="D783" s="14">
        <f>'Empleo Censo'!F783</f>
        <v/>
      </c>
      <c r="E783" s="14">
        <f>'Empleo Censo'!H783</f>
        <v/>
      </c>
      <c r="F783" s="14">
        <f>'Empleo Censo'!I783</f>
        <v/>
      </c>
      <c r="G783" s="14">
        <f>'Empleo Censo'!J783+'Empleo Censo'!K783</f>
        <v/>
      </c>
      <c r="H783" s="14">
        <f>'Empleo Censo'!L783</f>
        <v/>
      </c>
      <c r="I783" s="14">
        <f>'Empleo Censo'!M783</f>
        <v/>
      </c>
      <c r="J783" s="14">
        <f>SUM('Empleo Censo'!N783:AA783)</f>
        <v/>
      </c>
      <c r="K783" s="14">
        <f>SUM(C783:J783)</f>
        <v/>
      </c>
      <c r="L783" s="15">
        <f>SUMPRODUCT(C783:J783,Factores!$B$3:$I$3)</f>
        <v/>
      </c>
      <c r="M783" s="16">
        <f>'Empleo Censo'!E783</f>
        <v/>
      </c>
      <c r="N783" s="17">
        <f>IF(M783&gt;0,L783,Factores!$B$7)</f>
        <v/>
      </c>
      <c r="O783">
        <f>IF(M783&gt;0,"OK","sin PEA -&gt; peor")</f>
        <v/>
      </c>
    </row>
    <row r="784">
      <c r="A784" t="inlineStr">
        <is>
          <t>210608</t>
        </is>
      </c>
      <c r="B784" t="inlineStr">
        <is>
          <t>VILQUE CHICO</t>
        </is>
      </c>
      <c r="C784" s="14">
        <f>'Empleo Censo'!G784-'Empleo Censo'!F784</f>
        <v/>
      </c>
      <c r="D784" s="14">
        <f>'Empleo Censo'!F784</f>
        <v/>
      </c>
      <c r="E784" s="14">
        <f>'Empleo Censo'!H784</f>
        <v/>
      </c>
      <c r="F784" s="14">
        <f>'Empleo Censo'!I784</f>
        <v/>
      </c>
      <c r="G784" s="14">
        <f>'Empleo Censo'!J784+'Empleo Censo'!K784</f>
        <v/>
      </c>
      <c r="H784" s="14">
        <f>'Empleo Censo'!L784</f>
        <v/>
      </c>
      <c r="I784" s="14">
        <f>'Empleo Censo'!M784</f>
        <v/>
      </c>
      <c r="J784" s="14">
        <f>SUM('Empleo Censo'!N784:AA784)</f>
        <v/>
      </c>
      <c r="K784" s="14">
        <f>SUM(C784:J784)</f>
        <v/>
      </c>
      <c r="L784" s="15">
        <f>SUMPRODUCT(C784:J784,Factores!$B$3:$I$3)</f>
        <v/>
      </c>
      <c r="M784" s="16">
        <f>'Empleo Censo'!E784</f>
        <v/>
      </c>
      <c r="N784" s="17">
        <f>IF(M784&gt;0,L784,Factores!$B$7)</f>
        <v/>
      </c>
      <c r="O784">
        <f>IF(M784&gt;0,"OK","sin PEA -&gt; peor")</f>
        <v/>
      </c>
    </row>
    <row r="785">
      <c r="A785" t="inlineStr">
        <is>
          <t>210701</t>
        </is>
      </c>
      <c r="B785" t="inlineStr">
        <is>
          <t>LAMPA</t>
        </is>
      </c>
      <c r="C785" s="14">
        <f>'Empleo Censo'!G785-'Empleo Censo'!F785</f>
        <v/>
      </c>
      <c r="D785" s="14">
        <f>'Empleo Censo'!F785</f>
        <v/>
      </c>
      <c r="E785" s="14">
        <f>'Empleo Censo'!H785</f>
        <v/>
      </c>
      <c r="F785" s="14">
        <f>'Empleo Censo'!I785</f>
        <v/>
      </c>
      <c r="G785" s="14">
        <f>'Empleo Censo'!J785+'Empleo Censo'!K785</f>
        <v/>
      </c>
      <c r="H785" s="14">
        <f>'Empleo Censo'!L785</f>
        <v/>
      </c>
      <c r="I785" s="14">
        <f>'Empleo Censo'!M785</f>
        <v/>
      </c>
      <c r="J785" s="14">
        <f>SUM('Empleo Censo'!N785:AA785)</f>
        <v/>
      </c>
      <c r="K785" s="14">
        <f>SUM(C785:J785)</f>
        <v/>
      </c>
      <c r="L785" s="15">
        <f>SUMPRODUCT(C785:J785,Factores!$B$3:$I$3)</f>
        <v/>
      </c>
      <c r="M785" s="16">
        <f>'Empleo Censo'!E785</f>
        <v/>
      </c>
      <c r="N785" s="17">
        <f>IF(M785&gt;0,L785,Factores!$B$7)</f>
        <v/>
      </c>
      <c r="O785">
        <f>IF(M785&gt;0,"OK","sin PEA -&gt; peor")</f>
        <v/>
      </c>
    </row>
    <row r="786">
      <c r="A786" t="inlineStr">
        <is>
          <t>210702</t>
        </is>
      </c>
      <c r="B786" t="inlineStr">
        <is>
          <t>CABANILLA</t>
        </is>
      </c>
      <c r="C786" s="14">
        <f>'Empleo Censo'!G786-'Empleo Censo'!F786</f>
        <v/>
      </c>
      <c r="D786" s="14">
        <f>'Empleo Censo'!F786</f>
        <v/>
      </c>
      <c r="E786" s="14">
        <f>'Empleo Censo'!H786</f>
        <v/>
      </c>
      <c r="F786" s="14">
        <f>'Empleo Censo'!I786</f>
        <v/>
      </c>
      <c r="G786" s="14">
        <f>'Empleo Censo'!J786+'Empleo Censo'!K786</f>
        <v/>
      </c>
      <c r="H786" s="14">
        <f>'Empleo Censo'!L786</f>
        <v/>
      </c>
      <c r="I786" s="14">
        <f>'Empleo Censo'!M786</f>
        <v/>
      </c>
      <c r="J786" s="14">
        <f>SUM('Empleo Censo'!N786:AA786)</f>
        <v/>
      </c>
      <c r="K786" s="14">
        <f>SUM(C786:J786)</f>
        <v/>
      </c>
      <c r="L786" s="15">
        <f>SUMPRODUCT(C786:J786,Factores!$B$3:$I$3)</f>
        <v/>
      </c>
      <c r="M786" s="16">
        <f>'Empleo Censo'!E786</f>
        <v/>
      </c>
      <c r="N786" s="17">
        <f>IF(M786&gt;0,L786,Factores!$B$7)</f>
        <v/>
      </c>
      <c r="O786">
        <f>IF(M786&gt;0,"OK","sin PEA -&gt; peor")</f>
        <v/>
      </c>
    </row>
    <row r="787">
      <c r="A787" t="inlineStr">
        <is>
          <t>210703</t>
        </is>
      </c>
      <c r="B787" t="inlineStr">
        <is>
          <t>CALAPUJA</t>
        </is>
      </c>
      <c r="C787" s="14">
        <f>'Empleo Censo'!G787-'Empleo Censo'!F787</f>
        <v/>
      </c>
      <c r="D787" s="14">
        <f>'Empleo Censo'!F787</f>
        <v/>
      </c>
      <c r="E787" s="14">
        <f>'Empleo Censo'!H787</f>
        <v/>
      </c>
      <c r="F787" s="14">
        <f>'Empleo Censo'!I787</f>
        <v/>
      </c>
      <c r="G787" s="14">
        <f>'Empleo Censo'!J787+'Empleo Censo'!K787</f>
        <v/>
      </c>
      <c r="H787" s="14">
        <f>'Empleo Censo'!L787</f>
        <v/>
      </c>
      <c r="I787" s="14">
        <f>'Empleo Censo'!M787</f>
        <v/>
      </c>
      <c r="J787" s="14">
        <f>SUM('Empleo Censo'!N787:AA787)</f>
        <v/>
      </c>
      <c r="K787" s="14">
        <f>SUM(C787:J787)</f>
        <v/>
      </c>
      <c r="L787" s="15">
        <f>SUMPRODUCT(C787:J787,Factores!$B$3:$I$3)</f>
        <v/>
      </c>
      <c r="M787" s="16">
        <f>'Empleo Censo'!E787</f>
        <v/>
      </c>
      <c r="N787" s="17">
        <f>IF(M787&gt;0,L787,Factores!$B$7)</f>
        <v/>
      </c>
      <c r="O787">
        <f>IF(M787&gt;0,"OK","sin PEA -&gt; peor")</f>
        <v/>
      </c>
    </row>
    <row r="788">
      <c r="A788" t="inlineStr">
        <is>
          <t>210704</t>
        </is>
      </c>
      <c r="B788" t="inlineStr">
        <is>
          <t>NICASIO</t>
        </is>
      </c>
      <c r="C788" s="14">
        <f>'Empleo Censo'!G788-'Empleo Censo'!F788</f>
        <v/>
      </c>
      <c r="D788" s="14">
        <f>'Empleo Censo'!F788</f>
        <v/>
      </c>
      <c r="E788" s="14">
        <f>'Empleo Censo'!H788</f>
        <v/>
      </c>
      <c r="F788" s="14">
        <f>'Empleo Censo'!I788</f>
        <v/>
      </c>
      <c r="G788" s="14">
        <f>'Empleo Censo'!J788+'Empleo Censo'!K788</f>
        <v/>
      </c>
      <c r="H788" s="14">
        <f>'Empleo Censo'!L788</f>
        <v/>
      </c>
      <c r="I788" s="14">
        <f>'Empleo Censo'!M788</f>
        <v/>
      </c>
      <c r="J788" s="14">
        <f>SUM('Empleo Censo'!N788:AA788)</f>
        <v/>
      </c>
      <c r="K788" s="14">
        <f>SUM(C788:J788)</f>
        <v/>
      </c>
      <c r="L788" s="15">
        <f>SUMPRODUCT(C788:J788,Factores!$B$3:$I$3)</f>
        <v/>
      </c>
      <c r="M788" s="16">
        <f>'Empleo Censo'!E788</f>
        <v/>
      </c>
      <c r="N788" s="17">
        <f>IF(M788&gt;0,L788,Factores!$B$7)</f>
        <v/>
      </c>
      <c r="O788">
        <f>IF(M788&gt;0,"OK","sin PEA -&gt; peor")</f>
        <v/>
      </c>
    </row>
    <row r="789">
      <c r="A789" t="inlineStr">
        <is>
          <t>210705</t>
        </is>
      </c>
      <c r="B789" t="inlineStr">
        <is>
          <t>OCUVIRI</t>
        </is>
      </c>
      <c r="C789" s="14">
        <f>'Empleo Censo'!G789-'Empleo Censo'!F789</f>
        <v/>
      </c>
      <c r="D789" s="14">
        <f>'Empleo Censo'!F789</f>
        <v/>
      </c>
      <c r="E789" s="14">
        <f>'Empleo Censo'!H789</f>
        <v/>
      </c>
      <c r="F789" s="14">
        <f>'Empleo Censo'!I789</f>
        <v/>
      </c>
      <c r="G789" s="14">
        <f>'Empleo Censo'!J789+'Empleo Censo'!K789</f>
        <v/>
      </c>
      <c r="H789" s="14">
        <f>'Empleo Censo'!L789</f>
        <v/>
      </c>
      <c r="I789" s="14">
        <f>'Empleo Censo'!M789</f>
        <v/>
      </c>
      <c r="J789" s="14">
        <f>SUM('Empleo Censo'!N789:AA789)</f>
        <v/>
      </c>
      <c r="K789" s="14">
        <f>SUM(C789:J789)</f>
        <v/>
      </c>
      <c r="L789" s="15">
        <f>SUMPRODUCT(C789:J789,Factores!$B$3:$I$3)</f>
        <v/>
      </c>
      <c r="M789" s="16">
        <f>'Empleo Censo'!E789</f>
        <v/>
      </c>
      <c r="N789" s="17">
        <f>IF(M789&gt;0,L789,Factores!$B$7)</f>
        <v/>
      </c>
      <c r="O789">
        <f>IF(M789&gt;0,"OK","sin PEA -&gt; peor")</f>
        <v/>
      </c>
    </row>
    <row r="790">
      <c r="A790" t="inlineStr">
        <is>
          <t>210706</t>
        </is>
      </c>
      <c r="B790" t="inlineStr">
        <is>
          <t>PALCA</t>
        </is>
      </c>
      <c r="C790" s="14">
        <f>'Empleo Censo'!G790-'Empleo Censo'!F790</f>
        <v/>
      </c>
      <c r="D790" s="14">
        <f>'Empleo Censo'!F790</f>
        <v/>
      </c>
      <c r="E790" s="14">
        <f>'Empleo Censo'!H790</f>
        <v/>
      </c>
      <c r="F790" s="14">
        <f>'Empleo Censo'!I790</f>
        <v/>
      </c>
      <c r="G790" s="14">
        <f>'Empleo Censo'!J790+'Empleo Censo'!K790</f>
        <v/>
      </c>
      <c r="H790" s="14">
        <f>'Empleo Censo'!L790</f>
        <v/>
      </c>
      <c r="I790" s="14">
        <f>'Empleo Censo'!M790</f>
        <v/>
      </c>
      <c r="J790" s="14">
        <f>SUM('Empleo Censo'!N790:AA790)</f>
        <v/>
      </c>
      <c r="K790" s="14">
        <f>SUM(C790:J790)</f>
        <v/>
      </c>
      <c r="L790" s="15">
        <f>SUMPRODUCT(C790:J790,Factores!$B$3:$I$3)</f>
        <v/>
      </c>
      <c r="M790" s="16">
        <f>'Empleo Censo'!E790</f>
        <v/>
      </c>
      <c r="N790" s="17">
        <f>IF(M790&gt;0,L790,Factores!$B$7)</f>
        <v/>
      </c>
      <c r="O790">
        <f>IF(M790&gt;0,"OK","sin PEA -&gt; peor")</f>
        <v/>
      </c>
    </row>
    <row r="791">
      <c r="A791" t="inlineStr">
        <is>
          <t>210707</t>
        </is>
      </c>
      <c r="B791" t="inlineStr">
        <is>
          <t>PARATIA</t>
        </is>
      </c>
      <c r="C791" s="14">
        <f>'Empleo Censo'!G791-'Empleo Censo'!F791</f>
        <v/>
      </c>
      <c r="D791" s="14">
        <f>'Empleo Censo'!F791</f>
        <v/>
      </c>
      <c r="E791" s="14">
        <f>'Empleo Censo'!H791</f>
        <v/>
      </c>
      <c r="F791" s="14">
        <f>'Empleo Censo'!I791</f>
        <v/>
      </c>
      <c r="G791" s="14">
        <f>'Empleo Censo'!J791+'Empleo Censo'!K791</f>
        <v/>
      </c>
      <c r="H791" s="14">
        <f>'Empleo Censo'!L791</f>
        <v/>
      </c>
      <c r="I791" s="14">
        <f>'Empleo Censo'!M791</f>
        <v/>
      </c>
      <c r="J791" s="14">
        <f>SUM('Empleo Censo'!N791:AA791)</f>
        <v/>
      </c>
      <c r="K791" s="14">
        <f>SUM(C791:J791)</f>
        <v/>
      </c>
      <c r="L791" s="15">
        <f>SUMPRODUCT(C791:J791,Factores!$B$3:$I$3)</f>
        <v/>
      </c>
      <c r="M791" s="16">
        <f>'Empleo Censo'!E791</f>
        <v/>
      </c>
      <c r="N791" s="17">
        <f>IF(M791&gt;0,L791,Factores!$B$7)</f>
        <v/>
      </c>
      <c r="O791">
        <f>IF(M791&gt;0,"OK","sin PEA -&gt; peor")</f>
        <v/>
      </c>
    </row>
    <row r="792">
      <c r="A792" t="inlineStr">
        <is>
          <t>210708</t>
        </is>
      </c>
      <c r="B792" t="inlineStr">
        <is>
          <t>PUCARA</t>
        </is>
      </c>
      <c r="C792" s="14">
        <f>'Empleo Censo'!G792-'Empleo Censo'!F792</f>
        <v/>
      </c>
      <c r="D792" s="14">
        <f>'Empleo Censo'!F792</f>
        <v/>
      </c>
      <c r="E792" s="14">
        <f>'Empleo Censo'!H792</f>
        <v/>
      </c>
      <c r="F792" s="14">
        <f>'Empleo Censo'!I792</f>
        <v/>
      </c>
      <c r="G792" s="14">
        <f>'Empleo Censo'!J792+'Empleo Censo'!K792</f>
        <v/>
      </c>
      <c r="H792" s="14">
        <f>'Empleo Censo'!L792</f>
        <v/>
      </c>
      <c r="I792" s="14">
        <f>'Empleo Censo'!M792</f>
        <v/>
      </c>
      <c r="J792" s="14">
        <f>SUM('Empleo Censo'!N792:AA792)</f>
        <v/>
      </c>
      <c r="K792" s="14">
        <f>SUM(C792:J792)</f>
        <v/>
      </c>
      <c r="L792" s="15">
        <f>SUMPRODUCT(C792:J792,Factores!$B$3:$I$3)</f>
        <v/>
      </c>
      <c r="M792" s="16">
        <f>'Empleo Censo'!E792</f>
        <v/>
      </c>
      <c r="N792" s="17">
        <f>IF(M792&gt;0,L792,Factores!$B$7)</f>
        <v/>
      </c>
      <c r="O792">
        <f>IF(M792&gt;0,"OK","sin PEA -&gt; peor")</f>
        <v/>
      </c>
    </row>
    <row r="793">
      <c r="A793" t="inlineStr">
        <is>
          <t>210709</t>
        </is>
      </c>
      <c r="B793" t="inlineStr">
        <is>
          <t>SANTA LUCIA</t>
        </is>
      </c>
      <c r="C793" s="14">
        <f>'Empleo Censo'!G793-'Empleo Censo'!F793</f>
        <v/>
      </c>
      <c r="D793" s="14">
        <f>'Empleo Censo'!F793</f>
        <v/>
      </c>
      <c r="E793" s="14">
        <f>'Empleo Censo'!H793</f>
        <v/>
      </c>
      <c r="F793" s="14">
        <f>'Empleo Censo'!I793</f>
        <v/>
      </c>
      <c r="G793" s="14">
        <f>'Empleo Censo'!J793+'Empleo Censo'!K793</f>
        <v/>
      </c>
      <c r="H793" s="14">
        <f>'Empleo Censo'!L793</f>
        <v/>
      </c>
      <c r="I793" s="14">
        <f>'Empleo Censo'!M793</f>
        <v/>
      </c>
      <c r="J793" s="14">
        <f>SUM('Empleo Censo'!N793:AA793)</f>
        <v/>
      </c>
      <c r="K793" s="14">
        <f>SUM(C793:J793)</f>
        <v/>
      </c>
      <c r="L793" s="15">
        <f>SUMPRODUCT(C793:J793,Factores!$B$3:$I$3)</f>
        <v/>
      </c>
      <c r="M793" s="16">
        <f>'Empleo Censo'!E793</f>
        <v/>
      </c>
      <c r="N793" s="17">
        <f>IF(M793&gt;0,L793,Factores!$B$7)</f>
        <v/>
      </c>
      <c r="O793">
        <f>IF(M793&gt;0,"OK","sin PEA -&gt; peor")</f>
        <v/>
      </c>
    </row>
    <row r="794">
      <c r="A794" t="inlineStr">
        <is>
          <t>210710</t>
        </is>
      </c>
      <c r="B794" t="inlineStr">
        <is>
          <t>VILAVILA</t>
        </is>
      </c>
      <c r="C794" s="14">
        <f>'Empleo Censo'!G794-'Empleo Censo'!F794</f>
        <v/>
      </c>
      <c r="D794" s="14">
        <f>'Empleo Censo'!F794</f>
        <v/>
      </c>
      <c r="E794" s="14">
        <f>'Empleo Censo'!H794</f>
        <v/>
      </c>
      <c r="F794" s="14">
        <f>'Empleo Censo'!I794</f>
        <v/>
      </c>
      <c r="G794" s="14">
        <f>'Empleo Censo'!J794+'Empleo Censo'!K794</f>
        <v/>
      </c>
      <c r="H794" s="14">
        <f>'Empleo Censo'!L794</f>
        <v/>
      </c>
      <c r="I794" s="14">
        <f>'Empleo Censo'!M794</f>
        <v/>
      </c>
      <c r="J794" s="14">
        <f>SUM('Empleo Censo'!N794:AA794)</f>
        <v/>
      </c>
      <c r="K794" s="14">
        <f>SUM(C794:J794)</f>
        <v/>
      </c>
      <c r="L794" s="15">
        <f>SUMPRODUCT(C794:J794,Factores!$B$3:$I$3)</f>
        <v/>
      </c>
      <c r="M794" s="16">
        <f>'Empleo Censo'!E794</f>
        <v/>
      </c>
      <c r="N794" s="17">
        <f>IF(M794&gt;0,L794,Factores!$B$7)</f>
        <v/>
      </c>
      <c r="O794">
        <f>IF(M794&gt;0,"OK","sin PEA -&gt; peor")</f>
        <v/>
      </c>
    </row>
    <row r="795">
      <c r="A795" t="inlineStr">
        <is>
          <t>210801</t>
        </is>
      </c>
      <c r="B795" t="inlineStr">
        <is>
          <t>AYAVIRI</t>
        </is>
      </c>
      <c r="C795" s="14">
        <f>'Empleo Censo'!G795-'Empleo Censo'!F795</f>
        <v/>
      </c>
      <c r="D795" s="14">
        <f>'Empleo Censo'!F795</f>
        <v/>
      </c>
      <c r="E795" s="14">
        <f>'Empleo Censo'!H795</f>
        <v/>
      </c>
      <c r="F795" s="14">
        <f>'Empleo Censo'!I795</f>
        <v/>
      </c>
      <c r="G795" s="14">
        <f>'Empleo Censo'!J795+'Empleo Censo'!K795</f>
        <v/>
      </c>
      <c r="H795" s="14">
        <f>'Empleo Censo'!L795</f>
        <v/>
      </c>
      <c r="I795" s="14">
        <f>'Empleo Censo'!M795</f>
        <v/>
      </c>
      <c r="J795" s="14">
        <f>SUM('Empleo Censo'!N795:AA795)</f>
        <v/>
      </c>
      <c r="K795" s="14">
        <f>SUM(C795:J795)</f>
        <v/>
      </c>
      <c r="L795" s="15">
        <f>SUMPRODUCT(C795:J795,Factores!$B$3:$I$3)</f>
        <v/>
      </c>
      <c r="M795" s="16">
        <f>'Empleo Censo'!E795</f>
        <v/>
      </c>
      <c r="N795" s="17">
        <f>IF(M795&gt;0,L795,Factores!$B$7)</f>
        <v/>
      </c>
      <c r="O795">
        <f>IF(M795&gt;0,"OK","sin PEA -&gt; peor")</f>
        <v/>
      </c>
    </row>
    <row r="796">
      <c r="A796" t="inlineStr">
        <is>
          <t>210802</t>
        </is>
      </c>
      <c r="B796" t="inlineStr">
        <is>
          <t>ANTAUTA</t>
        </is>
      </c>
      <c r="C796" s="14">
        <f>'Empleo Censo'!G796-'Empleo Censo'!F796</f>
        <v/>
      </c>
      <c r="D796" s="14">
        <f>'Empleo Censo'!F796</f>
        <v/>
      </c>
      <c r="E796" s="14">
        <f>'Empleo Censo'!H796</f>
        <v/>
      </c>
      <c r="F796" s="14">
        <f>'Empleo Censo'!I796</f>
        <v/>
      </c>
      <c r="G796" s="14">
        <f>'Empleo Censo'!J796+'Empleo Censo'!K796</f>
        <v/>
      </c>
      <c r="H796" s="14">
        <f>'Empleo Censo'!L796</f>
        <v/>
      </c>
      <c r="I796" s="14">
        <f>'Empleo Censo'!M796</f>
        <v/>
      </c>
      <c r="J796" s="14">
        <f>SUM('Empleo Censo'!N796:AA796)</f>
        <v/>
      </c>
      <c r="K796" s="14">
        <f>SUM(C796:J796)</f>
        <v/>
      </c>
      <c r="L796" s="15">
        <f>SUMPRODUCT(C796:J796,Factores!$B$3:$I$3)</f>
        <v/>
      </c>
      <c r="M796" s="16">
        <f>'Empleo Censo'!E796</f>
        <v/>
      </c>
      <c r="N796" s="17">
        <f>IF(M796&gt;0,L796,Factores!$B$7)</f>
        <v/>
      </c>
      <c r="O796">
        <f>IF(M796&gt;0,"OK","sin PEA -&gt; peor")</f>
        <v/>
      </c>
    </row>
    <row r="797">
      <c r="A797" t="inlineStr">
        <is>
          <t>210803</t>
        </is>
      </c>
      <c r="B797" t="inlineStr">
        <is>
          <t>CUPI</t>
        </is>
      </c>
      <c r="C797" s="14">
        <f>'Empleo Censo'!G797-'Empleo Censo'!F797</f>
        <v/>
      </c>
      <c r="D797" s="14">
        <f>'Empleo Censo'!F797</f>
        <v/>
      </c>
      <c r="E797" s="14">
        <f>'Empleo Censo'!H797</f>
        <v/>
      </c>
      <c r="F797" s="14">
        <f>'Empleo Censo'!I797</f>
        <v/>
      </c>
      <c r="G797" s="14">
        <f>'Empleo Censo'!J797+'Empleo Censo'!K797</f>
        <v/>
      </c>
      <c r="H797" s="14">
        <f>'Empleo Censo'!L797</f>
        <v/>
      </c>
      <c r="I797" s="14">
        <f>'Empleo Censo'!M797</f>
        <v/>
      </c>
      <c r="J797" s="14">
        <f>SUM('Empleo Censo'!N797:AA797)</f>
        <v/>
      </c>
      <c r="K797" s="14">
        <f>SUM(C797:J797)</f>
        <v/>
      </c>
      <c r="L797" s="15">
        <f>SUMPRODUCT(C797:J797,Factores!$B$3:$I$3)</f>
        <v/>
      </c>
      <c r="M797" s="16">
        <f>'Empleo Censo'!E797</f>
        <v/>
      </c>
      <c r="N797" s="17">
        <f>IF(M797&gt;0,L797,Factores!$B$7)</f>
        <v/>
      </c>
      <c r="O797">
        <f>IF(M797&gt;0,"OK","sin PEA -&gt; peor")</f>
        <v/>
      </c>
    </row>
    <row r="798">
      <c r="A798" t="inlineStr">
        <is>
          <t>210804</t>
        </is>
      </c>
      <c r="B798" t="inlineStr">
        <is>
          <t>LLALLI</t>
        </is>
      </c>
      <c r="C798" s="14">
        <f>'Empleo Censo'!G798-'Empleo Censo'!F798</f>
        <v/>
      </c>
      <c r="D798" s="14">
        <f>'Empleo Censo'!F798</f>
        <v/>
      </c>
      <c r="E798" s="14">
        <f>'Empleo Censo'!H798</f>
        <v/>
      </c>
      <c r="F798" s="14">
        <f>'Empleo Censo'!I798</f>
        <v/>
      </c>
      <c r="G798" s="14">
        <f>'Empleo Censo'!J798+'Empleo Censo'!K798</f>
        <v/>
      </c>
      <c r="H798" s="14">
        <f>'Empleo Censo'!L798</f>
        <v/>
      </c>
      <c r="I798" s="14">
        <f>'Empleo Censo'!M798</f>
        <v/>
      </c>
      <c r="J798" s="14">
        <f>SUM('Empleo Censo'!N798:AA798)</f>
        <v/>
      </c>
      <c r="K798" s="14">
        <f>SUM(C798:J798)</f>
        <v/>
      </c>
      <c r="L798" s="15">
        <f>SUMPRODUCT(C798:J798,Factores!$B$3:$I$3)</f>
        <v/>
      </c>
      <c r="M798" s="16">
        <f>'Empleo Censo'!E798</f>
        <v/>
      </c>
      <c r="N798" s="17">
        <f>IF(M798&gt;0,L798,Factores!$B$7)</f>
        <v/>
      </c>
      <c r="O798">
        <f>IF(M798&gt;0,"OK","sin PEA -&gt; peor")</f>
        <v/>
      </c>
    </row>
    <row r="799">
      <c r="A799" t="inlineStr">
        <is>
          <t>210805</t>
        </is>
      </c>
      <c r="B799" t="inlineStr">
        <is>
          <t>MACARI</t>
        </is>
      </c>
      <c r="C799" s="14">
        <f>'Empleo Censo'!G799-'Empleo Censo'!F799</f>
        <v/>
      </c>
      <c r="D799" s="14">
        <f>'Empleo Censo'!F799</f>
        <v/>
      </c>
      <c r="E799" s="14">
        <f>'Empleo Censo'!H799</f>
        <v/>
      </c>
      <c r="F799" s="14">
        <f>'Empleo Censo'!I799</f>
        <v/>
      </c>
      <c r="G799" s="14">
        <f>'Empleo Censo'!J799+'Empleo Censo'!K799</f>
        <v/>
      </c>
      <c r="H799" s="14">
        <f>'Empleo Censo'!L799</f>
        <v/>
      </c>
      <c r="I799" s="14">
        <f>'Empleo Censo'!M799</f>
        <v/>
      </c>
      <c r="J799" s="14">
        <f>SUM('Empleo Censo'!N799:AA799)</f>
        <v/>
      </c>
      <c r="K799" s="14">
        <f>SUM(C799:J799)</f>
        <v/>
      </c>
      <c r="L799" s="15">
        <f>SUMPRODUCT(C799:J799,Factores!$B$3:$I$3)</f>
        <v/>
      </c>
      <c r="M799" s="16">
        <f>'Empleo Censo'!E799</f>
        <v/>
      </c>
      <c r="N799" s="17">
        <f>IF(M799&gt;0,L799,Factores!$B$7)</f>
        <v/>
      </c>
      <c r="O799">
        <f>IF(M799&gt;0,"OK","sin PEA -&gt; peor")</f>
        <v/>
      </c>
    </row>
    <row r="800">
      <c r="A800" t="inlineStr">
        <is>
          <t>210806</t>
        </is>
      </c>
      <c r="B800" t="inlineStr">
        <is>
          <t>NUÑOA</t>
        </is>
      </c>
      <c r="C800" s="14">
        <f>'Empleo Censo'!G800-'Empleo Censo'!F800</f>
        <v/>
      </c>
      <c r="D800" s="14">
        <f>'Empleo Censo'!F800</f>
        <v/>
      </c>
      <c r="E800" s="14">
        <f>'Empleo Censo'!H800</f>
        <v/>
      </c>
      <c r="F800" s="14">
        <f>'Empleo Censo'!I800</f>
        <v/>
      </c>
      <c r="G800" s="14">
        <f>'Empleo Censo'!J800+'Empleo Censo'!K800</f>
        <v/>
      </c>
      <c r="H800" s="14">
        <f>'Empleo Censo'!L800</f>
        <v/>
      </c>
      <c r="I800" s="14">
        <f>'Empleo Censo'!M800</f>
        <v/>
      </c>
      <c r="J800" s="14">
        <f>SUM('Empleo Censo'!N800:AA800)</f>
        <v/>
      </c>
      <c r="K800" s="14">
        <f>SUM(C800:J800)</f>
        <v/>
      </c>
      <c r="L800" s="15">
        <f>SUMPRODUCT(C800:J800,Factores!$B$3:$I$3)</f>
        <v/>
      </c>
      <c r="M800" s="16">
        <f>'Empleo Censo'!E800</f>
        <v/>
      </c>
      <c r="N800" s="17">
        <f>IF(M800&gt;0,L800,Factores!$B$7)</f>
        <v/>
      </c>
      <c r="O800">
        <f>IF(M800&gt;0,"OK","sin PEA -&gt; peor")</f>
        <v/>
      </c>
    </row>
    <row r="801">
      <c r="A801" t="inlineStr">
        <is>
          <t>210807</t>
        </is>
      </c>
      <c r="B801" t="inlineStr">
        <is>
          <t>ORURILLO</t>
        </is>
      </c>
      <c r="C801" s="14">
        <f>'Empleo Censo'!G801-'Empleo Censo'!F801</f>
        <v/>
      </c>
      <c r="D801" s="14">
        <f>'Empleo Censo'!F801</f>
        <v/>
      </c>
      <c r="E801" s="14">
        <f>'Empleo Censo'!H801</f>
        <v/>
      </c>
      <c r="F801" s="14">
        <f>'Empleo Censo'!I801</f>
        <v/>
      </c>
      <c r="G801" s="14">
        <f>'Empleo Censo'!J801+'Empleo Censo'!K801</f>
        <v/>
      </c>
      <c r="H801" s="14">
        <f>'Empleo Censo'!L801</f>
        <v/>
      </c>
      <c r="I801" s="14">
        <f>'Empleo Censo'!M801</f>
        <v/>
      </c>
      <c r="J801" s="14">
        <f>SUM('Empleo Censo'!N801:AA801)</f>
        <v/>
      </c>
      <c r="K801" s="14">
        <f>SUM(C801:J801)</f>
        <v/>
      </c>
      <c r="L801" s="15">
        <f>SUMPRODUCT(C801:J801,Factores!$B$3:$I$3)</f>
        <v/>
      </c>
      <c r="M801" s="16">
        <f>'Empleo Censo'!E801</f>
        <v/>
      </c>
      <c r="N801" s="17">
        <f>IF(M801&gt;0,L801,Factores!$B$7)</f>
        <v/>
      </c>
      <c r="O801">
        <f>IF(M801&gt;0,"OK","sin PEA -&gt; peor")</f>
        <v/>
      </c>
    </row>
    <row r="802">
      <c r="A802" t="inlineStr">
        <is>
          <t>210808</t>
        </is>
      </c>
      <c r="B802" t="inlineStr">
        <is>
          <t>SANTA ROSA</t>
        </is>
      </c>
      <c r="C802" s="14">
        <f>'Empleo Censo'!G802-'Empleo Censo'!F802</f>
        <v/>
      </c>
      <c r="D802" s="14">
        <f>'Empleo Censo'!F802</f>
        <v/>
      </c>
      <c r="E802" s="14">
        <f>'Empleo Censo'!H802</f>
        <v/>
      </c>
      <c r="F802" s="14">
        <f>'Empleo Censo'!I802</f>
        <v/>
      </c>
      <c r="G802" s="14">
        <f>'Empleo Censo'!J802+'Empleo Censo'!K802</f>
        <v/>
      </c>
      <c r="H802" s="14">
        <f>'Empleo Censo'!L802</f>
        <v/>
      </c>
      <c r="I802" s="14">
        <f>'Empleo Censo'!M802</f>
        <v/>
      </c>
      <c r="J802" s="14">
        <f>SUM('Empleo Censo'!N802:AA802)</f>
        <v/>
      </c>
      <c r="K802" s="14">
        <f>SUM(C802:J802)</f>
        <v/>
      </c>
      <c r="L802" s="15">
        <f>SUMPRODUCT(C802:J802,Factores!$B$3:$I$3)</f>
        <v/>
      </c>
      <c r="M802" s="16">
        <f>'Empleo Censo'!E802</f>
        <v/>
      </c>
      <c r="N802" s="17">
        <f>IF(M802&gt;0,L802,Factores!$B$7)</f>
        <v/>
      </c>
      <c r="O802">
        <f>IF(M802&gt;0,"OK","sin PEA -&gt; peor")</f>
        <v/>
      </c>
    </row>
    <row r="803">
      <c r="A803" t="inlineStr">
        <is>
          <t>210809</t>
        </is>
      </c>
      <c r="B803" t="inlineStr">
        <is>
          <t>UMACHIRI</t>
        </is>
      </c>
      <c r="C803" s="14">
        <f>'Empleo Censo'!G803-'Empleo Censo'!F803</f>
        <v/>
      </c>
      <c r="D803" s="14">
        <f>'Empleo Censo'!F803</f>
        <v/>
      </c>
      <c r="E803" s="14">
        <f>'Empleo Censo'!H803</f>
        <v/>
      </c>
      <c r="F803" s="14">
        <f>'Empleo Censo'!I803</f>
        <v/>
      </c>
      <c r="G803" s="14">
        <f>'Empleo Censo'!J803+'Empleo Censo'!K803</f>
        <v/>
      </c>
      <c r="H803" s="14">
        <f>'Empleo Censo'!L803</f>
        <v/>
      </c>
      <c r="I803" s="14">
        <f>'Empleo Censo'!M803</f>
        <v/>
      </c>
      <c r="J803" s="14">
        <f>SUM('Empleo Censo'!N803:AA803)</f>
        <v/>
      </c>
      <c r="K803" s="14">
        <f>SUM(C803:J803)</f>
        <v/>
      </c>
      <c r="L803" s="15">
        <f>SUMPRODUCT(C803:J803,Factores!$B$3:$I$3)</f>
        <v/>
      </c>
      <c r="M803" s="16">
        <f>'Empleo Censo'!E803</f>
        <v/>
      </c>
      <c r="N803" s="17">
        <f>IF(M803&gt;0,L803,Factores!$B$7)</f>
        <v/>
      </c>
      <c r="O803">
        <f>IF(M803&gt;0,"OK","sin PEA -&gt; peor")</f>
        <v/>
      </c>
    </row>
    <row r="804">
      <c r="A804" t="inlineStr">
        <is>
          <t>210901</t>
        </is>
      </c>
      <c r="B804" t="inlineStr">
        <is>
          <t>MOHO</t>
        </is>
      </c>
      <c r="C804" s="14">
        <f>'Empleo Censo'!G804-'Empleo Censo'!F804</f>
        <v/>
      </c>
      <c r="D804" s="14">
        <f>'Empleo Censo'!F804</f>
        <v/>
      </c>
      <c r="E804" s="14">
        <f>'Empleo Censo'!H804</f>
        <v/>
      </c>
      <c r="F804" s="14">
        <f>'Empleo Censo'!I804</f>
        <v/>
      </c>
      <c r="G804" s="14">
        <f>'Empleo Censo'!J804+'Empleo Censo'!K804</f>
        <v/>
      </c>
      <c r="H804" s="14">
        <f>'Empleo Censo'!L804</f>
        <v/>
      </c>
      <c r="I804" s="14">
        <f>'Empleo Censo'!M804</f>
        <v/>
      </c>
      <c r="J804" s="14">
        <f>SUM('Empleo Censo'!N804:AA804)</f>
        <v/>
      </c>
      <c r="K804" s="14">
        <f>SUM(C804:J804)</f>
        <v/>
      </c>
      <c r="L804" s="15">
        <f>SUMPRODUCT(C804:J804,Factores!$B$3:$I$3)</f>
        <v/>
      </c>
      <c r="M804" s="16">
        <f>'Empleo Censo'!E804</f>
        <v/>
      </c>
      <c r="N804" s="17">
        <f>IF(M804&gt;0,L804,Factores!$B$7)</f>
        <v/>
      </c>
      <c r="O804">
        <f>IF(M804&gt;0,"OK","sin PEA -&gt; peor")</f>
        <v/>
      </c>
    </row>
    <row r="805">
      <c r="A805" t="inlineStr">
        <is>
          <t>210902</t>
        </is>
      </c>
      <c r="B805" t="inlineStr">
        <is>
          <t>CONIMA</t>
        </is>
      </c>
      <c r="C805" s="14">
        <f>'Empleo Censo'!G805-'Empleo Censo'!F805</f>
        <v/>
      </c>
      <c r="D805" s="14">
        <f>'Empleo Censo'!F805</f>
        <v/>
      </c>
      <c r="E805" s="14">
        <f>'Empleo Censo'!H805</f>
        <v/>
      </c>
      <c r="F805" s="14">
        <f>'Empleo Censo'!I805</f>
        <v/>
      </c>
      <c r="G805" s="14">
        <f>'Empleo Censo'!J805+'Empleo Censo'!K805</f>
        <v/>
      </c>
      <c r="H805" s="14">
        <f>'Empleo Censo'!L805</f>
        <v/>
      </c>
      <c r="I805" s="14">
        <f>'Empleo Censo'!M805</f>
        <v/>
      </c>
      <c r="J805" s="14">
        <f>SUM('Empleo Censo'!N805:AA805)</f>
        <v/>
      </c>
      <c r="K805" s="14">
        <f>SUM(C805:J805)</f>
        <v/>
      </c>
      <c r="L805" s="15">
        <f>SUMPRODUCT(C805:J805,Factores!$B$3:$I$3)</f>
        <v/>
      </c>
      <c r="M805" s="16">
        <f>'Empleo Censo'!E805</f>
        <v/>
      </c>
      <c r="N805" s="17">
        <f>IF(M805&gt;0,L805,Factores!$B$7)</f>
        <v/>
      </c>
      <c r="O805">
        <f>IF(M805&gt;0,"OK","sin PEA -&gt; peor")</f>
        <v/>
      </c>
    </row>
    <row r="806">
      <c r="A806" t="inlineStr">
        <is>
          <t>210903</t>
        </is>
      </c>
      <c r="B806" t="inlineStr">
        <is>
          <t>HUAYRAPATA</t>
        </is>
      </c>
      <c r="C806" s="14">
        <f>'Empleo Censo'!G806-'Empleo Censo'!F806</f>
        <v/>
      </c>
      <c r="D806" s="14">
        <f>'Empleo Censo'!F806</f>
        <v/>
      </c>
      <c r="E806" s="14">
        <f>'Empleo Censo'!H806</f>
        <v/>
      </c>
      <c r="F806" s="14">
        <f>'Empleo Censo'!I806</f>
        <v/>
      </c>
      <c r="G806" s="14">
        <f>'Empleo Censo'!J806+'Empleo Censo'!K806</f>
        <v/>
      </c>
      <c r="H806" s="14">
        <f>'Empleo Censo'!L806</f>
        <v/>
      </c>
      <c r="I806" s="14">
        <f>'Empleo Censo'!M806</f>
        <v/>
      </c>
      <c r="J806" s="14">
        <f>SUM('Empleo Censo'!N806:AA806)</f>
        <v/>
      </c>
      <c r="K806" s="14">
        <f>SUM(C806:J806)</f>
        <v/>
      </c>
      <c r="L806" s="15">
        <f>SUMPRODUCT(C806:J806,Factores!$B$3:$I$3)</f>
        <v/>
      </c>
      <c r="M806" s="16">
        <f>'Empleo Censo'!E806</f>
        <v/>
      </c>
      <c r="N806" s="17">
        <f>IF(M806&gt;0,L806,Factores!$B$7)</f>
        <v/>
      </c>
      <c r="O806">
        <f>IF(M806&gt;0,"OK","sin PEA -&gt; peor")</f>
        <v/>
      </c>
    </row>
    <row r="807">
      <c r="A807" t="inlineStr">
        <is>
          <t>210904</t>
        </is>
      </c>
      <c r="B807" t="inlineStr">
        <is>
          <t>TILALI</t>
        </is>
      </c>
      <c r="C807" s="14">
        <f>'Empleo Censo'!G807-'Empleo Censo'!F807</f>
        <v/>
      </c>
      <c r="D807" s="14">
        <f>'Empleo Censo'!F807</f>
        <v/>
      </c>
      <c r="E807" s="14">
        <f>'Empleo Censo'!H807</f>
        <v/>
      </c>
      <c r="F807" s="14">
        <f>'Empleo Censo'!I807</f>
        <v/>
      </c>
      <c r="G807" s="14">
        <f>'Empleo Censo'!J807+'Empleo Censo'!K807</f>
        <v/>
      </c>
      <c r="H807" s="14">
        <f>'Empleo Censo'!L807</f>
        <v/>
      </c>
      <c r="I807" s="14">
        <f>'Empleo Censo'!M807</f>
        <v/>
      </c>
      <c r="J807" s="14">
        <f>SUM('Empleo Censo'!N807:AA807)</f>
        <v/>
      </c>
      <c r="K807" s="14">
        <f>SUM(C807:J807)</f>
        <v/>
      </c>
      <c r="L807" s="15">
        <f>SUMPRODUCT(C807:J807,Factores!$B$3:$I$3)</f>
        <v/>
      </c>
      <c r="M807" s="16">
        <f>'Empleo Censo'!E807</f>
        <v/>
      </c>
      <c r="N807" s="17">
        <f>IF(M807&gt;0,L807,Factores!$B$7)</f>
        <v/>
      </c>
      <c r="O807">
        <f>IF(M807&gt;0,"OK","sin PEA -&gt; peor")</f>
        <v/>
      </c>
    </row>
    <row r="808">
      <c r="A808" t="inlineStr">
        <is>
          <t>211001</t>
        </is>
      </c>
      <c r="B808" t="inlineStr">
        <is>
          <t>PUTINA</t>
        </is>
      </c>
      <c r="C808" s="14">
        <f>'Empleo Censo'!G808-'Empleo Censo'!F808</f>
        <v/>
      </c>
      <c r="D808" s="14">
        <f>'Empleo Censo'!F808</f>
        <v/>
      </c>
      <c r="E808" s="14">
        <f>'Empleo Censo'!H808</f>
        <v/>
      </c>
      <c r="F808" s="14">
        <f>'Empleo Censo'!I808</f>
        <v/>
      </c>
      <c r="G808" s="14">
        <f>'Empleo Censo'!J808+'Empleo Censo'!K808</f>
        <v/>
      </c>
      <c r="H808" s="14">
        <f>'Empleo Censo'!L808</f>
        <v/>
      </c>
      <c r="I808" s="14">
        <f>'Empleo Censo'!M808</f>
        <v/>
      </c>
      <c r="J808" s="14">
        <f>SUM('Empleo Censo'!N808:AA808)</f>
        <v/>
      </c>
      <c r="K808" s="14">
        <f>SUM(C808:J808)</f>
        <v/>
      </c>
      <c r="L808" s="15">
        <f>SUMPRODUCT(C808:J808,Factores!$B$3:$I$3)</f>
        <v/>
      </c>
      <c r="M808" s="16">
        <f>'Empleo Censo'!E808</f>
        <v/>
      </c>
      <c r="N808" s="17">
        <f>IF(M808&gt;0,L808,Factores!$B$7)</f>
        <v/>
      </c>
      <c r="O808">
        <f>IF(M808&gt;0,"OK","sin PEA -&gt; peor")</f>
        <v/>
      </c>
    </row>
    <row r="809">
      <c r="A809" t="inlineStr">
        <is>
          <t>211002</t>
        </is>
      </c>
      <c r="B809" t="inlineStr">
        <is>
          <t>ANANEA</t>
        </is>
      </c>
      <c r="C809" s="14">
        <f>'Empleo Censo'!G809-'Empleo Censo'!F809</f>
        <v/>
      </c>
      <c r="D809" s="14">
        <f>'Empleo Censo'!F809</f>
        <v/>
      </c>
      <c r="E809" s="14">
        <f>'Empleo Censo'!H809</f>
        <v/>
      </c>
      <c r="F809" s="14">
        <f>'Empleo Censo'!I809</f>
        <v/>
      </c>
      <c r="G809" s="14">
        <f>'Empleo Censo'!J809+'Empleo Censo'!K809</f>
        <v/>
      </c>
      <c r="H809" s="14">
        <f>'Empleo Censo'!L809</f>
        <v/>
      </c>
      <c r="I809" s="14">
        <f>'Empleo Censo'!M809</f>
        <v/>
      </c>
      <c r="J809" s="14">
        <f>SUM('Empleo Censo'!N809:AA809)</f>
        <v/>
      </c>
      <c r="K809" s="14">
        <f>SUM(C809:J809)</f>
        <v/>
      </c>
      <c r="L809" s="15">
        <f>SUMPRODUCT(C809:J809,Factores!$B$3:$I$3)</f>
        <v/>
      </c>
      <c r="M809" s="16">
        <f>'Empleo Censo'!E809</f>
        <v/>
      </c>
      <c r="N809" s="17">
        <f>IF(M809&gt;0,L809,Factores!$B$7)</f>
        <v/>
      </c>
      <c r="O809">
        <f>IF(M809&gt;0,"OK","sin PEA -&gt; peor")</f>
        <v/>
      </c>
    </row>
    <row r="810">
      <c r="A810" t="inlineStr">
        <is>
          <t>211003</t>
        </is>
      </c>
      <c r="B810" t="inlineStr">
        <is>
          <t>PEDRO VILCA APAZA</t>
        </is>
      </c>
      <c r="C810" s="14">
        <f>'Empleo Censo'!G810-'Empleo Censo'!F810</f>
        <v/>
      </c>
      <c r="D810" s="14">
        <f>'Empleo Censo'!F810</f>
        <v/>
      </c>
      <c r="E810" s="14">
        <f>'Empleo Censo'!H810</f>
        <v/>
      </c>
      <c r="F810" s="14">
        <f>'Empleo Censo'!I810</f>
        <v/>
      </c>
      <c r="G810" s="14">
        <f>'Empleo Censo'!J810+'Empleo Censo'!K810</f>
        <v/>
      </c>
      <c r="H810" s="14">
        <f>'Empleo Censo'!L810</f>
        <v/>
      </c>
      <c r="I810" s="14">
        <f>'Empleo Censo'!M810</f>
        <v/>
      </c>
      <c r="J810" s="14">
        <f>SUM('Empleo Censo'!N810:AA810)</f>
        <v/>
      </c>
      <c r="K810" s="14">
        <f>SUM(C810:J810)</f>
        <v/>
      </c>
      <c r="L810" s="15">
        <f>SUMPRODUCT(C810:J810,Factores!$B$3:$I$3)</f>
        <v/>
      </c>
      <c r="M810" s="16">
        <f>'Empleo Censo'!E810</f>
        <v/>
      </c>
      <c r="N810" s="17">
        <f>IF(M810&gt;0,L810,Factores!$B$7)</f>
        <v/>
      </c>
      <c r="O810">
        <f>IF(M810&gt;0,"OK","sin PEA -&gt; peor")</f>
        <v/>
      </c>
    </row>
    <row r="811">
      <c r="A811" t="inlineStr">
        <is>
          <t>211004</t>
        </is>
      </c>
      <c r="B811" t="inlineStr">
        <is>
          <t>QUILCAPUNCU</t>
        </is>
      </c>
      <c r="C811" s="14">
        <f>'Empleo Censo'!G811-'Empleo Censo'!F811</f>
        <v/>
      </c>
      <c r="D811" s="14">
        <f>'Empleo Censo'!F811</f>
        <v/>
      </c>
      <c r="E811" s="14">
        <f>'Empleo Censo'!H811</f>
        <v/>
      </c>
      <c r="F811" s="14">
        <f>'Empleo Censo'!I811</f>
        <v/>
      </c>
      <c r="G811" s="14">
        <f>'Empleo Censo'!J811+'Empleo Censo'!K811</f>
        <v/>
      </c>
      <c r="H811" s="14">
        <f>'Empleo Censo'!L811</f>
        <v/>
      </c>
      <c r="I811" s="14">
        <f>'Empleo Censo'!M811</f>
        <v/>
      </c>
      <c r="J811" s="14">
        <f>SUM('Empleo Censo'!N811:AA811)</f>
        <v/>
      </c>
      <c r="K811" s="14">
        <f>SUM(C811:J811)</f>
        <v/>
      </c>
      <c r="L811" s="15">
        <f>SUMPRODUCT(C811:J811,Factores!$B$3:$I$3)</f>
        <v/>
      </c>
      <c r="M811" s="16">
        <f>'Empleo Censo'!E811</f>
        <v/>
      </c>
      <c r="N811" s="17">
        <f>IF(M811&gt;0,L811,Factores!$B$7)</f>
        <v/>
      </c>
      <c r="O811">
        <f>IF(M811&gt;0,"OK","sin PEA -&gt; peor")</f>
        <v/>
      </c>
    </row>
    <row r="812">
      <c r="A812" t="inlineStr">
        <is>
          <t>211005</t>
        </is>
      </c>
      <c r="B812" t="inlineStr">
        <is>
          <t>SINA</t>
        </is>
      </c>
      <c r="C812" s="14">
        <f>'Empleo Censo'!G812-'Empleo Censo'!F812</f>
        <v/>
      </c>
      <c r="D812" s="14">
        <f>'Empleo Censo'!F812</f>
        <v/>
      </c>
      <c r="E812" s="14">
        <f>'Empleo Censo'!H812</f>
        <v/>
      </c>
      <c r="F812" s="14">
        <f>'Empleo Censo'!I812</f>
        <v/>
      </c>
      <c r="G812" s="14">
        <f>'Empleo Censo'!J812+'Empleo Censo'!K812</f>
        <v/>
      </c>
      <c r="H812" s="14">
        <f>'Empleo Censo'!L812</f>
        <v/>
      </c>
      <c r="I812" s="14">
        <f>'Empleo Censo'!M812</f>
        <v/>
      </c>
      <c r="J812" s="14">
        <f>SUM('Empleo Censo'!N812:AA812)</f>
        <v/>
      </c>
      <c r="K812" s="14">
        <f>SUM(C812:J812)</f>
        <v/>
      </c>
      <c r="L812" s="15">
        <f>SUMPRODUCT(C812:J812,Factores!$B$3:$I$3)</f>
        <v/>
      </c>
      <c r="M812" s="16">
        <f>'Empleo Censo'!E812</f>
        <v/>
      </c>
      <c r="N812" s="17">
        <f>IF(M812&gt;0,L812,Factores!$B$7)</f>
        <v/>
      </c>
      <c r="O812">
        <f>IF(M812&gt;0,"OK","sin PEA -&gt; peor")</f>
        <v/>
      </c>
    </row>
    <row r="813">
      <c r="A813" t="inlineStr">
        <is>
          <t>211101</t>
        </is>
      </c>
      <c r="B813" t="inlineStr">
        <is>
          <t>JULIACA</t>
        </is>
      </c>
      <c r="C813" s="14">
        <f>'Empleo Censo'!G813-'Empleo Censo'!F813</f>
        <v/>
      </c>
      <c r="D813" s="14">
        <f>'Empleo Censo'!F813</f>
        <v/>
      </c>
      <c r="E813" s="14">
        <f>'Empleo Censo'!H813</f>
        <v/>
      </c>
      <c r="F813" s="14">
        <f>'Empleo Censo'!I813</f>
        <v/>
      </c>
      <c r="G813" s="14">
        <f>'Empleo Censo'!J813+'Empleo Censo'!K813</f>
        <v/>
      </c>
      <c r="H813" s="14">
        <f>'Empleo Censo'!L813</f>
        <v/>
      </c>
      <c r="I813" s="14">
        <f>'Empleo Censo'!M813</f>
        <v/>
      </c>
      <c r="J813" s="14">
        <f>SUM('Empleo Censo'!N813:AA813)</f>
        <v/>
      </c>
      <c r="K813" s="14">
        <f>SUM(C813:J813)</f>
        <v/>
      </c>
      <c r="L813" s="15">
        <f>SUMPRODUCT(C813:J813,Factores!$B$3:$I$3)</f>
        <v/>
      </c>
      <c r="M813" s="16">
        <f>'Empleo Censo'!E813</f>
        <v/>
      </c>
      <c r="N813" s="17">
        <f>IF(M813&gt;0,L813,Factores!$B$7)</f>
        <v/>
      </c>
      <c r="O813">
        <f>IF(M813&gt;0,"OK","sin PEA -&gt; peor")</f>
        <v/>
      </c>
    </row>
    <row r="814">
      <c r="A814" t="inlineStr">
        <is>
          <t>211102</t>
        </is>
      </c>
      <c r="B814" t="inlineStr">
        <is>
          <t>CABANA</t>
        </is>
      </c>
      <c r="C814" s="14">
        <f>'Empleo Censo'!G814-'Empleo Censo'!F814</f>
        <v/>
      </c>
      <c r="D814" s="14">
        <f>'Empleo Censo'!F814</f>
        <v/>
      </c>
      <c r="E814" s="14">
        <f>'Empleo Censo'!H814</f>
        <v/>
      </c>
      <c r="F814" s="14">
        <f>'Empleo Censo'!I814</f>
        <v/>
      </c>
      <c r="G814" s="14">
        <f>'Empleo Censo'!J814+'Empleo Censo'!K814</f>
        <v/>
      </c>
      <c r="H814" s="14">
        <f>'Empleo Censo'!L814</f>
        <v/>
      </c>
      <c r="I814" s="14">
        <f>'Empleo Censo'!M814</f>
        <v/>
      </c>
      <c r="J814" s="14">
        <f>SUM('Empleo Censo'!N814:AA814)</f>
        <v/>
      </c>
      <c r="K814" s="14">
        <f>SUM(C814:J814)</f>
        <v/>
      </c>
      <c r="L814" s="15">
        <f>SUMPRODUCT(C814:J814,Factores!$B$3:$I$3)</f>
        <v/>
      </c>
      <c r="M814" s="16">
        <f>'Empleo Censo'!E814</f>
        <v/>
      </c>
      <c r="N814" s="17">
        <f>IF(M814&gt;0,L814,Factores!$B$7)</f>
        <v/>
      </c>
      <c r="O814">
        <f>IF(M814&gt;0,"OK","sin PEA -&gt; peor")</f>
        <v/>
      </c>
    </row>
    <row r="815">
      <c r="A815" t="inlineStr">
        <is>
          <t>211103</t>
        </is>
      </c>
      <c r="B815" t="inlineStr">
        <is>
          <t>CABANILLAS</t>
        </is>
      </c>
      <c r="C815" s="14">
        <f>'Empleo Censo'!G815-'Empleo Censo'!F815</f>
        <v/>
      </c>
      <c r="D815" s="14">
        <f>'Empleo Censo'!F815</f>
        <v/>
      </c>
      <c r="E815" s="14">
        <f>'Empleo Censo'!H815</f>
        <v/>
      </c>
      <c r="F815" s="14">
        <f>'Empleo Censo'!I815</f>
        <v/>
      </c>
      <c r="G815" s="14">
        <f>'Empleo Censo'!J815+'Empleo Censo'!K815</f>
        <v/>
      </c>
      <c r="H815" s="14">
        <f>'Empleo Censo'!L815</f>
        <v/>
      </c>
      <c r="I815" s="14">
        <f>'Empleo Censo'!M815</f>
        <v/>
      </c>
      <c r="J815" s="14">
        <f>SUM('Empleo Censo'!N815:AA815)</f>
        <v/>
      </c>
      <c r="K815" s="14">
        <f>SUM(C815:J815)</f>
        <v/>
      </c>
      <c r="L815" s="15">
        <f>SUMPRODUCT(C815:J815,Factores!$B$3:$I$3)</f>
        <v/>
      </c>
      <c r="M815" s="16">
        <f>'Empleo Censo'!E815</f>
        <v/>
      </c>
      <c r="N815" s="17">
        <f>IF(M815&gt;0,L815,Factores!$B$7)</f>
        <v/>
      </c>
      <c r="O815">
        <f>IF(M815&gt;0,"OK","sin PEA -&gt; peor")</f>
        <v/>
      </c>
    </row>
    <row r="816">
      <c r="A816" t="inlineStr">
        <is>
          <t>211104</t>
        </is>
      </c>
      <c r="B816" t="inlineStr">
        <is>
          <t>CARACOTO</t>
        </is>
      </c>
      <c r="C816" s="14">
        <f>'Empleo Censo'!G816-'Empleo Censo'!F816</f>
        <v/>
      </c>
      <c r="D816" s="14">
        <f>'Empleo Censo'!F816</f>
        <v/>
      </c>
      <c r="E816" s="14">
        <f>'Empleo Censo'!H816</f>
        <v/>
      </c>
      <c r="F816" s="14">
        <f>'Empleo Censo'!I816</f>
        <v/>
      </c>
      <c r="G816" s="14">
        <f>'Empleo Censo'!J816+'Empleo Censo'!K816</f>
        <v/>
      </c>
      <c r="H816" s="14">
        <f>'Empleo Censo'!L816</f>
        <v/>
      </c>
      <c r="I816" s="14">
        <f>'Empleo Censo'!M816</f>
        <v/>
      </c>
      <c r="J816" s="14">
        <f>SUM('Empleo Censo'!N816:AA816)</f>
        <v/>
      </c>
      <c r="K816" s="14">
        <f>SUM(C816:J816)</f>
        <v/>
      </c>
      <c r="L816" s="15">
        <f>SUMPRODUCT(C816:J816,Factores!$B$3:$I$3)</f>
        <v/>
      </c>
      <c r="M816" s="16">
        <f>'Empleo Censo'!E816</f>
        <v/>
      </c>
      <c r="N816" s="17">
        <f>IF(M816&gt;0,L816,Factores!$B$7)</f>
        <v/>
      </c>
      <c r="O816">
        <f>IF(M816&gt;0,"OK","sin PEA -&gt; peor")</f>
        <v/>
      </c>
    </row>
    <row r="817">
      <c r="A817" t="inlineStr">
        <is>
          <t>211105</t>
        </is>
      </c>
      <c r="B817" t="inlineStr">
        <is>
          <t>SAN MIGUEL</t>
        </is>
      </c>
      <c r="C817" s="14">
        <f>'Empleo Censo'!G817-'Empleo Censo'!F817</f>
        <v/>
      </c>
      <c r="D817" s="14">
        <f>'Empleo Censo'!F817</f>
        <v/>
      </c>
      <c r="E817" s="14">
        <f>'Empleo Censo'!H817</f>
        <v/>
      </c>
      <c r="F817" s="14">
        <f>'Empleo Censo'!I817</f>
        <v/>
      </c>
      <c r="G817" s="14">
        <f>'Empleo Censo'!J817+'Empleo Censo'!K817</f>
        <v/>
      </c>
      <c r="H817" s="14">
        <f>'Empleo Censo'!L817</f>
        <v/>
      </c>
      <c r="I817" s="14">
        <f>'Empleo Censo'!M817</f>
        <v/>
      </c>
      <c r="J817" s="14">
        <f>SUM('Empleo Censo'!N817:AA817)</f>
        <v/>
      </c>
      <c r="K817" s="14">
        <f>SUM(C817:J817)</f>
        <v/>
      </c>
      <c r="L817" s="15">
        <f>SUMPRODUCT(C817:J817,Factores!$B$3:$I$3)</f>
        <v/>
      </c>
      <c r="M817" s="16">
        <f>'Empleo Censo'!E817</f>
        <v/>
      </c>
      <c r="N817" s="17">
        <f>IF(M817&gt;0,L817,Factores!$B$7)</f>
        <v/>
      </c>
      <c r="O817">
        <f>IF(M817&gt;0,"OK","sin PEA -&gt; peor")</f>
        <v/>
      </c>
    </row>
    <row r="818">
      <c r="A818" t="inlineStr">
        <is>
          <t>211201</t>
        </is>
      </c>
      <c r="B818" t="inlineStr">
        <is>
          <t>SANDIA</t>
        </is>
      </c>
      <c r="C818" s="14">
        <f>'Empleo Censo'!G818-'Empleo Censo'!F818</f>
        <v/>
      </c>
      <c r="D818" s="14">
        <f>'Empleo Censo'!F818</f>
        <v/>
      </c>
      <c r="E818" s="14">
        <f>'Empleo Censo'!H818</f>
        <v/>
      </c>
      <c r="F818" s="14">
        <f>'Empleo Censo'!I818</f>
        <v/>
      </c>
      <c r="G818" s="14">
        <f>'Empleo Censo'!J818+'Empleo Censo'!K818</f>
        <v/>
      </c>
      <c r="H818" s="14">
        <f>'Empleo Censo'!L818</f>
        <v/>
      </c>
      <c r="I818" s="14">
        <f>'Empleo Censo'!M818</f>
        <v/>
      </c>
      <c r="J818" s="14">
        <f>SUM('Empleo Censo'!N818:AA818)</f>
        <v/>
      </c>
      <c r="K818" s="14">
        <f>SUM(C818:J818)</f>
        <v/>
      </c>
      <c r="L818" s="15">
        <f>SUMPRODUCT(C818:J818,Factores!$B$3:$I$3)</f>
        <v/>
      </c>
      <c r="M818" s="16">
        <f>'Empleo Censo'!E818</f>
        <v/>
      </c>
      <c r="N818" s="17">
        <f>IF(M818&gt;0,L818,Factores!$B$7)</f>
        <v/>
      </c>
      <c r="O818">
        <f>IF(M818&gt;0,"OK","sin PEA -&gt; peor")</f>
        <v/>
      </c>
    </row>
    <row r="819">
      <c r="A819" t="inlineStr">
        <is>
          <t>211202</t>
        </is>
      </c>
      <c r="B819" t="inlineStr">
        <is>
          <t>CUYOCUYO</t>
        </is>
      </c>
      <c r="C819" s="14">
        <f>'Empleo Censo'!G819-'Empleo Censo'!F819</f>
        <v/>
      </c>
      <c r="D819" s="14">
        <f>'Empleo Censo'!F819</f>
        <v/>
      </c>
      <c r="E819" s="14">
        <f>'Empleo Censo'!H819</f>
        <v/>
      </c>
      <c r="F819" s="14">
        <f>'Empleo Censo'!I819</f>
        <v/>
      </c>
      <c r="G819" s="14">
        <f>'Empleo Censo'!J819+'Empleo Censo'!K819</f>
        <v/>
      </c>
      <c r="H819" s="14">
        <f>'Empleo Censo'!L819</f>
        <v/>
      </c>
      <c r="I819" s="14">
        <f>'Empleo Censo'!M819</f>
        <v/>
      </c>
      <c r="J819" s="14">
        <f>SUM('Empleo Censo'!N819:AA819)</f>
        <v/>
      </c>
      <c r="K819" s="14">
        <f>SUM(C819:J819)</f>
        <v/>
      </c>
      <c r="L819" s="15">
        <f>SUMPRODUCT(C819:J819,Factores!$B$3:$I$3)</f>
        <v/>
      </c>
      <c r="M819" s="16">
        <f>'Empleo Censo'!E819</f>
        <v/>
      </c>
      <c r="N819" s="17">
        <f>IF(M819&gt;0,L819,Factores!$B$7)</f>
        <v/>
      </c>
      <c r="O819">
        <f>IF(M819&gt;0,"OK","sin PEA -&gt; peor")</f>
        <v/>
      </c>
    </row>
    <row r="820">
      <c r="A820" t="inlineStr">
        <is>
          <t>211203</t>
        </is>
      </c>
      <c r="B820" t="inlineStr">
        <is>
          <t>LIMBANI</t>
        </is>
      </c>
      <c r="C820" s="14">
        <f>'Empleo Censo'!G820-'Empleo Censo'!F820</f>
        <v/>
      </c>
      <c r="D820" s="14">
        <f>'Empleo Censo'!F820</f>
        <v/>
      </c>
      <c r="E820" s="14">
        <f>'Empleo Censo'!H820</f>
        <v/>
      </c>
      <c r="F820" s="14">
        <f>'Empleo Censo'!I820</f>
        <v/>
      </c>
      <c r="G820" s="14">
        <f>'Empleo Censo'!J820+'Empleo Censo'!K820</f>
        <v/>
      </c>
      <c r="H820" s="14">
        <f>'Empleo Censo'!L820</f>
        <v/>
      </c>
      <c r="I820" s="14">
        <f>'Empleo Censo'!M820</f>
        <v/>
      </c>
      <c r="J820" s="14">
        <f>SUM('Empleo Censo'!N820:AA820)</f>
        <v/>
      </c>
      <c r="K820" s="14">
        <f>SUM(C820:J820)</f>
        <v/>
      </c>
      <c r="L820" s="15">
        <f>SUMPRODUCT(C820:J820,Factores!$B$3:$I$3)</f>
        <v/>
      </c>
      <c r="M820" s="16">
        <f>'Empleo Censo'!E820</f>
        <v/>
      </c>
      <c r="N820" s="17">
        <f>IF(M820&gt;0,L820,Factores!$B$7)</f>
        <v/>
      </c>
      <c r="O820">
        <f>IF(M820&gt;0,"OK","sin PEA -&gt; peor")</f>
        <v/>
      </c>
    </row>
    <row r="821">
      <c r="A821" t="inlineStr">
        <is>
          <t>211204</t>
        </is>
      </c>
      <c r="B821" t="inlineStr">
        <is>
          <t>PATAMBUCO</t>
        </is>
      </c>
      <c r="C821" s="14">
        <f>'Empleo Censo'!G821-'Empleo Censo'!F821</f>
        <v/>
      </c>
      <c r="D821" s="14">
        <f>'Empleo Censo'!F821</f>
        <v/>
      </c>
      <c r="E821" s="14">
        <f>'Empleo Censo'!H821</f>
        <v/>
      </c>
      <c r="F821" s="14">
        <f>'Empleo Censo'!I821</f>
        <v/>
      </c>
      <c r="G821" s="14">
        <f>'Empleo Censo'!J821+'Empleo Censo'!K821</f>
        <v/>
      </c>
      <c r="H821" s="14">
        <f>'Empleo Censo'!L821</f>
        <v/>
      </c>
      <c r="I821" s="14">
        <f>'Empleo Censo'!M821</f>
        <v/>
      </c>
      <c r="J821" s="14">
        <f>SUM('Empleo Censo'!N821:AA821)</f>
        <v/>
      </c>
      <c r="K821" s="14">
        <f>SUM(C821:J821)</f>
        <v/>
      </c>
      <c r="L821" s="15">
        <f>SUMPRODUCT(C821:J821,Factores!$B$3:$I$3)</f>
        <v/>
      </c>
      <c r="M821" s="16">
        <f>'Empleo Censo'!E821</f>
        <v/>
      </c>
      <c r="N821" s="17">
        <f>IF(M821&gt;0,L821,Factores!$B$7)</f>
        <v/>
      </c>
      <c r="O821">
        <f>IF(M821&gt;0,"OK","sin PEA -&gt; peor")</f>
        <v/>
      </c>
    </row>
    <row r="822">
      <c r="A822" t="inlineStr">
        <is>
          <t>211205</t>
        </is>
      </c>
      <c r="B822" t="inlineStr">
        <is>
          <t>PHARA</t>
        </is>
      </c>
      <c r="C822" s="14">
        <f>'Empleo Censo'!G822-'Empleo Censo'!F822</f>
        <v/>
      </c>
      <c r="D822" s="14">
        <f>'Empleo Censo'!F822</f>
        <v/>
      </c>
      <c r="E822" s="14">
        <f>'Empleo Censo'!H822</f>
        <v/>
      </c>
      <c r="F822" s="14">
        <f>'Empleo Censo'!I822</f>
        <v/>
      </c>
      <c r="G822" s="14">
        <f>'Empleo Censo'!J822+'Empleo Censo'!K822</f>
        <v/>
      </c>
      <c r="H822" s="14">
        <f>'Empleo Censo'!L822</f>
        <v/>
      </c>
      <c r="I822" s="14">
        <f>'Empleo Censo'!M822</f>
        <v/>
      </c>
      <c r="J822" s="14">
        <f>SUM('Empleo Censo'!N822:AA822)</f>
        <v/>
      </c>
      <c r="K822" s="14">
        <f>SUM(C822:J822)</f>
        <v/>
      </c>
      <c r="L822" s="15">
        <f>SUMPRODUCT(C822:J822,Factores!$B$3:$I$3)</f>
        <v/>
      </c>
      <c r="M822" s="16">
        <f>'Empleo Censo'!E822</f>
        <v/>
      </c>
      <c r="N822" s="17">
        <f>IF(M822&gt;0,L822,Factores!$B$7)</f>
        <v/>
      </c>
      <c r="O822">
        <f>IF(M822&gt;0,"OK","sin PEA -&gt; peor")</f>
        <v/>
      </c>
    </row>
    <row r="823">
      <c r="A823" t="inlineStr">
        <is>
          <t>211206</t>
        </is>
      </c>
      <c r="B823" t="inlineStr">
        <is>
          <t>QUIACA</t>
        </is>
      </c>
      <c r="C823" s="14">
        <f>'Empleo Censo'!G823-'Empleo Censo'!F823</f>
        <v/>
      </c>
      <c r="D823" s="14">
        <f>'Empleo Censo'!F823</f>
        <v/>
      </c>
      <c r="E823" s="14">
        <f>'Empleo Censo'!H823</f>
        <v/>
      </c>
      <c r="F823" s="14">
        <f>'Empleo Censo'!I823</f>
        <v/>
      </c>
      <c r="G823" s="14">
        <f>'Empleo Censo'!J823+'Empleo Censo'!K823</f>
        <v/>
      </c>
      <c r="H823" s="14">
        <f>'Empleo Censo'!L823</f>
        <v/>
      </c>
      <c r="I823" s="14">
        <f>'Empleo Censo'!M823</f>
        <v/>
      </c>
      <c r="J823" s="14">
        <f>SUM('Empleo Censo'!N823:AA823)</f>
        <v/>
      </c>
      <c r="K823" s="14">
        <f>SUM(C823:J823)</f>
        <v/>
      </c>
      <c r="L823" s="15">
        <f>SUMPRODUCT(C823:J823,Factores!$B$3:$I$3)</f>
        <v/>
      </c>
      <c r="M823" s="16">
        <f>'Empleo Censo'!E823</f>
        <v/>
      </c>
      <c r="N823" s="17">
        <f>IF(M823&gt;0,L823,Factores!$B$7)</f>
        <v/>
      </c>
      <c r="O823">
        <f>IF(M823&gt;0,"OK","sin PEA -&gt; peor")</f>
        <v/>
      </c>
    </row>
    <row r="824">
      <c r="A824" t="inlineStr">
        <is>
          <t>211207</t>
        </is>
      </c>
      <c r="B824" t="inlineStr">
        <is>
          <t>SAN JUAN DEL ORO</t>
        </is>
      </c>
      <c r="C824" s="14">
        <f>'Empleo Censo'!G824-'Empleo Censo'!F824</f>
        <v/>
      </c>
      <c r="D824" s="14">
        <f>'Empleo Censo'!F824</f>
        <v/>
      </c>
      <c r="E824" s="14">
        <f>'Empleo Censo'!H824</f>
        <v/>
      </c>
      <c r="F824" s="14">
        <f>'Empleo Censo'!I824</f>
        <v/>
      </c>
      <c r="G824" s="14">
        <f>'Empleo Censo'!J824+'Empleo Censo'!K824</f>
        <v/>
      </c>
      <c r="H824" s="14">
        <f>'Empleo Censo'!L824</f>
        <v/>
      </c>
      <c r="I824" s="14">
        <f>'Empleo Censo'!M824</f>
        <v/>
      </c>
      <c r="J824" s="14">
        <f>SUM('Empleo Censo'!N824:AA824)</f>
        <v/>
      </c>
      <c r="K824" s="14">
        <f>SUM(C824:J824)</f>
        <v/>
      </c>
      <c r="L824" s="15">
        <f>SUMPRODUCT(C824:J824,Factores!$B$3:$I$3)</f>
        <v/>
      </c>
      <c r="M824" s="16">
        <f>'Empleo Censo'!E824</f>
        <v/>
      </c>
      <c r="N824" s="17">
        <f>IF(M824&gt;0,L824,Factores!$B$7)</f>
        <v/>
      </c>
      <c r="O824">
        <f>IF(M824&gt;0,"OK","sin PEA -&gt; peor")</f>
        <v/>
      </c>
    </row>
    <row r="825">
      <c r="A825" t="inlineStr">
        <is>
          <t>211208</t>
        </is>
      </c>
      <c r="B825" t="inlineStr">
        <is>
          <t>YANAHUAYA</t>
        </is>
      </c>
      <c r="C825" s="14">
        <f>'Empleo Censo'!G825-'Empleo Censo'!F825</f>
        <v/>
      </c>
      <c r="D825" s="14">
        <f>'Empleo Censo'!F825</f>
        <v/>
      </c>
      <c r="E825" s="14">
        <f>'Empleo Censo'!H825</f>
        <v/>
      </c>
      <c r="F825" s="14">
        <f>'Empleo Censo'!I825</f>
        <v/>
      </c>
      <c r="G825" s="14">
        <f>'Empleo Censo'!J825+'Empleo Censo'!K825</f>
        <v/>
      </c>
      <c r="H825" s="14">
        <f>'Empleo Censo'!L825</f>
        <v/>
      </c>
      <c r="I825" s="14">
        <f>'Empleo Censo'!M825</f>
        <v/>
      </c>
      <c r="J825" s="14">
        <f>SUM('Empleo Censo'!N825:AA825)</f>
        <v/>
      </c>
      <c r="K825" s="14">
        <f>SUM(C825:J825)</f>
        <v/>
      </c>
      <c r="L825" s="15">
        <f>SUMPRODUCT(C825:J825,Factores!$B$3:$I$3)</f>
        <v/>
      </c>
      <c r="M825" s="16">
        <f>'Empleo Censo'!E825</f>
        <v/>
      </c>
      <c r="N825" s="17">
        <f>IF(M825&gt;0,L825,Factores!$B$7)</f>
        <v/>
      </c>
      <c r="O825">
        <f>IF(M825&gt;0,"OK","sin PEA -&gt; peor")</f>
        <v/>
      </c>
    </row>
    <row r="826">
      <c r="A826" t="inlineStr">
        <is>
          <t>211209</t>
        </is>
      </c>
      <c r="B826" t="inlineStr">
        <is>
          <t>ALTO INAMBARI</t>
        </is>
      </c>
      <c r="C826" s="14">
        <f>'Empleo Censo'!G826-'Empleo Censo'!F826</f>
        <v/>
      </c>
      <c r="D826" s="14">
        <f>'Empleo Censo'!F826</f>
        <v/>
      </c>
      <c r="E826" s="14">
        <f>'Empleo Censo'!H826</f>
        <v/>
      </c>
      <c r="F826" s="14">
        <f>'Empleo Censo'!I826</f>
        <v/>
      </c>
      <c r="G826" s="14">
        <f>'Empleo Censo'!J826+'Empleo Censo'!K826</f>
        <v/>
      </c>
      <c r="H826" s="14">
        <f>'Empleo Censo'!L826</f>
        <v/>
      </c>
      <c r="I826" s="14">
        <f>'Empleo Censo'!M826</f>
        <v/>
      </c>
      <c r="J826" s="14">
        <f>SUM('Empleo Censo'!N826:AA826)</f>
        <v/>
      </c>
      <c r="K826" s="14">
        <f>SUM(C826:J826)</f>
        <v/>
      </c>
      <c r="L826" s="15">
        <f>SUMPRODUCT(C826:J826,Factores!$B$3:$I$3)</f>
        <v/>
      </c>
      <c r="M826" s="16">
        <f>'Empleo Censo'!E826</f>
        <v/>
      </c>
      <c r="N826" s="17">
        <f>IF(M826&gt;0,L826,Factores!$B$7)</f>
        <v/>
      </c>
      <c r="O826">
        <f>IF(M826&gt;0,"OK","sin PEA -&gt; peor")</f>
        <v/>
      </c>
    </row>
    <row r="827">
      <c r="A827" t="inlineStr">
        <is>
          <t>211210</t>
        </is>
      </c>
      <c r="B827" t="inlineStr">
        <is>
          <t>SAN PEDRO DE PUTINA PUNCO</t>
        </is>
      </c>
      <c r="C827" s="14">
        <f>'Empleo Censo'!G827-'Empleo Censo'!F827</f>
        <v/>
      </c>
      <c r="D827" s="14">
        <f>'Empleo Censo'!F827</f>
        <v/>
      </c>
      <c r="E827" s="14">
        <f>'Empleo Censo'!H827</f>
        <v/>
      </c>
      <c r="F827" s="14">
        <f>'Empleo Censo'!I827</f>
        <v/>
      </c>
      <c r="G827" s="14">
        <f>'Empleo Censo'!J827+'Empleo Censo'!K827</f>
        <v/>
      </c>
      <c r="H827" s="14">
        <f>'Empleo Censo'!L827</f>
        <v/>
      </c>
      <c r="I827" s="14">
        <f>'Empleo Censo'!M827</f>
        <v/>
      </c>
      <c r="J827" s="14">
        <f>SUM('Empleo Censo'!N827:AA827)</f>
        <v/>
      </c>
      <c r="K827" s="14">
        <f>SUM(C827:J827)</f>
        <v/>
      </c>
      <c r="L827" s="15">
        <f>SUMPRODUCT(C827:J827,Factores!$B$3:$I$3)</f>
        <v/>
      </c>
      <c r="M827" s="16">
        <f>'Empleo Censo'!E827</f>
        <v/>
      </c>
      <c r="N827" s="17">
        <f>IF(M827&gt;0,L827,Factores!$B$7)</f>
        <v/>
      </c>
      <c r="O827">
        <f>IF(M827&gt;0,"OK","sin PEA -&gt; peor")</f>
        <v/>
      </c>
    </row>
    <row r="828">
      <c r="A828" t="inlineStr">
        <is>
          <t>211301</t>
        </is>
      </c>
      <c r="B828" t="inlineStr">
        <is>
          <t>YUNGUYO</t>
        </is>
      </c>
      <c r="C828" s="14">
        <f>'Empleo Censo'!G828-'Empleo Censo'!F828</f>
        <v/>
      </c>
      <c r="D828" s="14">
        <f>'Empleo Censo'!F828</f>
        <v/>
      </c>
      <c r="E828" s="14">
        <f>'Empleo Censo'!H828</f>
        <v/>
      </c>
      <c r="F828" s="14">
        <f>'Empleo Censo'!I828</f>
        <v/>
      </c>
      <c r="G828" s="14">
        <f>'Empleo Censo'!J828+'Empleo Censo'!K828</f>
        <v/>
      </c>
      <c r="H828" s="14">
        <f>'Empleo Censo'!L828</f>
        <v/>
      </c>
      <c r="I828" s="14">
        <f>'Empleo Censo'!M828</f>
        <v/>
      </c>
      <c r="J828" s="14">
        <f>SUM('Empleo Censo'!N828:AA828)</f>
        <v/>
      </c>
      <c r="K828" s="14">
        <f>SUM(C828:J828)</f>
        <v/>
      </c>
      <c r="L828" s="15">
        <f>SUMPRODUCT(C828:J828,Factores!$B$3:$I$3)</f>
        <v/>
      </c>
      <c r="M828" s="16">
        <f>'Empleo Censo'!E828</f>
        <v/>
      </c>
      <c r="N828" s="17">
        <f>IF(M828&gt;0,L828,Factores!$B$7)</f>
        <v/>
      </c>
      <c r="O828">
        <f>IF(M828&gt;0,"OK","sin PEA -&gt; peor")</f>
        <v/>
      </c>
    </row>
    <row r="829">
      <c r="A829" t="inlineStr">
        <is>
          <t>211302</t>
        </is>
      </c>
      <c r="B829" t="inlineStr">
        <is>
          <t>ANAPIA</t>
        </is>
      </c>
      <c r="C829" s="14">
        <f>'Empleo Censo'!G829-'Empleo Censo'!F829</f>
        <v/>
      </c>
      <c r="D829" s="14">
        <f>'Empleo Censo'!F829</f>
        <v/>
      </c>
      <c r="E829" s="14">
        <f>'Empleo Censo'!H829</f>
        <v/>
      </c>
      <c r="F829" s="14">
        <f>'Empleo Censo'!I829</f>
        <v/>
      </c>
      <c r="G829" s="14">
        <f>'Empleo Censo'!J829+'Empleo Censo'!K829</f>
        <v/>
      </c>
      <c r="H829" s="14">
        <f>'Empleo Censo'!L829</f>
        <v/>
      </c>
      <c r="I829" s="14">
        <f>'Empleo Censo'!M829</f>
        <v/>
      </c>
      <c r="J829" s="14">
        <f>SUM('Empleo Censo'!N829:AA829)</f>
        <v/>
      </c>
      <c r="K829" s="14">
        <f>SUM(C829:J829)</f>
        <v/>
      </c>
      <c r="L829" s="15">
        <f>SUMPRODUCT(C829:J829,Factores!$B$3:$I$3)</f>
        <v/>
      </c>
      <c r="M829" s="16">
        <f>'Empleo Censo'!E829</f>
        <v/>
      </c>
      <c r="N829" s="17">
        <f>IF(M829&gt;0,L829,Factores!$B$7)</f>
        <v/>
      </c>
      <c r="O829">
        <f>IF(M829&gt;0,"OK","sin PEA -&gt; peor")</f>
        <v/>
      </c>
    </row>
    <row r="830">
      <c r="A830" t="inlineStr">
        <is>
          <t>211303</t>
        </is>
      </c>
      <c r="B830" t="inlineStr">
        <is>
          <t>COPANI</t>
        </is>
      </c>
      <c r="C830" s="14">
        <f>'Empleo Censo'!G830-'Empleo Censo'!F830</f>
        <v/>
      </c>
      <c r="D830" s="14">
        <f>'Empleo Censo'!F830</f>
        <v/>
      </c>
      <c r="E830" s="14">
        <f>'Empleo Censo'!H830</f>
        <v/>
      </c>
      <c r="F830" s="14">
        <f>'Empleo Censo'!I830</f>
        <v/>
      </c>
      <c r="G830" s="14">
        <f>'Empleo Censo'!J830+'Empleo Censo'!K830</f>
        <v/>
      </c>
      <c r="H830" s="14">
        <f>'Empleo Censo'!L830</f>
        <v/>
      </c>
      <c r="I830" s="14">
        <f>'Empleo Censo'!M830</f>
        <v/>
      </c>
      <c r="J830" s="14">
        <f>SUM('Empleo Censo'!N830:AA830)</f>
        <v/>
      </c>
      <c r="K830" s="14">
        <f>SUM(C830:J830)</f>
        <v/>
      </c>
      <c r="L830" s="15">
        <f>SUMPRODUCT(C830:J830,Factores!$B$3:$I$3)</f>
        <v/>
      </c>
      <c r="M830" s="16">
        <f>'Empleo Censo'!E830</f>
        <v/>
      </c>
      <c r="N830" s="17">
        <f>IF(M830&gt;0,L830,Factores!$B$7)</f>
        <v/>
      </c>
      <c r="O830">
        <f>IF(M830&gt;0,"OK","sin PEA -&gt; peor")</f>
        <v/>
      </c>
    </row>
    <row r="831">
      <c r="A831" t="inlineStr">
        <is>
          <t>211304</t>
        </is>
      </c>
      <c r="B831" t="inlineStr">
        <is>
          <t>CUTURAPI</t>
        </is>
      </c>
      <c r="C831" s="14">
        <f>'Empleo Censo'!G831-'Empleo Censo'!F831</f>
        <v/>
      </c>
      <c r="D831" s="14">
        <f>'Empleo Censo'!F831</f>
        <v/>
      </c>
      <c r="E831" s="14">
        <f>'Empleo Censo'!H831</f>
        <v/>
      </c>
      <c r="F831" s="14">
        <f>'Empleo Censo'!I831</f>
        <v/>
      </c>
      <c r="G831" s="14">
        <f>'Empleo Censo'!J831+'Empleo Censo'!K831</f>
        <v/>
      </c>
      <c r="H831" s="14">
        <f>'Empleo Censo'!L831</f>
        <v/>
      </c>
      <c r="I831" s="14">
        <f>'Empleo Censo'!M831</f>
        <v/>
      </c>
      <c r="J831" s="14">
        <f>SUM('Empleo Censo'!N831:AA831)</f>
        <v/>
      </c>
      <c r="K831" s="14">
        <f>SUM(C831:J831)</f>
        <v/>
      </c>
      <c r="L831" s="15">
        <f>SUMPRODUCT(C831:J831,Factores!$B$3:$I$3)</f>
        <v/>
      </c>
      <c r="M831" s="16">
        <f>'Empleo Censo'!E831</f>
        <v/>
      </c>
      <c r="N831" s="17">
        <f>IF(M831&gt;0,L831,Factores!$B$7)</f>
        <v/>
      </c>
      <c r="O831">
        <f>IF(M831&gt;0,"OK","sin PEA -&gt; peor")</f>
        <v/>
      </c>
    </row>
    <row r="832">
      <c r="A832" t="inlineStr">
        <is>
          <t>211305</t>
        </is>
      </c>
      <c r="B832" t="inlineStr">
        <is>
          <t>OLLARAYA</t>
        </is>
      </c>
      <c r="C832" s="14">
        <f>'Empleo Censo'!G832-'Empleo Censo'!F832</f>
        <v/>
      </c>
      <c r="D832" s="14">
        <f>'Empleo Censo'!F832</f>
        <v/>
      </c>
      <c r="E832" s="14">
        <f>'Empleo Censo'!H832</f>
        <v/>
      </c>
      <c r="F832" s="14">
        <f>'Empleo Censo'!I832</f>
        <v/>
      </c>
      <c r="G832" s="14">
        <f>'Empleo Censo'!J832+'Empleo Censo'!K832</f>
        <v/>
      </c>
      <c r="H832" s="14">
        <f>'Empleo Censo'!L832</f>
        <v/>
      </c>
      <c r="I832" s="14">
        <f>'Empleo Censo'!M832</f>
        <v/>
      </c>
      <c r="J832" s="14">
        <f>SUM('Empleo Censo'!N832:AA832)</f>
        <v/>
      </c>
      <c r="K832" s="14">
        <f>SUM(C832:J832)</f>
        <v/>
      </c>
      <c r="L832" s="15">
        <f>SUMPRODUCT(C832:J832,Factores!$B$3:$I$3)</f>
        <v/>
      </c>
      <c r="M832" s="16">
        <f>'Empleo Censo'!E832</f>
        <v/>
      </c>
      <c r="N832" s="17">
        <f>IF(M832&gt;0,L832,Factores!$B$7)</f>
        <v/>
      </c>
      <c r="O832">
        <f>IF(M832&gt;0,"OK","sin PEA -&gt; peor")</f>
        <v/>
      </c>
    </row>
    <row r="833">
      <c r="A833" t="inlineStr">
        <is>
          <t>211306</t>
        </is>
      </c>
      <c r="B833" t="inlineStr">
        <is>
          <t>TINICACHI</t>
        </is>
      </c>
      <c r="C833" s="14">
        <f>'Empleo Censo'!G833-'Empleo Censo'!F833</f>
        <v/>
      </c>
      <c r="D833" s="14">
        <f>'Empleo Censo'!F833</f>
        <v/>
      </c>
      <c r="E833" s="14">
        <f>'Empleo Censo'!H833</f>
        <v/>
      </c>
      <c r="F833" s="14">
        <f>'Empleo Censo'!I833</f>
        <v/>
      </c>
      <c r="G833" s="14">
        <f>'Empleo Censo'!J833+'Empleo Censo'!K833</f>
        <v/>
      </c>
      <c r="H833" s="14">
        <f>'Empleo Censo'!L833</f>
        <v/>
      </c>
      <c r="I833" s="14">
        <f>'Empleo Censo'!M833</f>
        <v/>
      </c>
      <c r="J833" s="14">
        <f>SUM('Empleo Censo'!N833:AA833)</f>
        <v/>
      </c>
      <c r="K833" s="14">
        <f>SUM(C833:J833)</f>
        <v/>
      </c>
      <c r="L833" s="15">
        <f>SUMPRODUCT(C833:J833,Factores!$B$3:$I$3)</f>
        <v/>
      </c>
      <c r="M833" s="16">
        <f>'Empleo Censo'!E833</f>
        <v/>
      </c>
      <c r="N833" s="17">
        <f>IF(M833&gt;0,L833,Factores!$B$7)</f>
        <v/>
      </c>
      <c r="O833">
        <f>IF(M833&gt;0,"OK","sin PEA -&gt; peor")</f>
        <v/>
      </c>
    </row>
    <row r="834">
      <c r="A834" t="inlineStr">
        <is>
          <t>211307</t>
        </is>
      </c>
      <c r="B834" t="inlineStr">
        <is>
          <t>UNICACHI</t>
        </is>
      </c>
      <c r="C834" s="14">
        <f>'Empleo Censo'!G834-'Empleo Censo'!F834</f>
        <v/>
      </c>
      <c r="D834" s="14">
        <f>'Empleo Censo'!F834</f>
        <v/>
      </c>
      <c r="E834" s="14">
        <f>'Empleo Censo'!H834</f>
        <v/>
      </c>
      <c r="F834" s="14">
        <f>'Empleo Censo'!I834</f>
        <v/>
      </c>
      <c r="G834" s="14">
        <f>'Empleo Censo'!J834+'Empleo Censo'!K834</f>
        <v/>
      </c>
      <c r="H834" s="14">
        <f>'Empleo Censo'!L834</f>
        <v/>
      </c>
      <c r="I834" s="14">
        <f>'Empleo Censo'!M834</f>
        <v/>
      </c>
      <c r="J834" s="14">
        <f>SUM('Empleo Censo'!N834:AA834)</f>
        <v/>
      </c>
      <c r="K834" s="14">
        <f>SUM(C834:J834)</f>
        <v/>
      </c>
      <c r="L834" s="15">
        <f>SUMPRODUCT(C834:J834,Factores!$B$3:$I$3)</f>
        <v/>
      </c>
      <c r="M834" s="16">
        <f>'Empleo Censo'!E834</f>
        <v/>
      </c>
      <c r="N834" s="17">
        <f>IF(M834&gt;0,L834,Factores!$B$7)</f>
        <v/>
      </c>
      <c r="O834">
        <f>IF(M834&gt;0,"OK","sin PEA -&gt; peor")</f>
        <v/>
      </c>
    </row>
    <row r="835">
      <c r="A835" t="inlineStr">
        <is>
          <t>220101</t>
        </is>
      </c>
      <c r="B835" t="inlineStr">
        <is>
          <t>MOYOBAMBA</t>
        </is>
      </c>
      <c r="C835" s="14">
        <f>'Empleo Censo'!G835-'Empleo Censo'!F835</f>
        <v/>
      </c>
      <c r="D835" s="14">
        <f>'Empleo Censo'!F835</f>
        <v/>
      </c>
      <c r="E835" s="14">
        <f>'Empleo Censo'!H835</f>
        <v/>
      </c>
      <c r="F835" s="14">
        <f>'Empleo Censo'!I835</f>
        <v/>
      </c>
      <c r="G835" s="14">
        <f>'Empleo Censo'!J835+'Empleo Censo'!K835</f>
        <v/>
      </c>
      <c r="H835" s="14">
        <f>'Empleo Censo'!L835</f>
        <v/>
      </c>
      <c r="I835" s="14">
        <f>'Empleo Censo'!M835</f>
        <v/>
      </c>
      <c r="J835" s="14">
        <f>SUM('Empleo Censo'!N835:AA835)</f>
        <v/>
      </c>
      <c r="K835" s="14">
        <f>SUM(C835:J835)</f>
        <v/>
      </c>
      <c r="L835" s="15">
        <f>SUMPRODUCT(C835:J835,Factores!$B$3:$I$3)</f>
        <v/>
      </c>
      <c r="M835" s="16">
        <f>'Empleo Censo'!E835</f>
        <v/>
      </c>
      <c r="N835" s="17">
        <f>IF(M835&gt;0,L835,Factores!$B$7)</f>
        <v/>
      </c>
      <c r="O835">
        <f>IF(M835&gt;0,"OK","sin PEA -&gt; peor")</f>
        <v/>
      </c>
    </row>
    <row r="836">
      <c r="A836" t="inlineStr">
        <is>
          <t>220102</t>
        </is>
      </c>
      <c r="B836" t="inlineStr">
        <is>
          <t>CALZADA</t>
        </is>
      </c>
      <c r="C836" s="14">
        <f>'Empleo Censo'!G836-'Empleo Censo'!F836</f>
        <v/>
      </c>
      <c r="D836" s="14">
        <f>'Empleo Censo'!F836</f>
        <v/>
      </c>
      <c r="E836" s="14">
        <f>'Empleo Censo'!H836</f>
        <v/>
      </c>
      <c r="F836" s="14">
        <f>'Empleo Censo'!I836</f>
        <v/>
      </c>
      <c r="G836" s="14">
        <f>'Empleo Censo'!J836+'Empleo Censo'!K836</f>
        <v/>
      </c>
      <c r="H836" s="14">
        <f>'Empleo Censo'!L836</f>
        <v/>
      </c>
      <c r="I836" s="14">
        <f>'Empleo Censo'!M836</f>
        <v/>
      </c>
      <c r="J836" s="14">
        <f>SUM('Empleo Censo'!N836:AA836)</f>
        <v/>
      </c>
      <c r="K836" s="14">
        <f>SUM(C836:J836)</f>
        <v/>
      </c>
      <c r="L836" s="15">
        <f>SUMPRODUCT(C836:J836,Factores!$B$3:$I$3)</f>
        <v/>
      </c>
      <c r="M836" s="16">
        <f>'Empleo Censo'!E836</f>
        <v/>
      </c>
      <c r="N836" s="17">
        <f>IF(M836&gt;0,L836,Factores!$B$7)</f>
        <v/>
      </c>
      <c r="O836">
        <f>IF(M836&gt;0,"OK","sin PEA -&gt; peor")</f>
        <v/>
      </c>
    </row>
    <row r="837">
      <c r="A837" t="inlineStr">
        <is>
          <t>220103</t>
        </is>
      </c>
      <c r="B837" t="inlineStr">
        <is>
          <t>HABANA</t>
        </is>
      </c>
      <c r="C837" s="14">
        <f>'Empleo Censo'!G837-'Empleo Censo'!F837</f>
        <v/>
      </c>
      <c r="D837" s="14">
        <f>'Empleo Censo'!F837</f>
        <v/>
      </c>
      <c r="E837" s="14">
        <f>'Empleo Censo'!H837</f>
        <v/>
      </c>
      <c r="F837" s="14">
        <f>'Empleo Censo'!I837</f>
        <v/>
      </c>
      <c r="G837" s="14">
        <f>'Empleo Censo'!J837+'Empleo Censo'!K837</f>
        <v/>
      </c>
      <c r="H837" s="14">
        <f>'Empleo Censo'!L837</f>
        <v/>
      </c>
      <c r="I837" s="14">
        <f>'Empleo Censo'!M837</f>
        <v/>
      </c>
      <c r="J837" s="14">
        <f>SUM('Empleo Censo'!N837:AA837)</f>
        <v/>
      </c>
      <c r="K837" s="14">
        <f>SUM(C837:J837)</f>
        <v/>
      </c>
      <c r="L837" s="15">
        <f>SUMPRODUCT(C837:J837,Factores!$B$3:$I$3)</f>
        <v/>
      </c>
      <c r="M837" s="16">
        <f>'Empleo Censo'!E837</f>
        <v/>
      </c>
      <c r="N837" s="17">
        <f>IF(M837&gt;0,L837,Factores!$B$7)</f>
        <v/>
      </c>
      <c r="O837">
        <f>IF(M837&gt;0,"OK","sin PEA -&gt; peor")</f>
        <v/>
      </c>
    </row>
    <row r="838">
      <c r="A838" t="inlineStr">
        <is>
          <t>220104</t>
        </is>
      </c>
      <c r="B838" t="inlineStr">
        <is>
          <t>JEPELACIO</t>
        </is>
      </c>
      <c r="C838" s="14">
        <f>'Empleo Censo'!G838-'Empleo Censo'!F838</f>
        <v/>
      </c>
      <c r="D838" s="14">
        <f>'Empleo Censo'!F838</f>
        <v/>
      </c>
      <c r="E838" s="14">
        <f>'Empleo Censo'!H838</f>
        <v/>
      </c>
      <c r="F838" s="14">
        <f>'Empleo Censo'!I838</f>
        <v/>
      </c>
      <c r="G838" s="14">
        <f>'Empleo Censo'!J838+'Empleo Censo'!K838</f>
        <v/>
      </c>
      <c r="H838" s="14">
        <f>'Empleo Censo'!L838</f>
        <v/>
      </c>
      <c r="I838" s="14">
        <f>'Empleo Censo'!M838</f>
        <v/>
      </c>
      <c r="J838" s="14">
        <f>SUM('Empleo Censo'!N838:AA838)</f>
        <v/>
      </c>
      <c r="K838" s="14">
        <f>SUM(C838:J838)</f>
        <v/>
      </c>
      <c r="L838" s="15">
        <f>SUMPRODUCT(C838:J838,Factores!$B$3:$I$3)</f>
        <v/>
      </c>
      <c r="M838" s="16">
        <f>'Empleo Censo'!E838</f>
        <v/>
      </c>
      <c r="N838" s="17">
        <f>IF(M838&gt;0,L838,Factores!$B$7)</f>
        <v/>
      </c>
      <c r="O838">
        <f>IF(M838&gt;0,"OK","sin PEA -&gt; peor")</f>
        <v/>
      </c>
    </row>
    <row r="839">
      <c r="A839" t="inlineStr">
        <is>
          <t>220105</t>
        </is>
      </c>
      <c r="B839" t="inlineStr">
        <is>
          <t>SORITOR</t>
        </is>
      </c>
      <c r="C839" s="14">
        <f>'Empleo Censo'!G839-'Empleo Censo'!F839</f>
        <v/>
      </c>
      <c r="D839" s="14">
        <f>'Empleo Censo'!F839</f>
        <v/>
      </c>
      <c r="E839" s="14">
        <f>'Empleo Censo'!H839</f>
        <v/>
      </c>
      <c r="F839" s="14">
        <f>'Empleo Censo'!I839</f>
        <v/>
      </c>
      <c r="G839" s="14">
        <f>'Empleo Censo'!J839+'Empleo Censo'!K839</f>
        <v/>
      </c>
      <c r="H839" s="14">
        <f>'Empleo Censo'!L839</f>
        <v/>
      </c>
      <c r="I839" s="14">
        <f>'Empleo Censo'!M839</f>
        <v/>
      </c>
      <c r="J839" s="14">
        <f>SUM('Empleo Censo'!N839:AA839)</f>
        <v/>
      </c>
      <c r="K839" s="14">
        <f>SUM(C839:J839)</f>
        <v/>
      </c>
      <c r="L839" s="15">
        <f>SUMPRODUCT(C839:J839,Factores!$B$3:$I$3)</f>
        <v/>
      </c>
      <c r="M839" s="16">
        <f>'Empleo Censo'!E839</f>
        <v/>
      </c>
      <c r="N839" s="17">
        <f>IF(M839&gt;0,L839,Factores!$B$7)</f>
        <v/>
      </c>
      <c r="O839">
        <f>IF(M839&gt;0,"OK","sin PEA -&gt; peor")</f>
        <v/>
      </c>
    </row>
    <row r="840">
      <c r="A840" t="inlineStr">
        <is>
          <t>220106</t>
        </is>
      </c>
      <c r="B840" t="inlineStr">
        <is>
          <t>YANTALO</t>
        </is>
      </c>
      <c r="C840" s="14">
        <f>'Empleo Censo'!G840-'Empleo Censo'!F840</f>
        <v/>
      </c>
      <c r="D840" s="14">
        <f>'Empleo Censo'!F840</f>
        <v/>
      </c>
      <c r="E840" s="14">
        <f>'Empleo Censo'!H840</f>
        <v/>
      </c>
      <c r="F840" s="14">
        <f>'Empleo Censo'!I840</f>
        <v/>
      </c>
      <c r="G840" s="14">
        <f>'Empleo Censo'!J840+'Empleo Censo'!K840</f>
        <v/>
      </c>
      <c r="H840" s="14">
        <f>'Empleo Censo'!L840</f>
        <v/>
      </c>
      <c r="I840" s="14">
        <f>'Empleo Censo'!M840</f>
        <v/>
      </c>
      <c r="J840" s="14">
        <f>SUM('Empleo Censo'!N840:AA840)</f>
        <v/>
      </c>
      <c r="K840" s="14">
        <f>SUM(C840:J840)</f>
        <v/>
      </c>
      <c r="L840" s="15">
        <f>SUMPRODUCT(C840:J840,Factores!$B$3:$I$3)</f>
        <v/>
      </c>
      <c r="M840" s="16">
        <f>'Empleo Censo'!E840</f>
        <v/>
      </c>
      <c r="N840" s="17">
        <f>IF(M840&gt;0,L840,Factores!$B$7)</f>
        <v/>
      </c>
      <c r="O840">
        <f>IF(M840&gt;0,"OK","sin PEA -&gt; peor")</f>
        <v/>
      </c>
    </row>
    <row r="841">
      <c r="A841" t="inlineStr">
        <is>
          <t>220201</t>
        </is>
      </c>
      <c r="B841" t="inlineStr">
        <is>
          <t>BELLAVISTA</t>
        </is>
      </c>
      <c r="C841" s="14">
        <f>'Empleo Censo'!G841-'Empleo Censo'!F841</f>
        <v/>
      </c>
      <c r="D841" s="14">
        <f>'Empleo Censo'!F841</f>
        <v/>
      </c>
      <c r="E841" s="14">
        <f>'Empleo Censo'!H841</f>
        <v/>
      </c>
      <c r="F841" s="14">
        <f>'Empleo Censo'!I841</f>
        <v/>
      </c>
      <c r="G841" s="14">
        <f>'Empleo Censo'!J841+'Empleo Censo'!K841</f>
        <v/>
      </c>
      <c r="H841" s="14">
        <f>'Empleo Censo'!L841</f>
        <v/>
      </c>
      <c r="I841" s="14">
        <f>'Empleo Censo'!M841</f>
        <v/>
      </c>
      <c r="J841" s="14">
        <f>SUM('Empleo Censo'!N841:AA841)</f>
        <v/>
      </c>
      <c r="K841" s="14">
        <f>SUM(C841:J841)</f>
        <v/>
      </c>
      <c r="L841" s="15">
        <f>SUMPRODUCT(C841:J841,Factores!$B$3:$I$3)</f>
        <v/>
      </c>
      <c r="M841" s="16">
        <f>'Empleo Censo'!E841</f>
        <v/>
      </c>
      <c r="N841" s="17">
        <f>IF(M841&gt;0,L841,Factores!$B$7)</f>
        <v/>
      </c>
      <c r="O841">
        <f>IF(M841&gt;0,"OK","sin PEA -&gt; peor")</f>
        <v/>
      </c>
    </row>
    <row r="842">
      <c r="A842" t="inlineStr">
        <is>
          <t>220202</t>
        </is>
      </c>
      <c r="B842" t="inlineStr">
        <is>
          <t>ALTO BIAVO</t>
        </is>
      </c>
      <c r="C842" s="14">
        <f>'Empleo Censo'!G842-'Empleo Censo'!F842</f>
        <v/>
      </c>
      <c r="D842" s="14">
        <f>'Empleo Censo'!F842</f>
        <v/>
      </c>
      <c r="E842" s="14">
        <f>'Empleo Censo'!H842</f>
        <v/>
      </c>
      <c r="F842" s="14">
        <f>'Empleo Censo'!I842</f>
        <v/>
      </c>
      <c r="G842" s="14">
        <f>'Empleo Censo'!J842+'Empleo Censo'!K842</f>
        <v/>
      </c>
      <c r="H842" s="14">
        <f>'Empleo Censo'!L842</f>
        <v/>
      </c>
      <c r="I842" s="14">
        <f>'Empleo Censo'!M842</f>
        <v/>
      </c>
      <c r="J842" s="14">
        <f>SUM('Empleo Censo'!N842:AA842)</f>
        <v/>
      </c>
      <c r="K842" s="14">
        <f>SUM(C842:J842)</f>
        <v/>
      </c>
      <c r="L842" s="15">
        <f>SUMPRODUCT(C842:J842,Factores!$B$3:$I$3)</f>
        <v/>
      </c>
      <c r="M842" s="16">
        <f>'Empleo Censo'!E842</f>
        <v/>
      </c>
      <c r="N842" s="17">
        <f>IF(M842&gt;0,L842,Factores!$B$7)</f>
        <v/>
      </c>
      <c r="O842">
        <f>IF(M842&gt;0,"OK","sin PEA -&gt; peor")</f>
        <v/>
      </c>
    </row>
    <row r="843">
      <c r="A843" t="inlineStr">
        <is>
          <t>220203</t>
        </is>
      </c>
      <c r="B843" t="inlineStr">
        <is>
          <t>BAJO BIAVO</t>
        </is>
      </c>
      <c r="C843" s="14">
        <f>'Empleo Censo'!G843-'Empleo Censo'!F843</f>
        <v/>
      </c>
      <c r="D843" s="14">
        <f>'Empleo Censo'!F843</f>
        <v/>
      </c>
      <c r="E843" s="14">
        <f>'Empleo Censo'!H843</f>
        <v/>
      </c>
      <c r="F843" s="14">
        <f>'Empleo Censo'!I843</f>
        <v/>
      </c>
      <c r="G843" s="14">
        <f>'Empleo Censo'!J843+'Empleo Censo'!K843</f>
        <v/>
      </c>
      <c r="H843" s="14">
        <f>'Empleo Censo'!L843</f>
        <v/>
      </c>
      <c r="I843" s="14">
        <f>'Empleo Censo'!M843</f>
        <v/>
      </c>
      <c r="J843" s="14">
        <f>SUM('Empleo Censo'!N843:AA843)</f>
        <v/>
      </c>
      <c r="K843" s="14">
        <f>SUM(C843:J843)</f>
        <v/>
      </c>
      <c r="L843" s="15">
        <f>SUMPRODUCT(C843:J843,Factores!$B$3:$I$3)</f>
        <v/>
      </c>
      <c r="M843" s="16">
        <f>'Empleo Censo'!E843</f>
        <v/>
      </c>
      <c r="N843" s="17">
        <f>IF(M843&gt;0,L843,Factores!$B$7)</f>
        <v/>
      </c>
      <c r="O843">
        <f>IF(M843&gt;0,"OK","sin PEA -&gt; peor")</f>
        <v/>
      </c>
    </row>
    <row r="844">
      <c r="A844" t="inlineStr">
        <is>
          <t>220204</t>
        </is>
      </c>
      <c r="B844" t="inlineStr">
        <is>
          <t>HUALLAGA</t>
        </is>
      </c>
      <c r="C844" s="14">
        <f>'Empleo Censo'!G844-'Empleo Censo'!F844</f>
        <v/>
      </c>
      <c r="D844" s="14">
        <f>'Empleo Censo'!F844</f>
        <v/>
      </c>
      <c r="E844" s="14">
        <f>'Empleo Censo'!H844</f>
        <v/>
      </c>
      <c r="F844" s="14">
        <f>'Empleo Censo'!I844</f>
        <v/>
      </c>
      <c r="G844" s="14">
        <f>'Empleo Censo'!J844+'Empleo Censo'!K844</f>
        <v/>
      </c>
      <c r="H844" s="14">
        <f>'Empleo Censo'!L844</f>
        <v/>
      </c>
      <c r="I844" s="14">
        <f>'Empleo Censo'!M844</f>
        <v/>
      </c>
      <c r="J844" s="14">
        <f>SUM('Empleo Censo'!N844:AA844)</f>
        <v/>
      </c>
      <c r="K844" s="14">
        <f>SUM(C844:J844)</f>
        <v/>
      </c>
      <c r="L844" s="15">
        <f>SUMPRODUCT(C844:J844,Factores!$B$3:$I$3)</f>
        <v/>
      </c>
      <c r="M844" s="16">
        <f>'Empleo Censo'!E844</f>
        <v/>
      </c>
      <c r="N844" s="17">
        <f>IF(M844&gt;0,L844,Factores!$B$7)</f>
        <v/>
      </c>
      <c r="O844">
        <f>IF(M844&gt;0,"OK","sin PEA -&gt; peor")</f>
        <v/>
      </c>
    </row>
    <row r="845">
      <c r="A845" t="inlineStr">
        <is>
          <t>220205</t>
        </is>
      </c>
      <c r="B845" t="inlineStr">
        <is>
          <t>SAN PABLO</t>
        </is>
      </c>
      <c r="C845" s="14">
        <f>'Empleo Censo'!G845-'Empleo Censo'!F845</f>
        <v/>
      </c>
      <c r="D845" s="14">
        <f>'Empleo Censo'!F845</f>
        <v/>
      </c>
      <c r="E845" s="14">
        <f>'Empleo Censo'!H845</f>
        <v/>
      </c>
      <c r="F845" s="14">
        <f>'Empleo Censo'!I845</f>
        <v/>
      </c>
      <c r="G845" s="14">
        <f>'Empleo Censo'!J845+'Empleo Censo'!K845</f>
        <v/>
      </c>
      <c r="H845" s="14">
        <f>'Empleo Censo'!L845</f>
        <v/>
      </c>
      <c r="I845" s="14">
        <f>'Empleo Censo'!M845</f>
        <v/>
      </c>
      <c r="J845" s="14">
        <f>SUM('Empleo Censo'!N845:AA845)</f>
        <v/>
      </c>
      <c r="K845" s="14">
        <f>SUM(C845:J845)</f>
        <v/>
      </c>
      <c r="L845" s="15">
        <f>SUMPRODUCT(C845:J845,Factores!$B$3:$I$3)</f>
        <v/>
      </c>
      <c r="M845" s="16">
        <f>'Empleo Censo'!E845</f>
        <v/>
      </c>
      <c r="N845" s="17">
        <f>IF(M845&gt;0,L845,Factores!$B$7)</f>
        <v/>
      </c>
      <c r="O845">
        <f>IF(M845&gt;0,"OK","sin PEA -&gt; peor")</f>
        <v/>
      </c>
    </row>
    <row r="846">
      <c r="A846" t="inlineStr">
        <is>
          <t>220206</t>
        </is>
      </c>
      <c r="B846" t="inlineStr">
        <is>
          <t>SAN RAFAEL</t>
        </is>
      </c>
      <c r="C846" s="14">
        <f>'Empleo Censo'!G846-'Empleo Censo'!F846</f>
        <v/>
      </c>
      <c r="D846" s="14">
        <f>'Empleo Censo'!F846</f>
        <v/>
      </c>
      <c r="E846" s="14">
        <f>'Empleo Censo'!H846</f>
        <v/>
      </c>
      <c r="F846" s="14">
        <f>'Empleo Censo'!I846</f>
        <v/>
      </c>
      <c r="G846" s="14">
        <f>'Empleo Censo'!J846+'Empleo Censo'!K846</f>
        <v/>
      </c>
      <c r="H846" s="14">
        <f>'Empleo Censo'!L846</f>
        <v/>
      </c>
      <c r="I846" s="14">
        <f>'Empleo Censo'!M846</f>
        <v/>
      </c>
      <c r="J846" s="14">
        <f>SUM('Empleo Censo'!N846:AA846)</f>
        <v/>
      </c>
      <c r="K846" s="14">
        <f>SUM(C846:J846)</f>
        <v/>
      </c>
      <c r="L846" s="15">
        <f>SUMPRODUCT(C846:J846,Factores!$B$3:$I$3)</f>
        <v/>
      </c>
      <c r="M846" s="16">
        <f>'Empleo Censo'!E846</f>
        <v/>
      </c>
      <c r="N846" s="17">
        <f>IF(M846&gt;0,L846,Factores!$B$7)</f>
        <v/>
      </c>
      <c r="O846">
        <f>IF(M846&gt;0,"OK","sin PEA -&gt; peor")</f>
        <v/>
      </c>
    </row>
    <row r="847">
      <c r="A847" t="inlineStr">
        <is>
          <t>220301</t>
        </is>
      </c>
      <c r="B847" t="inlineStr">
        <is>
          <t>SAN JOSE DE SISA</t>
        </is>
      </c>
      <c r="C847" s="14">
        <f>'Empleo Censo'!G847-'Empleo Censo'!F847</f>
        <v/>
      </c>
      <c r="D847" s="14">
        <f>'Empleo Censo'!F847</f>
        <v/>
      </c>
      <c r="E847" s="14">
        <f>'Empleo Censo'!H847</f>
        <v/>
      </c>
      <c r="F847" s="14">
        <f>'Empleo Censo'!I847</f>
        <v/>
      </c>
      <c r="G847" s="14">
        <f>'Empleo Censo'!J847+'Empleo Censo'!K847</f>
        <v/>
      </c>
      <c r="H847" s="14">
        <f>'Empleo Censo'!L847</f>
        <v/>
      </c>
      <c r="I847" s="14">
        <f>'Empleo Censo'!M847</f>
        <v/>
      </c>
      <c r="J847" s="14">
        <f>SUM('Empleo Censo'!N847:AA847)</f>
        <v/>
      </c>
      <c r="K847" s="14">
        <f>SUM(C847:J847)</f>
        <v/>
      </c>
      <c r="L847" s="15">
        <f>SUMPRODUCT(C847:J847,Factores!$B$3:$I$3)</f>
        <v/>
      </c>
      <c r="M847" s="16">
        <f>'Empleo Censo'!E847</f>
        <v/>
      </c>
      <c r="N847" s="17">
        <f>IF(M847&gt;0,L847,Factores!$B$7)</f>
        <v/>
      </c>
      <c r="O847">
        <f>IF(M847&gt;0,"OK","sin PEA -&gt; peor")</f>
        <v/>
      </c>
    </row>
    <row r="848">
      <c r="A848" t="inlineStr">
        <is>
          <t>220302</t>
        </is>
      </c>
      <c r="B848" t="inlineStr">
        <is>
          <t>AGUA BLANCA</t>
        </is>
      </c>
      <c r="C848" s="14">
        <f>'Empleo Censo'!G848-'Empleo Censo'!F848</f>
        <v/>
      </c>
      <c r="D848" s="14">
        <f>'Empleo Censo'!F848</f>
        <v/>
      </c>
      <c r="E848" s="14">
        <f>'Empleo Censo'!H848</f>
        <v/>
      </c>
      <c r="F848" s="14">
        <f>'Empleo Censo'!I848</f>
        <v/>
      </c>
      <c r="G848" s="14">
        <f>'Empleo Censo'!J848+'Empleo Censo'!K848</f>
        <v/>
      </c>
      <c r="H848" s="14">
        <f>'Empleo Censo'!L848</f>
        <v/>
      </c>
      <c r="I848" s="14">
        <f>'Empleo Censo'!M848</f>
        <v/>
      </c>
      <c r="J848" s="14">
        <f>SUM('Empleo Censo'!N848:AA848)</f>
        <v/>
      </c>
      <c r="K848" s="14">
        <f>SUM(C848:J848)</f>
        <v/>
      </c>
      <c r="L848" s="15">
        <f>SUMPRODUCT(C848:J848,Factores!$B$3:$I$3)</f>
        <v/>
      </c>
      <c r="M848" s="16">
        <f>'Empleo Censo'!E848</f>
        <v/>
      </c>
      <c r="N848" s="17">
        <f>IF(M848&gt;0,L848,Factores!$B$7)</f>
        <v/>
      </c>
      <c r="O848">
        <f>IF(M848&gt;0,"OK","sin PEA -&gt; peor")</f>
        <v/>
      </c>
    </row>
    <row r="849">
      <c r="A849" t="inlineStr">
        <is>
          <t>220303</t>
        </is>
      </c>
      <c r="B849" t="inlineStr">
        <is>
          <t>SAN MARTIN</t>
        </is>
      </c>
      <c r="C849" s="14">
        <f>'Empleo Censo'!G849-'Empleo Censo'!F849</f>
        <v/>
      </c>
      <c r="D849" s="14">
        <f>'Empleo Censo'!F849</f>
        <v/>
      </c>
      <c r="E849" s="14">
        <f>'Empleo Censo'!H849</f>
        <v/>
      </c>
      <c r="F849" s="14">
        <f>'Empleo Censo'!I849</f>
        <v/>
      </c>
      <c r="G849" s="14">
        <f>'Empleo Censo'!J849+'Empleo Censo'!K849</f>
        <v/>
      </c>
      <c r="H849" s="14">
        <f>'Empleo Censo'!L849</f>
        <v/>
      </c>
      <c r="I849" s="14">
        <f>'Empleo Censo'!M849</f>
        <v/>
      </c>
      <c r="J849" s="14">
        <f>SUM('Empleo Censo'!N849:AA849)</f>
        <v/>
      </c>
      <c r="K849" s="14">
        <f>SUM(C849:J849)</f>
        <v/>
      </c>
      <c r="L849" s="15">
        <f>SUMPRODUCT(C849:J849,Factores!$B$3:$I$3)</f>
        <v/>
      </c>
      <c r="M849" s="16">
        <f>'Empleo Censo'!E849</f>
        <v/>
      </c>
      <c r="N849" s="17">
        <f>IF(M849&gt;0,L849,Factores!$B$7)</f>
        <v/>
      </c>
      <c r="O849">
        <f>IF(M849&gt;0,"OK","sin PEA -&gt; peor")</f>
        <v/>
      </c>
    </row>
    <row r="850">
      <c r="A850" t="inlineStr">
        <is>
          <t>220304</t>
        </is>
      </c>
      <c r="B850" t="inlineStr">
        <is>
          <t>SANTA ROSA</t>
        </is>
      </c>
      <c r="C850" s="14">
        <f>'Empleo Censo'!G850-'Empleo Censo'!F850</f>
        <v/>
      </c>
      <c r="D850" s="14">
        <f>'Empleo Censo'!F850</f>
        <v/>
      </c>
      <c r="E850" s="14">
        <f>'Empleo Censo'!H850</f>
        <v/>
      </c>
      <c r="F850" s="14">
        <f>'Empleo Censo'!I850</f>
        <v/>
      </c>
      <c r="G850" s="14">
        <f>'Empleo Censo'!J850+'Empleo Censo'!K850</f>
        <v/>
      </c>
      <c r="H850" s="14">
        <f>'Empleo Censo'!L850</f>
        <v/>
      </c>
      <c r="I850" s="14">
        <f>'Empleo Censo'!M850</f>
        <v/>
      </c>
      <c r="J850" s="14">
        <f>SUM('Empleo Censo'!N850:AA850)</f>
        <v/>
      </c>
      <c r="K850" s="14">
        <f>SUM(C850:J850)</f>
        <v/>
      </c>
      <c r="L850" s="15">
        <f>SUMPRODUCT(C850:J850,Factores!$B$3:$I$3)</f>
        <v/>
      </c>
      <c r="M850" s="16">
        <f>'Empleo Censo'!E850</f>
        <v/>
      </c>
      <c r="N850" s="17">
        <f>IF(M850&gt;0,L850,Factores!$B$7)</f>
        <v/>
      </c>
      <c r="O850">
        <f>IF(M850&gt;0,"OK","sin PEA -&gt; peor")</f>
        <v/>
      </c>
    </row>
    <row r="851">
      <c r="A851" t="inlineStr">
        <is>
          <t>220305</t>
        </is>
      </c>
      <c r="B851" t="inlineStr">
        <is>
          <t>SHATOJA</t>
        </is>
      </c>
      <c r="C851" s="14">
        <f>'Empleo Censo'!G851-'Empleo Censo'!F851</f>
        <v/>
      </c>
      <c r="D851" s="14">
        <f>'Empleo Censo'!F851</f>
        <v/>
      </c>
      <c r="E851" s="14">
        <f>'Empleo Censo'!H851</f>
        <v/>
      </c>
      <c r="F851" s="14">
        <f>'Empleo Censo'!I851</f>
        <v/>
      </c>
      <c r="G851" s="14">
        <f>'Empleo Censo'!J851+'Empleo Censo'!K851</f>
        <v/>
      </c>
      <c r="H851" s="14">
        <f>'Empleo Censo'!L851</f>
        <v/>
      </c>
      <c r="I851" s="14">
        <f>'Empleo Censo'!M851</f>
        <v/>
      </c>
      <c r="J851" s="14">
        <f>SUM('Empleo Censo'!N851:AA851)</f>
        <v/>
      </c>
      <c r="K851" s="14">
        <f>SUM(C851:J851)</f>
        <v/>
      </c>
      <c r="L851" s="15">
        <f>SUMPRODUCT(C851:J851,Factores!$B$3:$I$3)</f>
        <v/>
      </c>
      <c r="M851" s="16">
        <f>'Empleo Censo'!E851</f>
        <v/>
      </c>
      <c r="N851" s="17">
        <f>IF(M851&gt;0,L851,Factores!$B$7)</f>
        <v/>
      </c>
      <c r="O851">
        <f>IF(M851&gt;0,"OK","sin PEA -&gt; peor")</f>
        <v/>
      </c>
    </row>
    <row r="852">
      <c r="A852" t="inlineStr">
        <is>
          <t>220401</t>
        </is>
      </c>
      <c r="B852" t="inlineStr">
        <is>
          <t>SAPOSOA</t>
        </is>
      </c>
      <c r="C852" s="14">
        <f>'Empleo Censo'!G852-'Empleo Censo'!F852</f>
        <v/>
      </c>
      <c r="D852" s="14">
        <f>'Empleo Censo'!F852</f>
        <v/>
      </c>
      <c r="E852" s="14">
        <f>'Empleo Censo'!H852</f>
        <v/>
      </c>
      <c r="F852" s="14">
        <f>'Empleo Censo'!I852</f>
        <v/>
      </c>
      <c r="G852" s="14">
        <f>'Empleo Censo'!J852+'Empleo Censo'!K852</f>
        <v/>
      </c>
      <c r="H852" s="14">
        <f>'Empleo Censo'!L852</f>
        <v/>
      </c>
      <c r="I852" s="14">
        <f>'Empleo Censo'!M852</f>
        <v/>
      </c>
      <c r="J852" s="14">
        <f>SUM('Empleo Censo'!N852:AA852)</f>
        <v/>
      </c>
      <c r="K852" s="14">
        <f>SUM(C852:J852)</f>
        <v/>
      </c>
      <c r="L852" s="15">
        <f>SUMPRODUCT(C852:J852,Factores!$B$3:$I$3)</f>
        <v/>
      </c>
      <c r="M852" s="16">
        <f>'Empleo Censo'!E852</f>
        <v/>
      </c>
      <c r="N852" s="17">
        <f>IF(M852&gt;0,L852,Factores!$B$7)</f>
        <v/>
      </c>
      <c r="O852">
        <f>IF(M852&gt;0,"OK","sin PEA -&gt; peor")</f>
        <v/>
      </c>
    </row>
    <row r="853">
      <c r="A853" t="inlineStr">
        <is>
          <t>220402</t>
        </is>
      </c>
      <c r="B853" t="inlineStr">
        <is>
          <t>ALTO SAPOSOA</t>
        </is>
      </c>
      <c r="C853" s="14">
        <f>'Empleo Censo'!G853-'Empleo Censo'!F853</f>
        <v/>
      </c>
      <c r="D853" s="14">
        <f>'Empleo Censo'!F853</f>
        <v/>
      </c>
      <c r="E853" s="14">
        <f>'Empleo Censo'!H853</f>
        <v/>
      </c>
      <c r="F853" s="14">
        <f>'Empleo Censo'!I853</f>
        <v/>
      </c>
      <c r="G853" s="14">
        <f>'Empleo Censo'!J853+'Empleo Censo'!K853</f>
        <v/>
      </c>
      <c r="H853" s="14">
        <f>'Empleo Censo'!L853</f>
        <v/>
      </c>
      <c r="I853" s="14">
        <f>'Empleo Censo'!M853</f>
        <v/>
      </c>
      <c r="J853" s="14">
        <f>SUM('Empleo Censo'!N853:AA853)</f>
        <v/>
      </c>
      <c r="K853" s="14">
        <f>SUM(C853:J853)</f>
        <v/>
      </c>
      <c r="L853" s="15">
        <f>SUMPRODUCT(C853:J853,Factores!$B$3:$I$3)</f>
        <v/>
      </c>
      <c r="M853" s="16">
        <f>'Empleo Censo'!E853</f>
        <v/>
      </c>
      <c r="N853" s="17">
        <f>IF(M853&gt;0,L853,Factores!$B$7)</f>
        <v/>
      </c>
      <c r="O853">
        <f>IF(M853&gt;0,"OK","sin PEA -&gt; peor")</f>
        <v/>
      </c>
    </row>
    <row r="854">
      <c r="A854" t="inlineStr">
        <is>
          <t>220403</t>
        </is>
      </c>
      <c r="B854" t="inlineStr">
        <is>
          <t>EL ESLABON</t>
        </is>
      </c>
      <c r="C854" s="14">
        <f>'Empleo Censo'!G854-'Empleo Censo'!F854</f>
        <v/>
      </c>
      <c r="D854" s="14">
        <f>'Empleo Censo'!F854</f>
        <v/>
      </c>
      <c r="E854" s="14">
        <f>'Empleo Censo'!H854</f>
        <v/>
      </c>
      <c r="F854" s="14">
        <f>'Empleo Censo'!I854</f>
        <v/>
      </c>
      <c r="G854" s="14">
        <f>'Empleo Censo'!J854+'Empleo Censo'!K854</f>
        <v/>
      </c>
      <c r="H854" s="14">
        <f>'Empleo Censo'!L854</f>
        <v/>
      </c>
      <c r="I854" s="14">
        <f>'Empleo Censo'!M854</f>
        <v/>
      </c>
      <c r="J854" s="14">
        <f>SUM('Empleo Censo'!N854:AA854)</f>
        <v/>
      </c>
      <c r="K854" s="14">
        <f>SUM(C854:J854)</f>
        <v/>
      </c>
      <c r="L854" s="15">
        <f>SUMPRODUCT(C854:J854,Factores!$B$3:$I$3)</f>
        <v/>
      </c>
      <c r="M854" s="16">
        <f>'Empleo Censo'!E854</f>
        <v/>
      </c>
      <c r="N854" s="17">
        <f>IF(M854&gt;0,L854,Factores!$B$7)</f>
        <v/>
      </c>
      <c r="O854">
        <f>IF(M854&gt;0,"OK","sin PEA -&gt; peor")</f>
        <v/>
      </c>
    </row>
    <row r="855">
      <c r="A855" t="inlineStr">
        <is>
          <t>220404</t>
        </is>
      </c>
      <c r="B855" t="inlineStr">
        <is>
          <t>PISCOYACU</t>
        </is>
      </c>
      <c r="C855" s="14">
        <f>'Empleo Censo'!G855-'Empleo Censo'!F855</f>
        <v/>
      </c>
      <c r="D855" s="14">
        <f>'Empleo Censo'!F855</f>
        <v/>
      </c>
      <c r="E855" s="14">
        <f>'Empleo Censo'!H855</f>
        <v/>
      </c>
      <c r="F855" s="14">
        <f>'Empleo Censo'!I855</f>
        <v/>
      </c>
      <c r="G855" s="14">
        <f>'Empleo Censo'!J855+'Empleo Censo'!K855</f>
        <v/>
      </c>
      <c r="H855" s="14">
        <f>'Empleo Censo'!L855</f>
        <v/>
      </c>
      <c r="I855" s="14">
        <f>'Empleo Censo'!M855</f>
        <v/>
      </c>
      <c r="J855" s="14">
        <f>SUM('Empleo Censo'!N855:AA855)</f>
        <v/>
      </c>
      <c r="K855" s="14">
        <f>SUM(C855:J855)</f>
        <v/>
      </c>
      <c r="L855" s="15">
        <f>SUMPRODUCT(C855:J855,Factores!$B$3:$I$3)</f>
        <v/>
      </c>
      <c r="M855" s="16">
        <f>'Empleo Censo'!E855</f>
        <v/>
      </c>
      <c r="N855" s="17">
        <f>IF(M855&gt;0,L855,Factores!$B$7)</f>
        <v/>
      </c>
      <c r="O855">
        <f>IF(M855&gt;0,"OK","sin PEA -&gt; peor")</f>
        <v/>
      </c>
    </row>
    <row r="856">
      <c r="A856" t="inlineStr">
        <is>
          <t>220405</t>
        </is>
      </c>
      <c r="B856" t="inlineStr">
        <is>
          <t>SACANCHE</t>
        </is>
      </c>
      <c r="C856" s="14">
        <f>'Empleo Censo'!G856-'Empleo Censo'!F856</f>
        <v/>
      </c>
      <c r="D856" s="14">
        <f>'Empleo Censo'!F856</f>
        <v/>
      </c>
      <c r="E856" s="14">
        <f>'Empleo Censo'!H856</f>
        <v/>
      </c>
      <c r="F856" s="14">
        <f>'Empleo Censo'!I856</f>
        <v/>
      </c>
      <c r="G856" s="14">
        <f>'Empleo Censo'!J856+'Empleo Censo'!K856</f>
        <v/>
      </c>
      <c r="H856" s="14">
        <f>'Empleo Censo'!L856</f>
        <v/>
      </c>
      <c r="I856" s="14">
        <f>'Empleo Censo'!M856</f>
        <v/>
      </c>
      <c r="J856" s="14">
        <f>SUM('Empleo Censo'!N856:AA856)</f>
        <v/>
      </c>
      <c r="K856" s="14">
        <f>SUM(C856:J856)</f>
        <v/>
      </c>
      <c r="L856" s="15">
        <f>SUMPRODUCT(C856:J856,Factores!$B$3:$I$3)</f>
        <v/>
      </c>
      <c r="M856" s="16">
        <f>'Empleo Censo'!E856</f>
        <v/>
      </c>
      <c r="N856" s="17">
        <f>IF(M856&gt;0,L856,Factores!$B$7)</f>
        <v/>
      </c>
      <c r="O856">
        <f>IF(M856&gt;0,"OK","sin PEA -&gt; peor")</f>
        <v/>
      </c>
    </row>
    <row r="857">
      <c r="A857" t="inlineStr">
        <is>
          <t>220406</t>
        </is>
      </c>
      <c r="B857" t="inlineStr">
        <is>
          <t>TINGO DE SAPOSOA</t>
        </is>
      </c>
      <c r="C857" s="14">
        <f>'Empleo Censo'!G857-'Empleo Censo'!F857</f>
        <v/>
      </c>
      <c r="D857" s="14">
        <f>'Empleo Censo'!F857</f>
        <v/>
      </c>
      <c r="E857" s="14">
        <f>'Empleo Censo'!H857</f>
        <v/>
      </c>
      <c r="F857" s="14">
        <f>'Empleo Censo'!I857</f>
        <v/>
      </c>
      <c r="G857" s="14">
        <f>'Empleo Censo'!J857+'Empleo Censo'!K857</f>
        <v/>
      </c>
      <c r="H857" s="14">
        <f>'Empleo Censo'!L857</f>
        <v/>
      </c>
      <c r="I857" s="14">
        <f>'Empleo Censo'!M857</f>
        <v/>
      </c>
      <c r="J857" s="14">
        <f>SUM('Empleo Censo'!N857:AA857)</f>
        <v/>
      </c>
      <c r="K857" s="14">
        <f>SUM(C857:J857)</f>
        <v/>
      </c>
      <c r="L857" s="15">
        <f>SUMPRODUCT(C857:J857,Factores!$B$3:$I$3)</f>
        <v/>
      </c>
      <c r="M857" s="16">
        <f>'Empleo Censo'!E857</f>
        <v/>
      </c>
      <c r="N857" s="17">
        <f>IF(M857&gt;0,L857,Factores!$B$7)</f>
        <v/>
      </c>
      <c r="O857">
        <f>IF(M857&gt;0,"OK","sin PEA -&gt; peor")</f>
        <v/>
      </c>
    </row>
    <row r="858">
      <c r="A858" t="inlineStr">
        <is>
          <t>220501</t>
        </is>
      </c>
      <c r="B858" t="inlineStr">
        <is>
          <t>LAMAS</t>
        </is>
      </c>
      <c r="C858" s="14">
        <f>'Empleo Censo'!G858-'Empleo Censo'!F858</f>
        <v/>
      </c>
      <c r="D858" s="14">
        <f>'Empleo Censo'!F858</f>
        <v/>
      </c>
      <c r="E858" s="14">
        <f>'Empleo Censo'!H858</f>
        <v/>
      </c>
      <c r="F858" s="14">
        <f>'Empleo Censo'!I858</f>
        <v/>
      </c>
      <c r="G858" s="14">
        <f>'Empleo Censo'!J858+'Empleo Censo'!K858</f>
        <v/>
      </c>
      <c r="H858" s="14">
        <f>'Empleo Censo'!L858</f>
        <v/>
      </c>
      <c r="I858" s="14">
        <f>'Empleo Censo'!M858</f>
        <v/>
      </c>
      <c r="J858" s="14">
        <f>SUM('Empleo Censo'!N858:AA858)</f>
        <v/>
      </c>
      <c r="K858" s="14">
        <f>SUM(C858:J858)</f>
        <v/>
      </c>
      <c r="L858" s="15">
        <f>SUMPRODUCT(C858:J858,Factores!$B$3:$I$3)</f>
        <v/>
      </c>
      <c r="M858" s="16">
        <f>'Empleo Censo'!E858</f>
        <v/>
      </c>
      <c r="N858" s="17">
        <f>IF(M858&gt;0,L858,Factores!$B$7)</f>
        <v/>
      </c>
      <c r="O858">
        <f>IF(M858&gt;0,"OK","sin PEA -&gt; peor")</f>
        <v/>
      </c>
    </row>
    <row r="859">
      <c r="A859" t="inlineStr">
        <is>
          <t>220502</t>
        </is>
      </c>
      <c r="B859" t="inlineStr">
        <is>
          <t>ALONSO DE ALVARADO</t>
        </is>
      </c>
      <c r="C859" s="14">
        <f>'Empleo Censo'!G859-'Empleo Censo'!F859</f>
        <v/>
      </c>
      <c r="D859" s="14">
        <f>'Empleo Censo'!F859</f>
        <v/>
      </c>
      <c r="E859" s="14">
        <f>'Empleo Censo'!H859</f>
        <v/>
      </c>
      <c r="F859" s="14">
        <f>'Empleo Censo'!I859</f>
        <v/>
      </c>
      <c r="G859" s="14">
        <f>'Empleo Censo'!J859+'Empleo Censo'!K859</f>
        <v/>
      </c>
      <c r="H859" s="14">
        <f>'Empleo Censo'!L859</f>
        <v/>
      </c>
      <c r="I859" s="14">
        <f>'Empleo Censo'!M859</f>
        <v/>
      </c>
      <c r="J859" s="14">
        <f>SUM('Empleo Censo'!N859:AA859)</f>
        <v/>
      </c>
      <c r="K859" s="14">
        <f>SUM(C859:J859)</f>
        <v/>
      </c>
      <c r="L859" s="15">
        <f>SUMPRODUCT(C859:J859,Factores!$B$3:$I$3)</f>
        <v/>
      </c>
      <c r="M859" s="16">
        <f>'Empleo Censo'!E859</f>
        <v/>
      </c>
      <c r="N859" s="17">
        <f>IF(M859&gt;0,L859,Factores!$B$7)</f>
        <v/>
      </c>
      <c r="O859">
        <f>IF(M859&gt;0,"OK","sin PEA -&gt; peor")</f>
        <v/>
      </c>
    </row>
    <row r="860">
      <c r="A860" t="inlineStr">
        <is>
          <t>220503</t>
        </is>
      </c>
      <c r="B860" t="inlineStr">
        <is>
          <t>BARRANQUITA</t>
        </is>
      </c>
      <c r="C860" s="14">
        <f>'Empleo Censo'!G860-'Empleo Censo'!F860</f>
        <v/>
      </c>
      <c r="D860" s="14">
        <f>'Empleo Censo'!F860</f>
        <v/>
      </c>
      <c r="E860" s="14">
        <f>'Empleo Censo'!H860</f>
        <v/>
      </c>
      <c r="F860" s="14">
        <f>'Empleo Censo'!I860</f>
        <v/>
      </c>
      <c r="G860" s="14">
        <f>'Empleo Censo'!J860+'Empleo Censo'!K860</f>
        <v/>
      </c>
      <c r="H860" s="14">
        <f>'Empleo Censo'!L860</f>
        <v/>
      </c>
      <c r="I860" s="14">
        <f>'Empleo Censo'!M860</f>
        <v/>
      </c>
      <c r="J860" s="14">
        <f>SUM('Empleo Censo'!N860:AA860)</f>
        <v/>
      </c>
      <c r="K860" s="14">
        <f>SUM(C860:J860)</f>
        <v/>
      </c>
      <c r="L860" s="15">
        <f>SUMPRODUCT(C860:J860,Factores!$B$3:$I$3)</f>
        <v/>
      </c>
      <c r="M860" s="16">
        <f>'Empleo Censo'!E860</f>
        <v/>
      </c>
      <c r="N860" s="17">
        <f>IF(M860&gt;0,L860,Factores!$B$7)</f>
        <v/>
      </c>
      <c r="O860">
        <f>IF(M860&gt;0,"OK","sin PEA -&gt; peor")</f>
        <v/>
      </c>
    </row>
    <row r="861">
      <c r="A861" t="inlineStr">
        <is>
          <t>220504</t>
        </is>
      </c>
      <c r="B861" t="inlineStr">
        <is>
          <t>CAYNARACHI</t>
        </is>
      </c>
      <c r="C861" s="14">
        <f>'Empleo Censo'!G861-'Empleo Censo'!F861</f>
        <v/>
      </c>
      <c r="D861" s="14">
        <f>'Empleo Censo'!F861</f>
        <v/>
      </c>
      <c r="E861" s="14">
        <f>'Empleo Censo'!H861</f>
        <v/>
      </c>
      <c r="F861" s="14">
        <f>'Empleo Censo'!I861</f>
        <v/>
      </c>
      <c r="G861" s="14">
        <f>'Empleo Censo'!J861+'Empleo Censo'!K861</f>
        <v/>
      </c>
      <c r="H861" s="14">
        <f>'Empleo Censo'!L861</f>
        <v/>
      </c>
      <c r="I861" s="14">
        <f>'Empleo Censo'!M861</f>
        <v/>
      </c>
      <c r="J861" s="14">
        <f>SUM('Empleo Censo'!N861:AA861)</f>
        <v/>
      </c>
      <c r="K861" s="14">
        <f>SUM(C861:J861)</f>
        <v/>
      </c>
      <c r="L861" s="15">
        <f>SUMPRODUCT(C861:J861,Factores!$B$3:$I$3)</f>
        <v/>
      </c>
      <c r="M861" s="16">
        <f>'Empleo Censo'!E861</f>
        <v/>
      </c>
      <c r="N861" s="17">
        <f>IF(M861&gt;0,L861,Factores!$B$7)</f>
        <v/>
      </c>
      <c r="O861">
        <f>IF(M861&gt;0,"OK","sin PEA -&gt; peor")</f>
        <v/>
      </c>
    </row>
    <row r="862">
      <c r="A862" t="inlineStr">
        <is>
          <t>220505</t>
        </is>
      </c>
      <c r="B862" t="inlineStr">
        <is>
          <t>CUÑUMBUQUI</t>
        </is>
      </c>
      <c r="C862" s="14">
        <f>'Empleo Censo'!G862-'Empleo Censo'!F862</f>
        <v/>
      </c>
      <c r="D862" s="14">
        <f>'Empleo Censo'!F862</f>
        <v/>
      </c>
      <c r="E862" s="14">
        <f>'Empleo Censo'!H862</f>
        <v/>
      </c>
      <c r="F862" s="14">
        <f>'Empleo Censo'!I862</f>
        <v/>
      </c>
      <c r="G862" s="14">
        <f>'Empleo Censo'!J862+'Empleo Censo'!K862</f>
        <v/>
      </c>
      <c r="H862" s="14">
        <f>'Empleo Censo'!L862</f>
        <v/>
      </c>
      <c r="I862" s="14">
        <f>'Empleo Censo'!M862</f>
        <v/>
      </c>
      <c r="J862" s="14">
        <f>SUM('Empleo Censo'!N862:AA862)</f>
        <v/>
      </c>
      <c r="K862" s="14">
        <f>SUM(C862:J862)</f>
        <v/>
      </c>
      <c r="L862" s="15">
        <f>SUMPRODUCT(C862:J862,Factores!$B$3:$I$3)</f>
        <v/>
      </c>
      <c r="M862" s="16">
        <f>'Empleo Censo'!E862</f>
        <v/>
      </c>
      <c r="N862" s="17">
        <f>IF(M862&gt;0,L862,Factores!$B$7)</f>
        <v/>
      </c>
      <c r="O862">
        <f>IF(M862&gt;0,"OK","sin PEA -&gt; peor")</f>
        <v/>
      </c>
    </row>
    <row r="863">
      <c r="A863" t="inlineStr">
        <is>
          <t>220506</t>
        </is>
      </c>
      <c r="B863" t="inlineStr">
        <is>
          <t>PINTO RECODO</t>
        </is>
      </c>
      <c r="C863" s="14">
        <f>'Empleo Censo'!G863-'Empleo Censo'!F863</f>
        <v/>
      </c>
      <c r="D863" s="14">
        <f>'Empleo Censo'!F863</f>
        <v/>
      </c>
      <c r="E863" s="14">
        <f>'Empleo Censo'!H863</f>
        <v/>
      </c>
      <c r="F863" s="14">
        <f>'Empleo Censo'!I863</f>
        <v/>
      </c>
      <c r="G863" s="14">
        <f>'Empleo Censo'!J863+'Empleo Censo'!K863</f>
        <v/>
      </c>
      <c r="H863" s="14">
        <f>'Empleo Censo'!L863</f>
        <v/>
      </c>
      <c r="I863" s="14">
        <f>'Empleo Censo'!M863</f>
        <v/>
      </c>
      <c r="J863" s="14">
        <f>SUM('Empleo Censo'!N863:AA863)</f>
        <v/>
      </c>
      <c r="K863" s="14">
        <f>SUM(C863:J863)</f>
        <v/>
      </c>
      <c r="L863" s="15">
        <f>SUMPRODUCT(C863:J863,Factores!$B$3:$I$3)</f>
        <v/>
      </c>
      <c r="M863" s="16">
        <f>'Empleo Censo'!E863</f>
        <v/>
      </c>
      <c r="N863" s="17">
        <f>IF(M863&gt;0,L863,Factores!$B$7)</f>
        <v/>
      </c>
      <c r="O863">
        <f>IF(M863&gt;0,"OK","sin PEA -&gt; peor")</f>
        <v/>
      </c>
    </row>
    <row r="864">
      <c r="A864" t="inlineStr">
        <is>
          <t>220507</t>
        </is>
      </c>
      <c r="B864" t="inlineStr">
        <is>
          <t>RUMISAPA</t>
        </is>
      </c>
      <c r="C864" s="14">
        <f>'Empleo Censo'!G864-'Empleo Censo'!F864</f>
        <v/>
      </c>
      <c r="D864" s="14">
        <f>'Empleo Censo'!F864</f>
        <v/>
      </c>
      <c r="E864" s="14">
        <f>'Empleo Censo'!H864</f>
        <v/>
      </c>
      <c r="F864" s="14">
        <f>'Empleo Censo'!I864</f>
        <v/>
      </c>
      <c r="G864" s="14">
        <f>'Empleo Censo'!J864+'Empleo Censo'!K864</f>
        <v/>
      </c>
      <c r="H864" s="14">
        <f>'Empleo Censo'!L864</f>
        <v/>
      </c>
      <c r="I864" s="14">
        <f>'Empleo Censo'!M864</f>
        <v/>
      </c>
      <c r="J864" s="14">
        <f>SUM('Empleo Censo'!N864:AA864)</f>
        <v/>
      </c>
      <c r="K864" s="14">
        <f>SUM(C864:J864)</f>
        <v/>
      </c>
      <c r="L864" s="15">
        <f>SUMPRODUCT(C864:J864,Factores!$B$3:$I$3)</f>
        <v/>
      </c>
      <c r="M864" s="16">
        <f>'Empleo Censo'!E864</f>
        <v/>
      </c>
      <c r="N864" s="17">
        <f>IF(M864&gt;0,L864,Factores!$B$7)</f>
        <v/>
      </c>
      <c r="O864">
        <f>IF(M864&gt;0,"OK","sin PEA -&gt; peor")</f>
        <v/>
      </c>
    </row>
    <row r="865">
      <c r="A865" t="inlineStr">
        <is>
          <t>220508</t>
        </is>
      </c>
      <c r="B865" t="inlineStr">
        <is>
          <t>SAN ROQUE DE CUMBAZA</t>
        </is>
      </c>
      <c r="C865" s="14">
        <f>'Empleo Censo'!G865-'Empleo Censo'!F865</f>
        <v/>
      </c>
      <c r="D865" s="14">
        <f>'Empleo Censo'!F865</f>
        <v/>
      </c>
      <c r="E865" s="14">
        <f>'Empleo Censo'!H865</f>
        <v/>
      </c>
      <c r="F865" s="14">
        <f>'Empleo Censo'!I865</f>
        <v/>
      </c>
      <c r="G865" s="14">
        <f>'Empleo Censo'!J865+'Empleo Censo'!K865</f>
        <v/>
      </c>
      <c r="H865" s="14">
        <f>'Empleo Censo'!L865</f>
        <v/>
      </c>
      <c r="I865" s="14">
        <f>'Empleo Censo'!M865</f>
        <v/>
      </c>
      <c r="J865" s="14">
        <f>SUM('Empleo Censo'!N865:AA865)</f>
        <v/>
      </c>
      <c r="K865" s="14">
        <f>SUM(C865:J865)</f>
        <v/>
      </c>
      <c r="L865" s="15">
        <f>SUMPRODUCT(C865:J865,Factores!$B$3:$I$3)</f>
        <v/>
      </c>
      <c r="M865" s="16">
        <f>'Empleo Censo'!E865</f>
        <v/>
      </c>
      <c r="N865" s="17">
        <f>IF(M865&gt;0,L865,Factores!$B$7)</f>
        <v/>
      </c>
      <c r="O865">
        <f>IF(M865&gt;0,"OK","sin PEA -&gt; peor")</f>
        <v/>
      </c>
    </row>
    <row r="866">
      <c r="A866" t="inlineStr">
        <is>
          <t>220509</t>
        </is>
      </c>
      <c r="B866" t="inlineStr">
        <is>
          <t>SHANAO</t>
        </is>
      </c>
      <c r="C866" s="14">
        <f>'Empleo Censo'!G866-'Empleo Censo'!F866</f>
        <v/>
      </c>
      <c r="D866" s="14">
        <f>'Empleo Censo'!F866</f>
        <v/>
      </c>
      <c r="E866" s="14">
        <f>'Empleo Censo'!H866</f>
        <v/>
      </c>
      <c r="F866" s="14">
        <f>'Empleo Censo'!I866</f>
        <v/>
      </c>
      <c r="G866" s="14">
        <f>'Empleo Censo'!J866+'Empleo Censo'!K866</f>
        <v/>
      </c>
      <c r="H866" s="14">
        <f>'Empleo Censo'!L866</f>
        <v/>
      </c>
      <c r="I866" s="14">
        <f>'Empleo Censo'!M866</f>
        <v/>
      </c>
      <c r="J866" s="14">
        <f>SUM('Empleo Censo'!N866:AA866)</f>
        <v/>
      </c>
      <c r="K866" s="14">
        <f>SUM(C866:J866)</f>
        <v/>
      </c>
      <c r="L866" s="15">
        <f>SUMPRODUCT(C866:J866,Factores!$B$3:$I$3)</f>
        <v/>
      </c>
      <c r="M866" s="16">
        <f>'Empleo Censo'!E866</f>
        <v/>
      </c>
      <c r="N866" s="17">
        <f>IF(M866&gt;0,L866,Factores!$B$7)</f>
        <v/>
      </c>
      <c r="O866">
        <f>IF(M866&gt;0,"OK","sin PEA -&gt; peor")</f>
        <v/>
      </c>
    </row>
    <row r="867">
      <c r="A867" t="inlineStr">
        <is>
          <t>220510</t>
        </is>
      </c>
      <c r="B867" t="inlineStr">
        <is>
          <t>TABALOSOS</t>
        </is>
      </c>
      <c r="C867" s="14">
        <f>'Empleo Censo'!G867-'Empleo Censo'!F867</f>
        <v/>
      </c>
      <c r="D867" s="14">
        <f>'Empleo Censo'!F867</f>
        <v/>
      </c>
      <c r="E867" s="14">
        <f>'Empleo Censo'!H867</f>
        <v/>
      </c>
      <c r="F867" s="14">
        <f>'Empleo Censo'!I867</f>
        <v/>
      </c>
      <c r="G867" s="14">
        <f>'Empleo Censo'!J867+'Empleo Censo'!K867</f>
        <v/>
      </c>
      <c r="H867" s="14">
        <f>'Empleo Censo'!L867</f>
        <v/>
      </c>
      <c r="I867" s="14">
        <f>'Empleo Censo'!M867</f>
        <v/>
      </c>
      <c r="J867" s="14">
        <f>SUM('Empleo Censo'!N867:AA867)</f>
        <v/>
      </c>
      <c r="K867" s="14">
        <f>SUM(C867:J867)</f>
        <v/>
      </c>
      <c r="L867" s="15">
        <f>SUMPRODUCT(C867:J867,Factores!$B$3:$I$3)</f>
        <v/>
      </c>
      <c r="M867" s="16">
        <f>'Empleo Censo'!E867</f>
        <v/>
      </c>
      <c r="N867" s="17">
        <f>IF(M867&gt;0,L867,Factores!$B$7)</f>
        <v/>
      </c>
      <c r="O867">
        <f>IF(M867&gt;0,"OK","sin PEA -&gt; peor")</f>
        <v/>
      </c>
    </row>
    <row r="868">
      <c r="A868" t="inlineStr">
        <is>
          <t>220511</t>
        </is>
      </c>
      <c r="B868" t="inlineStr">
        <is>
          <t>ZAPATERO</t>
        </is>
      </c>
      <c r="C868" s="14">
        <f>'Empleo Censo'!G868-'Empleo Censo'!F868</f>
        <v/>
      </c>
      <c r="D868" s="14">
        <f>'Empleo Censo'!F868</f>
        <v/>
      </c>
      <c r="E868" s="14">
        <f>'Empleo Censo'!H868</f>
        <v/>
      </c>
      <c r="F868" s="14">
        <f>'Empleo Censo'!I868</f>
        <v/>
      </c>
      <c r="G868" s="14">
        <f>'Empleo Censo'!J868+'Empleo Censo'!K868</f>
        <v/>
      </c>
      <c r="H868" s="14">
        <f>'Empleo Censo'!L868</f>
        <v/>
      </c>
      <c r="I868" s="14">
        <f>'Empleo Censo'!M868</f>
        <v/>
      </c>
      <c r="J868" s="14">
        <f>SUM('Empleo Censo'!N868:AA868)</f>
        <v/>
      </c>
      <c r="K868" s="14">
        <f>SUM(C868:J868)</f>
        <v/>
      </c>
      <c r="L868" s="15">
        <f>SUMPRODUCT(C868:J868,Factores!$B$3:$I$3)</f>
        <v/>
      </c>
      <c r="M868" s="16">
        <f>'Empleo Censo'!E868</f>
        <v/>
      </c>
      <c r="N868" s="17">
        <f>IF(M868&gt;0,L868,Factores!$B$7)</f>
        <v/>
      </c>
      <c r="O868">
        <f>IF(M868&gt;0,"OK","sin PEA -&gt; peor")</f>
        <v/>
      </c>
    </row>
    <row r="869">
      <c r="A869" t="inlineStr">
        <is>
          <t>220601</t>
        </is>
      </c>
      <c r="B869" t="inlineStr">
        <is>
          <t>JUANJUI</t>
        </is>
      </c>
      <c r="C869" s="14">
        <f>'Empleo Censo'!G869-'Empleo Censo'!F869</f>
        <v/>
      </c>
      <c r="D869" s="14">
        <f>'Empleo Censo'!F869</f>
        <v/>
      </c>
      <c r="E869" s="14">
        <f>'Empleo Censo'!H869</f>
        <v/>
      </c>
      <c r="F869" s="14">
        <f>'Empleo Censo'!I869</f>
        <v/>
      </c>
      <c r="G869" s="14">
        <f>'Empleo Censo'!J869+'Empleo Censo'!K869</f>
        <v/>
      </c>
      <c r="H869" s="14">
        <f>'Empleo Censo'!L869</f>
        <v/>
      </c>
      <c r="I869" s="14">
        <f>'Empleo Censo'!M869</f>
        <v/>
      </c>
      <c r="J869" s="14">
        <f>SUM('Empleo Censo'!N869:AA869)</f>
        <v/>
      </c>
      <c r="K869" s="14">
        <f>SUM(C869:J869)</f>
        <v/>
      </c>
      <c r="L869" s="15">
        <f>SUMPRODUCT(C869:J869,Factores!$B$3:$I$3)</f>
        <v/>
      </c>
      <c r="M869" s="16">
        <f>'Empleo Censo'!E869</f>
        <v/>
      </c>
      <c r="N869" s="17">
        <f>IF(M869&gt;0,L869,Factores!$B$7)</f>
        <v/>
      </c>
      <c r="O869">
        <f>IF(M869&gt;0,"OK","sin PEA -&gt; peor")</f>
        <v/>
      </c>
    </row>
    <row r="870">
      <c r="A870" t="inlineStr">
        <is>
          <t>220602</t>
        </is>
      </c>
      <c r="B870" t="inlineStr">
        <is>
          <t>CAMPANILLA</t>
        </is>
      </c>
      <c r="C870" s="14">
        <f>'Empleo Censo'!G870-'Empleo Censo'!F870</f>
        <v/>
      </c>
      <c r="D870" s="14">
        <f>'Empleo Censo'!F870</f>
        <v/>
      </c>
      <c r="E870" s="14">
        <f>'Empleo Censo'!H870</f>
        <v/>
      </c>
      <c r="F870" s="14">
        <f>'Empleo Censo'!I870</f>
        <v/>
      </c>
      <c r="G870" s="14">
        <f>'Empleo Censo'!J870+'Empleo Censo'!K870</f>
        <v/>
      </c>
      <c r="H870" s="14">
        <f>'Empleo Censo'!L870</f>
        <v/>
      </c>
      <c r="I870" s="14">
        <f>'Empleo Censo'!M870</f>
        <v/>
      </c>
      <c r="J870" s="14">
        <f>SUM('Empleo Censo'!N870:AA870)</f>
        <v/>
      </c>
      <c r="K870" s="14">
        <f>SUM(C870:J870)</f>
        <v/>
      </c>
      <c r="L870" s="15">
        <f>SUMPRODUCT(C870:J870,Factores!$B$3:$I$3)</f>
        <v/>
      </c>
      <c r="M870" s="16">
        <f>'Empleo Censo'!E870</f>
        <v/>
      </c>
      <c r="N870" s="17">
        <f>IF(M870&gt;0,L870,Factores!$B$7)</f>
        <v/>
      </c>
      <c r="O870">
        <f>IF(M870&gt;0,"OK","sin PEA -&gt; peor")</f>
        <v/>
      </c>
    </row>
    <row r="871">
      <c r="A871" t="inlineStr">
        <is>
          <t>220603</t>
        </is>
      </c>
      <c r="B871" t="inlineStr">
        <is>
          <t>HUICUNGO</t>
        </is>
      </c>
      <c r="C871" s="14">
        <f>'Empleo Censo'!G871-'Empleo Censo'!F871</f>
        <v/>
      </c>
      <c r="D871" s="14">
        <f>'Empleo Censo'!F871</f>
        <v/>
      </c>
      <c r="E871" s="14">
        <f>'Empleo Censo'!H871</f>
        <v/>
      </c>
      <c r="F871" s="14">
        <f>'Empleo Censo'!I871</f>
        <v/>
      </c>
      <c r="G871" s="14">
        <f>'Empleo Censo'!J871+'Empleo Censo'!K871</f>
        <v/>
      </c>
      <c r="H871" s="14">
        <f>'Empleo Censo'!L871</f>
        <v/>
      </c>
      <c r="I871" s="14">
        <f>'Empleo Censo'!M871</f>
        <v/>
      </c>
      <c r="J871" s="14">
        <f>SUM('Empleo Censo'!N871:AA871)</f>
        <v/>
      </c>
      <c r="K871" s="14">
        <f>SUM(C871:J871)</f>
        <v/>
      </c>
      <c r="L871" s="15">
        <f>SUMPRODUCT(C871:J871,Factores!$B$3:$I$3)</f>
        <v/>
      </c>
      <c r="M871" s="16">
        <f>'Empleo Censo'!E871</f>
        <v/>
      </c>
      <c r="N871" s="17">
        <f>IF(M871&gt;0,L871,Factores!$B$7)</f>
        <v/>
      </c>
      <c r="O871">
        <f>IF(M871&gt;0,"OK","sin PEA -&gt; peor")</f>
        <v/>
      </c>
    </row>
    <row r="872">
      <c r="A872" t="inlineStr">
        <is>
          <t>220604</t>
        </is>
      </c>
      <c r="B872" t="inlineStr">
        <is>
          <t>PACHIZA</t>
        </is>
      </c>
      <c r="C872" s="14">
        <f>'Empleo Censo'!G872-'Empleo Censo'!F872</f>
        <v/>
      </c>
      <c r="D872" s="14">
        <f>'Empleo Censo'!F872</f>
        <v/>
      </c>
      <c r="E872" s="14">
        <f>'Empleo Censo'!H872</f>
        <v/>
      </c>
      <c r="F872" s="14">
        <f>'Empleo Censo'!I872</f>
        <v/>
      </c>
      <c r="G872" s="14">
        <f>'Empleo Censo'!J872+'Empleo Censo'!K872</f>
        <v/>
      </c>
      <c r="H872" s="14">
        <f>'Empleo Censo'!L872</f>
        <v/>
      </c>
      <c r="I872" s="14">
        <f>'Empleo Censo'!M872</f>
        <v/>
      </c>
      <c r="J872" s="14">
        <f>SUM('Empleo Censo'!N872:AA872)</f>
        <v/>
      </c>
      <c r="K872" s="14">
        <f>SUM(C872:J872)</f>
        <v/>
      </c>
      <c r="L872" s="15">
        <f>SUMPRODUCT(C872:J872,Factores!$B$3:$I$3)</f>
        <v/>
      </c>
      <c r="M872" s="16">
        <f>'Empleo Censo'!E872</f>
        <v/>
      </c>
      <c r="N872" s="17">
        <f>IF(M872&gt;0,L872,Factores!$B$7)</f>
        <v/>
      </c>
      <c r="O872">
        <f>IF(M872&gt;0,"OK","sin PEA -&gt; peor")</f>
        <v/>
      </c>
    </row>
    <row r="873">
      <c r="A873" t="inlineStr">
        <is>
          <t>220605</t>
        </is>
      </c>
      <c r="B873" t="inlineStr">
        <is>
          <t>PAJARILLO</t>
        </is>
      </c>
      <c r="C873" s="14">
        <f>'Empleo Censo'!G873-'Empleo Censo'!F873</f>
        <v/>
      </c>
      <c r="D873" s="14">
        <f>'Empleo Censo'!F873</f>
        <v/>
      </c>
      <c r="E873" s="14">
        <f>'Empleo Censo'!H873</f>
        <v/>
      </c>
      <c r="F873" s="14">
        <f>'Empleo Censo'!I873</f>
        <v/>
      </c>
      <c r="G873" s="14">
        <f>'Empleo Censo'!J873+'Empleo Censo'!K873</f>
        <v/>
      </c>
      <c r="H873" s="14">
        <f>'Empleo Censo'!L873</f>
        <v/>
      </c>
      <c r="I873" s="14">
        <f>'Empleo Censo'!M873</f>
        <v/>
      </c>
      <c r="J873" s="14">
        <f>SUM('Empleo Censo'!N873:AA873)</f>
        <v/>
      </c>
      <c r="K873" s="14">
        <f>SUM(C873:J873)</f>
        <v/>
      </c>
      <c r="L873" s="15">
        <f>SUMPRODUCT(C873:J873,Factores!$B$3:$I$3)</f>
        <v/>
      </c>
      <c r="M873" s="16">
        <f>'Empleo Censo'!E873</f>
        <v/>
      </c>
      <c r="N873" s="17">
        <f>IF(M873&gt;0,L873,Factores!$B$7)</f>
        <v/>
      </c>
      <c r="O873">
        <f>IF(M873&gt;0,"OK","sin PEA -&gt; peor")</f>
        <v/>
      </c>
    </row>
    <row r="874">
      <c r="A874" t="inlineStr">
        <is>
          <t>220701</t>
        </is>
      </c>
      <c r="B874" t="inlineStr">
        <is>
          <t>PICOTA</t>
        </is>
      </c>
      <c r="C874" s="14">
        <f>'Empleo Censo'!G874-'Empleo Censo'!F874</f>
        <v/>
      </c>
      <c r="D874" s="14">
        <f>'Empleo Censo'!F874</f>
        <v/>
      </c>
      <c r="E874" s="14">
        <f>'Empleo Censo'!H874</f>
        <v/>
      </c>
      <c r="F874" s="14">
        <f>'Empleo Censo'!I874</f>
        <v/>
      </c>
      <c r="G874" s="14">
        <f>'Empleo Censo'!J874+'Empleo Censo'!K874</f>
        <v/>
      </c>
      <c r="H874" s="14">
        <f>'Empleo Censo'!L874</f>
        <v/>
      </c>
      <c r="I874" s="14">
        <f>'Empleo Censo'!M874</f>
        <v/>
      </c>
      <c r="J874" s="14">
        <f>SUM('Empleo Censo'!N874:AA874)</f>
        <v/>
      </c>
      <c r="K874" s="14">
        <f>SUM(C874:J874)</f>
        <v/>
      </c>
      <c r="L874" s="15">
        <f>SUMPRODUCT(C874:J874,Factores!$B$3:$I$3)</f>
        <v/>
      </c>
      <c r="M874" s="16">
        <f>'Empleo Censo'!E874</f>
        <v/>
      </c>
      <c r="N874" s="17">
        <f>IF(M874&gt;0,L874,Factores!$B$7)</f>
        <v/>
      </c>
      <c r="O874">
        <f>IF(M874&gt;0,"OK","sin PEA -&gt; peor")</f>
        <v/>
      </c>
    </row>
    <row r="875">
      <c r="A875" t="inlineStr">
        <is>
          <t>220702</t>
        </is>
      </c>
      <c r="B875" t="inlineStr">
        <is>
          <t>BUENOS AIRES</t>
        </is>
      </c>
      <c r="C875" s="14">
        <f>'Empleo Censo'!G875-'Empleo Censo'!F875</f>
        <v/>
      </c>
      <c r="D875" s="14">
        <f>'Empleo Censo'!F875</f>
        <v/>
      </c>
      <c r="E875" s="14">
        <f>'Empleo Censo'!H875</f>
        <v/>
      </c>
      <c r="F875" s="14">
        <f>'Empleo Censo'!I875</f>
        <v/>
      </c>
      <c r="G875" s="14">
        <f>'Empleo Censo'!J875+'Empleo Censo'!K875</f>
        <v/>
      </c>
      <c r="H875" s="14">
        <f>'Empleo Censo'!L875</f>
        <v/>
      </c>
      <c r="I875" s="14">
        <f>'Empleo Censo'!M875</f>
        <v/>
      </c>
      <c r="J875" s="14">
        <f>SUM('Empleo Censo'!N875:AA875)</f>
        <v/>
      </c>
      <c r="K875" s="14">
        <f>SUM(C875:J875)</f>
        <v/>
      </c>
      <c r="L875" s="15">
        <f>SUMPRODUCT(C875:J875,Factores!$B$3:$I$3)</f>
        <v/>
      </c>
      <c r="M875" s="16">
        <f>'Empleo Censo'!E875</f>
        <v/>
      </c>
      <c r="N875" s="17">
        <f>IF(M875&gt;0,L875,Factores!$B$7)</f>
        <v/>
      </c>
      <c r="O875">
        <f>IF(M875&gt;0,"OK","sin PEA -&gt; peor")</f>
        <v/>
      </c>
    </row>
    <row r="876">
      <c r="A876" t="inlineStr">
        <is>
          <t>220703</t>
        </is>
      </c>
      <c r="B876" t="inlineStr">
        <is>
          <t>CASPISAPA</t>
        </is>
      </c>
      <c r="C876" s="14">
        <f>'Empleo Censo'!G876-'Empleo Censo'!F876</f>
        <v/>
      </c>
      <c r="D876" s="14">
        <f>'Empleo Censo'!F876</f>
        <v/>
      </c>
      <c r="E876" s="14">
        <f>'Empleo Censo'!H876</f>
        <v/>
      </c>
      <c r="F876" s="14">
        <f>'Empleo Censo'!I876</f>
        <v/>
      </c>
      <c r="G876" s="14">
        <f>'Empleo Censo'!J876+'Empleo Censo'!K876</f>
        <v/>
      </c>
      <c r="H876" s="14">
        <f>'Empleo Censo'!L876</f>
        <v/>
      </c>
      <c r="I876" s="14">
        <f>'Empleo Censo'!M876</f>
        <v/>
      </c>
      <c r="J876" s="14">
        <f>SUM('Empleo Censo'!N876:AA876)</f>
        <v/>
      </c>
      <c r="K876" s="14">
        <f>SUM(C876:J876)</f>
        <v/>
      </c>
      <c r="L876" s="15">
        <f>SUMPRODUCT(C876:J876,Factores!$B$3:$I$3)</f>
        <v/>
      </c>
      <c r="M876" s="16">
        <f>'Empleo Censo'!E876</f>
        <v/>
      </c>
      <c r="N876" s="17">
        <f>IF(M876&gt;0,L876,Factores!$B$7)</f>
        <v/>
      </c>
      <c r="O876">
        <f>IF(M876&gt;0,"OK","sin PEA -&gt; peor")</f>
        <v/>
      </c>
    </row>
    <row r="877">
      <c r="A877" t="inlineStr">
        <is>
          <t>220704</t>
        </is>
      </c>
      <c r="B877" t="inlineStr">
        <is>
          <t>PILLUANA</t>
        </is>
      </c>
      <c r="C877" s="14">
        <f>'Empleo Censo'!G877-'Empleo Censo'!F877</f>
        <v/>
      </c>
      <c r="D877" s="14">
        <f>'Empleo Censo'!F877</f>
        <v/>
      </c>
      <c r="E877" s="14">
        <f>'Empleo Censo'!H877</f>
        <v/>
      </c>
      <c r="F877" s="14">
        <f>'Empleo Censo'!I877</f>
        <v/>
      </c>
      <c r="G877" s="14">
        <f>'Empleo Censo'!J877+'Empleo Censo'!K877</f>
        <v/>
      </c>
      <c r="H877" s="14">
        <f>'Empleo Censo'!L877</f>
        <v/>
      </c>
      <c r="I877" s="14">
        <f>'Empleo Censo'!M877</f>
        <v/>
      </c>
      <c r="J877" s="14">
        <f>SUM('Empleo Censo'!N877:AA877)</f>
        <v/>
      </c>
      <c r="K877" s="14">
        <f>SUM(C877:J877)</f>
        <v/>
      </c>
      <c r="L877" s="15">
        <f>SUMPRODUCT(C877:J877,Factores!$B$3:$I$3)</f>
        <v/>
      </c>
      <c r="M877" s="16">
        <f>'Empleo Censo'!E877</f>
        <v/>
      </c>
      <c r="N877" s="17">
        <f>IF(M877&gt;0,L877,Factores!$B$7)</f>
        <v/>
      </c>
      <c r="O877">
        <f>IF(M877&gt;0,"OK","sin PEA -&gt; peor")</f>
        <v/>
      </c>
    </row>
    <row r="878">
      <c r="A878" t="inlineStr">
        <is>
          <t>220705</t>
        </is>
      </c>
      <c r="B878" t="inlineStr">
        <is>
          <t>PUCACACA</t>
        </is>
      </c>
      <c r="C878" s="14">
        <f>'Empleo Censo'!G878-'Empleo Censo'!F878</f>
        <v/>
      </c>
      <c r="D878" s="14">
        <f>'Empleo Censo'!F878</f>
        <v/>
      </c>
      <c r="E878" s="14">
        <f>'Empleo Censo'!H878</f>
        <v/>
      </c>
      <c r="F878" s="14">
        <f>'Empleo Censo'!I878</f>
        <v/>
      </c>
      <c r="G878" s="14">
        <f>'Empleo Censo'!J878+'Empleo Censo'!K878</f>
        <v/>
      </c>
      <c r="H878" s="14">
        <f>'Empleo Censo'!L878</f>
        <v/>
      </c>
      <c r="I878" s="14">
        <f>'Empleo Censo'!M878</f>
        <v/>
      </c>
      <c r="J878" s="14">
        <f>SUM('Empleo Censo'!N878:AA878)</f>
        <v/>
      </c>
      <c r="K878" s="14">
        <f>SUM(C878:J878)</f>
        <v/>
      </c>
      <c r="L878" s="15">
        <f>SUMPRODUCT(C878:J878,Factores!$B$3:$I$3)</f>
        <v/>
      </c>
      <c r="M878" s="16">
        <f>'Empleo Censo'!E878</f>
        <v/>
      </c>
      <c r="N878" s="17">
        <f>IF(M878&gt;0,L878,Factores!$B$7)</f>
        <v/>
      </c>
      <c r="O878">
        <f>IF(M878&gt;0,"OK","sin PEA -&gt; peor")</f>
        <v/>
      </c>
    </row>
    <row r="879">
      <c r="A879" t="inlineStr">
        <is>
          <t>220706</t>
        </is>
      </c>
      <c r="B879" t="inlineStr">
        <is>
          <t>SAN CRISTOBAL</t>
        </is>
      </c>
      <c r="C879" s="14">
        <f>'Empleo Censo'!G879-'Empleo Censo'!F879</f>
        <v/>
      </c>
      <c r="D879" s="14">
        <f>'Empleo Censo'!F879</f>
        <v/>
      </c>
      <c r="E879" s="14">
        <f>'Empleo Censo'!H879</f>
        <v/>
      </c>
      <c r="F879" s="14">
        <f>'Empleo Censo'!I879</f>
        <v/>
      </c>
      <c r="G879" s="14">
        <f>'Empleo Censo'!J879+'Empleo Censo'!K879</f>
        <v/>
      </c>
      <c r="H879" s="14">
        <f>'Empleo Censo'!L879</f>
        <v/>
      </c>
      <c r="I879" s="14">
        <f>'Empleo Censo'!M879</f>
        <v/>
      </c>
      <c r="J879" s="14">
        <f>SUM('Empleo Censo'!N879:AA879)</f>
        <v/>
      </c>
      <c r="K879" s="14">
        <f>SUM(C879:J879)</f>
        <v/>
      </c>
      <c r="L879" s="15">
        <f>SUMPRODUCT(C879:J879,Factores!$B$3:$I$3)</f>
        <v/>
      </c>
      <c r="M879" s="16">
        <f>'Empleo Censo'!E879</f>
        <v/>
      </c>
      <c r="N879" s="17">
        <f>IF(M879&gt;0,L879,Factores!$B$7)</f>
        <v/>
      </c>
      <c r="O879">
        <f>IF(M879&gt;0,"OK","sin PEA -&gt; peor")</f>
        <v/>
      </c>
    </row>
    <row r="880">
      <c r="A880" t="inlineStr">
        <is>
          <t>220707</t>
        </is>
      </c>
      <c r="B880" t="inlineStr">
        <is>
          <t>SAN HILARION</t>
        </is>
      </c>
      <c r="C880" s="14">
        <f>'Empleo Censo'!G880-'Empleo Censo'!F880</f>
        <v/>
      </c>
      <c r="D880" s="14">
        <f>'Empleo Censo'!F880</f>
        <v/>
      </c>
      <c r="E880" s="14">
        <f>'Empleo Censo'!H880</f>
        <v/>
      </c>
      <c r="F880" s="14">
        <f>'Empleo Censo'!I880</f>
        <v/>
      </c>
      <c r="G880" s="14">
        <f>'Empleo Censo'!J880+'Empleo Censo'!K880</f>
        <v/>
      </c>
      <c r="H880" s="14">
        <f>'Empleo Censo'!L880</f>
        <v/>
      </c>
      <c r="I880" s="14">
        <f>'Empleo Censo'!M880</f>
        <v/>
      </c>
      <c r="J880" s="14">
        <f>SUM('Empleo Censo'!N880:AA880)</f>
        <v/>
      </c>
      <c r="K880" s="14">
        <f>SUM(C880:J880)</f>
        <v/>
      </c>
      <c r="L880" s="15">
        <f>SUMPRODUCT(C880:J880,Factores!$B$3:$I$3)</f>
        <v/>
      </c>
      <c r="M880" s="16">
        <f>'Empleo Censo'!E880</f>
        <v/>
      </c>
      <c r="N880" s="17">
        <f>IF(M880&gt;0,L880,Factores!$B$7)</f>
        <v/>
      </c>
      <c r="O880">
        <f>IF(M880&gt;0,"OK","sin PEA -&gt; peor")</f>
        <v/>
      </c>
    </row>
    <row r="881">
      <c r="A881" t="inlineStr">
        <is>
          <t>220708</t>
        </is>
      </c>
      <c r="B881" t="inlineStr">
        <is>
          <t>SHAMBOYACU</t>
        </is>
      </c>
      <c r="C881" s="14">
        <f>'Empleo Censo'!G881-'Empleo Censo'!F881</f>
        <v/>
      </c>
      <c r="D881" s="14">
        <f>'Empleo Censo'!F881</f>
        <v/>
      </c>
      <c r="E881" s="14">
        <f>'Empleo Censo'!H881</f>
        <v/>
      </c>
      <c r="F881" s="14">
        <f>'Empleo Censo'!I881</f>
        <v/>
      </c>
      <c r="G881" s="14">
        <f>'Empleo Censo'!J881+'Empleo Censo'!K881</f>
        <v/>
      </c>
      <c r="H881" s="14">
        <f>'Empleo Censo'!L881</f>
        <v/>
      </c>
      <c r="I881" s="14">
        <f>'Empleo Censo'!M881</f>
        <v/>
      </c>
      <c r="J881" s="14">
        <f>SUM('Empleo Censo'!N881:AA881)</f>
        <v/>
      </c>
      <c r="K881" s="14">
        <f>SUM(C881:J881)</f>
        <v/>
      </c>
      <c r="L881" s="15">
        <f>SUMPRODUCT(C881:J881,Factores!$B$3:$I$3)</f>
        <v/>
      </c>
      <c r="M881" s="16">
        <f>'Empleo Censo'!E881</f>
        <v/>
      </c>
      <c r="N881" s="17">
        <f>IF(M881&gt;0,L881,Factores!$B$7)</f>
        <v/>
      </c>
      <c r="O881">
        <f>IF(M881&gt;0,"OK","sin PEA -&gt; peor")</f>
        <v/>
      </c>
    </row>
    <row r="882">
      <c r="A882" t="inlineStr">
        <is>
          <t>220709</t>
        </is>
      </c>
      <c r="B882" t="inlineStr">
        <is>
          <t>TINGO DE PONASA</t>
        </is>
      </c>
      <c r="C882" s="14">
        <f>'Empleo Censo'!G882-'Empleo Censo'!F882</f>
        <v/>
      </c>
      <c r="D882" s="14">
        <f>'Empleo Censo'!F882</f>
        <v/>
      </c>
      <c r="E882" s="14">
        <f>'Empleo Censo'!H882</f>
        <v/>
      </c>
      <c r="F882" s="14">
        <f>'Empleo Censo'!I882</f>
        <v/>
      </c>
      <c r="G882" s="14">
        <f>'Empleo Censo'!J882+'Empleo Censo'!K882</f>
        <v/>
      </c>
      <c r="H882" s="14">
        <f>'Empleo Censo'!L882</f>
        <v/>
      </c>
      <c r="I882" s="14">
        <f>'Empleo Censo'!M882</f>
        <v/>
      </c>
      <c r="J882" s="14">
        <f>SUM('Empleo Censo'!N882:AA882)</f>
        <v/>
      </c>
      <c r="K882" s="14">
        <f>SUM(C882:J882)</f>
        <v/>
      </c>
      <c r="L882" s="15">
        <f>SUMPRODUCT(C882:J882,Factores!$B$3:$I$3)</f>
        <v/>
      </c>
      <c r="M882" s="16">
        <f>'Empleo Censo'!E882</f>
        <v/>
      </c>
      <c r="N882" s="17">
        <f>IF(M882&gt;0,L882,Factores!$B$7)</f>
        <v/>
      </c>
      <c r="O882">
        <f>IF(M882&gt;0,"OK","sin PEA -&gt; peor")</f>
        <v/>
      </c>
    </row>
    <row r="883">
      <c r="A883" t="inlineStr">
        <is>
          <t>220710</t>
        </is>
      </c>
      <c r="B883" t="inlineStr">
        <is>
          <t>TRES UNIDOS</t>
        </is>
      </c>
      <c r="C883" s="14">
        <f>'Empleo Censo'!G883-'Empleo Censo'!F883</f>
        <v/>
      </c>
      <c r="D883" s="14">
        <f>'Empleo Censo'!F883</f>
        <v/>
      </c>
      <c r="E883" s="14">
        <f>'Empleo Censo'!H883</f>
        <v/>
      </c>
      <c r="F883" s="14">
        <f>'Empleo Censo'!I883</f>
        <v/>
      </c>
      <c r="G883" s="14">
        <f>'Empleo Censo'!J883+'Empleo Censo'!K883</f>
        <v/>
      </c>
      <c r="H883" s="14">
        <f>'Empleo Censo'!L883</f>
        <v/>
      </c>
      <c r="I883" s="14">
        <f>'Empleo Censo'!M883</f>
        <v/>
      </c>
      <c r="J883" s="14">
        <f>SUM('Empleo Censo'!N883:AA883)</f>
        <v/>
      </c>
      <c r="K883" s="14">
        <f>SUM(C883:J883)</f>
        <v/>
      </c>
      <c r="L883" s="15">
        <f>SUMPRODUCT(C883:J883,Factores!$B$3:$I$3)</f>
        <v/>
      </c>
      <c r="M883" s="16">
        <f>'Empleo Censo'!E883</f>
        <v/>
      </c>
      <c r="N883" s="17">
        <f>IF(M883&gt;0,L883,Factores!$B$7)</f>
        <v/>
      </c>
      <c r="O883">
        <f>IF(M883&gt;0,"OK","sin PEA -&gt; peor")</f>
        <v/>
      </c>
    </row>
    <row r="884">
      <c r="A884" t="inlineStr">
        <is>
          <t>220801</t>
        </is>
      </c>
      <c r="B884" t="inlineStr">
        <is>
          <t>RIOJA</t>
        </is>
      </c>
      <c r="C884" s="14">
        <f>'Empleo Censo'!G884-'Empleo Censo'!F884</f>
        <v/>
      </c>
      <c r="D884" s="14">
        <f>'Empleo Censo'!F884</f>
        <v/>
      </c>
      <c r="E884" s="14">
        <f>'Empleo Censo'!H884</f>
        <v/>
      </c>
      <c r="F884" s="14">
        <f>'Empleo Censo'!I884</f>
        <v/>
      </c>
      <c r="G884" s="14">
        <f>'Empleo Censo'!J884+'Empleo Censo'!K884</f>
        <v/>
      </c>
      <c r="H884" s="14">
        <f>'Empleo Censo'!L884</f>
        <v/>
      </c>
      <c r="I884" s="14">
        <f>'Empleo Censo'!M884</f>
        <v/>
      </c>
      <c r="J884" s="14">
        <f>SUM('Empleo Censo'!N884:AA884)</f>
        <v/>
      </c>
      <c r="K884" s="14">
        <f>SUM(C884:J884)</f>
        <v/>
      </c>
      <c r="L884" s="15">
        <f>SUMPRODUCT(C884:J884,Factores!$B$3:$I$3)</f>
        <v/>
      </c>
      <c r="M884" s="16">
        <f>'Empleo Censo'!E884</f>
        <v/>
      </c>
      <c r="N884" s="17">
        <f>IF(M884&gt;0,L884,Factores!$B$7)</f>
        <v/>
      </c>
      <c r="O884">
        <f>IF(M884&gt;0,"OK","sin PEA -&gt; peor")</f>
        <v/>
      </c>
    </row>
    <row r="885">
      <c r="A885" t="inlineStr">
        <is>
          <t>220802</t>
        </is>
      </c>
      <c r="B885" t="inlineStr">
        <is>
          <t>AWAJUN</t>
        </is>
      </c>
      <c r="C885" s="14">
        <f>'Empleo Censo'!G885-'Empleo Censo'!F885</f>
        <v/>
      </c>
      <c r="D885" s="14">
        <f>'Empleo Censo'!F885</f>
        <v/>
      </c>
      <c r="E885" s="14">
        <f>'Empleo Censo'!H885</f>
        <v/>
      </c>
      <c r="F885" s="14">
        <f>'Empleo Censo'!I885</f>
        <v/>
      </c>
      <c r="G885" s="14">
        <f>'Empleo Censo'!J885+'Empleo Censo'!K885</f>
        <v/>
      </c>
      <c r="H885" s="14">
        <f>'Empleo Censo'!L885</f>
        <v/>
      </c>
      <c r="I885" s="14">
        <f>'Empleo Censo'!M885</f>
        <v/>
      </c>
      <c r="J885" s="14">
        <f>SUM('Empleo Censo'!N885:AA885)</f>
        <v/>
      </c>
      <c r="K885" s="14">
        <f>SUM(C885:J885)</f>
        <v/>
      </c>
      <c r="L885" s="15">
        <f>SUMPRODUCT(C885:J885,Factores!$B$3:$I$3)</f>
        <v/>
      </c>
      <c r="M885" s="16">
        <f>'Empleo Censo'!E885</f>
        <v/>
      </c>
      <c r="N885" s="17">
        <f>IF(M885&gt;0,L885,Factores!$B$7)</f>
        <v/>
      </c>
      <c r="O885">
        <f>IF(M885&gt;0,"OK","sin PEA -&gt; peor")</f>
        <v/>
      </c>
    </row>
    <row r="886">
      <c r="A886" t="inlineStr">
        <is>
          <t>220803</t>
        </is>
      </c>
      <c r="B886" t="inlineStr">
        <is>
          <t>ELIAS SOPLIN VARGAS</t>
        </is>
      </c>
      <c r="C886" s="14">
        <f>'Empleo Censo'!G886-'Empleo Censo'!F886</f>
        <v/>
      </c>
      <c r="D886" s="14">
        <f>'Empleo Censo'!F886</f>
        <v/>
      </c>
      <c r="E886" s="14">
        <f>'Empleo Censo'!H886</f>
        <v/>
      </c>
      <c r="F886" s="14">
        <f>'Empleo Censo'!I886</f>
        <v/>
      </c>
      <c r="G886" s="14">
        <f>'Empleo Censo'!J886+'Empleo Censo'!K886</f>
        <v/>
      </c>
      <c r="H886" s="14">
        <f>'Empleo Censo'!L886</f>
        <v/>
      </c>
      <c r="I886" s="14">
        <f>'Empleo Censo'!M886</f>
        <v/>
      </c>
      <c r="J886" s="14">
        <f>SUM('Empleo Censo'!N886:AA886)</f>
        <v/>
      </c>
      <c r="K886" s="14">
        <f>SUM(C886:J886)</f>
        <v/>
      </c>
      <c r="L886" s="15">
        <f>SUMPRODUCT(C886:J886,Factores!$B$3:$I$3)</f>
        <v/>
      </c>
      <c r="M886" s="16">
        <f>'Empleo Censo'!E886</f>
        <v/>
      </c>
      <c r="N886" s="17">
        <f>IF(M886&gt;0,L886,Factores!$B$7)</f>
        <v/>
      </c>
      <c r="O886">
        <f>IF(M886&gt;0,"OK","sin PEA -&gt; peor")</f>
        <v/>
      </c>
    </row>
    <row r="887">
      <c r="A887" t="inlineStr">
        <is>
          <t>220804</t>
        </is>
      </c>
      <c r="B887" t="inlineStr">
        <is>
          <t>NUEVA CAJAMARCA</t>
        </is>
      </c>
      <c r="C887" s="14">
        <f>'Empleo Censo'!G887-'Empleo Censo'!F887</f>
        <v/>
      </c>
      <c r="D887" s="14">
        <f>'Empleo Censo'!F887</f>
        <v/>
      </c>
      <c r="E887" s="14">
        <f>'Empleo Censo'!H887</f>
        <v/>
      </c>
      <c r="F887" s="14">
        <f>'Empleo Censo'!I887</f>
        <v/>
      </c>
      <c r="G887" s="14">
        <f>'Empleo Censo'!J887+'Empleo Censo'!K887</f>
        <v/>
      </c>
      <c r="H887" s="14">
        <f>'Empleo Censo'!L887</f>
        <v/>
      </c>
      <c r="I887" s="14">
        <f>'Empleo Censo'!M887</f>
        <v/>
      </c>
      <c r="J887" s="14">
        <f>SUM('Empleo Censo'!N887:AA887)</f>
        <v/>
      </c>
      <c r="K887" s="14">
        <f>SUM(C887:J887)</f>
        <v/>
      </c>
      <c r="L887" s="15">
        <f>SUMPRODUCT(C887:J887,Factores!$B$3:$I$3)</f>
        <v/>
      </c>
      <c r="M887" s="16">
        <f>'Empleo Censo'!E887</f>
        <v/>
      </c>
      <c r="N887" s="17">
        <f>IF(M887&gt;0,L887,Factores!$B$7)</f>
        <v/>
      </c>
      <c r="O887">
        <f>IF(M887&gt;0,"OK","sin PEA -&gt; peor")</f>
        <v/>
      </c>
    </row>
    <row r="888">
      <c r="A888" t="inlineStr">
        <is>
          <t>220805</t>
        </is>
      </c>
      <c r="B888" t="inlineStr">
        <is>
          <t>PARDO MIGUEL</t>
        </is>
      </c>
      <c r="C888" s="14">
        <f>'Empleo Censo'!G888-'Empleo Censo'!F888</f>
        <v/>
      </c>
      <c r="D888" s="14">
        <f>'Empleo Censo'!F888</f>
        <v/>
      </c>
      <c r="E888" s="14">
        <f>'Empleo Censo'!H888</f>
        <v/>
      </c>
      <c r="F888" s="14">
        <f>'Empleo Censo'!I888</f>
        <v/>
      </c>
      <c r="G888" s="14">
        <f>'Empleo Censo'!J888+'Empleo Censo'!K888</f>
        <v/>
      </c>
      <c r="H888" s="14">
        <f>'Empleo Censo'!L888</f>
        <v/>
      </c>
      <c r="I888" s="14">
        <f>'Empleo Censo'!M888</f>
        <v/>
      </c>
      <c r="J888" s="14">
        <f>SUM('Empleo Censo'!N888:AA888)</f>
        <v/>
      </c>
      <c r="K888" s="14">
        <f>SUM(C888:J888)</f>
        <v/>
      </c>
      <c r="L888" s="15">
        <f>SUMPRODUCT(C888:J888,Factores!$B$3:$I$3)</f>
        <v/>
      </c>
      <c r="M888" s="16">
        <f>'Empleo Censo'!E888</f>
        <v/>
      </c>
      <c r="N888" s="17">
        <f>IF(M888&gt;0,L888,Factores!$B$7)</f>
        <v/>
      </c>
      <c r="O888">
        <f>IF(M888&gt;0,"OK","sin PEA -&gt; peor")</f>
        <v/>
      </c>
    </row>
    <row r="889">
      <c r="A889" t="inlineStr">
        <is>
          <t>220806</t>
        </is>
      </c>
      <c r="B889" t="inlineStr">
        <is>
          <t>POSIC</t>
        </is>
      </c>
      <c r="C889" s="14">
        <f>'Empleo Censo'!G889-'Empleo Censo'!F889</f>
        <v/>
      </c>
      <c r="D889" s="14">
        <f>'Empleo Censo'!F889</f>
        <v/>
      </c>
      <c r="E889" s="14">
        <f>'Empleo Censo'!H889</f>
        <v/>
      </c>
      <c r="F889" s="14">
        <f>'Empleo Censo'!I889</f>
        <v/>
      </c>
      <c r="G889" s="14">
        <f>'Empleo Censo'!J889+'Empleo Censo'!K889</f>
        <v/>
      </c>
      <c r="H889" s="14">
        <f>'Empleo Censo'!L889</f>
        <v/>
      </c>
      <c r="I889" s="14">
        <f>'Empleo Censo'!M889</f>
        <v/>
      </c>
      <c r="J889" s="14">
        <f>SUM('Empleo Censo'!N889:AA889)</f>
        <v/>
      </c>
      <c r="K889" s="14">
        <f>SUM(C889:J889)</f>
        <v/>
      </c>
      <c r="L889" s="15">
        <f>SUMPRODUCT(C889:J889,Factores!$B$3:$I$3)</f>
        <v/>
      </c>
      <c r="M889" s="16">
        <f>'Empleo Censo'!E889</f>
        <v/>
      </c>
      <c r="N889" s="17">
        <f>IF(M889&gt;0,L889,Factores!$B$7)</f>
        <v/>
      </c>
      <c r="O889">
        <f>IF(M889&gt;0,"OK","sin PEA -&gt; peor")</f>
        <v/>
      </c>
    </row>
    <row r="890">
      <c r="A890" t="inlineStr">
        <is>
          <t>220807</t>
        </is>
      </c>
      <c r="B890" t="inlineStr">
        <is>
          <t>SAN FERNANDO</t>
        </is>
      </c>
      <c r="C890" s="14">
        <f>'Empleo Censo'!G890-'Empleo Censo'!F890</f>
        <v/>
      </c>
      <c r="D890" s="14">
        <f>'Empleo Censo'!F890</f>
        <v/>
      </c>
      <c r="E890" s="14">
        <f>'Empleo Censo'!H890</f>
        <v/>
      </c>
      <c r="F890" s="14">
        <f>'Empleo Censo'!I890</f>
        <v/>
      </c>
      <c r="G890" s="14">
        <f>'Empleo Censo'!J890+'Empleo Censo'!K890</f>
        <v/>
      </c>
      <c r="H890" s="14">
        <f>'Empleo Censo'!L890</f>
        <v/>
      </c>
      <c r="I890" s="14">
        <f>'Empleo Censo'!M890</f>
        <v/>
      </c>
      <c r="J890" s="14">
        <f>SUM('Empleo Censo'!N890:AA890)</f>
        <v/>
      </c>
      <c r="K890" s="14">
        <f>SUM(C890:J890)</f>
        <v/>
      </c>
      <c r="L890" s="15">
        <f>SUMPRODUCT(C890:J890,Factores!$B$3:$I$3)</f>
        <v/>
      </c>
      <c r="M890" s="16">
        <f>'Empleo Censo'!E890</f>
        <v/>
      </c>
      <c r="N890" s="17">
        <f>IF(M890&gt;0,L890,Factores!$B$7)</f>
        <v/>
      </c>
      <c r="O890">
        <f>IF(M890&gt;0,"OK","sin PEA -&gt; peor")</f>
        <v/>
      </c>
    </row>
    <row r="891">
      <c r="A891" t="inlineStr">
        <is>
          <t>220808</t>
        </is>
      </c>
      <c r="B891" t="inlineStr">
        <is>
          <t>YORONGOS</t>
        </is>
      </c>
      <c r="C891" s="14">
        <f>'Empleo Censo'!G891-'Empleo Censo'!F891</f>
        <v/>
      </c>
      <c r="D891" s="14">
        <f>'Empleo Censo'!F891</f>
        <v/>
      </c>
      <c r="E891" s="14">
        <f>'Empleo Censo'!H891</f>
        <v/>
      </c>
      <c r="F891" s="14">
        <f>'Empleo Censo'!I891</f>
        <v/>
      </c>
      <c r="G891" s="14">
        <f>'Empleo Censo'!J891+'Empleo Censo'!K891</f>
        <v/>
      </c>
      <c r="H891" s="14">
        <f>'Empleo Censo'!L891</f>
        <v/>
      </c>
      <c r="I891" s="14">
        <f>'Empleo Censo'!M891</f>
        <v/>
      </c>
      <c r="J891" s="14">
        <f>SUM('Empleo Censo'!N891:AA891)</f>
        <v/>
      </c>
      <c r="K891" s="14">
        <f>SUM(C891:J891)</f>
        <v/>
      </c>
      <c r="L891" s="15">
        <f>SUMPRODUCT(C891:J891,Factores!$B$3:$I$3)</f>
        <v/>
      </c>
      <c r="M891" s="16">
        <f>'Empleo Censo'!E891</f>
        <v/>
      </c>
      <c r="N891" s="17">
        <f>IF(M891&gt;0,L891,Factores!$B$7)</f>
        <v/>
      </c>
      <c r="O891">
        <f>IF(M891&gt;0,"OK","sin PEA -&gt; peor")</f>
        <v/>
      </c>
    </row>
    <row r="892">
      <c r="A892" t="inlineStr">
        <is>
          <t>220809</t>
        </is>
      </c>
      <c r="B892" t="inlineStr">
        <is>
          <t>YURACYACU</t>
        </is>
      </c>
      <c r="C892" s="14">
        <f>'Empleo Censo'!G892-'Empleo Censo'!F892</f>
        <v/>
      </c>
      <c r="D892" s="14">
        <f>'Empleo Censo'!F892</f>
        <v/>
      </c>
      <c r="E892" s="14">
        <f>'Empleo Censo'!H892</f>
        <v/>
      </c>
      <c r="F892" s="14">
        <f>'Empleo Censo'!I892</f>
        <v/>
      </c>
      <c r="G892" s="14">
        <f>'Empleo Censo'!J892+'Empleo Censo'!K892</f>
        <v/>
      </c>
      <c r="H892" s="14">
        <f>'Empleo Censo'!L892</f>
        <v/>
      </c>
      <c r="I892" s="14">
        <f>'Empleo Censo'!M892</f>
        <v/>
      </c>
      <c r="J892" s="14">
        <f>SUM('Empleo Censo'!N892:AA892)</f>
        <v/>
      </c>
      <c r="K892" s="14">
        <f>SUM(C892:J892)</f>
        <v/>
      </c>
      <c r="L892" s="15">
        <f>SUMPRODUCT(C892:J892,Factores!$B$3:$I$3)</f>
        <v/>
      </c>
      <c r="M892" s="16">
        <f>'Empleo Censo'!E892</f>
        <v/>
      </c>
      <c r="N892" s="17">
        <f>IF(M892&gt;0,L892,Factores!$B$7)</f>
        <v/>
      </c>
      <c r="O892">
        <f>IF(M892&gt;0,"OK","sin PEA -&gt; peor")</f>
        <v/>
      </c>
    </row>
    <row r="893">
      <c r="A893" t="inlineStr">
        <is>
          <t>220901</t>
        </is>
      </c>
      <c r="B893" t="inlineStr">
        <is>
          <t>TARAPOTO</t>
        </is>
      </c>
      <c r="C893" s="14">
        <f>'Empleo Censo'!G893-'Empleo Censo'!F893</f>
        <v/>
      </c>
      <c r="D893" s="14">
        <f>'Empleo Censo'!F893</f>
        <v/>
      </c>
      <c r="E893" s="14">
        <f>'Empleo Censo'!H893</f>
        <v/>
      </c>
      <c r="F893" s="14">
        <f>'Empleo Censo'!I893</f>
        <v/>
      </c>
      <c r="G893" s="14">
        <f>'Empleo Censo'!J893+'Empleo Censo'!K893</f>
        <v/>
      </c>
      <c r="H893" s="14">
        <f>'Empleo Censo'!L893</f>
        <v/>
      </c>
      <c r="I893" s="14">
        <f>'Empleo Censo'!M893</f>
        <v/>
      </c>
      <c r="J893" s="14">
        <f>SUM('Empleo Censo'!N893:AA893)</f>
        <v/>
      </c>
      <c r="K893" s="14">
        <f>SUM(C893:J893)</f>
        <v/>
      </c>
      <c r="L893" s="15">
        <f>SUMPRODUCT(C893:J893,Factores!$B$3:$I$3)</f>
        <v/>
      </c>
      <c r="M893" s="16">
        <f>'Empleo Censo'!E893</f>
        <v/>
      </c>
      <c r="N893" s="17">
        <f>IF(M893&gt;0,L893,Factores!$B$7)</f>
        <v/>
      </c>
      <c r="O893">
        <f>IF(M893&gt;0,"OK","sin PEA -&gt; peor")</f>
        <v/>
      </c>
    </row>
    <row r="894">
      <c r="A894" t="inlineStr">
        <is>
          <t>220902</t>
        </is>
      </c>
      <c r="B894" t="inlineStr">
        <is>
          <t>ALBERTO LEVEAU</t>
        </is>
      </c>
      <c r="C894" s="14">
        <f>'Empleo Censo'!G894-'Empleo Censo'!F894</f>
        <v/>
      </c>
      <c r="D894" s="14">
        <f>'Empleo Censo'!F894</f>
        <v/>
      </c>
      <c r="E894" s="14">
        <f>'Empleo Censo'!H894</f>
        <v/>
      </c>
      <c r="F894" s="14">
        <f>'Empleo Censo'!I894</f>
        <v/>
      </c>
      <c r="G894" s="14">
        <f>'Empleo Censo'!J894+'Empleo Censo'!K894</f>
        <v/>
      </c>
      <c r="H894" s="14">
        <f>'Empleo Censo'!L894</f>
        <v/>
      </c>
      <c r="I894" s="14">
        <f>'Empleo Censo'!M894</f>
        <v/>
      </c>
      <c r="J894" s="14">
        <f>SUM('Empleo Censo'!N894:AA894)</f>
        <v/>
      </c>
      <c r="K894" s="14">
        <f>SUM(C894:J894)</f>
        <v/>
      </c>
      <c r="L894" s="15">
        <f>SUMPRODUCT(C894:J894,Factores!$B$3:$I$3)</f>
        <v/>
      </c>
      <c r="M894" s="16">
        <f>'Empleo Censo'!E894</f>
        <v/>
      </c>
      <c r="N894" s="17">
        <f>IF(M894&gt;0,L894,Factores!$B$7)</f>
        <v/>
      </c>
      <c r="O894">
        <f>IF(M894&gt;0,"OK","sin PEA -&gt; peor")</f>
        <v/>
      </c>
    </row>
    <row r="895">
      <c r="A895" t="inlineStr">
        <is>
          <t>220903</t>
        </is>
      </c>
      <c r="B895" t="inlineStr">
        <is>
          <t>CACATACHI</t>
        </is>
      </c>
      <c r="C895" s="14">
        <f>'Empleo Censo'!G895-'Empleo Censo'!F895</f>
        <v/>
      </c>
      <c r="D895" s="14">
        <f>'Empleo Censo'!F895</f>
        <v/>
      </c>
      <c r="E895" s="14">
        <f>'Empleo Censo'!H895</f>
        <v/>
      </c>
      <c r="F895" s="14">
        <f>'Empleo Censo'!I895</f>
        <v/>
      </c>
      <c r="G895" s="14">
        <f>'Empleo Censo'!J895+'Empleo Censo'!K895</f>
        <v/>
      </c>
      <c r="H895" s="14">
        <f>'Empleo Censo'!L895</f>
        <v/>
      </c>
      <c r="I895" s="14">
        <f>'Empleo Censo'!M895</f>
        <v/>
      </c>
      <c r="J895" s="14">
        <f>SUM('Empleo Censo'!N895:AA895)</f>
        <v/>
      </c>
      <c r="K895" s="14">
        <f>SUM(C895:J895)</f>
        <v/>
      </c>
      <c r="L895" s="15">
        <f>SUMPRODUCT(C895:J895,Factores!$B$3:$I$3)</f>
        <v/>
      </c>
      <c r="M895" s="16">
        <f>'Empleo Censo'!E895</f>
        <v/>
      </c>
      <c r="N895" s="17">
        <f>IF(M895&gt;0,L895,Factores!$B$7)</f>
        <v/>
      </c>
      <c r="O895">
        <f>IF(M895&gt;0,"OK","sin PEA -&gt; peor")</f>
        <v/>
      </c>
    </row>
    <row r="896">
      <c r="A896" t="inlineStr">
        <is>
          <t>220904</t>
        </is>
      </c>
      <c r="B896" t="inlineStr">
        <is>
          <t>CHAZUTA</t>
        </is>
      </c>
      <c r="C896" s="14">
        <f>'Empleo Censo'!G896-'Empleo Censo'!F896</f>
        <v/>
      </c>
      <c r="D896" s="14">
        <f>'Empleo Censo'!F896</f>
        <v/>
      </c>
      <c r="E896" s="14">
        <f>'Empleo Censo'!H896</f>
        <v/>
      </c>
      <c r="F896" s="14">
        <f>'Empleo Censo'!I896</f>
        <v/>
      </c>
      <c r="G896" s="14">
        <f>'Empleo Censo'!J896+'Empleo Censo'!K896</f>
        <v/>
      </c>
      <c r="H896" s="14">
        <f>'Empleo Censo'!L896</f>
        <v/>
      </c>
      <c r="I896" s="14">
        <f>'Empleo Censo'!M896</f>
        <v/>
      </c>
      <c r="J896" s="14">
        <f>SUM('Empleo Censo'!N896:AA896)</f>
        <v/>
      </c>
      <c r="K896" s="14">
        <f>SUM(C896:J896)</f>
        <v/>
      </c>
      <c r="L896" s="15">
        <f>SUMPRODUCT(C896:J896,Factores!$B$3:$I$3)</f>
        <v/>
      </c>
      <c r="M896" s="16">
        <f>'Empleo Censo'!E896</f>
        <v/>
      </c>
      <c r="N896" s="17">
        <f>IF(M896&gt;0,L896,Factores!$B$7)</f>
        <v/>
      </c>
      <c r="O896">
        <f>IF(M896&gt;0,"OK","sin PEA -&gt; peor")</f>
        <v/>
      </c>
    </row>
    <row r="897">
      <c r="A897" t="inlineStr">
        <is>
          <t>220905</t>
        </is>
      </c>
      <c r="B897" t="inlineStr">
        <is>
          <t>CHIPURANA</t>
        </is>
      </c>
      <c r="C897" s="14">
        <f>'Empleo Censo'!G897-'Empleo Censo'!F897</f>
        <v/>
      </c>
      <c r="D897" s="14">
        <f>'Empleo Censo'!F897</f>
        <v/>
      </c>
      <c r="E897" s="14">
        <f>'Empleo Censo'!H897</f>
        <v/>
      </c>
      <c r="F897" s="14">
        <f>'Empleo Censo'!I897</f>
        <v/>
      </c>
      <c r="G897" s="14">
        <f>'Empleo Censo'!J897+'Empleo Censo'!K897</f>
        <v/>
      </c>
      <c r="H897" s="14">
        <f>'Empleo Censo'!L897</f>
        <v/>
      </c>
      <c r="I897" s="14">
        <f>'Empleo Censo'!M897</f>
        <v/>
      </c>
      <c r="J897" s="14">
        <f>SUM('Empleo Censo'!N897:AA897)</f>
        <v/>
      </c>
      <c r="K897" s="14">
        <f>SUM(C897:J897)</f>
        <v/>
      </c>
      <c r="L897" s="15">
        <f>SUMPRODUCT(C897:J897,Factores!$B$3:$I$3)</f>
        <v/>
      </c>
      <c r="M897" s="16">
        <f>'Empleo Censo'!E897</f>
        <v/>
      </c>
      <c r="N897" s="17">
        <f>IF(M897&gt;0,L897,Factores!$B$7)</f>
        <v/>
      </c>
      <c r="O897">
        <f>IF(M897&gt;0,"OK","sin PEA -&gt; peor")</f>
        <v/>
      </c>
    </row>
    <row r="898">
      <c r="A898" t="inlineStr">
        <is>
          <t>220906</t>
        </is>
      </c>
      <c r="B898" t="inlineStr">
        <is>
          <t>EL PORVENIR</t>
        </is>
      </c>
      <c r="C898" s="14">
        <f>'Empleo Censo'!G898-'Empleo Censo'!F898</f>
        <v/>
      </c>
      <c r="D898" s="14">
        <f>'Empleo Censo'!F898</f>
        <v/>
      </c>
      <c r="E898" s="14">
        <f>'Empleo Censo'!H898</f>
        <v/>
      </c>
      <c r="F898" s="14">
        <f>'Empleo Censo'!I898</f>
        <v/>
      </c>
      <c r="G898" s="14">
        <f>'Empleo Censo'!J898+'Empleo Censo'!K898</f>
        <v/>
      </c>
      <c r="H898" s="14">
        <f>'Empleo Censo'!L898</f>
        <v/>
      </c>
      <c r="I898" s="14">
        <f>'Empleo Censo'!M898</f>
        <v/>
      </c>
      <c r="J898" s="14">
        <f>SUM('Empleo Censo'!N898:AA898)</f>
        <v/>
      </c>
      <c r="K898" s="14">
        <f>SUM(C898:J898)</f>
        <v/>
      </c>
      <c r="L898" s="15">
        <f>SUMPRODUCT(C898:J898,Factores!$B$3:$I$3)</f>
        <v/>
      </c>
      <c r="M898" s="16">
        <f>'Empleo Censo'!E898</f>
        <v/>
      </c>
      <c r="N898" s="17">
        <f>IF(M898&gt;0,L898,Factores!$B$7)</f>
        <v/>
      </c>
      <c r="O898">
        <f>IF(M898&gt;0,"OK","sin PEA -&gt; peor")</f>
        <v/>
      </c>
    </row>
    <row r="899">
      <c r="A899" t="inlineStr">
        <is>
          <t>220907</t>
        </is>
      </c>
      <c r="B899" t="inlineStr">
        <is>
          <t>HUIMBAYOC</t>
        </is>
      </c>
      <c r="C899" s="14">
        <f>'Empleo Censo'!G899-'Empleo Censo'!F899</f>
        <v/>
      </c>
      <c r="D899" s="14">
        <f>'Empleo Censo'!F899</f>
        <v/>
      </c>
      <c r="E899" s="14">
        <f>'Empleo Censo'!H899</f>
        <v/>
      </c>
      <c r="F899" s="14">
        <f>'Empleo Censo'!I899</f>
        <v/>
      </c>
      <c r="G899" s="14">
        <f>'Empleo Censo'!J899+'Empleo Censo'!K899</f>
        <v/>
      </c>
      <c r="H899" s="14">
        <f>'Empleo Censo'!L899</f>
        <v/>
      </c>
      <c r="I899" s="14">
        <f>'Empleo Censo'!M899</f>
        <v/>
      </c>
      <c r="J899" s="14">
        <f>SUM('Empleo Censo'!N899:AA899)</f>
        <v/>
      </c>
      <c r="K899" s="14">
        <f>SUM(C899:J899)</f>
        <v/>
      </c>
      <c r="L899" s="15">
        <f>SUMPRODUCT(C899:J899,Factores!$B$3:$I$3)</f>
        <v/>
      </c>
      <c r="M899" s="16">
        <f>'Empleo Censo'!E899</f>
        <v/>
      </c>
      <c r="N899" s="17">
        <f>IF(M899&gt;0,L899,Factores!$B$7)</f>
        <v/>
      </c>
      <c r="O899">
        <f>IF(M899&gt;0,"OK","sin PEA -&gt; peor")</f>
        <v/>
      </c>
    </row>
    <row r="900">
      <c r="A900" t="inlineStr">
        <is>
          <t>220908</t>
        </is>
      </c>
      <c r="B900" t="inlineStr">
        <is>
          <t>JUAN GUERRA</t>
        </is>
      </c>
      <c r="C900" s="14">
        <f>'Empleo Censo'!G900-'Empleo Censo'!F900</f>
        <v/>
      </c>
      <c r="D900" s="14">
        <f>'Empleo Censo'!F900</f>
        <v/>
      </c>
      <c r="E900" s="14">
        <f>'Empleo Censo'!H900</f>
        <v/>
      </c>
      <c r="F900" s="14">
        <f>'Empleo Censo'!I900</f>
        <v/>
      </c>
      <c r="G900" s="14">
        <f>'Empleo Censo'!J900+'Empleo Censo'!K900</f>
        <v/>
      </c>
      <c r="H900" s="14">
        <f>'Empleo Censo'!L900</f>
        <v/>
      </c>
      <c r="I900" s="14">
        <f>'Empleo Censo'!M900</f>
        <v/>
      </c>
      <c r="J900" s="14">
        <f>SUM('Empleo Censo'!N900:AA900)</f>
        <v/>
      </c>
      <c r="K900" s="14">
        <f>SUM(C900:J900)</f>
        <v/>
      </c>
      <c r="L900" s="15">
        <f>SUMPRODUCT(C900:J900,Factores!$B$3:$I$3)</f>
        <v/>
      </c>
      <c r="M900" s="16">
        <f>'Empleo Censo'!E900</f>
        <v/>
      </c>
      <c r="N900" s="17">
        <f>IF(M900&gt;0,L900,Factores!$B$7)</f>
        <v/>
      </c>
      <c r="O900">
        <f>IF(M900&gt;0,"OK","sin PEA -&gt; peor")</f>
        <v/>
      </c>
    </row>
    <row r="901">
      <c r="A901" t="inlineStr">
        <is>
          <t>220909</t>
        </is>
      </c>
      <c r="B901" t="inlineStr">
        <is>
          <t>LA BANDA DE SHILCAYO</t>
        </is>
      </c>
      <c r="C901" s="14">
        <f>'Empleo Censo'!G901-'Empleo Censo'!F901</f>
        <v/>
      </c>
      <c r="D901" s="14">
        <f>'Empleo Censo'!F901</f>
        <v/>
      </c>
      <c r="E901" s="14">
        <f>'Empleo Censo'!H901</f>
        <v/>
      </c>
      <c r="F901" s="14">
        <f>'Empleo Censo'!I901</f>
        <v/>
      </c>
      <c r="G901" s="14">
        <f>'Empleo Censo'!J901+'Empleo Censo'!K901</f>
        <v/>
      </c>
      <c r="H901" s="14">
        <f>'Empleo Censo'!L901</f>
        <v/>
      </c>
      <c r="I901" s="14">
        <f>'Empleo Censo'!M901</f>
        <v/>
      </c>
      <c r="J901" s="14">
        <f>SUM('Empleo Censo'!N901:AA901)</f>
        <v/>
      </c>
      <c r="K901" s="14">
        <f>SUM(C901:J901)</f>
        <v/>
      </c>
      <c r="L901" s="15">
        <f>SUMPRODUCT(C901:J901,Factores!$B$3:$I$3)</f>
        <v/>
      </c>
      <c r="M901" s="16">
        <f>'Empleo Censo'!E901</f>
        <v/>
      </c>
      <c r="N901" s="17">
        <f>IF(M901&gt;0,L901,Factores!$B$7)</f>
        <v/>
      </c>
      <c r="O901">
        <f>IF(M901&gt;0,"OK","sin PEA -&gt; peor")</f>
        <v/>
      </c>
    </row>
    <row r="902">
      <c r="A902" t="inlineStr">
        <is>
          <t>220910</t>
        </is>
      </c>
      <c r="B902" t="inlineStr">
        <is>
          <t>MORALES</t>
        </is>
      </c>
      <c r="C902" s="14">
        <f>'Empleo Censo'!G902-'Empleo Censo'!F902</f>
        <v/>
      </c>
      <c r="D902" s="14">
        <f>'Empleo Censo'!F902</f>
        <v/>
      </c>
      <c r="E902" s="14">
        <f>'Empleo Censo'!H902</f>
        <v/>
      </c>
      <c r="F902" s="14">
        <f>'Empleo Censo'!I902</f>
        <v/>
      </c>
      <c r="G902" s="14">
        <f>'Empleo Censo'!J902+'Empleo Censo'!K902</f>
        <v/>
      </c>
      <c r="H902" s="14">
        <f>'Empleo Censo'!L902</f>
        <v/>
      </c>
      <c r="I902" s="14">
        <f>'Empleo Censo'!M902</f>
        <v/>
      </c>
      <c r="J902" s="14">
        <f>SUM('Empleo Censo'!N902:AA902)</f>
        <v/>
      </c>
      <c r="K902" s="14">
        <f>SUM(C902:J902)</f>
        <v/>
      </c>
      <c r="L902" s="15">
        <f>SUMPRODUCT(C902:J902,Factores!$B$3:$I$3)</f>
        <v/>
      </c>
      <c r="M902" s="16">
        <f>'Empleo Censo'!E902</f>
        <v/>
      </c>
      <c r="N902" s="17">
        <f>IF(M902&gt;0,L902,Factores!$B$7)</f>
        <v/>
      </c>
      <c r="O902">
        <f>IF(M902&gt;0,"OK","sin PEA -&gt; peor")</f>
        <v/>
      </c>
    </row>
    <row r="903">
      <c r="A903" t="inlineStr">
        <is>
          <t>220911</t>
        </is>
      </c>
      <c r="B903" t="inlineStr">
        <is>
          <t>PAPAPLAYA</t>
        </is>
      </c>
      <c r="C903" s="14">
        <f>'Empleo Censo'!G903-'Empleo Censo'!F903</f>
        <v/>
      </c>
      <c r="D903" s="14">
        <f>'Empleo Censo'!F903</f>
        <v/>
      </c>
      <c r="E903" s="14">
        <f>'Empleo Censo'!H903</f>
        <v/>
      </c>
      <c r="F903" s="14">
        <f>'Empleo Censo'!I903</f>
        <v/>
      </c>
      <c r="G903" s="14">
        <f>'Empleo Censo'!J903+'Empleo Censo'!K903</f>
        <v/>
      </c>
      <c r="H903" s="14">
        <f>'Empleo Censo'!L903</f>
        <v/>
      </c>
      <c r="I903" s="14">
        <f>'Empleo Censo'!M903</f>
        <v/>
      </c>
      <c r="J903" s="14">
        <f>SUM('Empleo Censo'!N903:AA903)</f>
        <v/>
      </c>
      <c r="K903" s="14">
        <f>SUM(C903:J903)</f>
        <v/>
      </c>
      <c r="L903" s="15">
        <f>SUMPRODUCT(C903:J903,Factores!$B$3:$I$3)</f>
        <v/>
      </c>
      <c r="M903" s="16">
        <f>'Empleo Censo'!E903</f>
        <v/>
      </c>
      <c r="N903" s="17">
        <f>IF(M903&gt;0,L903,Factores!$B$7)</f>
        <v/>
      </c>
      <c r="O903">
        <f>IF(M903&gt;0,"OK","sin PEA -&gt; peor")</f>
        <v/>
      </c>
    </row>
    <row r="904">
      <c r="A904" t="inlineStr">
        <is>
          <t>220912</t>
        </is>
      </c>
      <c r="B904" t="inlineStr">
        <is>
          <t>SAN ANTONIO</t>
        </is>
      </c>
      <c r="C904" s="14">
        <f>'Empleo Censo'!G904-'Empleo Censo'!F904</f>
        <v/>
      </c>
      <c r="D904" s="14">
        <f>'Empleo Censo'!F904</f>
        <v/>
      </c>
      <c r="E904" s="14">
        <f>'Empleo Censo'!H904</f>
        <v/>
      </c>
      <c r="F904" s="14">
        <f>'Empleo Censo'!I904</f>
        <v/>
      </c>
      <c r="G904" s="14">
        <f>'Empleo Censo'!J904+'Empleo Censo'!K904</f>
        <v/>
      </c>
      <c r="H904" s="14">
        <f>'Empleo Censo'!L904</f>
        <v/>
      </c>
      <c r="I904" s="14">
        <f>'Empleo Censo'!M904</f>
        <v/>
      </c>
      <c r="J904" s="14">
        <f>SUM('Empleo Censo'!N904:AA904)</f>
        <v/>
      </c>
      <c r="K904" s="14">
        <f>SUM(C904:J904)</f>
        <v/>
      </c>
      <c r="L904" s="15">
        <f>SUMPRODUCT(C904:J904,Factores!$B$3:$I$3)</f>
        <v/>
      </c>
      <c r="M904" s="16">
        <f>'Empleo Censo'!E904</f>
        <v/>
      </c>
      <c r="N904" s="17">
        <f>IF(M904&gt;0,L904,Factores!$B$7)</f>
        <v/>
      </c>
      <c r="O904">
        <f>IF(M904&gt;0,"OK","sin PEA -&gt; peor")</f>
        <v/>
      </c>
    </row>
    <row r="905">
      <c r="A905" t="inlineStr">
        <is>
          <t>220913</t>
        </is>
      </c>
      <c r="B905" t="inlineStr">
        <is>
          <t>SAUCE</t>
        </is>
      </c>
      <c r="C905" s="14">
        <f>'Empleo Censo'!G905-'Empleo Censo'!F905</f>
        <v/>
      </c>
      <c r="D905" s="14">
        <f>'Empleo Censo'!F905</f>
        <v/>
      </c>
      <c r="E905" s="14">
        <f>'Empleo Censo'!H905</f>
        <v/>
      </c>
      <c r="F905" s="14">
        <f>'Empleo Censo'!I905</f>
        <v/>
      </c>
      <c r="G905" s="14">
        <f>'Empleo Censo'!J905+'Empleo Censo'!K905</f>
        <v/>
      </c>
      <c r="H905" s="14">
        <f>'Empleo Censo'!L905</f>
        <v/>
      </c>
      <c r="I905" s="14">
        <f>'Empleo Censo'!M905</f>
        <v/>
      </c>
      <c r="J905" s="14">
        <f>SUM('Empleo Censo'!N905:AA905)</f>
        <v/>
      </c>
      <c r="K905" s="14">
        <f>SUM(C905:J905)</f>
        <v/>
      </c>
      <c r="L905" s="15">
        <f>SUMPRODUCT(C905:J905,Factores!$B$3:$I$3)</f>
        <v/>
      </c>
      <c r="M905" s="16">
        <f>'Empleo Censo'!E905</f>
        <v/>
      </c>
      <c r="N905" s="17">
        <f>IF(M905&gt;0,L905,Factores!$B$7)</f>
        <v/>
      </c>
      <c r="O905">
        <f>IF(M905&gt;0,"OK","sin PEA -&gt; peor")</f>
        <v/>
      </c>
    </row>
    <row r="906">
      <c r="A906" t="inlineStr">
        <is>
          <t>220914</t>
        </is>
      </c>
      <c r="B906" t="inlineStr">
        <is>
          <t>SHAPAJA</t>
        </is>
      </c>
      <c r="C906" s="14">
        <f>'Empleo Censo'!G906-'Empleo Censo'!F906</f>
        <v/>
      </c>
      <c r="D906" s="14">
        <f>'Empleo Censo'!F906</f>
        <v/>
      </c>
      <c r="E906" s="14">
        <f>'Empleo Censo'!H906</f>
        <v/>
      </c>
      <c r="F906" s="14">
        <f>'Empleo Censo'!I906</f>
        <v/>
      </c>
      <c r="G906" s="14">
        <f>'Empleo Censo'!J906+'Empleo Censo'!K906</f>
        <v/>
      </c>
      <c r="H906" s="14">
        <f>'Empleo Censo'!L906</f>
        <v/>
      </c>
      <c r="I906" s="14">
        <f>'Empleo Censo'!M906</f>
        <v/>
      </c>
      <c r="J906" s="14">
        <f>SUM('Empleo Censo'!N906:AA906)</f>
        <v/>
      </c>
      <c r="K906" s="14">
        <f>SUM(C906:J906)</f>
        <v/>
      </c>
      <c r="L906" s="15">
        <f>SUMPRODUCT(C906:J906,Factores!$B$3:$I$3)</f>
        <v/>
      </c>
      <c r="M906" s="16">
        <f>'Empleo Censo'!E906</f>
        <v/>
      </c>
      <c r="N906" s="17">
        <f>IF(M906&gt;0,L906,Factores!$B$7)</f>
        <v/>
      </c>
      <c r="O906">
        <f>IF(M906&gt;0,"OK","sin PEA -&gt; peor")</f>
        <v/>
      </c>
    </row>
    <row r="907">
      <c r="A907" t="inlineStr">
        <is>
          <t>221001</t>
        </is>
      </c>
      <c r="B907" t="inlineStr">
        <is>
          <t>TOCACHE</t>
        </is>
      </c>
      <c r="C907" s="14">
        <f>'Empleo Censo'!G907-'Empleo Censo'!F907</f>
        <v/>
      </c>
      <c r="D907" s="14">
        <f>'Empleo Censo'!F907</f>
        <v/>
      </c>
      <c r="E907" s="14">
        <f>'Empleo Censo'!H907</f>
        <v/>
      </c>
      <c r="F907" s="14">
        <f>'Empleo Censo'!I907</f>
        <v/>
      </c>
      <c r="G907" s="14">
        <f>'Empleo Censo'!J907+'Empleo Censo'!K907</f>
        <v/>
      </c>
      <c r="H907" s="14">
        <f>'Empleo Censo'!L907</f>
        <v/>
      </c>
      <c r="I907" s="14">
        <f>'Empleo Censo'!M907</f>
        <v/>
      </c>
      <c r="J907" s="14">
        <f>SUM('Empleo Censo'!N907:AA907)</f>
        <v/>
      </c>
      <c r="K907" s="14">
        <f>SUM(C907:J907)</f>
        <v/>
      </c>
      <c r="L907" s="15">
        <f>SUMPRODUCT(C907:J907,Factores!$B$3:$I$3)</f>
        <v/>
      </c>
      <c r="M907" s="16">
        <f>'Empleo Censo'!E907</f>
        <v/>
      </c>
      <c r="N907" s="17">
        <f>IF(M907&gt;0,L907,Factores!$B$7)</f>
        <v/>
      </c>
      <c r="O907">
        <f>IF(M907&gt;0,"OK","sin PEA -&gt; peor")</f>
        <v/>
      </c>
    </row>
    <row r="908">
      <c r="A908" t="inlineStr">
        <is>
          <t>221002</t>
        </is>
      </c>
      <c r="B908" t="inlineStr">
        <is>
          <t>NUEVO PROGRESO</t>
        </is>
      </c>
      <c r="C908" s="14">
        <f>'Empleo Censo'!G908-'Empleo Censo'!F908</f>
        <v/>
      </c>
      <c r="D908" s="14">
        <f>'Empleo Censo'!F908</f>
        <v/>
      </c>
      <c r="E908" s="14">
        <f>'Empleo Censo'!H908</f>
        <v/>
      </c>
      <c r="F908" s="14">
        <f>'Empleo Censo'!I908</f>
        <v/>
      </c>
      <c r="G908" s="14">
        <f>'Empleo Censo'!J908+'Empleo Censo'!K908</f>
        <v/>
      </c>
      <c r="H908" s="14">
        <f>'Empleo Censo'!L908</f>
        <v/>
      </c>
      <c r="I908" s="14">
        <f>'Empleo Censo'!M908</f>
        <v/>
      </c>
      <c r="J908" s="14">
        <f>SUM('Empleo Censo'!N908:AA908)</f>
        <v/>
      </c>
      <c r="K908" s="14">
        <f>SUM(C908:J908)</f>
        <v/>
      </c>
      <c r="L908" s="15">
        <f>SUMPRODUCT(C908:J908,Factores!$B$3:$I$3)</f>
        <v/>
      </c>
      <c r="M908" s="16">
        <f>'Empleo Censo'!E908</f>
        <v/>
      </c>
      <c r="N908" s="17">
        <f>IF(M908&gt;0,L908,Factores!$B$7)</f>
        <v/>
      </c>
      <c r="O908">
        <f>IF(M908&gt;0,"OK","sin PEA -&gt; peor")</f>
        <v/>
      </c>
    </row>
    <row r="909">
      <c r="A909" t="inlineStr">
        <is>
          <t>221003</t>
        </is>
      </c>
      <c r="B909" t="inlineStr">
        <is>
          <t>POLVORA</t>
        </is>
      </c>
      <c r="C909" s="14">
        <f>'Empleo Censo'!G909-'Empleo Censo'!F909</f>
        <v/>
      </c>
      <c r="D909" s="14">
        <f>'Empleo Censo'!F909</f>
        <v/>
      </c>
      <c r="E909" s="14">
        <f>'Empleo Censo'!H909</f>
        <v/>
      </c>
      <c r="F909" s="14">
        <f>'Empleo Censo'!I909</f>
        <v/>
      </c>
      <c r="G909" s="14">
        <f>'Empleo Censo'!J909+'Empleo Censo'!K909</f>
        <v/>
      </c>
      <c r="H909" s="14">
        <f>'Empleo Censo'!L909</f>
        <v/>
      </c>
      <c r="I909" s="14">
        <f>'Empleo Censo'!M909</f>
        <v/>
      </c>
      <c r="J909" s="14">
        <f>SUM('Empleo Censo'!N909:AA909)</f>
        <v/>
      </c>
      <c r="K909" s="14">
        <f>SUM(C909:J909)</f>
        <v/>
      </c>
      <c r="L909" s="15">
        <f>SUMPRODUCT(C909:J909,Factores!$B$3:$I$3)</f>
        <v/>
      </c>
      <c r="M909" s="16">
        <f>'Empleo Censo'!E909</f>
        <v/>
      </c>
      <c r="N909" s="17">
        <f>IF(M909&gt;0,L909,Factores!$B$7)</f>
        <v/>
      </c>
      <c r="O909">
        <f>IF(M909&gt;0,"OK","sin PEA -&gt; peor")</f>
        <v/>
      </c>
    </row>
    <row r="910">
      <c r="A910" t="inlineStr">
        <is>
          <t>221004</t>
        </is>
      </c>
      <c r="B910" t="inlineStr">
        <is>
          <t>SHUNTE</t>
        </is>
      </c>
      <c r="C910" s="14">
        <f>'Empleo Censo'!G910-'Empleo Censo'!F910</f>
        <v/>
      </c>
      <c r="D910" s="14">
        <f>'Empleo Censo'!F910</f>
        <v/>
      </c>
      <c r="E910" s="14">
        <f>'Empleo Censo'!H910</f>
        <v/>
      </c>
      <c r="F910" s="14">
        <f>'Empleo Censo'!I910</f>
        <v/>
      </c>
      <c r="G910" s="14">
        <f>'Empleo Censo'!J910+'Empleo Censo'!K910</f>
        <v/>
      </c>
      <c r="H910" s="14">
        <f>'Empleo Censo'!L910</f>
        <v/>
      </c>
      <c r="I910" s="14">
        <f>'Empleo Censo'!M910</f>
        <v/>
      </c>
      <c r="J910" s="14">
        <f>SUM('Empleo Censo'!N910:AA910)</f>
        <v/>
      </c>
      <c r="K910" s="14">
        <f>SUM(C910:J910)</f>
        <v/>
      </c>
      <c r="L910" s="15">
        <f>SUMPRODUCT(C910:J910,Factores!$B$3:$I$3)</f>
        <v/>
      </c>
      <c r="M910" s="16">
        <f>'Empleo Censo'!E910</f>
        <v/>
      </c>
      <c r="N910" s="17">
        <f>IF(M910&gt;0,L910,Factores!$B$7)</f>
        <v/>
      </c>
      <c r="O910">
        <f>IF(M910&gt;0,"OK","sin PEA -&gt; peor")</f>
        <v/>
      </c>
    </row>
    <row r="911">
      <c r="A911" t="inlineStr">
        <is>
          <t>221005</t>
        </is>
      </c>
      <c r="B911" t="inlineStr">
        <is>
          <t>UCHIZA</t>
        </is>
      </c>
      <c r="C911" s="14">
        <f>'Empleo Censo'!G911-'Empleo Censo'!F911</f>
        <v/>
      </c>
      <c r="D911" s="14">
        <f>'Empleo Censo'!F911</f>
        <v/>
      </c>
      <c r="E911" s="14">
        <f>'Empleo Censo'!H911</f>
        <v/>
      </c>
      <c r="F911" s="14">
        <f>'Empleo Censo'!I911</f>
        <v/>
      </c>
      <c r="G911" s="14">
        <f>'Empleo Censo'!J911+'Empleo Censo'!K911</f>
        <v/>
      </c>
      <c r="H911" s="14">
        <f>'Empleo Censo'!L911</f>
        <v/>
      </c>
      <c r="I911" s="14">
        <f>'Empleo Censo'!M911</f>
        <v/>
      </c>
      <c r="J911" s="14">
        <f>SUM('Empleo Censo'!N911:AA911)</f>
        <v/>
      </c>
      <c r="K911" s="14">
        <f>SUM(C911:J911)</f>
        <v/>
      </c>
      <c r="L911" s="15">
        <f>SUMPRODUCT(C911:J911,Factores!$B$3:$I$3)</f>
        <v/>
      </c>
      <c r="M911" s="16">
        <f>'Empleo Censo'!E911</f>
        <v/>
      </c>
      <c r="N911" s="17">
        <f>IF(M911&gt;0,L911,Factores!$B$7)</f>
        <v/>
      </c>
      <c r="O911">
        <f>IF(M911&gt;0,"OK","sin PEA -&gt; peor")</f>
        <v/>
      </c>
    </row>
    <row r="912">
      <c r="A912" t="inlineStr">
        <is>
          <t>221006</t>
        </is>
      </c>
      <c r="B912" t="inlineStr">
        <is>
          <t>SANTA LUCIA</t>
        </is>
      </c>
      <c r="C912" s="14">
        <f>'Empleo Censo'!G912-'Empleo Censo'!F912</f>
        <v/>
      </c>
      <c r="D912" s="14">
        <f>'Empleo Censo'!F912</f>
        <v/>
      </c>
      <c r="E912" s="14">
        <f>'Empleo Censo'!H912</f>
        <v/>
      </c>
      <c r="F912" s="14">
        <f>'Empleo Censo'!I912</f>
        <v/>
      </c>
      <c r="G912" s="14">
        <f>'Empleo Censo'!J912+'Empleo Censo'!K912</f>
        <v/>
      </c>
      <c r="H912" s="14">
        <f>'Empleo Censo'!L912</f>
        <v/>
      </c>
      <c r="I912" s="14">
        <f>'Empleo Censo'!M912</f>
        <v/>
      </c>
      <c r="J912" s="14">
        <f>SUM('Empleo Censo'!N912:AA912)</f>
        <v/>
      </c>
      <c r="K912" s="14">
        <f>SUM(C912:J912)</f>
        <v/>
      </c>
      <c r="L912" s="15">
        <f>SUMPRODUCT(C912:J912,Factores!$B$3:$I$3)</f>
        <v/>
      </c>
      <c r="M912" s="16">
        <f>'Empleo Censo'!E912</f>
        <v/>
      </c>
      <c r="N912" s="17">
        <f>IF(M912&gt;0,L912,Factores!$B$7)</f>
        <v/>
      </c>
      <c r="O912">
        <f>IF(M912&gt;0,"OK","sin PEA -&gt; peor")</f>
        <v/>
      </c>
    </row>
    <row r="913">
      <c r="A913" t="inlineStr">
        <is>
          <t>230101</t>
        </is>
      </c>
      <c r="B913" t="inlineStr">
        <is>
          <t>TACNA</t>
        </is>
      </c>
      <c r="C913" s="14">
        <f>'Empleo Censo'!G913-'Empleo Censo'!F913</f>
        <v/>
      </c>
      <c r="D913" s="14">
        <f>'Empleo Censo'!F913</f>
        <v/>
      </c>
      <c r="E913" s="14">
        <f>'Empleo Censo'!H913</f>
        <v/>
      </c>
      <c r="F913" s="14">
        <f>'Empleo Censo'!I913</f>
        <v/>
      </c>
      <c r="G913" s="14">
        <f>'Empleo Censo'!J913+'Empleo Censo'!K913</f>
        <v/>
      </c>
      <c r="H913" s="14">
        <f>'Empleo Censo'!L913</f>
        <v/>
      </c>
      <c r="I913" s="14">
        <f>'Empleo Censo'!M913</f>
        <v/>
      </c>
      <c r="J913" s="14">
        <f>SUM('Empleo Censo'!N913:AA913)</f>
        <v/>
      </c>
      <c r="K913" s="14">
        <f>SUM(C913:J913)</f>
        <v/>
      </c>
      <c r="L913" s="15">
        <f>SUMPRODUCT(C913:J913,Factores!$B$3:$I$3)</f>
        <v/>
      </c>
      <c r="M913" s="16">
        <f>'Empleo Censo'!E913</f>
        <v/>
      </c>
      <c r="N913" s="17">
        <f>IF(M913&gt;0,L913,Factores!$B$7)</f>
        <v/>
      </c>
      <c r="O913">
        <f>IF(M913&gt;0,"OK","sin PEA -&gt; peor")</f>
        <v/>
      </c>
    </row>
    <row r="914">
      <c r="A914" t="inlineStr">
        <is>
          <t>230102</t>
        </is>
      </c>
      <c r="B914" t="inlineStr">
        <is>
          <t>ALTO DE LA ALIANZA</t>
        </is>
      </c>
      <c r="C914" s="14">
        <f>'Empleo Censo'!G914-'Empleo Censo'!F914</f>
        <v/>
      </c>
      <c r="D914" s="14">
        <f>'Empleo Censo'!F914</f>
        <v/>
      </c>
      <c r="E914" s="14">
        <f>'Empleo Censo'!H914</f>
        <v/>
      </c>
      <c r="F914" s="14">
        <f>'Empleo Censo'!I914</f>
        <v/>
      </c>
      <c r="G914" s="14">
        <f>'Empleo Censo'!J914+'Empleo Censo'!K914</f>
        <v/>
      </c>
      <c r="H914" s="14">
        <f>'Empleo Censo'!L914</f>
        <v/>
      </c>
      <c r="I914" s="14">
        <f>'Empleo Censo'!M914</f>
        <v/>
      </c>
      <c r="J914" s="14">
        <f>SUM('Empleo Censo'!N914:AA914)</f>
        <v/>
      </c>
      <c r="K914" s="14">
        <f>SUM(C914:J914)</f>
        <v/>
      </c>
      <c r="L914" s="15">
        <f>SUMPRODUCT(C914:J914,Factores!$B$3:$I$3)</f>
        <v/>
      </c>
      <c r="M914" s="16">
        <f>'Empleo Censo'!E914</f>
        <v/>
      </c>
      <c r="N914" s="17">
        <f>IF(M914&gt;0,L914,Factores!$B$7)</f>
        <v/>
      </c>
      <c r="O914">
        <f>IF(M914&gt;0,"OK","sin PEA -&gt; peor")</f>
        <v/>
      </c>
    </row>
    <row r="915">
      <c r="A915" t="inlineStr">
        <is>
          <t>230103</t>
        </is>
      </c>
      <c r="B915" t="inlineStr">
        <is>
          <t>CALANA</t>
        </is>
      </c>
      <c r="C915" s="14">
        <f>'Empleo Censo'!G915-'Empleo Censo'!F915</f>
        <v/>
      </c>
      <c r="D915" s="14">
        <f>'Empleo Censo'!F915</f>
        <v/>
      </c>
      <c r="E915" s="14">
        <f>'Empleo Censo'!H915</f>
        <v/>
      </c>
      <c r="F915" s="14">
        <f>'Empleo Censo'!I915</f>
        <v/>
      </c>
      <c r="G915" s="14">
        <f>'Empleo Censo'!J915+'Empleo Censo'!K915</f>
        <v/>
      </c>
      <c r="H915" s="14">
        <f>'Empleo Censo'!L915</f>
        <v/>
      </c>
      <c r="I915" s="14">
        <f>'Empleo Censo'!M915</f>
        <v/>
      </c>
      <c r="J915" s="14">
        <f>SUM('Empleo Censo'!N915:AA915)</f>
        <v/>
      </c>
      <c r="K915" s="14">
        <f>SUM(C915:J915)</f>
        <v/>
      </c>
      <c r="L915" s="15">
        <f>SUMPRODUCT(C915:J915,Factores!$B$3:$I$3)</f>
        <v/>
      </c>
      <c r="M915" s="16">
        <f>'Empleo Censo'!E915</f>
        <v/>
      </c>
      <c r="N915" s="17">
        <f>IF(M915&gt;0,L915,Factores!$B$7)</f>
        <v/>
      </c>
      <c r="O915">
        <f>IF(M915&gt;0,"OK","sin PEA -&gt; peor")</f>
        <v/>
      </c>
    </row>
    <row r="916">
      <c r="A916" t="inlineStr">
        <is>
          <t>230104</t>
        </is>
      </c>
      <c r="B916" t="inlineStr">
        <is>
          <t>CIUDAD NUEVA</t>
        </is>
      </c>
      <c r="C916" s="14">
        <f>'Empleo Censo'!G916-'Empleo Censo'!F916</f>
        <v/>
      </c>
      <c r="D916" s="14">
        <f>'Empleo Censo'!F916</f>
        <v/>
      </c>
      <c r="E916" s="14">
        <f>'Empleo Censo'!H916</f>
        <v/>
      </c>
      <c r="F916" s="14">
        <f>'Empleo Censo'!I916</f>
        <v/>
      </c>
      <c r="G916" s="14">
        <f>'Empleo Censo'!J916+'Empleo Censo'!K916</f>
        <v/>
      </c>
      <c r="H916" s="14">
        <f>'Empleo Censo'!L916</f>
        <v/>
      </c>
      <c r="I916" s="14">
        <f>'Empleo Censo'!M916</f>
        <v/>
      </c>
      <c r="J916" s="14">
        <f>SUM('Empleo Censo'!N916:AA916)</f>
        <v/>
      </c>
      <c r="K916" s="14">
        <f>SUM(C916:J916)</f>
        <v/>
      </c>
      <c r="L916" s="15">
        <f>SUMPRODUCT(C916:J916,Factores!$B$3:$I$3)</f>
        <v/>
      </c>
      <c r="M916" s="16">
        <f>'Empleo Censo'!E916</f>
        <v/>
      </c>
      <c r="N916" s="17">
        <f>IF(M916&gt;0,L916,Factores!$B$7)</f>
        <v/>
      </c>
      <c r="O916">
        <f>IF(M916&gt;0,"OK","sin PEA -&gt; peor")</f>
        <v/>
      </c>
    </row>
    <row r="917">
      <c r="A917" t="inlineStr">
        <is>
          <t>230105</t>
        </is>
      </c>
      <c r="B917" t="inlineStr">
        <is>
          <t>INCLAN</t>
        </is>
      </c>
      <c r="C917" s="14">
        <f>'Empleo Censo'!G917-'Empleo Censo'!F917</f>
        <v/>
      </c>
      <c r="D917" s="14">
        <f>'Empleo Censo'!F917</f>
        <v/>
      </c>
      <c r="E917" s="14">
        <f>'Empleo Censo'!H917</f>
        <v/>
      </c>
      <c r="F917" s="14">
        <f>'Empleo Censo'!I917</f>
        <v/>
      </c>
      <c r="G917" s="14">
        <f>'Empleo Censo'!J917+'Empleo Censo'!K917</f>
        <v/>
      </c>
      <c r="H917" s="14">
        <f>'Empleo Censo'!L917</f>
        <v/>
      </c>
      <c r="I917" s="14">
        <f>'Empleo Censo'!M917</f>
        <v/>
      </c>
      <c r="J917" s="14">
        <f>SUM('Empleo Censo'!N917:AA917)</f>
        <v/>
      </c>
      <c r="K917" s="14">
        <f>SUM(C917:J917)</f>
        <v/>
      </c>
      <c r="L917" s="15">
        <f>SUMPRODUCT(C917:J917,Factores!$B$3:$I$3)</f>
        <v/>
      </c>
      <c r="M917" s="16">
        <f>'Empleo Censo'!E917</f>
        <v/>
      </c>
      <c r="N917" s="17">
        <f>IF(M917&gt;0,L917,Factores!$B$7)</f>
        <v/>
      </c>
      <c r="O917">
        <f>IF(M917&gt;0,"OK","sin PEA -&gt; peor")</f>
        <v/>
      </c>
    </row>
    <row r="918">
      <c r="A918" t="inlineStr">
        <is>
          <t>230106</t>
        </is>
      </c>
      <c r="B918" t="inlineStr">
        <is>
          <t>PACHIA</t>
        </is>
      </c>
      <c r="C918" s="14">
        <f>'Empleo Censo'!G918-'Empleo Censo'!F918</f>
        <v/>
      </c>
      <c r="D918" s="14">
        <f>'Empleo Censo'!F918</f>
        <v/>
      </c>
      <c r="E918" s="14">
        <f>'Empleo Censo'!H918</f>
        <v/>
      </c>
      <c r="F918" s="14">
        <f>'Empleo Censo'!I918</f>
        <v/>
      </c>
      <c r="G918" s="14">
        <f>'Empleo Censo'!J918+'Empleo Censo'!K918</f>
        <v/>
      </c>
      <c r="H918" s="14">
        <f>'Empleo Censo'!L918</f>
        <v/>
      </c>
      <c r="I918" s="14">
        <f>'Empleo Censo'!M918</f>
        <v/>
      </c>
      <c r="J918" s="14">
        <f>SUM('Empleo Censo'!N918:AA918)</f>
        <v/>
      </c>
      <c r="K918" s="14">
        <f>SUM(C918:J918)</f>
        <v/>
      </c>
      <c r="L918" s="15">
        <f>SUMPRODUCT(C918:J918,Factores!$B$3:$I$3)</f>
        <v/>
      </c>
      <c r="M918" s="16">
        <f>'Empleo Censo'!E918</f>
        <v/>
      </c>
      <c r="N918" s="17">
        <f>IF(M918&gt;0,L918,Factores!$B$7)</f>
        <v/>
      </c>
      <c r="O918">
        <f>IF(M918&gt;0,"OK","sin PEA -&gt; peor")</f>
        <v/>
      </c>
    </row>
    <row r="919">
      <c r="A919" t="inlineStr">
        <is>
          <t>230107</t>
        </is>
      </c>
      <c r="B919" t="inlineStr">
        <is>
          <t>PALCA</t>
        </is>
      </c>
      <c r="C919" s="14">
        <f>'Empleo Censo'!G919-'Empleo Censo'!F919</f>
        <v/>
      </c>
      <c r="D919" s="14">
        <f>'Empleo Censo'!F919</f>
        <v/>
      </c>
      <c r="E919" s="14">
        <f>'Empleo Censo'!H919</f>
        <v/>
      </c>
      <c r="F919" s="14">
        <f>'Empleo Censo'!I919</f>
        <v/>
      </c>
      <c r="G919" s="14">
        <f>'Empleo Censo'!J919+'Empleo Censo'!K919</f>
        <v/>
      </c>
      <c r="H919" s="14">
        <f>'Empleo Censo'!L919</f>
        <v/>
      </c>
      <c r="I919" s="14">
        <f>'Empleo Censo'!M919</f>
        <v/>
      </c>
      <c r="J919" s="14">
        <f>SUM('Empleo Censo'!N919:AA919)</f>
        <v/>
      </c>
      <c r="K919" s="14">
        <f>SUM(C919:J919)</f>
        <v/>
      </c>
      <c r="L919" s="15">
        <f>SUMPRODUCT(C919:J919,Factores!$B$3:$I$3)</f>
        <v/>
      </c>
      <c r="M919" s="16">
        <f>'Empleo Censo'!E919</f>
        <v/>
      </c>
      <c r="N919" s="17">
        <f>IF(M919&gt;0,L919,Factores!$B$7)</f>
        <v/>
      </c>
      <c r="O919">
        <f>IF(M919&gt;0,"OK","sin PEA -&gt; peor")</f>
        <v/>
      </c>
    </row>
    <row r="920">
      <c r="A920" t="inlineStr">
        <is>
          <t>230108</t>
        </is>
      </c>
      <c r="B920" t="inlineStr">
        <is>
          <t>POCOLLAY</t>
        </is>
      </c>
      <c r="C920" s="14">
        <f>'Empleo Censo'!G920-'Empleo Censo'!F920</f>
        <v/>
      </c>
      <c r="D920" s="14">
        <f>'Empleo Censo'!F920</f>
        <v/>
      </c>
      <c r="E920" s="14">
        <f>'Empleo Censo'!H920</f>
        <v/>
      </c>
      <c r="F920" s="14">
        <f>'Empleo Censo'!I920</f>
        <v/>
      </c>
      <c r="G920" s="14">
        <f>'Empleo Censo'!J920+'Empleo Censo'!K920</f>
        <v/>
      </c>
      <c r="H920" s="14">
        <f>'Empleo Censo'!L920</f>
        <v/>
      </c>
      <c r="I920" s="14">
        <f>'Empleo Censo'!M920</f>
        <v/>
      </c>
      <c r="J920" s="14">
        <f>SUM('Empleo Censo'!N920:AA920)</f>
        <v/>
      </c>
      <c r="K920" s="14">
        <f>SUM(C920:J920)</f>
        <v/>
      </c>
      <c r="L920" s="15">
        <f>SUMPRODUCT(C920:J920,Factores!$B$3:$I$3)</f>
        <v/>
      </c>
      <c r="M920" s="16">
        <f>'Empleo Censo'!E920</f>
        <v/>
      </c>
      <c r="N920" s="17">
        <f>IF(M920&gt;0,L920,Factores!$B$7)</f>
        <v/>
      </c>
      <c r="O920">
        <f>IF(M920&gt;0,"OK","sin PEA -&gt; peor")</f>
        <v/>
      </c>
    </row>
    <row r="921">
      <c r="A921" t="inlineStr">
        <is>
          <t>230109</t>
        </is>
      </c>
      <c r="B921" t="inlineStr">
        <is>
          <t>SAMA</t>
        </is>
      </c>
      <c r="C921" s="14">
        <f>'Empleo Censo'!G921-'Empleo Censo'!F921</f>
        <v/>
      </c>
      <c r="D921" s="14">
        <f>'Empleo Censo'!F921</f>
        <v/>
      </c>
      <c r="E921" s="14">
        <f>'Empleo Censo'!H921</f>
        <v/>
      </c>
      <c r="F921" s="14">
        <f>'Empleo Censo'!I921</f>
        <v/>
      </c>
      <c r="G921" s="14">
        <f>'Empleo Censo'!J921+'Empleo Censo'!K921</f>
        <v/>
      </c>
      <c r="H921" s="14">
        <f>'Empleo Censo'!L921</f>
        <v/>
      </c>
      <c r="I921" s="14">
        <f>'Empleo Censo'!M921</f>
        <v/>
      </c>
      <c r="J921" s="14">
        <f>SUM('Empleo Censo'!N921:AA921)</f>
        <v/>
      </c>
      <c r="K921" s="14">
        <f>SUM(C921:J921)</f>
        <v/>
      </c>
      <c r="L921" s="15">
        <f>SUMPRODUCT(C921:J921,Factores!$B$3:$I$3)</f>
        <v/>
      </c>
      <c r="M921" s="16">
        <f>'Empleo Censo'!E921</f>
        <v/>
      </c>
      <c r="N921" s="17">
        <f>IF(M921&gt;0,L921,Factores!$B$7)</f>
        <v/>
      </c>
      <c r="O921">
        <f>IF(M921&gt;0,"OK","sin PEA -&gt; peor")</f>
        <v/>
      </c>
    </row>
    <row r="922">
      <c r="A922" t="inlineStr">
        <is>
          <t>230110</t>
        </is>
      </c>
      <c r="B922" t="inlineStr">
        <is>
          <t>CORONEL GREGORIO ALBARRACIN LANCHIPA</t>
        </is>
      </c>
      <c r="C922" s="14">
        <f>'Empleo Censo'!G922-'Empleo Censo'!F922</f>
        <v/>
      </c>
      <c r="D922" s="14">
        <f>'Empleo Censo'!F922</f>
        <v/>
      </c>
      <c r="E922" s="14">
        <f>'Empleo Censo'!H922</f>
        <v/>
      </c>
      <c r="F922" s="14">
        <f>'Empleo Censo'!I922</f>
        <v/>
      </c>
      <c r="G922" s="14">
        <f>'Empleo Censo'!J922+'Empleo Censo'!K922</f>
        <v/>
      </c>
      <c r="H922" s="14">
        <f>'Empleo Censo'!L922</f>
        <v/>
      </c>
      <c r="I922" s="14">
        <f>'Empleo Censo'!M922</f>
        <v/>
      </c>
      <c r="J922" s="14">
        <f>SUM('Empleo Censo'!N922:AA922)</f>
        <v/>
      </c>
      <c r="K922" s="14">
        <f>SUM(C922:J922)</f>
        <v/>
      </c>
      <c r="L922" s="15">
        <f>SUMPRODUCT(C922:J922,Factores!$B$3:$I$3)</f>
        <v/>
      </c>
      <c r="M922" s="16">
        <f>'Empleo Censo'!E922</f>
        <v/>
      </c>
      <c r="N922" s="17">
        <f>IF(M922&gt;0,L922,Factores!$B$7)</f>
        <v/>
      </c>
      <c r="O922">
        <f>IF(M922&gt;0,"OK","sin PEA -&gt; peor")</f>
        <v/>
      </c>
    </row>
    <row r="923">
      <c r="A923" t="inlineStr">
        <is>
          <t>230111</t>
        </is>
      </c>
      <c r="B923" t="inlineStr">
        <is>
          <t>LA YARADA LOS PALOS</t>
        </is>
      </c>
      <c r="C923" s="14">
        <f>'Empleo Censo'!G923-'Empleo Censo'!F923</f>
        <v/>
      </c>
      <c r="D923" s="14">
        <f>'Empleo Censo'!F923</f>
        <v/>
      </c>
      <c r="E923" s="14">
        <f>'Empleo Censo'!H923</f>
        <v/>
      </c>
      <c r="F923" s="14">
        <f>'Empleo Censo'!I923</f>
        <v/>
      </c>
      <c r="G923" s="14">
        <f>'Empleo Censo'!J923+'Empleo Censo'!K923</f>
        <v/>
      </c>
      <c r="H923" s="14">
        <f>'Empleo Censo'!L923</f>
        <v/>
      </c>
      <c r="I923" s="14">
        <f>'Empleo Censo'!M923</f>
        <v/>
      </c>
      <c r="J923" s="14">
        <f>SUM('Empleo Censo'!N923:AA923)</f>
        <v/>
      </c>
      <c r="K923" s="14">
        <f>SUM(C923:J923)</f>
        <v/>
      </c>
      <c r="L923" s="15">
        <f>SUMPRODUCT(C923:J923,Factores!$B$3:$I$3)</f>
        <v/>
      </c>
      <c r="M923" s="16">
        <f>'Empleo Censo'!E923</f>
        <v/>
      </c>
      <c r="N923" s="17">
        <f>IF(M923&gt;0,L923,Factores!$B$7)</f>
        <v/>
      </c>
      <c r="O923">
        <f>IF(M923&gt;0,"OK","sin PEA -&gt; peor")</f>
        <v/>
      </c>
    </row>
    <row r="924">
      <c r="A924" t="inlineStr">
        <is>
          <t>230201</t>
        </is>
      </c>
      <c r="B924" t="inlineStr">
        <is>
          <t>CANDARAVE</t>
        </is>
      </c>
      <c r="C924" s="14">
        <f>'Empleo Censo'!G924-'Empleo Censo'!F924</f>
        <v/>
      </c>
      <c r="D924" s="14">
        <f>'Empleo Censo'!F924</f>
        <v/>
      </c>
      <c r="E924" s="14">
        <f>'Empleo Censo'!H924</f>
        <v/>
      </c>
      <c r="F924" s="14">
        <f>'Empleo Censo'!I924</f>
        <v/>
      </c>
      <c r="G924" s="14">
        <f>'Empleo Censo'!J924+'Empleo Censo'!K924</f>
        <v/>
      </c>
      <c r="H924" s="14">
        <f>'Empleo Censo'!L924</f>
        <v/>
      </c>
      <c r="I924" s="14">
        <f>'Empleo Censo'!M924</f>
        <v/>
      </c>
      <c r="J924" s="14">
        <f>SUM('Empleo Censo'!N924:AA924)</f>
        <v/>
      </c>
      <c r="K924" s="14">
        <f>SUM(C924:J924)</f>
        <v/>
      </c>
      <c r="L924" s="15">
        <f>SUMPRODUCT(C924:J924,Factores!$B$3:$I$3)</f>
        <v/>
      </c>
      <c r="M924" s="16">
        <f>'Empleo Censo'!E924</f>
        <v/>
      </c>
      <c r="N924" s="17">
        <f>IF(M924&gt;0,L924,Factores!$B$7)</f>
        <v/>
      </c>
      <c r="O924">
        <f>IF(M924&gt;0,"OK","sin PEA -&gt; peor")</f>
        <v/>
      </c>
    </row>
    <row r="925">
      <c r="A925" t="inlineStr">
        <is>
          <t>230202</t>
        </is>
      </c>
      <c r="B925" t="inlineStr">
        <is>
          <t>CAIRANI</t>
        </is>
      </c>
      <c r="C925" s="14">
        <f>'Empleo Censo'!G925-'Empleo Censo'!F925</f>
        <v/>
      </c>
      <c r="D925" s="14">
        <f>'Empleo Censo'!F925</f>
        <v/>
      </c>
      <c r="E925" s="14">
        <f>'Empleo Censo'!H925</f>
        <v/>
      </c>
      <c r="F925" s="14">
        <f>'Empleo Censo'!I925</f>
        <v/>
      </c>
      <c r="G925" s="14">
        <f>'Empleo Censo'!J925+'Empleo Censo'!K925</f>
        <v/>
      </c>
      <c r="H925" s="14">
        <f>'Empleo Censo'!L925</f>
        <v/>
      </c>
      <c r="I925" s="14">
        <f>'Empleo Censo'!M925</f>
        <v/>
      </c>
      <c r="J925" s="14">
        <f>SUM('Empleo Censo'!N925:AA925)</f>
        <v/>
      </c>
      <c r="K925" s="14">
        <f>SUM(C925:J925)</f>
        <v/>
      </c>
      <c r="L925" s="15">
        <f>SUMPRODUCT(C925:J925,Factores!$B$3:$I$3)</f>
        <v/>
      </c>
      <c r="M925" s="16">
        <f>'Empleo Censo'!E925</f>
        <v/>
      </c>
      <c r="N925" s="17">
        <f>IF(M925&gt;0,L925,Factores!$B$7)</f>
        <v/>
      </c>
      <c r="O925">
        <f>IF(M925&gt;0,"OK","sin PEA -&gt; peor")</f>
        <v/>
      </c>
    </row>
    <row r="926">
      <c r="A926" t="inlineStr">
        <is>
          <t>230203</t>
        </is>
      </c>
      <c r="B926" t="inlineStr">
        <is>
          <t>CAMILACA</t>
        </is>
      </c>
      <c r="C926" s="14">
        <f>'Empleo Censo'!G926-'Empleo Censo'!F926</f>
        <v/>
      </c>
      <c r="D926" s="14">
        <f>'Empleo Censo'!F926</f>
        <v/>
      </c>
      <c r="E926" s="14">
        <f>'Empleo Censo'!H926</f>
        <v/>
      </c>
      <c r="F926" s="14">
        <f>'Empleo Censo'!I926</f>
        <v/>
      </c>
      <c r="G926" s="14">
        <f>'Empleo Censo'!J926+'Empleo Censo'!K926</f>
        <v/>
      </c>
      <c r="H926" s="14">
        <f>'Empleo Censo'!L926</f>
        <v/>
      </c>
      <c r="I926" s="14">
        <f>'Empleo Censo'!M926</f>
        <v/>
      </c>
      <c r="J926" s="14">
        <f>SUM('Empleo Censo'!N926:AA926)</f>
        <v/>
      </c>
      <c r="K926" s="14">
        <f>SUM(C926:J926)</f>
        <v/>
      </c>
      <c r="L926" s="15">
        <f>SUMPRODUCT(C926:J926,Factores!$B$3:$I$3)</f>
        <v/>
      </c>
      <c r="M926" s="16">
        <f>'Empleo Censo'!E926</f>
        <v/>
      </c>
      <c r="N926" s="17">
        <f>IF(M926&gt;0,L926,Factores!$B$7)</f>
        <v/>
      </c>
      <c r="O926">
        <f>IF(M926&gt;0,"OK","sin PEA -&gt; peor")</f>
        <v/>
      </c>
    </row>
    <row r="927">
      <c r="A927" t="inlineStr">
        <is>
          <t>230204</t>
        </is>
      </c>
      <c r="B927" t="inlineStr">
        <is>
          <t>CURIBAYA</t>
        </is>
      </c>
      <c r="C927" s="14">
        <f>'Empleo Censo'!G927-'Empleo Censo'!F927</f>
        <v/>
      </c>
      <c r="D927" s="14">
        <f>'Empleo Censo'!F927</f>
        <v/>
      </c>
      <c r="E927" s="14">
        <f>'Empleo Censo'!H927</f>
        <v/>
      </c>
      <c r="F927" s="14">
        <f>'Empleo Censo'!I927</f>
        <v/>
      </c>
      <c r="G927" s="14">
        <f>'Empleo Censo'!J927+'Empleo Censo'!K927</f>
        <v/>
      </c>
      <c r="H927" s="14">
        <f>'Empleo Censo'!L927</f>
        <v/>
      </c>
      <c r="I927" s="14">
        <f>'Empleo Censo'!M927</f>
        <v/>
      </c>
      <c r="J927" s="14">
        <f>SUM('Empleo Censo'!N927:AA927)</f>
        <v/>
      </c>
      <c r="K927" s="14">
        <f>SUM(C927:J927)</f>
        <v/>
      </c>
      <c r="L927" s="15">
        <f>SUMPRODUCT(C927:J927,Factores!$B$3:$I$3)</f>
        <v/>
      </c>
      <c r="M927" s="16">
        <f>'Empleo Censo'!E927</f>
        <v/>
      </c>
      <c r="N927" s="17">
        <f>IF(M927&gt;0,L927,Factores!$B$7)</f>
        <v/>
      </c>
      <c r="O927">
        <f>IF(M927&gt;0,"OK","sin PEA -&gt; peor")</f>
        <v/>
      </c>
    </row>
    <row r="928">
      <c r="A928" t="inlineStr">
        <is>
          <t>230205</t>
        </is>
      </c>
      <c r="B928" t="inlineStr">
        <is>
          <t>HUANUARA</t>
        </is>
      </c>
      <c r="C928" s="14">
        <f>'Empleo Censo'!G928-'Empleo Censo'!F928</f>
        <v/>
      </c>
      <c r="D928" s="14">
        <f>'Empleo Censo'!F928</f>
        <v/>
      </c>
      <c r="E928" s="14">
        <f>'Empleo Censo'!H928</f>
        <v/>
      </c>
      <c r="F928" s="14">
        <f>'Empleo Censo'!I928</f>
        <v/>
      </c>
      <c r="G928" s="14">
        <f>'Empleo Censo'!J928+'Empleo Censo'!K928</f>
        <v/>
      </c>
      <c r="H928" s="14">
        <f>'Empleo Censo'!L928</f>
        <v/>
      </c>
      <c r="I928" s="14">
        <f>'Empleo Censo'!M928</f>
        <v/>
      </c>
      <c r="J928" s="14">
        <f>SUM('Empleo Censo'!N928:AA928)</f>
        <v/>
      </c>
      <c r="K928" s="14">
        <f>SUM(C928:J928)</f>
        <v/>
      </c>
      <c r="L928" s="15">
        <f>SUMPRODUCT(C928:J928,Factores!$B$3:$I$3)</f>
        <v/>
      </c>
      <c r="M928" s="16">
        <f>'Empleo Censo'!E928</f>
        <v/>
      </c>
      <c r="N928" s="17">
        <f>IF(M928&gt;0,L928,Factores!$B$7)</f>
        <v/>
      </c>
      <c r="O928">
        <f>IF(M928&gt;0,"OK","sin PEA -&gt; peor")</f>
        <v/>
      </c>
    </row>
    <row r="929">
      <c r="A929" t="inlineStr">
        <is>
          <t>230206</t>
        </is>
      </c>
      <c r="B929" t="inlineStr">
        <is>
          <t>QUILAHUANI</t>
        </is>
      </c>
      <c r="C929" s="14">
        <f>'Empleo Censo'!G929-'Empleo Censo'!F929</f>
        <v/>
      </c>
      <c r="D929" s="14">
        <f>'Empleo Censo'!F929</f>
        <v/>
      </c>
      <c r="E929" s="14">
        <f>'Empleo Censo'!H929</f>
        <v/>
      </c>
      <c r="F929" s="14">
        <f>'Empleo Censo'!I929</f>
        <v/>
      </c>
      <c r="G929" s="14">
        <f>'Empleo Censo'!J929+'Empleo Censo'!K929</f>
        <v/>
      </c>
      <c r="H929" s="14">
        <f>'Empleo Censo'!L929</f>
        <v/>
      </c>
      <c r="I929" s="14">
        <f>'Empleo Censo'!M929</f>
        <v/>
      </c>
      <c r="J929" s="14">
        <f>SUM('Empleo Censo'!N929:AA929)</f>
        <v/>
      </c>
      <c r="K929" s="14">
        <f>SUM(C929:J929)</f>
        <v/>
      </c>
      <c r="L929" s="15">
        <f>SUMPRODUCT(C929:J929,Factores!$B$3:$I$3)</f>
        <v/>
      </c>
      <c r="M929" s="16">
        <f>'Empleo Censo'!E929</f>
        <v/>
      </c>
      <c r="N929" s="17">
        <f>IF(M929&gt;0,L929,Factores!$B$7)</f>
        <v/>
      </c>
      <c r="O929">
        <f>IF(M929&gt;0,"OK","sin PEA -&gt; peor")</f>
        <v/>
      </c>
    </row>
    <row r="930">
      <c r="A930" t="inlineStr">
        <is>
          <t>230301</t>
        </is>
      </c>
      <c r="B930" t="inlineStr">
        <is>
          <t>LOCUMBA</t>
        </is>
      </c>
      <c r="C930" s="14">
        <f>'Empleo Censo'!G930-'Empleo Censo'!F930</f>
        <v/>
      </c>
      <c r="D930" s="14">
        <f>'Empleo Censo'!F930</f>
        <v/>
      </c>
      <c r="E930" s="14">
        <f>'Empleo Censo'!H930</f>
        <v/>
      </c>
      <c r="F930" s="14">
        <f>'Empleo Censo'!I930</f>
        <v/>
      </c>
      <c r="G930" s="14">
        <f>'Empleo Censo'!J930+'Empleo Censo'!K930</f>
        <v/>
      </c>
      <c r="H930" s="14">
        <f>'Empleo Censo'!L930</f>
        <v/>
      </c>
      <c r="I930" s="14">
        <f>'Empleo Censo'!M930</f>
        <v/>
      </c>
      <c r="J930" s="14">
        <f>SUM('Empleo Censo'!N930:AA930)</f>
        <v/>
      </c>
      <c r="K930" s="14">
        <f>SUM(C930:J930)</f>
        <v/>
      </c>
      <c r="L930" s="15">
        <f>SUMPRODUCT(C930:J930,Factores!$B$3:$I$3)</f>
        <v/>
      </c>
      <c r="M930" s="16">
        <f>'Empleo Censo'!E930</f>
        <v/>
      </c>
      <c r="N930" s="17">
        <f>IF(M930&gt;0,L930,Factores!$B$7)</f>
        <v/>
      </c>
      <c r="O930">
        <f>IF(M930&gt;0,"OK","sin PEA -&gt; peor")</f>
        <v/>
      </c>
    </row>
    <row r="931">
      <c r="A931" t="inlineStr">
        <is>
          <t>230302</t>
        </is>
      </c>
      <c r="B931" t="inlineStr">
        <is>
          <t>ILABAYA</t>
        </is>
      </c>
      <c r="C931" s="14">
        <f>'Empleo Censo'!G931-'Empleo Censo'!F931</f>
        <v/>
      </c>
      <c r="D931" s="14">
        <f>'Empleo Censo'!F931</f>
        <v/>
      </c>
      <c r="E931" s="14">
        <f>'Empleo Censo'!H931</f>
        <v/>
      </c>
      <c r="F931" s="14">
        <f>'Empleo Censo'!I931</f>
        <v/>
      </c>
      <c r="G931" s="14">
        <f>'Empleo Censo'!J931+'Empleo Censo'!K931</f>
        <v/>
      </c>
      <c r="H931" s="14">
        <f>'Empleo Censo'!L931</f>
        <v/>
      </c>
      <c r="I931" s="14">
        <f>'Empleo Censo'!M931</f>
        <v/>
      </c>
      <c r="J931" s="14">
        <f>SUM('Empleo Censo'!N931:AA931)</f>
        <v/>
      </c>
      <c r="K931" s="14">
        <f>SUM(C931:J931)</f>
        <v/>
      </c>
      <c r="L931" s="15">
        <f>SUMPRODUCT(C931:J931,Factores!$B$3:$I$3)</f>
        <v/>
      </c>
      <c r="M931" s="16">
        <f>'Empleo Censo'!E931</f>
        <v/>
      </c>
      <c r="N931" s="17">
        <f>IF(M931&gt;0,L931,Factores!$B$7)</f>
        <v/>
      </c>
      <c r="O931">
        <f>IF(M931&gt;0,"OK","sin PEA -&gt; peor")</f>
        <v/>
      </c>
    </row>
    <row r="932">
      <c r="A932" t="inlineStr">
        <is>
          <t>230303</t>
        </is>
      </c>
      <c r="B932" t="inlineStr">
        <is>
          <t>ITE</t>
        </is>
      </c>
      <c r="C932" s="14">
        <f>'Empleo Censo'!G932-'Empleo Censo'!F932</f>
        <v/>
      </c>
      <c r="D932" s="14">
        <f>'Empleo Censo'!F932</f>
        <v/>
      </c>
      <c r="E932" s="14">
        <f>'Empleo Censo'!H932</f>
        <v/>
      </c>
      <c r="F932" s="14">
        <f>'Empleo Censo'!I932</f>
        <v/>
      </c>
      <c r="G932" s="14">
        <f>'Empleo Censo'!J932+'Empleo Censo'!K932</f>
        <v/>
      </c>
      <c r="H932" s="14">
        <f>'Empleo Censo'!L932</f>
        <v/>
      </c>
      <c r="I932" s="14">
        <f>'Empleo Censo'!M932</f>
        <v/>
      </c>
      <c r="J932" s="14">
        <f>SUM('Empleo Censo'!N932:AA932)</f>
        <v/>
      </c>
      <c r="K932" s="14">
        <f>SUM(C932:J932)</f>
        <v/>
      </c>
      <c r="L932" s="15">
        <f>SUMPRODUCT(C932:J932,Factores!$B$3:$I$3)</f>
        <v/>
      </c>
      <c r="M932" s="16">
        <f>'Empleo Censo'!E932</f>
        <v/>
      </c>
      <c r="N932" s="17">
        <f>IF(M932&gt;0,L932,Factores!$B$7)</f>
        <v/>
      </c>
      <c r="O932">
        <f>IF(M932&gt;0,"OK","sin PEA -&gt; peor")</f>
        <v/>
      </c>
    </row>
    <row r="933">
      <c r="A933" t="inlineStr">
        <is>
          <t>230401</t>
        </is>
      </c>
      <c r="B933" t="inlineStr">
        <is>
          <t>TARATA</t>
        </is>
      </c>
      <c r="C933" s="14">
        <f>'Empleo Censo'!G933-'Empleo Censo'!F933</f>
        <v/>
      </c>
      <c r="D933" s="14">
        <f>'Empleo Censo'!F933</f>
        <v/>
      </c>
      <c r="E933" s="14">
        <f>'Empleo Censo'!H933</f>
        <v/>
      </c>
      <c r="F933" s="14">
        <f>'Empleo Censo'!I933</f>
        <v/>
      </c>
      <c r="G933" s="14">
        <f>'Empleo Censo'!J933+'Empleo Censo'!K933</f>
        <v/>
      </c>
      <c r="H933" s="14">
        <f>'Empleo Censo'!L933</f>
        <v/>
      </c>
      <c r="I933" s="14">
        <f>'Empleo Censo'!M933</f>
        <v/>
      </c>
      <c r="J933" s="14">
        <f>SUM('Empleo Censo'!N933:AA933)</f>
        <v/>
      </c>
      <c r="K933" s="14">
        <f>SUM(C933:J933)</f>
        <v/>
      </c>
      <c r="L933" s="15">
        <f>SUMPRODUCT(C933:J933,Factores!$B$3:$I$3)</f>
        <v/>
      </c>
      <c r="M933" s="16">
        <f>'Empleo Censo'!E933</f>
        <v/>
      </c>
      <c r="N933" s="17">
        <f>IF(M933&gt;0,L933,Factores!$B$7)</f>
        <v/>
      </c>
      <c r="O933">
        <f>IF(M933&gt;0,"OK","sin PEA -&gt; peor")</f>
        <v/>
      </c>
    </row>
    <row r="934">
      <c r="A934" t="inlineStr">
        <is>
          <t>230402</t>
        </is>
      </c>
      <c r="B934" t="inlineStr">
        <is>
          <t>H├ëROES ALBARRAC├ìN</t>
        </is>
      </c>
      <c r="C934" s="14">
        <f>'Empleo Censo'!G934-'Empleo Censo'!F934</f>
        <v/>
      </c>
      <c r="D934" s="14">
        <f>'Empleo Censo'!F934</f>
        <v/>
      </c>
      <c r="E934" s="14">
        <f>'Empleo Censo'!H934</f>
        <v/>
      </c>
      <c r="F934" s="14">
        <f>'Empleo Censo'!I934</f>
        <v/>
      </c>
      <c r="G934" s="14">
        <f>'Empleo Censo'!J934+'Empleo Censo'!K934</f>
        <v/>
      </c>
      <c r="H934" s="14">
        <f>'Empleo Censo'!L934</f>
        <v/>
      </c>
      <c r="I934" s="14">
        <f>'Empleo Censo'!M934</f>
        <v/>
      </c>
      <c r="J934" s="14">
        <f>SUM('Empleo Censo'!N934:AA934)</f>
        <v/>
      </c>
      <c r="K934" s="14">
        <f>SUM(C934:J934)</f>
        <v/>
      </c>
      <c r="L934" s="15">
        <f>SUMPRODUCT(C934:J934,Factores!$B$3:$I$3)</f>
        <v/>
      </c>
      <c r="M934" s="16">
        <f>'Empleo Censo'!E934</f>
        <v/>
      </c>
      <c r="N934" s="17">
        <f>IF(M934&gt;0,L934,Factores!$B$7)</f>
        <v/>
      </c>
      <c r="O934">
        <f>IF(M934&gt;0,"OK","sin PEA -&gt; peor")</f>
        <v/>
      </c>
    </row>
    <row r="935">
      <c r="A935" t="inlineStr">
        <is>
          <t>230403</t>
        </is>
      </c>
      <c r="B935" t="inlineStr">
        <is>
          <t>ESTIQUE</t>
        </is>
      </c>
      <c r="C935" s="14">
        <f>'Empleo Censo'!G935-'Empleo Censo'!F935</f>
        <v/>
      </c>
      <c r="D935" s="14">
        <f>'Empleo Censo'!F935</f>
        <v/>
      </c>
      <c r="E935" s="14">
        <f>'Empleo Censo'!H935</f>
        <v/>
      </c>
      <c r="F935" s="14">
        <f>'Empleo Censo'!I935</f>
        <v/>
      </c>
      <c r="G935" s="14">
        <f>'Empleo Censo'!J935+'Empleo Censo'!K935</f>
        <v/>
      </c>
      <c r="H935" s="14">
        <f>'Empleo Censo'!L935</f>
        <v/>
      </c>
      <c r="I935" s="14">
        <f>'Empleo Censo'!M935</f>
        <v/>
      </c>
      <c r="J935" s="14">
        <f>SUM('Empleo Censo'!N935:AA935)</f>
        <v/>
      </c>
      <c r="K935" s="14">
        <f>SUM(C935:J935)</f>
        <v/>
      </c>
      <c r="L935" s="15">
        <f>SUMPRODUCT(C935:J935,Factores!$B$3:$I$3)</f>
        <v/>
      </c>
      <c r="M935" s="16">
        <f>'Empleo Censo'!E935</f>
        <v/>
      </c>
      <c r="N935" s="17">
        <f>IF(M935&gt;0,L935,Factores!$B$7)</f>
        <v/>
      </c>
      <c r="O935">
        <f>IF(M935&gt;0,"OK","sin PEA -&gt; peor")</f>
        <v/>
      </c>
    </row>
    <row r="936">
      <c r="A936" t="inlineStr">
        <is>
          <t>230404</t>
        </is>
      </c>
      <c r="B936" t="inlineStr">
        <is>
          <t>ESTIQUE-PAMPA</t>
        </is>
      </c>
      <c r="C936" s="14">
        <f>'Empleo Censo'!G936-'Empleo Censo'!F936</f>
        <v/>
      </c>
      <c r="D936" s="14">
        <f>'Empleo Censo'!F936</f>
        <v/>
      </c>
      <c r="E936" s="14">
        <f>'Empleo Censo'!H936</f>
        <v/>
      </c>
      <c r="F936" s="14">
        <f>'Empleo Censo'!I936</f>
        <v/>
      </c>
      <c r="G936" s="14">
        <f>'Empleo Censo'!J936+'Empleo Censo'!K936</f>
        <v/>
      </c>
      <c r="H936" s="14">
        <f>'Empleo Censo'!L936</f>
        <v/>
      </c>
      <c r="I936" s="14">
        <f>'Empleo Censo'!M936</f>
        <v/>
      </c>
      <c r="J936" s="14">
        <f>SUM('Empleo Censo'!N936:AA936)</f>
        <v/>
      </c>
      <c r="K936" s="14">
        <f>SUM(C936:J936)</f>
        <v/>
      </c>
      <c r="L936" s="15">
        <f>SUMPRODUCT(C936:J936,Factores!$B$3:$I$3)</f>
        <v/>
      </c>
      <c r="M936" s="16">
        <f>'Empleo Censo'!E936</f>
        <v/>
      </c>
      <c r="N936" s="17">
        <f>IF(M936&gt;0,L936,Factores!$B$7)</f>
        <v/>
      </c>
      <c r="O936">
        <f>IF(M936&gt;0,"OK","sin PEA -&gt; peor")</f>
        <v/>
      </c>
    </row>
    <row r="937">
      <c r="A937" t="inlineStr">
        <is>
          <t>230405</t>
        </is>
      </c>
      <c r="B937" t="inlineStr">
        <is>
          <t>SITAJARA</t>
        </is>
      </c>
      <c r="C937" s="14">
        <f>'Empleo Censo'!G937-'Empleo Censo'!F937</f>
        <v/>
      </c>
      <c r="D937" s="14">
        <f>'Empleo Censo'!F937</f>
        <v/>
      </c>
      <c r="E937" s="14">
        <f>'Empleo Censo'!H937</f>
        <v/>
      </c>
      <c r="F937" s="14">
        <f>'Empleo Censo'!I937</f>
        <v/>
      </c>
      <c r="G937" s="14">
        <f>'Empleo Censo'!J937+'Empleo Censo'!K937</f>
        <v/>
      </c>
      <c r="H937" s="14">
        <f>'Empleo Censo'!L937</f>
        <v/>
      </c>
      <c r="I937" s="14">
        <f>'Empleo Censo'!M937</f>
        <v/>
      </c>
      <c r="J937" s="14">
        <f>SUM('Empleo Censo'!N937:AA937)</f>
        <v/>
      </c>
      <c r="K937" s="14">
        <f>SUM(C937:J937)</f>
        <v/>
      </c>
      <c r="L937" s="15">
        <f>SUMPRODUCT(C937:J937,Factores!$B$3:$I$3)</f>
        <v/>
      </c>
      <c r="M937" s="16">
        <f>'Empleo Censo'!E937</f>
        <v/>
      </c>
      <c r="N937" s="17">
        <f>IF(M937&gt;0,L937,Factores!$B$7)</f>
        <v/>
      </c>
      <c r="O937">
        <f>IF(M937&gt;0,"OK","sin PEA -&gt; peor")</f>
        <v/>
      </c>
    </row>
    <row r="938">
      <c r="A938" t="inlineStr">
        <is>
          <t>230406</t>
        </is>
      </c>
      <c r="B938" t="inlineStr">
        <is>
          <t>SUSAPAYA</t>
        </is>
      </c>
      <c r="C938" s="14">
        <f>'Empleo Censo'!G938-'Empleo Censo'!F938</f>
        <v/>
      </c>
      <c r="D938" s="14">
        <f>'Empleo Censo'!F938</f>
        <v/>
      </c>
      <c r="E938" s="14">
        <f>'Empleo Censo'!H938</f>
        <v/>
      </c>
      <c r="F938" s="14">
        <f>'Empleo Censo'!I938</f>
        <v/>
      </c>
      <c r="G938" s="14">
        <f>'Empleo Censo'!J938+'Empleo Censo'!K938</f>
        <v/>
      </c>
      <c r="H938" s="14">
        <f>'Empleo Censo'!L938</f>
        <v/>
      </c>
      <c r="I938" s="14">
        <f>'Empleo Censo'!M938</f>
        <v/>
      </c>
      <c r="J938" s="14">
        <f>SUM('Empleo Censo'!N938:AA938)</f>
        <v/>
      </c>
      <c r="K938" s="14">
        <f>SUM(C938:J938)</f>
        <v/>
      </c>
      <c r="L938" s="15">
        <f>SUMPRODUCT(C938:J938,Factores!$B$3:$I$3)</f>
        <v/>
      </c>
      <c r="M938" s="16">
        <f>'Empleo Censo'!E938</f>
        <v/>
      </c>
      <c r="N938" s="17">
        <f>IF(M938&gt;0,L938,Factores!$B$7)</f>
        <v/>
      </c>
      <c r="O938">
        <f>IF(M938&gt;0,"OK","sin PEA -&gt; peor")</f>
        <v/>
      </c>
    </row>
    <row r="939">
      <c r="A939" t="inlineStr">
        <is>
          <t>230407</t>
        </is>
      </c>
      <c r="B939" t="inlineStr">
        <is>
          <t>TARUCACHI</t>
        </is>
      </c>
      <c r="C939" s="14">
        <f>'Empleo Censo'!G939-'Empleo Censo'!F939</f>
        <v/>
      </c>
      <c r="D939" s="14">
        <f>'Empleo Censo'!F939</f>
        <v/>
      </c>
      <c r="E939" s="14">
        <f>'Empleo Censo'!H939</f>
        <v/>
      </c>
      <c r="F939" s="14">
        <f>'Empleo Censo'!I939</f>
        <v/>
      </c>
      <c r="G939" s="14">
        <f>'Empleo Censo'!J939+'Empleo Censo'!K939</f>
        <v/>
      </c>
      <c r="H939" s="14">
        <f>'Empleo Censo'!L939</f>
        <v/>
      </c>
      <c r="I939" s="14">
        <f>'Empleo Censo'!M939</f>
        <v/>
      </c>
      <c r="J939" s="14">
        <f>SUM('Empleo Censo'!N939:AA939)</f>
        <v/>
      </c>
      <c r="K939" s="14">
        <f>SUM(C939:J939)</f>
        <v/>
      </c>
      <c r="L939" s="15">
        <f>SUMPRODUCT(C939:J939,Factores!$B$3:$I$3)</f>
        <v/>
      </c>
      <c r="M939" s="16">
        <f>'Empleo Censo'!E939</f>
        <v/>
      </c>
      <c r="N939" s="17">
        <f>IF(M939&gt;0,L939,Factores!$B$7)</f>
        <v/>
      </c>
      <c r="O939">
        <f>IF(M939&gt;0,"OK","sin PEA -&gt; peor")</f>
        <v/>
      </c>
    </row>
    <row r="940">
      <c r="A940" t="inlineStr">
        <is>
          <t>230408</t>
        </is>
      </c>
      <c r="B940" t="inlineStr">
        <is>
          <t>TICACO</t>
        </is>
      </c>
      <c r="C940" s="14">
        <f>'Empleo Censo'!G940-'Empleo Censo'!F940</f>
        <v/>
      </c>
      <c r="D940" s="14">
        <f>'Empleo Censo'!F940</f>
        <v/>
      </c>
      <c r="E940" s="14">
        <f>'Empleo Censo'!H940</f>
        <v/>
      </c>
      <c r="F940" s="14">
        <f>'Empleo Censo'!I940</f>
        <v/>
      </c>
      <c r="G940" s="14">
        <f>'Empleo Censo'!J940+'Empleo Censo'!K940</f>
        <v/>
      </c>
      <c r="H940" s="14">
        <f>'Empleo Censo'!L940</f>
        <v/>
      </c>
      <c r="I940" s="14">
        <f>'Empleo Censo'!M940</f>
        <v/>
      </c>
      <c r="J940" s="14">
        <f>SUM('Empleo Censo'!N940:AA940)</f>
        <v/>
      </c>
      <c r="K940" s="14">
        <f>SUM(C940:J940)</f>
        <v/>
      </c>
      <c r="L940" s="15">
        <f>SUMPRODUCT(C940:J940,Factores!$B$3:$I$3)</f>
        <v/>
      </c>
      <c r="M940" s="16">
        <f>'Empleo Censo'!E940</f>
        <v/>
      </c>
      <c r="N940" s="17">
        <f>IF(M940&gt;0,L940,Factores!$B$7)</f>
        <v/>
      </c>
      <c r="O940">
        <f>IF(M940&gt;0,"OK","sin PEA -&gt; peor")</f>
        <v/>
      </c>
    </row>
    <row r="941">
      <c r="A941" t="inlineStr">
        <is>
          <t>240101</t>
        </is>
      </c>
      <c r="B941" t="inlineStr">
        <is>
          <t>TUMBES</t>
        </is>
      </c>
      <c r="C941" s="14">
        <f>'Empleo Censo'!G941-'Empleo Censo'!F941</f>
        <v/>
      </c>
      <c r="D941" s="14">
        <f>'Empleo Censo'!F941</f>
        <v/>
      </c>
      <c r="E941" s="14">
        <f>'Empleo Censo'!H941</f>
        <v/>
      </c>
      <c r="F941" s="14">
        <f>'Empleo Censo'!I941</f>
        <v/>
      </c>
      <c r="G941" s="14">
        <f>'Empleo Censo'!J941+'Empleo Censo'!K941</f>
        <v/>
      </c>
      <c r="H941" s="14">
        <f>'Empleo Censo'!L941</f>
        <v/>
      </c>
      <c r="I941" s="14">
        <f>'Empleo Censo'!M941</f>
        <v/>
      </c>
      <c r="J941" s="14">
        <f>SUM('Empleo Censo'!N941:AA941)</f>
        <v/>
      </c>
      <c r="K941" s="14">
        <f>SUM(C941:J941)</f>
        <v/>
      </c>
      <c r="L941" s="15">
        <f>SUMPRODUCT(C941:J941,Factores!$B$3:$I$3)</f>
        <v/>
      </c>
      <c r="M941" s="16">
        <f>'Empleo Censo'!E941</f>
        <v/>
      </c>
      <c r="N941" s="17">
        <f>IF(M941&gt;0,L941,Factores!$B$7)</f>
        <v/>
      </c>
      <c r="O941">
        <f>IF(M941&gt;0,"OK","sin PEA -&gt; peor")</f>
        <v/>
      </c>
    </row>
    <row r="942">
      <c r="A942" t="inlineStr">
        <is>
          <t>240102</t>
        </is>
      </c>
      <c r="B942" t="inlineStr">
        <is>
          <t>CORRALES</t>
        </is>
      </c>
      <c r="C942" s="14">
        <f>'Empleo Censo'!G942-'Empleo Censo'!F942</f>
        <v/>
      </c>
      <c r="D942" s="14">
        <f>'Empleo Censo'!F942</f>
        <v/>
      </c>
      <c r="E942" s="14">
        <f>'Empleo Censo'!H942</f>
        <v/>
      </c>
      <c r="F942" s="14">
        <f>'Empleo Censo'!I942</f>
        <v/>
      </c>
      <c r="G942" s="14">
        <f>'Empleo Censo'!J942+'Empleo Censo'!K942</f>
        <v/>
      </c>
      <c r="H942" s="14">
        <f>'Empleo Censo'!L942</f>
        <v/>
      </c>
      <c r="I942" s="14">
        <f>'Empleo Censo'!M942</f>
        <v/>
      </c>
      <c r="J942" s="14">
        <f>SUM('Empleo Censo'!N942:AA942)</f>
        <v/>
      </c>
      <c r="K942" s="14">
        <f>SUM(C942:J942)</f>
        <v/>
      </c>
      <c r="L942" s="15">
        <f>SUMPRODUCT(C942:J942,Factores!$B$3:$I$3)</f>
        <v/>
      </c>
      <c r="M942" s="16">
        <f>'Empleo Censo'!E942</f>
        <v/>
      </c>
      <c r="N942" s="17">
        <f>IF(M942&gt;0,L942,Factores!$B$7)</f>
        <v/>
      </c>
      <c r="O942">
        <f>IF(M942&gt;0,"OK","sin PEA -&gt; peor")</f>
        <v/>
      </c>
    </row>
    <row r="943">
      <c r="A943" t="inlineStr">
        <is>
          <t>240103</t>
        </is>
      </c>
      <c r="B943" t="inlineStr">
        <is>
          <t>LA CRUZ</t>
        </is>
      </c>
      <c r="C943" s="14">
        <f>'Empleo Censo'!G943-'Empleo Censo'!F943</f>
        <v/>
      </c>
      <c r="D943" s="14">
        <f>'Empleo Censo'!F943</f>
        <v/>
      </c>
      <c r="E943" s="14">
        <f>'Empleo Censo'!H943</f>
        <v/>
      </c>
      <c r="F943" s="14">
        <f>'Empleo Censo'!I943</f>
        <v/>
      </c>
      <c r="G943" s="14">
        <f>'Empleo Censo'!J943+'Empleo Censo'!K943</f>
        <v/>
      </c>
      <c r="H943" s="14">
        <f>'Empleo Censo'!L943</f>
        <v/>
      </c>
      <c r="I943" s="14">
        <f>'Empleo Censo'!M943</f>
        <v/>
      </c>
      <c r="J943" s="14">
        <f>SUM('Empleo Censo'!N943:AA943)</f>
        <v/>
      </c>
      <c r="K943" s="14">
        <f>SUM(C943:J943)</f>
        <v/>
      </c>
      <c r="L943" s="15">
        <f>SUMPRODUCT(C943:J943,Factores!$B$3:$I$3)</f>
        <v/>
      </c>
      <c r="M943" s="16">
        <f>'Empleo Censo'!E943</f>
        <v/>
      </c>
      <c r="N943" s="17">
        <f>IF(M943&gt;0,L943,Factores!$B$7)</f>
        <v/>
      </c>
      <c r="O943">
        <f>IF(M943&gt;0,"OK","sin PEA -&gt; peor")</f>
        <v/>
      </c>
    </row>
    <row r="944">
      <c r="A944" t="inlineStr">
        <is>
          <t>240104</t>
        </is>
      </c>
      <c r="B944" t="inlineStr">
        <is>
          <t>PAMPAS DE HOSPITAL</t>
        </is>
      </c>
      <c r="C944" s="14">
        <f>'Empleo Censo'!G944-'Empleo Censo'!F944</f>
        <v/>
      </c>
      <c r="D944" s="14">
        <f>'Empleo Censo'!F944</f>
        <v/>
      </c>
      <c r="E944" s="14">
        <f>'Empleo Censo'!H944</f>
        <v/>
      </c>
      <c r="F944" s="14">
        <f>'Empleo Censo'!I944</f>
        <v/>
      </c>
      <c r="G944" s="14">
        <f>'Empleo Censo'!J944+'Empleo Censo'!K944</f>
        <v/>
      </c>
      <c r="H944" s="14">
        <f>'Empleo Censo'!L944</f>
        <v/>
      </c>
      <c r="I944" s="14">
        <f>'Empleo Censo'!M944</f>
        <v/>
      </c>
      <c r="J944" s="14">
        <f>SUM('Empleo Censo'!N944:AA944)</f>
        <v/>
      </c>
      <c r="K944" s="14">
        <f>SUM(C944:J944)</f>
        <v/>
      </c>
      <c r="L944" s="15">
        <f>SUMPRODUCT(C944:J944,Factores!$B$3:$I$3)</f>
        <v/>
      </c>
      <c r="M944" s="16">
        <f>'Empleo Censo'!E944</f>
        <v/>
      </c>
      <c r="N944" s="17">
        <f>IF(M944&gt;0,L944,Factores!$B$7)</f>
        <v/>
      </c>
      <c r="O944">
        <f>IF(M944&gt;0,"OK","sin PEA -&gt; peor")</f>
        <v/>
      </c>
    </row>
    <row r="945">
      <c r="A945" t="inlineStr">
        <is>
          <t>240105</t>
        </is>
      </c>
      <c r="B945" t="inlineStr">
        <is>
          <t>SAN JACINTO</t>
        </is>
      </c>
      <c r="C945" s="14">
        <f>'Empleo Censo'!G945-'Empleo Censo'!F945</f>
        <v/>
      </c>
      <c r="D945" s="14">
        <f>'Empleo Censo'!F945</f>
        <v/>
      </c>
      <c r="E945" s="14">
        <f>'Empleo Censo'!H945</f>
        <v/>
      </c>
      <c r="F945" s="14">
        <f>'Empleo Censo'!I945</f>
        <v/>
      </c>
      <c r="G945" s="14">
        <f>'Empleo Censo'!J945+'Empleo Censo'!K945</f>
        <v/>
      </c>
      <c r="H945" s="14">
        <f>'Empleo Censo'!L945</f>
        <v/>
      </c>
      <c r="I945" s="14">
        <f>'Empleo Censo'!M945</f>
        <v/>
      </c>
      <c r="J945" s="14">
        <f>SUM('Empleo Censo'!N945:AA945)</f>
        <v/>
      </c>
      <c r="K945" s="14">
        <f>SUM(C945:J945)</f>
        <v/>
      </c>
      <c r="L945" s="15">
        <f>SUMPRODUCT(C945:J945,Factores!$B$3:$I$3)</f>
        <v/>
      </c>
      <c r="M945" s="16">
        <f>'Empleo Censo'!E945</f>
        <v/>
      </c>
      <c r="N945" s="17">
        <f>IF(M945&gt;0,L945,Factores!$B$7)</f>
        <v/>
      </c>
      <c r="O945">
        <f>IF(M945&gt;0,"OK","sin PEA -&gt; peor")</f>
        <v/>
      </c>
    </row>
    <row r="946">
      <c r="A946" t="inlineStr">
        <is>
          <t>240106</t>
        </is>
      </c>
      <c r="B946" t="inlineStr">
        <is>
          <t>SAN JUAN DE LA VIRGEN</t>
        </is>
      </c>
      <c r="C946" s="14">
        <f>'Empleo Censo'!G946-'Empleo Censo'!F946</f>
        <v/>
      </c>
      <c r="D946" s="14">
        <f>'Empleo Censo'!F946</f>
        <v/>
      </c>
      <c r="E946" s="14">
        <f>'Empleo Censo'!H946</f>
        <v/>
      </c>
      <c r="F946" s="14">
        <f>'Empleo Censo'!I946</f>
        <v/>
      </c>
      <c r="G946" s="14">
        <f>'Empleo Censo'!J946+'Empleo Censo'!K946</f>
        <v/>
      </c>
      <c r="H946" s="14">
        <f>'Empleo Censo'!L946</f>
        <v/>
      </c>
      <c r="I946" s="14">
        <f>'Empleo Censo'!M946</f>
        <v/>
      </c>
      <c r="J946" s="14">
        <f>SUM('Empleo Censo'!N946:AA946)</f>
        <v/>
      </c>
      <c r="K946" s="14">
        <f>SUM(C946:J946)</f>
        <v/>
      </c>
      <c r="L946" s="15">
        <f>SUMPRODUCT(C946:J946,Factores!$B$3:$I$3)</f>
        <v/>
      </c>
      <c r="M946" s="16">
        <f>'Empleo Censo'!E946</f>
        <v/>
      </c>
      <c r="N946" s="17">
        <f>IF(M946&gt;0,L946,Factores!$B$7)</f>
        <v/>
      </c>
      <c r="O946">
        <f>IF(M946&gt;0,"OK","sin PEA -&gt; peor")</f>
        <v/>
      </c>
    </row>
    <row r="947">
      <c r="A947" t="inlineStr">
        <is>
          <t>240201</t>
        </is>
      </c>
      <c r="B947" t="inlineStr">
        <is>
          <t>ZORRITOS</t>
        </is>
      </c>
      <c r="C947" s="14">
        <f>'Empleo Censo'!G947-'Empleo Censo'!F947</f>
        <v/>
      </c>
      <c r="D947" s="14">
        <f>'Empleo Censo'!F947</f>
        <v/>
      </c>
      <c r="E947" s="14">
        <f>'Empleo Censo'!H947</f>
        <v/>
      </c>
      <c r="F947" s="14">
        <f>'Empleo Censo'!I947</f>
        <v/>
      </c>
      <c r="G947" s="14">
        <f>'Empleo Censo'!J947+'Empleo Censo'!K947</f>
        <v/>
      </c>
      <c r="H947" s="14">
        <f>'Empleo Censo'!L947</f>
        <v/>
      </c>
      <c r="I947" s="14">
        <f>'Empleo Censo'!M947</f>
        <v/>
      </c>
      <c r="J947" s="14">
        <f>SUM('Empleo Censo'!N947:AA947)</f>
        <v/>
      </c>
      <c r="K947" s="14">
        <f>SUM(C947:J947)</f>
        <v/>
      </c>
      <c r="L947" s="15">
        <f>SUMPRODUCT(C947:J947,Factores!$B$3:$I$3)</f>
        <v/>
      </c>
      <c r="M947" s="16">
        <f>'Empleo Censo'!E947</f>
        <v/>
      </c>
      <c r="N947" s="17">
        <f>IF(M947&gt;0,L947,Factores!$B$7)</f>
        <v/>
      </c>
      <c r="O947">
        <f>IF(M947&gt;0,"OK","sin PEA -&gt; peor")</f>
        <v/>
      </c>
    </row>
    <row r="948">
      <c r="A948" t="inlineStr">
        <is>
          <t>240202</t>
        </is>
      </c>
      <c r="B948" t="inlineStr">
        <is>
          <t>CASITAS</t>
        </is>
      </c>
      <c r="C948" s="14">
        <f>'Empleo Censo'!G948-'Empleo Censo'!F948</f>
        <v/>
      </c>
      <c r="D948" s="14">
        <f>'Empleo Censo'!F948</f>
        <v/>
      </c>
      <c r="E948" s="14">
        <f>'Empleo Censo'!H948</f>
        <v/>
      </c>
      <c r="F948" s="14">
        <f>'Empleo Censo'!I948</f>
        <v/>
      </c>
      <c r="G948" s="14">
        <f>'Empleo Censo'!J948+'Empleo Censo'!K948</f>
        <v/>
      </c>
      <c r="H948" s="14">
        <f>'Empleo Censo'!L948</f>
        <v/>
      </c>
      <c r="I948" s="14">
        <f>'Empleo Censo'!M948</f>
        <v/>
      </c>
      <c r="J948" s="14">
        <f>SUM('Empleo Censo'!N948:AA948)</f>
        <v/>
      </c>
      <c r="K948" s="14">
        <f>SUM(C948:J948)</f>
        <v/>
      </c>
      <c r="L948" s="15">
        <f>SUMPRODUCT(C948:J948,Factores!$B$3:$I$3)</f>
        <v/>
      </c>
      <c r="M948" s="16">
        <f>'Empleo Censo'!E948</f>
        <v/>
      </c>
      <c r="N948" s="17">
        <f>IF(M948&gt;0,L948,Factores!$B$7)</f>
        <v/>
      </c>
      <c r="O948">
        <f>IF(M948&gt;0,"OK","sin PEA -&gt; peor")</f>
        <v/>
      </c>
    </row>
    <row r="949">
      <c r="A949" t="inlineStr">
        <is>
          <t>240203</t>
        </is>
      </c>
      <c r="B949" t="inlineStr">
        <is>
          <t>CANOAS DE PUNTA SAL</t>
        </is>
      </c>
      <c r="C949" s="14">
        <f>'Empleo Censo'!G949-'Empleo Censo'!F949</f>
        <v/>
      </c>
      <c r="D949" s="14">
        <f>'Empleo Censo'!F949</f>
        <v/>
      </c>
      <c r="E949" s="14">
        <f>'Empleo Censo'!H949</f>
        <v/>
      </c>
      <c r="F949" s="14">
        <f>'Empleo Censo'!I949</f>
        <v/>
      </c>
      <c r="G949" s="14">
        <f>'Empleo Censo'!J949+'Empleo Censo'!K949</f>
        <v/>
      </c>
      <c r="H949" s="14">
        <f>'Empleo Censo'!L949</f>
        <v/>
      </c>
      <c r="I949" s="14">
        <f>'Empleo Censo'!M949</f>
        <v/>
      </c>
      <c r="J949" s="14">
        <f>SUM('Empleo Censo'!N949:AA949)</f>
        <v/>
      </c>
      <c r="K949" s="14">
        <f>SUM(C949:J949)</f>
        <v/>
      </c>
      <c r="L949" s="15">
        <f>SUMPRODUCT(C949:J949,Factores!$B$3:$I$3)</f>
        <v/>
      </c>
      <c r="M949" s="16">
        <f>'Empleo Censo'!E949</f>
        <v/>
      </c>
      <c r="N949" s="17">
        <f>IF(M949&gt;0,L949,Factores!$B$7)</f>
        <v/>
      </c>
      <c r="O949">
        <f>IF(M949&gt;0,"OK","sin PEA -&gt; peor")</f>
        <v/>
      </c>
    </row>
    <row r="950">
      <c r="A950" t="inlineStr">
        <is>
          <t>240301</t>
        </is>
      </c>
      <c r="B950" t="inlineStr">
        <is>
          <t>ZARUMILLA</t>
        </is>
      </c>
      <c r="C950" s="14">
        <f>'Empleo Censo'!G950-'Empleo Censo'!F950</f>
        <v/>
      </c>
      <c r="D950" s="14">
        <f>'Empleo Censo'!F950</f>
        <v/>
      </c>
      <c r="E950" s="14">
        <f>'Empleo Censo'!H950</f>
        <v/>
      </c>
      <c r="F950" s="14">
        <f>'Empleo Censo'!I950</f>
        <v/>
      </c>
      <c r="G950" s="14">
        <f>'Empleo Censo'!J950+'Empleo Censo'!K950</f>
        <v/>
      </c>
      <c r="H950" s="14">
        <f>'Empleo Censo'!L950</f>
        <v/>
      </c>
      <c r="I950" s="14">
        <f>'Empleo Censo'!M950</f>
        <v/>
      </c>
      <c r="J950" s="14">
        <f>SUM('Empleo Censo'!N950:AA950)</f>
        <v/>
      </c>
      <c r="K950" s="14">
        <f>SUM(C950:J950)</f>
        <v/>
      </c>
      <c r="L950" s="15">
        <f>SUMPRODUCT(C950:J950,Factores!$B$3:$I$3)</f>
        <v/>
      </c>
      <c r="M950" s="16">
        <f>'Empleo Censo'!E950</f>
        <v/>
      </c>
      <c r="N950" s="17">
        <f>IF(M950&gt;0,L950,Factores!$B$7)</f>
        <v/>
      </c>
      <c r="O950">
        <f>IF(M950&gt;0,"OK","sin PEA -&gt; peor")</f>
        <v/>
      </c>
    </row>
    <row r="951">
      <c r="A951" t="inlineStr">
        <is>
          <t>240302</t>
        </is>
      </c>
      <c r="B951" t="inlineStr">
        <is>
          <t>AGUAS VERDES</t>
        </is>
      </c>
      <c r="C951" s="14">
        <f>'Empleo Censo'!G951-'Empleo Censo'!F951</f>
        <v/>
      </c>
      <c r="D951" s="14">
        <f>'Empleo Censo'!F951</f>
        <v/>
      </c>
      <c r="E951" s="14">
        <f>'Empleo Censo'!H951</f>
        <v/>
      </c>
      <c r="F951" s="14">
        <f>'Empleo Censo'!I951</f>
        <v/>
      </c>
      <c r="G951" s="14">
        <f>'Empleo Censo'!J951+'Empleo Censo'!K951</f>
        <v/>
      </c>
      <c r="H951" s="14">
        <f>'Empleo Censo'!L951</f>
        <v/>
      </c>
      <c r="I951" s="14">
        <f>'Empleo Censo'!M951</f>
        <v/>
      </c>
      <c r="J951" s="14">
        <f>SUM('Empleo Censo'!N951:AA951)</f>
        <v/>
      </c>
      <c r="K951" s="14">
        <f>SUM(C951:J951)</f>
        <v/>
      </c>
      <c r="L951" s="15">
        <f>SUMPRODUCT(C951:J951,Factores!$B$3:$I$3)</f>
        <v/>
      </c>
      <c r="M951" s="16">
        <f>'Empleo Censo'!E951</f>
        <v/>
      </c>
      <c r="N951" s="17">
        <f>IF(M951&gt;0,L951,Factores!$B$7)</f>
        <v/>
      </c>
      <c r="O951">
        <f>IF(M951&gt;0,"OK","sin PEA -&gt; peor")</f>
        <v/>
      </c>
    </row>
    <row r="952">
      <c r="A952" t="inlineStr">
        <is>
          <t>240303</t>
        </is>
      </c>
      <c r="B952" t="inlineStr">
        <is>
          <t>MATAPALO</t>
        </is>
      </c>
      <c r="C952" s="14">
        <f>'Empleo Censo'!G952-'Empleo Censo'!F952</f>
        <v/>
      </c>
      <c r="D952" s="14">
        <f>'Empleo Censo'!F952</f>
        <v/>
      </c>
      <c r="E952" s="14">
        <f>'Empleo Censo'!H952</f>
        <v/>
      </c>
      <c r="F952" s="14">
        <f>'Empleo Censo'!I952</f>
        <v/>
      </c>
      <c r="G952" s="14">
        <f>'Empleo Censo'!J952+'Empleo Censo'!K952</f>
        <v/>
      </c>
      <c r="H952" s="14">
        <f>'Empleo Censo'!L952</f>
        <v/>
      </c>
      <c r="I952" s="14">
        <f>'Empleo Censo'!M952</f>
        <v/>
      </c>
      <c r="J952" s="14">
        <f>SUM('Empleo Censo'!N952:AA952)</f>
        <v/>
      </c>
      <c r="K952" s="14">
        <f>SUM(C952:J952)</f>
        <v/>
      </c>
      <c r="L952" s="15">
        <f>SUMPRODUCT(C952:J952,Factores!$B$3:$I$3)</f>
        <v/>
      </c>
      <c r="M952" s="16">
        <f>'Empleo Censo'!E952</f>
        <v/>
      </c>
      <c r="N952" s="17">
        <f>IF(M952&gt;0,L952,Factores!$B$7)</f>
        <v/>
      </c>
      <c r="O952">
        <f>IF(M952&gt;0,"OK","sin PEA -&gt; peor")</f>
        <v/>
      </c>
    </row>
    <row r="953">
      <c r="A953" t="inlineStr">
        <is>
          <t>240304</t>
        </is>
      </c>
      <c r="B953" t="inlineStr">
        <is>
          <t>PAPAYAL</t>
        </is>
      </c>
      <c r="C953" s="14">
        <f>'Empleo Censo'!G953-'Empleo Censo'!F953</f>
        <v/>
      </c>
      <c r="D953" s="14">
        <f>'Empleo Censo'!F953</f>
        <v/>
      </c>
      <c r="E953" s="14">
        <f>'Empleo Censo'!H953</f>
        <v/>
      </c>
      <c r="F953" s="14">
        <f>'Empleo Censo'!I953</f>
        <v/>
      </c>
      <c r="G953" s="14">
        <f>'Empleo Censo'!J953+'Empleo Censo'!K953</f>
        <v/>
      </c>
      <c r="H953" s="14">
        <f>'Empleo Censo'!L953</f>
        <v/>
      </c>
      <c r="I953" s="14">
        <f>'Empleo Censo'!M953</f>
        <v/>
      </c>
      <c r="J953" s="14">
        <f>SUM('Empleo Censo'!N953:AA953)</f>
        <v/>
      </c>
      <c r="K953" s="14">
        <f>SUM(C953:J953)</f>
        <v/>
      </c>
      <c r="L953" s="15">
        <f>SUMPRODUCT(C953:J953,Factores!$B$3:$I$3)</f>
        <v/>
      </c>
      <c r="M953" s="16">
        <f>'Empleo Censo'!E953</f>
        <v/>
      </c>
      <c r="N953" s="17">
        <f>IF(M953&gt;0,L953,Factores!$B$7)</f>
        <v/>
      </c>
      <c r="O953">
        <f>IF(M953&gt;0,"OK","sin PEA -&gt; peor")</f>
        <v/>
      </c>
    </row>
    <row r="954">
      <c r="A954" t="inlineStr">
        <is>
          <t>250101</t>
        </is>
      </c>
      <c r="B954" t="inlineStr">
        <is>
          <t>CALLERIA</t>
        </is>
      </c>
      <c r="C954" s="14">
        <f>'Empleo Censo'!G954-'Empleo Censo'!F954</f>
        <v/>
      </c>
      <c r="D954" s="14">
        <f>'Empleo Censo'!F954</f>
        <v/>
      </c>
      <c r="E954" s="14">
        <f>'Empleo Censo'!H954</f>
        <v/>
      </c>
      <c r="F954" s="14">
        <f>'Empleo Censo'!I954</f>
        <v/>
      </c>
      <c r="G954" s="14">
        <f>'Empleo Censo'!J954+'Empleo Censo'!K954</f>
        <v/>
      </c>
      <c r="H954" s="14">
        <f>'Empleo Censo'!L954</f>
        <v/>
      </c>
      <c r="I954" s="14">
        <f>'Empleo Censo'!M954</f>
        <v/>
      </c>
      <c r="J954" s="14">
        <f>SUM('Empleo Censo'!N954:AA954)</f>
        <v/>
      </c>
      <c r="K954" s="14">
        <f>SUM(C954:J954)</f>
        <v/>
      </c>
      <c r="L954" s="15">
        <f>SUMPRODUCT(C954:J954,Factores!$B$3:$I$3)</f>
        <v/>
      </c>
      <c r="M954" s="16">
        <f>'Empleo Censo'!E954</f>
        <v/>
      </c>
      <c r="N954" s="17">
        <f>IF(M954&gt;0,L954,Factores!$B$7)</f>
        <v/>
      </c>
      <c r="O954">
        <f>IF(M954&gt;0,"OK","sin PEA -&gt; peor")</f>
        <v/>
      </c>
    </row>
    <row r="955">
      <c r="A955" t="inlineStr">
        <is>
          <t>250102</t>
        </is>
      </c>
      <c r="B955" t="inlineStr">
        <is>
          <t>CAMPOVERDE</t>
        </is>
      </c>
      <c r="C955" s="14">
        <f>'Empleo Censo'!G955-'Empleo Censo'!F955</f>
        <v/>
      </c>
      <c r="D955" s="14">
        <f>'Empleo Censo'!F955</f>
        <v/>
      </c>
      <c r="E955" s="14">
        <f>'Empleo Censo'!H955</f>
        <v/>
      </c>
      <c r="F955" s="14">
        <f>'Empleo Censo'!I955</f>
        <v/>
      </c>
      <c r="G955" s="14">
        <f>'Empleo Censo'!J955+'Empleo Censo'!K955</f>
        <v/>
      </c>
      <c r="H955" s="14">
        <f>'Empleo Censo'!L955</f>
        <v/>
      </c>
      <c r="I955" s="14">
        <f>'Empleo Censo'!M955</f>
        <v/>
      </c>
      <c r="J955" s="14">
        <f>SUM('Empleo Censo'!N955:AA955)</f>
        <v/>
      </c>
      <c r="K955" s="14">
        <f>SUM(C955:J955)</f>
        <v/>
      </c>
      <c r="L955" s="15">
        <f>SUMPRODUCT(C955:J955,Factores!$B$3:$I$3)</f>
        <v/>
      </c>
      <c r="M955" s="16">
        <f>'Empleo Censo'!E955</f>
        <v/>
      </c>
      <c r="N955" s="17">
        <f>IF(M955&gt;0,L955,Factores!$B$7)</f>
        <v/>
      </c>
      <c r="O955">
        <f>IF(M955&gt;0,"OK","sin PEA -&gt; peor")</f>
        <v/>
      </c>
    </row>
    <row r="956">
      <c r="A956" t="inlineStr">
        <is>
          <t>250103</t>
        </is>
      </c>
      <c r="B956" t="inlineStr">
        <is>
          <t>IPARIA</t>
        </is>
      </c>
      <c r="C956" s="14">
        <f>'Empleo Censo'!G956-'Empleo Censo'!F956</f>
        <v/>
      </c>
      <c r="D956" s="14">
        <f>'Empleo Censo'!F956</f>
        <v/>
      </c>
      <c r="E956" s="14">
        <f>'Empleo Censo'!H956</f>
        <v/>
      </c>
      <c r="F956" s="14">
        <f>'Empleo Censo'!I956</f>
        <v/>
      </c>
      <c r="G956" s="14">
        <f>'Empleo Censo'!J956+'Empleo Censo'!K956</f>
        <v/>
      </c>
      <c r="H956" s="14">
        <f>'Empleo Censo'!L956</f>
        <v/>
      </c>
      <c r="I956" s="14">
        <f>'Empleo Censo'!M956</f>
        <v/>
      </c>
      <c r="J956" s="14">
        <f>SUM('Empleo Censo'!N956:AA956)</f>
        <v/>
      </c>
      <c r="K956" s="14">
        <f>SUM(C956:J956)</f>
        <v/>
      </c>
      <c r="L956" s="15">
        <f>SUMPRODUCT(C956:J956,Factores!$B$3:$I$3)</f>
        <v/>
      </c>
      <c r="M956" s="16">
        <f>'Empleo Censo'!E956</f>
        <v/>
      </c>
      <c r="N956" s="17">
        <f>IF(M956&gt;0,L956,Factores!$B$7)</f>
        <v/>
      </c>
      <c r="O956">
        <f>IF(M956&gt;0,"OK","sin PEA -&gt; peor")</f>
        <v/>
      </c>
    </row>
    <row r="957">
      <c r="A957" t="inlineStr">
        <is>
          <t>250104</t>
        </is>
      </c>
      <c r="B957" t="inlineStr">
        <is>
          <t>MASISEA</t>
        </is>
      </c>
      <c r="C957" s="14">
        <f>'Empleo Censo'!G957-'Empleo Censo'!F957</f>
        <v/>
      </c>
      <c r="D957" s="14">
        <f>'Empleo Censo'!F957</f>
        <v/>
      </c>
      <c r="E957" s="14">
        <f>'Empleo Censo'!H957</f>
        <v/>
      </c>
      <c r="F957" s="14">
        <f>'Empleo Censo'!I957</f>
        <v/>
      </c>
      <c r="G957" s="14">
        <f>'Empleo Censo'!J957+'Empleo Censo'!K957</f>
        <v/>
      </c>
      <c r="H957" s="14">
        <f>'Empleo Censo'!L957</f>
        <v/>
      </c>
      <c r="I957" s="14">
        <f>'Empleo Censo'!M957</f>
        <v/>
      </c>
      <c r="J957" s="14">
        <f>SUM('Empleo Censo'!N957:AA957)</f>
        <v/>
      </c>
      <c r="K957" s="14">
        <f>SUM(C957:J957)</f>
        <v/>
      </c>
      <c r="L957" s="15">
        <f>SUMPRODUCT(C957:J957,Factores!$B$3:$I$3)</f>
        <v/>
      </c>
      <c r="M957" s="16">
        <f>'Empleo Censo'!E957</f>
        <v/>
      </c>
      <c r="N957" s="17">
        <f>IF(M957&gt;0,L957,Factores!$B$7)</f>
        <v/>
      </c>
      <c r="O957">
        <f>IF(M957&gt;0,"OK","sin PEA -&gt; peor")</f>
        <v/>
      </c>
    </row>
    <row r="958">
      <c r="A958" t="inlineStr">
        <is>
          <t>250105</t>
        </is>
      </c>
      <c r="B958" t="inlineStr">
        <is>
          <t>YARINACOCHA</t>
        </is>
      </c>
      <c r="C958" s="14">
        <f>'Empleo Censo'!G958-'Empleo Censo'!F958</f>
        <v/>
      </c>
      <c r="D958" s="14">
        <f>'Empleo Censo'!F958</f>
        <v/>
      </c>
      <c r="E958" s="14">
        <f>'Empleo Censo'!H958</f>
        <v/>
      </c>
      <c r="F958" s="14">
        <f>'Empleo Censo'!I958</f>
        <v/>
      </c>
      <c r="G958" s="14">
        <f>'Empleo Censo'!J958+'Empleo Censo'!K958</f>
        <v/>
      </c>
      <c r="H958" s="14">
        <f>'Empleo Censo'!L958</f>
        <v/>
      </c>
      <c r="I958" s="14">
        <f>'Empleo Censo'!M958</f>
        <v/>
      </c>
      <c r="J958" s="14">
        <f>SUM('Empleo Censo'!N958:AA958)</f>
        <v/>
      </c>
      <c r="K958" s="14">
        <f>SUM(C958:J958)</f>
        <v/>
      </c>
      <c r="L958" s="15">
        <f>SUMPRODUCT(C958:J958,Factores!$B$3:$I$3)</f>
        <v/>
      </c>
      <c r="M958" s="16">
        <f>'Empleo Censo'!E958</f>
        <v/>
      </c>
      <c r="N958" s="17">
        <f>IF(M958&gt;0,L958,Factores!$B$7)</f>
        <v/>
      </c>
      <c r="O958">
        <f>IF(M958&gt;0,"OK","sin PEA -&gt; peor")</f>
        <v/>
      </c>
    </row>
    <row r="959">
      <c r="A959" t="inlineStr">
        <is>
          <t>250106</t>
        </is>
      </c>
      <c r="B959" t="inlineStr">
        <is>
          <t>NUEVA REQUENA</t>
        </is>
      </c>
      <c r="C959" s="14">
        <f>'Empleo Censo'!G959-'Empleo Censo'!F959</f>
        <v/>
      </c>
      <c r="D959" s="14">
        <f>'Empleo Censo'!F959</f>
        <v/>
      </c>
      <c r="E959" s="14">
        <f>'Empleo Censo'!H959</f>
        <v/>
      </c>
      <c r="F959" s="14">
        <f>'Empleo Censo'!I959</f>
        <v/>
      </c>
      <c r="G959" s="14">
        <f>'Empleo Censo'!J959+'Empleo Censo'!K959</f>
        <v/>
      </c>
      <c r="H959" s="14">
        <f>'Empleo Censo'!L959</f>
        <v/>
      </c>
      <c r="I959" s="14">
        <f>'Empleo Censo'!M959</f>
        <v/>
      </c>
      <c r="J959" s="14">
        <f>SUM('Empleo Censo'!N959:AA959)</f>
        <v/>
      </c>
      <c r="K959" s="14">
        <f>SUM(C959:J959)</f>
        <v/>
      </c>
      <c r="L959" s="15">
        <f>SUMPRODUCT(C959:J959,Factores!$B$3:$I$3)</f>
        <v/>
      </c>
      <c r="M959" s="16">
        <f>'Empleo Censo'!E959</f>
        <v/>
      </c>
      <c r="N959" s="17">
        <f>IF(M959&gt;0,L959,Factores!$B$7)</f>
        <v/>
      </c>
      <c r="O959">
        <f>IF(M959&gt;0,"OK","sin PEA -&gt; peor")</f>
        <v/>
      </c>
    </row>
    <row r="960">
      <c r="A960" t="inlineStr">
        <is>
          <t>250107</t>
        </is>
      </c>
      <c r="B960" t="inlineStr">
        <is>
          <t>MANANTAY</t>
        </is>
      </c>
      <c r="C960" s="14">
        <f>'Empleo Censo'!G960-'Empleo Censo'!F960</f>
        <v/>
      </c>
      <c r="D960" s="14">
        <f>'Empleo Censo'!F960</f>
        <v/>
      </c>
      <c r="E960" s="14">
        <f>'Empleo Censo'!H960</f>
        <v/>
      </c>
      <c r="F960" s="14">
        <f>'Empleo Censo'!I960</f>
        <v/>
      </c>
      <c r="G960" s="14">
        <f>'Empleo Censo'!J960+'Empleo Censo'!K960</f>
        <v/>
      </c>
      <c r="H960" s="14">
        <f>'Empleo Censo'!L960</f>
        <v/>
      </c>
      <c r="I960" s="14">
        <f>'Empleo Censo'!M960</f>
        <v/>
      </c>
      <c r="J960" s="14">
        <f>SUM('Empleo Censo'!N960:AA960)</f>
        <v/>
      </c>
      <c r="K960" s="14">
        <f>SUM(C960:J960)</f>
        <v/>
      </c>
      <c r="L960" s="15">
        <f>SUMPRODUCT(C960:J960,Factores!$B$3:$I$3)</f>
        <v/>
      </c>
      <c r="M960" s="16">
        <f>'Empleo Censo'!E960</f>
        <v/>
      </c>
      <c r="N960" s="17">
        <f>IF(M960&gt;0,L960,Factores!$B$7)</f>
        <v/>
      </c>
      <c r="O960">
        <f>IF(M960&gt;0,"OK","sin PEA -&gt; peor")</f>
        <v/>
      </c>
    </row>
    <row r="961">
      <c r="A961" t="inlineStr">
        <is>
          <t>250201</t>
        </is>
      </c>
      <c r="B961" t="inlineStr">
        <is>
          <t>RAYMONDI</t>
        </is>
      </c>
      <c r="C961" s="14">
        <f>'Empleo Censo'!G961-'Empleo Censo'!F961</f>
        <v/>
      </c>
      <c r="D961" s="14">
        <f>'Empleo Censo'!F961</f>
        <v/>
      </c>
      <c r="E961" s="14">
        <f>'Empleo Censo'!H961</f>
        <v/>
      </c>
      <c r="F961" s="14">
        <f>'Empleo Censo'!I961</f>
        <v/>
      </c>
      <c r="G961" s="14">
        <f>'Empleo Censo'!J961+'Empleo Censo'!K961</f>
        <v/>
      </c>
      <c r="H961" s="14">
        <f>'Empleo Censo'!L961</f>
        <v/>
      </c>
      <c r="I961" s="14">
        <f>'Empleo Censo'!M961</f>
        <v/>
      </c>
      <c r="J961" s="14">
        <f>SUM('Empleo Censo'!N961:AA961)</f>
        <v/>
      </c>
      <c r="K961" s="14">
        <f>SUM(C961:J961)</f>
        <v/>
      </c>
      <c r="L961" s="15">
        <f>SUMPRODUCT(C961:J961,Factores!$B$3:$I$3)</f>
        <v/>
      </c>
      <c r="M961" s="16">
        <f>'Empleo Censo'!E961</f>
        <v/>
      </c>
      <c r="N961" s="17">
        <f>IF(M961&gt;0,L961,Factores!$B$7)</f>
        <v/>
      </c>
      <c r="O961">
        <f>IF(M961&gt;0,"OK","sin PEA -&gt; peor")</f>
        <v/>
      </c>
    </row>
    <row r="962">
      <c r="A962" t="inlineStr">
        <is>
          <t>250202</t>
        </is>
      </c>
      <c r="B962" t="inlineStr">
        <is>
          <t>SEPAHUA</t>
        </is>
      </c>
      <c r="C962" s="14">
        <f>'Empleo Censo'!G962-'Empleo Censo'!F962</f>
        <v/>
      </c>
      <c r="D962" s="14">
        <f>'Empleo Censo'!F962</f>
        <v/>
      </c>
      <c r="E962" s="14">
        <f>'Empleo Censo'!H962</f>
        <v/>
      </c>
      <c r="F962" s="14">
        <f>'Empleo Censo'!I962</f>
        <v/>
      </c>
      <c r="G962" s="14">
        <f>'Empleo Censo'!J962+'Empleo Censo'!K962</f>
        <v/>
      </c>
      <c r="H962" s="14">
        <f>'Empleo Censo'!L962</f>
        <v/>
      </c>
      <c r="I962" s="14">
        <f>'Empleo Censo'!M962</f>
        <v/>
      </c>
      <c r="J962" s="14">
        <f>SUM('Empleo Censo'!N962:AA962)</f>
        <v/>
      </c>
      <c r="K962" s="14">
        <f>SUM(C962:J962)</f>
        <v/>
      </c>
      <c r="L962" s="15">
        <f>SUMPRODUCT(C962:J962,Factores!$B$3:$I$3)</f>
        <v/>
      </c>
      <c r="M962" s="16">
        <f>'Empleo Censo'!E962</f>
        <v/>
      </c>
      <c r="N962" s="17">
        <f>IF(M962&gt;0,L962,Factores!$B$7)</f>
        <v/>
      </c>
      <c r="O962">
        <f>IF(M962&gt;0,"OK","sin PEA -&gt; peor")</f>
        <v/>
      </c>
    </row>
    <row r="963">
      <c r="A963" t="inlineStr">
        <is>
          <t>250203</t>
        </is>
      </c>
      <c r="B963" t="inlineStr">
        <is>
          <t>TAHUANIA</t>
        </is>
      </c>
      <c r="C963" s="14">
        <f>'Empleo Censo'!G963-'Empleo Censo'!F963</f>
        <v/>
      </c>
      <c r="D963" s="14">
        <f>'Empleo Censo'!F963</f>
        <v/>
      </c>
      <c r="E963" s="14">
        <f>'Empleo Censo'!H963</f>
        <v/>
      </c>
      <c r="F963" s="14">
        <f>'Empleo Censo'!I963</f>
        <v/>
      </c>
      <c r="G963" s="14">
        <f>'Empleo Censo'!J963+'Empleo Censo'!K963</f>
        <v/>
      </c>
      <c r="H963" s="14">
        <f>'Empleo Censo'!L963</f>
        <v/>
      </c>
      <c r="I963" s="14">
        <f>'Empleo Censo'!M963</f>
        <v/>
      </c>
      <c r="J963" s="14">
        <f>SUM('Empleo Censo'!N963:AA963)</f>
        <v/>
      </c>
      <c r="K963" s="14">
        <f>SUM(C963:J963)</f>
        <v/>
      </c>
      <c r="L963" s="15">
        <f>SUMPRODUCT(C963:J963,Factores!$B$3:$I$3)</f>
        <v/>
      </c>
      <c r="M963" s="16">
        <f>'Empleo Censo'!E963</f>
        <v/>
      </c>
      <c r="N963" s="17">
        <f>IF(M963&gt;0,L963,Factores!$B$7)</f>
        <v/>
      </c>
      <c r="O963">
        <f>IF(M963&gt;0,"OK","sin PEA -&gt; peor")</f>
        <v/>
      </c>
    </row>
    <row r="964">
      <c r="A964" t="inlineStr">
        <is>
          <t>250204</t>
        </is>
      </c>
      <c r="B964" t="inlineStr">
        <is>
          <t>YURUA</t>
        </is>
      </c>
      <c r="C964" s="14">
        <f>'Empleo Censo'!G964-'Empleo Censo'!F964</f>
        <v/>
      </c>
      <c r="D964" s="14">
        <f>'Empleo Censo'!F964</f>
        <v/>
      </c>
      <c r="E964" s="14">
        <f>'Empleo Censo'!H964</f>
        <v/>
      </c>
      <c r="F964" s="14">
        <f>'Empleo Censo'!I964</f>
        <v/>
      </c>
      <c r="G964" s="14">
        <f>'Empleo Censo'!J964+'Empleo Censo'!K964</f>
        <v/>
      </c>
      <c r="H964" s="14">
        <f>'Empleo Censo'!L964</f>
        <v/>
      </c>
      <c r="I964" s="14">
        <f>'Empleo Censo'!M964</f>
        <v/>
      </c>
      <c r="J964" s="14">
        <f>SUM('Empleo Censo'!N964:AA964)</f>
        <v/>
      </c>
      <c r="K964" s="14">
        <f>SUM(C964:J964)</f>
        <v/>
      </c>
      <c r="L964" s="15">
        <f>SUMPRODUCT(C964:J964,Factores!$B$3:$I$3)</f>
        <v/>
      </c>
      <c r="M964" s="16">
        <f>'Empleo Censo'!E964</f>
        <v/>
      </c>
      <c r="N964" s="17">
        <f>IF(M964&gt;0,L964,Factores!$B$7)</f>
        <v/>
      </c>
      <c r="O964">
        <f>IF(M964&gt;0,"OK","sin PEA -&gt; peor")</f>
        <v/>
      </c>
    </row>
    <row r="965">
      <c r="A965" t="inlineStr">
        <is>
          <t>250301</t>
        </is>
      </c>
      <c r="B965" t="inlineStr">
        <is>
          <t>PADRE ABAD</t>
        </is>
      </c>
      <c r="C965" s="14">
        <f>'Empleo Censo'!G965-'Empleo Censo'!F965</f>
        <v/>
      </c>
      <c r="D965" s="14">
        <f>'Empleo Censo'!F965</f>
        <v/>
      </c>
      <c r="E965" s="14">
        <f>'Empleo Censo'!H965</f>
        <v/>
      </c>
      <c r="F965" s="14">
        <f>'Empleo Censo'!I965</f>
        <v/>
      </c>
      <c r="G965" s="14">
        <f>'Empleo Censo'!J965+'Empleo Censo'!K965</f>
        <v/>
      </c>
      <c r="H965" s="14">
        <f>'Empleo Censo'!L965</f>
        <v/>
      </c>
      <c r="I965" s="14">
        <f>'Empleo Censo'!M965</f>
        <v/>
      </c>
      <c r="J965" s="14">
        <f>SUM('Empleo Censo'!N965:AA965)</f>
        <v/>
      </c>
      <c r="K965" s="14">
        <f>SUM(C965:J965)</f>
        <v/>
      </c>
      <c r="L965" s="15">
        <f>SUMPRODUCT(C965:J965,Factores!$B$3:$I$3)</f>
        <v/>
      </c>
      <c r="M965" s="16">
        <f>'Empleo Censo'!E965</f>
        <v/>
      </c>
      <c r="N965" s="17">
        <f>IF(M965&gt;0,L965,Factores!$B$7)</f>
        <v/>
      </c>
      <c r="O965">
        <f>IF(M965&gt;0,"OK","sin PEA -&gt; peor")</f>
        <v/>
      </c>
    </row>
    <row r="966">
      <c r="A966" t="inlineStr">
        <is>
          <t>250302</t>
        </is>
      </c>
      <c r="B966" t="inlineStr">
        <is>
          <t>IRAZOLA</t>
        </is>
      </c>
      <c r="C966" s="14">
        <f>'Empleo Censo'!G966-'Empleo Censo'!F966</f>
        <v/>
      </c>
      <c r="D966" s="14">
        <f>'Empleo Censo'!F966</f>
        <v/>
      </c>
      <c r="E966" s="14">
        <f>'Empleo Censo'!H966</f>
        <v/>
      </c>
      <c r="F966" s="14">
        <f>'Empleo Censo'!I966</f>
        <v/>
      </c>
      <c r="G966" s="14">
        <f>'Empleo Censo'!J966+'Empleo Censo'!K966</f>
        <v/>
      </c>
      <c r="H966" s="14">
        <f>'Empleo Censo'!L966</f>
        <v/>
      </c>
      <c r="I966" s="14">
        <f>'Empleo Censo'!M966</f>
        <v/>
      </c>
      <c r="J966" s="14">
        <f>SUM('Empleo Censo'!N966:AA966)</f>
        <v/>
      </c>
      <c r="K966" s="14">
        <f>SUM(C966:J966)</f>
        <v/>
      </c>
      <c r="L966" s="15">
        <f>SUMPRODUCT(C966:J966,Factores!$B$3:$I$3)</f>
        <v/>
      </c>
      <c r="M966" s="16">
        <f>'Empleo Censo'!E966</f>
        <v/>
      </c>
      <c r="N966" s="17">
        <f>IF(M966&gt;0,L966,Factores!$B$7)</f>
        <v/>
      </c>
      <c r="O966">
        <f>IF(M966&gt;0,"OK","sin PEA -&gt; peor")</f>
        <v/>
      </c>
    </row>
    <row r="967">
      <c r="A967" t="inlineStr">
        <is>
          <t>250303</t>
        </is>
      </c>
      <c r="B967" t="inlineStr">
        <is>
          <t>CURIMANA</t>
        </is>
      </c>
      <c r="C967" s="14">
        <f>'Empleo Censo'!G967-'Empleo Censo'!F967</f>
        <v/>
      </c>
      <c r="D967" s="14">
        <f>'Empleo Censo'!F967</f>
        <v/>
      </c>
      <c r="E967" s="14">
        <f>'Empleo Censo'!H967</f>
        <v/>
      </c>
      <c r="F967" s="14">
        <f>'Empleo Censo'!I967</f>
        <v/>
      </c>
      <c r="G967" s="14">
        <f>'Empleo Censo'!J967+'Empleo Censo'!K967</f>
        <v/>
      </c>
      <c r="H967" s="14">
        <f>'Empleo Censo'!L967</f>
        <v/>
      </c>
      <c r="I967" s="14">
        <f>'Empleo Censo'!M967</f>
        <v/>
      </c>
      <c r="J967" s="14">
        <f>SUM('Empleo Censo'!N967:AA967)</f>
        <v/>
      </c>
      <c r="K967" s="14">
        <f>SUM(C967:J967)</f>
        <v/>
      </c>
      <c r="L967" s="15">
        <f>SUMPRODUCT(C967:J967,Factores!$B$3:$I$3)</f>
        <v/>
      </c>
      <c r="M967" s="16">
        <f>'Empleo Censo'!E967</f>
        <v/>
      </c>
      <c r="N967" s="17">
        <f>IF(M967&gt;0,L967,Factores!$B$7)</f>
        <v/>
      </c>
      <c r="O967">
        <f>IF(M967&gt;0,"OK","sin PEA -&gt; peor")</f>
        <v/>
      </c>
    </row>
    <row r="968">
      <c r="A968" t="inlineStr">
        <is>
          <t>250304</t>
        </is>
      </c>
      <c r="B968" t="inlineStr">
        <is>
          <t>NESHUYA</t>
        </is>
      </c>
      <c r="C968" s="14">
        <f>'Empleo Censo'!G968-'Empleo Censo'!F968</f>
        <v/>
      </c>
      <c r="D968" s="14">
        <f>'Empleo Censo'!F968</f>
        <v/>
      </c>
      <c r="E968" s="14">
        <f>'Empleo Censo'!H968</f>
        <v/>
      </c>
      <c r="F968" s="14">
        <f>'Empleo Censo'!I968</f>
        <v/>
      </c>
      <c r="G968" s="14">
        <f>'Empleo Censo'!J968+'Empleo Censo'!K968</f>
        <v/>
      </c>
      <c r="H968" s="14">
        <f>'Empleo Censo'!L968</f>
        <v/>
      </c>
      <c r="I968" s="14">
        <f>'Empleo Censo'!M968</f>
        <v/>
      </c>
      <c r="J968" s="14">
        <f>SUM('Empleo Censo'!N968:AA968)</f>
        <v/>
      </c>
      <c r="K968" s="14">
        <f>SUM(C968:J968)</f>
        <v/>
      </c>
      <c r="L968" s="15">
        <f>SUMPRODUCT(C968:J968,Factores!$B$3:$I$3)</f>
        <v/>
      </c>
      <c r="M968" s="16">
        <f>'Empleo Censo'!E968</f>
        <v/>
      </c>
      <c r="N968" s="17">
        <f>IF(M968&gt;0,L968,Factores!$B$7)</f>
        <v/>
      </c>
      <c r="O968">
        <f>IF(M968&gt;0,"OK","sin PEA -&gt; peor")</f>
        <v/>
      </c>
    </row>
    <row r="969">
      <c r="A969" t="inlineStr">
        <is>
          <t>250305</t>
        </is>
      </c>
      <c r="B969" t="inlineStr">
        <is>
          <t>ALEXANDER VON HUMBOLDT</t>
        </is>
      </c>
      <c r="C969" s="14">
        <f>'Empleo Censo'!G969-'Empleo Censo'!F969</f>
        <v/>
      </c>
      <c r="D969" s="14">
        <f>'Empleo Censo'!F969</f>
        <v/>
      </c>
      <c r="E969" s="14">
        <f>'Empleo Censo'!H969</f>
        <v/>
      </c>
      <c r="F969" s="14">
        <f>'Empleo Censo'!I969</f>
        <v/>
      </c>
      <c r="G969" s="14">
        <f>'Empleo Censo'!J969+'Empleo Censo'!K969</f>
        <v/>
      </c>
      <c r="H969" s="14">
        <f>'Empleo Censo'!L969</f>
        <v/>
      </c>
      <c r="I969" s="14">
        <f>'Empleo Censo'!M969</f>
        <v/>
      </c>
      <c r="J969" s="14">
        <f>SUM('Empleo Censo'!N969:AA969)</f>
        <v/>
      </c>
      <c r="K969" s="14">
        <f>SUM(C969:J969)</f>
        <v/>
      </c>
      <c r="L969" s="15">
        <f>SUMPRODUCT(C969:J969,Factores!$B$3:$I$3)</f>
        <v/>
      </c>
      <c r="M969" s="16">
        <f>'Empleo Censo'!E969</f>
        <v/>
      </c>
      <c r="N969" s="17">
        <f>IF(M969&gt;0,L969,Factores!$B$7)</f>
        <v/>
      </c>
      <c r="O969">
        <f>IF(M969&gt;0,"OK","sin PEA -&gt; peor")</f>
        <v/>
      </c>
    </row>
    <row r="970">
      <c r="A970" t="inlineStr">
        <is>
          <t>250306</t>
        </is>
      </c>
      <c r="B970" t="inlineStr">
        <is>
          <t>HUIPOCA</t>
        </is>
      </c>
      <c r="C970" s="14">
        <f>'Empleo Censo'!G970-'Empleo Censo'!F970</f>
        <v/>
      </c>
      <c r="D970" s="14">
        <f>'Empleo Censo'!F970</f>
        <v/>
      </c>
      <c r="E970" s="14">
        <f>'Empleo Censo'!H970</f>
        <v/>
      </c>
      <c r="F970" s="14">
        <f>'Empleo Censo'!I970</f>
        <v/>
      </c>
      <c r="G970" s="14">
        <f>'Empleo Censo'!J970+'Empleo Censo'!K970</f>
        <v/>
      </c>
      <c r="H970" s="14">
        <f>'Empleo Censo'!L970</f>
        <v/>
      </c>
      <c r="I970" s="14">
        <f>'Empleo Censo'!M970</f>
        <v/>
      </c>
      <c r="J970" s="14">
        <f>SUM('Empleo Censo'!N970:AA970)</f>
        <v/>
      </c>
      <c r="K970" s="14">
        <f>SUM(C970:J970)</f>
        <v/>
      </c>
      <c r="L970" s="15">
        <f>SUMPRODUCT(C970:J970,Factores!$B$3:$I$3)</f>
        <v/>
      </c>
      <c r="M970" s="16">
        <f>'Empleo Censo'!E970</f>
        <v/>
      </c>
      <c r="N970" s="17">
        <f>IF(M970&gt;0,L970,Factores!$B$7)</f>
        <v/>
      </c>
      <c r="O970">
        <f>IF(M970&gt;0,"OK","sin PEA -&gt; peor")</f>
        <v/>
      </c>
    </row>
    <row r="971">
      <c r="A971" t="inlineStr">
        <is>
          <t>250307</t>
        </is>
      </c>
      <c r="B971" t="inlineStr">
        <is>
          <t>BOQUERON</t>
        </is>
      </c>
      <c r="C971" s="14">
        <f>'Empleo Censo'!G971-'Empleo Censo'!F971</f>
        <v/>
      </c>
      <c r="D971" s="14">
        <f>'Empleo Censo'!F971</f>
        <v/>
      </c>
      <c r="E971" s="14">
        <f>'Empleo Censo'!H971</f>
        <v/>
      </c>
      <c r="F971" s="14">
        <f>'Empleo Censo'!I971</f>
        <v/>
      </c>
      <c r="G971" s="14">
        <f>'Empleo Censo'!J971+'Empleo Censo'!K971</f>
        <v/>
      </c>
      <c r="H971" s="14">
        <f>'Empleo Censo'!L971</f>
        <v/>
      </c>
      <c r="I971" s="14">
        <f>'Empleo Censo'!M971</f>
        <v/>
      </c>
      <c r="J971" s="14">
        <f>SUM('Empleo Censo'!N971:AA971)</f>
        <v/>
      </c>
      <c r="K971" s="14">
        <f>SUM(C971:J971)</f>
        <v/>
      </c>
      <c r="L971" s="15">
        <f>SUMPRODUCT(C971:J971,Factores!$B$3:$I$3)</f>
        <v/>
      </c>
      <c r="M971" s="16">
        <f>'Empleo Censo'!E971</f>
        <v/>
      </c>
      <c r="N971" s="17">
        <f>IF(M971&gt;0,L971,Factores!$B$7)</f>
        <v/>
      </c>
      <c r="O971">
        <f>IF(M971&gt;0,"OK","sin PEA -&gt; peor")</f>
        <v/>
      </c>
    </row>
    <row r="972">
      <c r="A972" t="inlineStr">
        <is>
          <t>250401</t>
        </is>
      </c>
      <c r="B972" t="inlineStr">
        <is>
          <t>PURUS</t>
        </is>
      </c>
      <c r="C972" s="14">
        <f>'Empleo Censo'!G972-'Empleo Censo'!F972</f>
        <v/>
      </c>
      <c r="D972" s="14">
        <f>'Empleo Censo'!F972</f>
        <v/>
      </c>
      <c r="E972" s="14">
        <f>'Empleo Censo'!H972</f>
        <v/>
      </c>
      <c r="F972" s="14">
        <f>'Empleo Censo'!I972</f>
        <v/>
      </c>
      <c r="G972" s="14">
        <f>'Empleo Censo'!J972+'Empleo Censo'!K972</f>
        <v/>
      </c>
      <c r="H972" s="14">
        <f>'Empleo Censo'!L972</f>
        <v/>
      </c>
      <c r="I972" s="14">
        <f>'Empleo Censo'!M972</f>
        <v/>
      </c>
      <c r="J972" s="14">
        <f>SUM('Empleo Censo'!N972:AA972)</f>
        <v/>
      </c>
      <c r="K972" s="14">
        <f>SUM(C972:J972)</f>
        <v/>
      </c>
      <c r="L972" s="15">
        <f>SUMPRODUCT(C972:J972,Factores!$B$3:$I$3)</f>
        <v/>
      </c>
      <c r="M972" s="16">
        <f>'Empleo Censo'!E972</f>
        <v/>
      </c>
      <c r="N972" s="17">
        <f>IF(M972&gt;0,L972,Factores!$B$7)</f>
        <v/>
      </c>
      <c r="O972">
        <f>IF(M972&gt;0,"OK","sin PEA -&gt; peor")</f>
        <v/>
      </c>
    </row>
    <row r="973">
      <c r="A973" t="inlineStr">
        <is>
          <t>090101</t>
        </is>
      </c>
      <c r="B973" t="inlineStr">
        <is>
          <t>HUANCAVELICA</t>
        </is>
      </c>
      <c r="C973" s="14">
        <f>'Empleo Censo'!G973-'Empleo Censo'!F973</f>
        <v/>
      </c>
      <c r="D973" s="14">
        <f>'Empleo Censo'!F973</f>
        <v/>
      </c>
      <c r="E973" s="14">
        <f>'Empleo Censo'!H973</f>
        <v/>
      </c>
      <c r="F973" s="14">
        <f>'Empleo Censo'!I973</f>
        <v/>
      </c>
      <c r="G973" s="14">
        <f>'Empleo Censo'!J973+'Empleo Censo'!K973</f>
        <v/>
      </c>
      <c r="H973" s="14">
        <f>'Empleo Censo'!L973</f>
        <v/>
      </c>
      <c r="I973" s="14">
        <f>'Empleo Censo'!M973</f>
        <v/>
      </c>
      <c r="J973" s="14">
        <f>SUM('Empleo Censo'!N973:AA973)</f>
        <v/>
      </c>
      <c r="K973" s="14">
        <f>SUM(C973:J973)</f>
        <v/>
      </c>
      <c r="L973" s="15">
        <f>SUMPRODUCT(C973:J973,Factores!$B$3:$I$3)</f>
        <v/>
      </c>
      <c r="M973" s="16">
        <f>'Empleo Censo'!E973</f>
        <v/>
      </c>
      <c r="N973" s="17">
        <f>IF(M973&gt;0,L973,Factores!$B$7)</f>
        <v/>
      </c>
      <c r="O973">
        <f>IF(M973&gt;0,"OK","sin PEA -&gt; peor")</f>
        <v/>
      </c>
    </row>
    <row r="974">
      <c r="A974" t="inlineStr">
        <is>
          <t>020105</t>
        </is>
      </c>
      <c r="B974" t="inlineStr">
        <is>
          <t>INDEPENDENCIA</t>
        </is>
      </c>
      <c r="C974" s="14">
        <f>'Empleo Censo'!G974-'Empleo Censo'!F974</f>
        <v/>
      </c>
      <c r="D974" s="14">
        <f>'Empleo Censo'!F974</f>
        <v/>
      </c>
      <c r="E974" s="14">
        <f>'Empleo Censo'!H974</f>
        <v/>
      </c>
      <c r="F974" s="14">
        <f>'Empleo Censo'!I974</f>
        <v/>
      </c>
      <c r="G974" s="14">
        <f>'Empleo Censo'!J974+'Empleo Censo'!K974</f>
        <v/>
      </c>
      <c r="H974" s="14">
        <f>'Empleo Censo'!L974</f>
        <v/>
      </c>
      <c r="I974" s="14">
        <f>'Empleo Censo'!M974</f>
        <v/>
      </c>
      <c r="J974" s="14">
        <f>SUM('Empleo Censo'!N974:AA974)</f>
        <v/>
      </c>
      <c r="K974" s="14">
        <f>SUM(C974:J974)</f>
        <v/>
      </c>
      <c r="L974" s="15">
        <f>SUMPRODUCT(C974:J974,Factores!$B$3:$I$3)</f>
        <v/>
      </c>
      <c r="M974" s="16">
        <f>'Empleo Censo'!E974</f>
        <v/>
      </c>
      <c r="N974" s="17">
        <f>IF(M974&gt;0,L974,Factores!$B$7)</f>
        <v/>
      </c>
      <c r="O974">
        <f>IF(M974&gt;0,"OK","sin PEA -&gt; peor")</f>
        <v/>
      </c>
    </row>
    <row r="975">
      <c r="A975" t="inlineStr">
        <is>
          <t>030101</t>
        </is>
      </c>
      <c r="B975" t="inlineStr">
        <is>
          <t>ABANCAY</t>
        </is>
      </c>
      <c r="C975" s="14">
        <f>'Empleo Censo'!G975-'Empleo Censo'!F975</f>
        <v/>
      </c>
      <c r="D975" s="14">
        <f>'Empleo Censo'!F975</f>
        <v/>
      </c>
      <c r="E975" s="14">
        <f>'Empleo Censo'!H975</f>
        <v/>
      </c>
      <c r="F975" s="14">
        <f>'Empleo Censo'!I975</f>
        <v/>
      </c>
      <c r="G975" s="14">
        <f>'Empleo Censo'!J975+'Empleo Censo'!K975</f>
        <v/>
      </c>
      <c r="H975" s="14">
        <f>'Empleo Censo'!L975</f>
        <v/>
      </c>
      <c r="I975" s="14">
        <f>'Empleo Censo'!M975</f>
        <v/>
      </c>
      <c r="J975" s="14">
        <f>SUM('Empleo Censo'!N975:AA975)</f>
        <v/>
      </c>
      <c r="K975" s="14">
        <f>SUM(C975:J975)</f>
        <v/>
      </c>
      <c r="L975" s="15">
        <f>SUMPRODUCT(C975:J975,Factores!$B$3:$I$3)</f>
        <v/>
      </c>
      <c r="M975" s="16">
        <f>'Empleo Censo'!E975</f>
        <v/>
      </c>
      <c r="N975" s="17">
        <f>IF(M975&gt;0,L975,Factores!$B$7)</f>
        <v/>
      </c>
      <c r="O975">
        <f>IF(M975&gt;0,"OK","sin PEA -&gt; peor")</f>
        <v/>
      </c>
    </row>
    <row r="976">
      <c r="A976" t="inlineStr">
        <is>
          <t>080911</t>
        </is>
      </c>
      <c r="B976" t="inlineStr">
        <is>
          <t>INKAWASI</t>
        </is>
      </c>
      <c r="C976" s="14">
        <f>'Empleo Censo'!G976-'Empleo Censo'!F976</f>
        <v/>
      </c>
      <c r="D976" s="14">
        <f>'Empleo Censo'!F976</f>
        <v/>
      </c>
      <c r="E976" s="14">
        <f>'Empleo Censo'!H976</f>
        <v/>
      </c>
      <c r="F976" s="14">
        <f>'Empleo Censo'!I976</f>
        <v/>
      </c>
      <c r="G976" s="14">
        <f>'Empleo Censo'!J976+'Empleo Censo'!K976</f>
        <v/>
      </c>
      <c r="H976" s="14">
        <f>'Empleo Censo'!L976</f>
        <v/>
      </c>
      <c r="I976" s="14">
        <f>'Empleo Censo'!M976</f>
        <v/>
      </c>
      <c r="J976" s="14">
        <f>SUM('Empleo Censo'!N976:AA976)</f>
        <v/>
      </c>
      <c r="K976" s="14">
        <f>SUM(C976:J976)</f>
        <v/>
      </c>
      <c r="L976" s="15">
        <f>SUMPRODUCT(C976:J976,Factores!$B$3:$I$3)</f>
        <v/>
      </c>
      <c r="M976" s="16">
        <f>'Empleo Censo'!E976</f>
        <v/>
      </c>
      <c r="N976" s="17">
        <f>IF(M976&gt;0,L976,Factores!$B$7)</f>
        <v/>
      </c>
      <c r="O976">
        <f>IF(M976&gt;0,"OK","sin PEA -&gt; peor")</f>
        <v/>
      </c>
    </row>
    <row r="977">
      <c r="A977" t="inlineStr">
        <is>
          <t>050509</t>
        </is>
      </c>
      <c r="B977" t="inlineStr">
        <is>
          <t>SAMUGARI</t>
        </is>
      </c>
      <c r="C977" s="14">
        <f>'Empleo Censo'!G977-'Empleo Censo'!F977</f>
        <v/>
      </c>
      <c r="D977" s="14">
        <f>'Empleo Censo'!F977</f>
        <v/>
      </c>
      <c r="E977" s="14">
        <f>'Empleo Censo'!H977</f>
        <v/>
      </c>
      <c r="F977" s="14">
        <f>'Empleo Censo'!I977</f>
        <v/>
      </c>
      <c r="G977" s="14">
        <f>'Empleo Censo'!J977+'Empleo Censo'!K977</f>
        <v/>
      </c>
      <c r="H977" s="14">
        <f>'Empleo Censo'!L977</f>
        <v/>
      </c>
      <c r="I977" s="14">
        <f>'Empleo Censo'!M977</f>
        <v/>
      </c>
      <c r="J977" s="14">
        <f>SUM('Empleo Censo'!N977:AA977)</f>
        <v/>
      </c>
      <c r="K977" s="14">
        <f>SUM(C977:J977)</f>
        <v/>
      </c>
      <c r="L977" s="15">
        <f>SUMPRODUCT(C977:J977,Factores!$B$3:$I$3)</f>
        <v/>
      </c>
      <c r="M977" s="16">
        <f>'Empleo Censo'!E977</f>
        <v/>
      </c>
      <c r="N977" s="17">
        <f>IF(M977&gt;0,L977,Factores!$B$7)</f>
        <v/>
      </c>
      <c r="O977">
        <f>IF(M977&gt;0,"OK","sin PEA -&gt; peor")</f>
        <v/>
      </c>
    </row>
    <row r="978">
      <c r="A978" t="inlineStr">
        <is>
          <t>061007</t>
        </is>
      </c>
      <c r="B978" t="inlineStr">
        <is>
          <t>JOSE SABOGAL</t>
        </is>
      </c>
      <c r="C978" s="14">
        <f>'Empleo Censo'!G978-'Empleo Censo'!F978</f>
        <v/>
      </c>
      <c r="D978" s="14">
        <f>'Empleo Censo'!F978</f>
        <v/>
      </c>
      <c r="E978" s="14">
        <f>'Empleo Censo'!H978</f>
        <v/>
      </c>
      <c r="F978" s="14">
        <f>'Empleo Censo'!I978</f>
        <v/>
      </c>
      <c r="G978" s="14">
        <f>'Empleo Censo'!J978+'Empleo Censo'!K978</f>
        <v/>
      </c>
      <c r="H978" s="14">
        <f>'Empleo Censo'!L978</f>
        <v/>
      </c>
      <c r="I978" s="14">
        <f>'Empleo Censo'!M978</f>
        <v/>
      </c>
      <c r="J978" s="14">
        <f>SUM('Empleo Censo'!N978:AA978)</f>
        <v/>
      </c>
      <c r="K978" s="14">
        <f>SUM(C978:J978)</f>
        <v/>
      </c>
      <c r="L978" s="15">
        <f>SUMPRODUCT(C978:J978,Factores!$B$3:$I$3)</f>
        <v/>
      </c>
      <c r="M978" s="16">
        <f>'Empleo Censo'!E978</f>
        <v/>
      </c>
      <c r="N978" s="17">
        <f>IF(M978&gt;0,L978,Factores!$B$7)</f>
        <v/>
      </c>
      <c r="O978">
        <f>IF(M978&gt;0,"OK","sin PEA -&gt; peor")</f>
        <v/>
      </c>
    </row>
    <row r="979">
      <c r="A979" t="inlineStr">
        <is>
          <t>080902</t>
        </is>
      </c>
      <c r="B979" t="inlineStr">
        <is>
          <t>ECHARATE</t>
        </is>
      </c>
      <c r="C979" s="14">
        <f>'Empleo Censo'!G979-'Empleo Censo'!F979</f>
        <v/>
      </c>
      <c r="D979" s="14">
        <f>'Empleo Censo'!F979</f>
        <v/>
      </c>
      <c r="E979" s="14">
        <f>'Empleo Censo'!H979</f>
        <v/>
      </c>
      <c r="F979" s="14">
        <f>'Empleo Censo'!I979</f>
        <v/>
      </c>
      <c r="G979" s="14">
        <f>'Empleo Censo'!J979+'Empleo Censo'!K979</f>
        <v/>
      </c>
      <c r="H979" s="14">
        <f>'Empleo Censo'!L979</f>
        <v/>
      </c>
      <c r="I979" s="14">
        <f>'Empleo Censo'!M979</f>
        <v/>
      </c>
      <c r="J979" s="14">
        <f>SUM('Empleo Censo'!N979:AA979)</f>
        <v/>
      </c>
      <c r="K979" s="14">
        <f>SUM(C979:J979)</f>
        <v/>
      </c>
      <c r="L979" s="15">
        <f>SUMPRODUCT(C979:J979,Factores!$B$3:$I$3)</f>
        <v/>
      </c>
      <c r="M979" s="16">
        <f>'Empleo Censo'!E979</f>
        <v/>
      </c>
      <c r="N979" s="17">
        <f>IF(M979&gt;0,L979,Factores!$B$7)</f>
        <v/>
      </c>
      <c r="O979">
        <f>IF(M979&gt;0,"OK","sin PEA -&gt; peor")</f>
        <v/>
      </c>
    </row>
    <row r="980">
      <c r="A980" t="inlineStr">
        <is>
          <t>030501</t>
        </is>
      </c>
      <c r="B980" t="inlineStr">
        <is>
          <t>TAMBOBAMBA</t>
        </is>
      </c>
      <c r="C980" s="14">
        <f>'Empleo Censo'!G980-'Empleo Censo'!F980</f>
        <v/>
      </c>
      <c r="D980" s="14">
        <f>'Empleo Censo'!F980</f>
        <v/>
      </c>
      <c r="E980" s="14">
        <f>'Empleo Censo'!H980</f>
        <v/>
      </c>
      <c r="F980" s="14">
        <f>'Empleo Censo'!I980</f>
        <v/>
      </c>
      <c r="G980" s="14">
        <f>'Empleo Censo'!J980+'Empleo Censo'!K980</f>
        <v/>
      </c>
      <c r="H980" s="14">
        <f>'Empleo Censo'!L980</f>
        <v/>
      </c>
      <c r="I980" s="14">
        <f>'Empleo Censo'!M980</f>
        <v/>
      </c>
      <c r="J980" s="14">
        <f>SUM('Empleo Censo'!N980:AA980)</f>
        <v/>
      </c>
      <c r="K980" s="14">
        <f>SUM(C980:J980)</f>
        <v/>
      </c>
      <c r="L980" s="15">
        <f>SUMPRODUCT(C980:J980,Factores!$B$3:$I$3)</f>
        <v/>
      </c>
      <c r="M980" s="16">
        <f>'Empleo Censo'!E980</f>
        <v/>
      </c>
      <c r="N980" s="17">
        <f>IF(M980&gt;0,L980,Factores!$B$7)</f>
        <v/>
      </c>
      <c r="O980">
        <f>IF(M980&gt;0,"OK","sin PEA -&gt; peor")</f>
        <v/>
      </c>
    </row>
    <row r="981">
      <c r="A981" t="inlineStr">
        <is>
          <t>060901</t>
        </is>
      </c>
      <c r="B981" t="inlineStr">
        <is>
          <t>SAN IGNACIO</t>
        </is>
      </c>
      <c r="C981" s="14">
        <f>'Empleo Censo'!G981-'Empleo Censo'!F981</f>
        <v/>
      </c>
      <c r="D981" s="14">
        <f>'Empleo Censo'!F981</f>
        <v/>
      </c>
      <c r="E981" s="14">
        <f>'Empleo Censo'!H981</f>
        <v/>
      </c>
      <c r="F981" s="14">
        <f>'Empleo Censo'!I981</f>
        <v/>
      </c>
      <c r="G981" s="14">
        <f>'Empleo Censo'!J981+'Empleo Censo'!K981</f>
        <v/>
      </c>
      <c r="H981" s="14">
        <f>'Empleo Censo'!L981</f>
        <v/>
      </c>
      <c r="I981" s="14">
        <f>'Empleo Censo'!M981</f>
        <v/>
      </c>
      <c r="J981" s="14">
        <f>SUM('Empleo Censo'!N981:AA981)</f>
        <v/>
      </c>
      <c r="K981" s="14">
        <f>SUM(C981:J981)</f>
        <v/>
      </c>
      <c r="L981" s="15">
        <f>SUMPRODUCT(C981:J981,Factores!$B$3:$I$3)</f>
        <v/>
      </c>
      <c r="M981" s="16">
        <f>'Empleo Censo'!E981</f>
        <v/>
      </c>
      <c r="N981" s="17">
        <f>IF(M981&gt;0,L981,Factores!$B$7)</f>
        <v/>
      </c>
      <c r="O981">
        <f>IF(M981&gt;0,"OK","sin PEA -&gt; peor")</f>
        <v/>
      </c>
    </row>
    <row r="982">
      <c r="A982" t="inlineStr">
        <is>
          <t>020101</t>
        </is>
      </c>
      <c r="B982" t="inlineStr">
        <is>
          <t>HUARAZ</t>
        </is>
      </c>
      <c r="C982" s="14">
        <f>'Empleo Censo'!G982-'Empleo Censo'!F982</f>
        <v/>
      </c>
      <c r="D982" s="14">
        <f>'Empleo Censo'!F982</f>
        <v/>
      </c>
      <c r="E982" s="14">
        <f>'Empleo Censo'!H982</f>
        <v/>
      </c>
      <c r="F982" s="14">
        <f>'Empleo Censo'!I982</f>
        <v/>
      </c>
      <c r="G982" s="14">
        <f>'Empleo Censo'!J982+'Empleo Censo'!K982</f>
        <v/>
      </c>
      <c r="H982" s="14">
        <f>'Empleo Censo'!L982</f>
        <v/>
      </c>
      <c r="I982" s="14">
        <f>'Empleo Censo'!M982</f>
        <v/>
      </c>
      <c r="J982" s="14">
        <f>SUM('Empleo Censo'!N982:AA982)</f>
        <v/>
      </c>
      <c r="K982" s="14">
        <f>SUM(C982:J982)</f>
        <v/>
      </c>
      <c r="L982" s="15">
        <f>SUMPRODUCT(C982:J982,Factores!$B$3:$I$3)</f>
        <v/>
      </c>
      <c r="M982" s="16">
        <f>'Empleo Censo'!E982</f>
        <v/>
      </c>
      <c r="N982" s="17">
        <f>IF(M982&gt;0,L982,Factores!$B$7)</f>
        <v/>
      </c>
      <c r="O982">
        <f>IF(M982&gt;0,"OK","sin PEA -&gt; peor")</f>
        <v/>
      </c>
    </row>
    <row r="983">
      <c r="A983" t="inlineStr">
        <is>
          <t>080906</t>
        </is>
      </c>
      <c r="B983" t="inlineStr">
        <is>
          <t>QUELLOUNO</t>
        </is>
      </c>
      <c r="C983" s="14">
        <f>'Empleo Censo'!G983-'Empleo Censo'!F983</f>
        <v/>
      </c>
      <c r="D983" s="14">
        <f>'Empleo Censo'!F983</f>
        <v/>
      </c>
      <c r="E983" s="14">
        <f>'Empleo Censo'!H983</f>
        <v/>
      </c>
      <c r="F983" s="14">
        <f>'Empleo Censo'!I983</f>
        <v/>
      </c>
      <c r="G983" s="14">
        <f>'Empleo Censo'!J983+'Empleo Censo'!K983</f>
        <v/>
      </c>
      <c r="H983" s="14">
        <f>'Empleo Censo'!L983</f>
        <v/>
      </c>
      <c r="I983" s="14">
        <f>'Empleo Censo'!M983</f>
        <v/>
      </c>
      <c r="J983" s="14">
        <f>SUM('Empleo Censo'!N983:AA983)</f>
        <v/>
      </c>
      <c r="K983" s="14">
        <f>SUM(C983:J983)</f>
        <v/>
      </c>
      <c r="L983" s="15">
        <f>SUMPRODUCT(C983:J983,Factores!$B$3:$I$3)</f>
        <v/>
      </c>
      <c r="M983" s="16">
        <f>'Empleo Censo'!E983</f>
        <v/>
      </c>
      <c r="N983" s="17">
        <f>IF(M983&gt;0,L983,Factores!$B$7)</f>
        <v/>
      </c>
      <c r="O983">
        <f>IF(M983&gt;0,"OK","sin PEA -&gt; peor")</f>
        <v/>
      </c>
    </row>
    <row r="984">
      <c r="A984" t="inlineStr">
        <is>
          <t>060501</t>
        </is>
      </c>
      <c r="B984" t="inlineStr">
        <is>
          <t>CONTUMAZA</t>
        </is>
      </c>
      <c r="C984" s="14">
        <f>'Empleo Censo'!G984-'Empleo Censo'!F984</f>
        <v/>
      </c>
      <c r="D984" s="14">
        <f>'Empleo Censo'!F984</f>
        <v/>
      </c>
      <c r="E984" s="14">
        <f>'Empleo Censo'!H984</f>
        <v/>
      </c>
      <c r="F984" s="14">
        <f>'Empleo Censo'!I984</f>
        <v/>
      </c>
      <c r="G984" s="14">
        <f>'Empleo Censo'!J984+'Empleo Censo'!K984</f>
        <v/>
      </c>
      <c r="H984" s="14">
        <f>'Empleo Censo'!L984</f>
        <v/>
      </c>
      <c r="I984" s="14">
        <f>'Empleo Censo'!M984</f>
        <v/>
      </c>
      <c r="J984" s="14">
        <f>SUM('Empleo Censo'!N984:AA984)</f>
        <v/>
      </c>
      <c r="K984" s="14">
        <f>SUM(C984:J984)</f>
        <v/>
      </c>
      <c r="L984" s="15">
        <f>SUMPRODUCT(C984:J984,Factores!$B$3:$I$3)</f>
        <v/>
      </c>
      <c r="M984" s="16">
        <f>'Empleo Censo'!E984</f>
        <v/>
      </c>
      <c r="N984" s="17">
        <f>IF(M984&gt;0,L984,Factores!$B$7)</f>
        <v/>
      </c>
      <c r="O984">
        <f>IF(M984&gt;0,"OK","sin PEA -&gt; peor")</f>
        <v/>
      </c>
    </row>
    <row r="985">
      <c r="A985" t="inlineStr">
        <is>
          <t>030605</t>
        </is>
      </c>
      <c r="B985" t="inlineStr">
        <is>
          <t>OCOBAMBA</t>
        </is>
      </c>
      <c r="C985" s="14">
        <f>'Empleo Censo'!G985-'Empleo Censo'!F985</f>
        <v/>
      </c>
      <c r="D985" s="14">
        <f>'Empleo Censo'!F985</f>
        <v/>
      </c>
      <c r="E985" s="14">
        <f>'Empleo Censo'!H985</f>
        <v/>
      </c>
      <c r="F985" s="14">
        <f>'Empleo Censo'!I985</f>
        <v/>
      </c>
      <c r="G985" s="14">
        <f>'Empleo Censo'!J985+'Empleo Censo'!K985</f>
        <v/>
      </c>
      <c r="H985" s="14">
        <f>'Empleo Censo'!L985</f>
        <v/>
      </c>
      <c r="I985" s="14">
        <f>'Empleo Censo'!M985</f>
        <v/>
      </c>
      <c r="J985" s="14">
        <f>SUM('Empleo Censo'!N985:AA985)</f>
        <v/>
      </c>
      <c r="K985" s="14">
        <f>SUM(C985:J985)</f>
        <v/>
      </c>
      <c r="L985" s="15">
        <f>SUMPRODUCT(C985:J985,Factores!$B$3:$I$3)</f>
        <v/>
      </c>
      <c r="M985" s="16">
        <f>'Empleo Censo'!E985</f>
        <v/>
      </c>
      <c r="N985" s="17">
        <f>IF(M985&gt;0,L985,Factores!$B$7)</f>
        <v/>
      </c>
      <c r="O985">
        <f>IF(M985&gt;0,"OK","sin PEA -&gt; peor")</f>
        <v/>
      </c>
    </row>
    <row r="986">
      <c r="A986" t="inlineStr">
        <is>
          <t>090117</t>
        </is>
      </c>
      <c r="B986" t="inlineStr">
        <is>
          <t>YAULI</t>
        </is>
      </c>
      <c r="C986" s="14">
        <f>'Empleo Censo'!G986-'Empleo Censo'!F986</f>
        <v/>
      </c>
      <c r="D986" s="14">
        <f>'Empleo Censo'!F986</f>
        <v/>
      </c>
      <c r="E986" s="14">
        <f>'Empleo Censo'!H986</f>
        <v/>
      </c>
      <c r="F986" s="14">
        <f>'Empleo Censo'!I986</f>
        <v/>
      </c>
      <c r="G986" s="14">
        <f>'Empleo Censo'!J986+'Empleo Censo'!K986</f>
        <v/>
      </c>
      <c r="H986" s="14">
        <f>'Empleo Censo'!L986</f>
        <v/>
      </c>
      <c r="I986" s="14">
        <f>'Empleo Censo'!M986</f>
        <v/>
      </c>
      <c r="J986" s="14">
        <f>SUM('Empleo Censo'!N986:AA986)</f>
        <v/>
      </c>
      <c r="K986" s="14">
        <f>SUM(C986:J986)</f>
        <v/>
      </c>
      <c r="L986" s="15">
        <f>SUMPRODUCT(C986:J986,Factores!$B$3:$I$3)</f>
        <v/>
      </c>
      <c r="M986" s="16">
        <f>'Empleo Censo'!E986</f>
        <v/>
      </c>
      <c r="N986" s="17">
        <f>IF(M986&gt;0,L986,Factores!$B$7)</f>
        <v/>
      </c>
      <c r="O986">
        <f>IF(M986&gt;0,"OK","sin PEA -&gt; peor")</f>
        <v/>
      </c>
    </row>
    <row r="987">
      <c r="A987" t="inlineStr">
        <is>
          <t>010701</t>
        </is>
      </c>
      <c r="B987" t="inlineStr">
        <is>
          <t>BAGUA GRANDE</t>
        </is>
      </c>
      <c r="C987" s="14">
        <f>'Empleo Censo'!G987-'Empleo Censo'!F987</f>
        <v/>
      </c>
      <c r="D987" s="14">
        <f>'Empleo Censo'!F987</f>
        <v/>
      </c>
      <c r="E987" s="14">
        <f>'Empleo Censo'!H987</f>
        <v/>
      </c>
      <c r="F987" s="14">
        <f>'Empleo Censo'!I987</f>
        <v/>
      </c>
      <c r="G987" s="14">
        <f>'Empleo Censo'!J987+'Empleo Censo'!K987</f>
        <v/>
      </c>
      <c r="H987" s="14">
        <f>'Empleo Censo'!L987</f>
        <v/>
      </c>
      <c r="I987" s="14">
        <f>'Empleo Censo'!M987</f>
        <v/>
      </c>
      <c r="J987" s="14">
        <f>SUM('Empleo Censo'!N987:AA987)</f>
        <v/>
      </c>
      <c r="K987" s="14">
        <f>SUM(C987:J987)</f>
        <v/>
      </c>
      <c r="L987" s="15">
        <f>SUMPRODUCT(C987:J987,Factores!$B$3:$I$3)</f>
        <v/>
      </c>
      <c r="M987" s="16">
        <f>'Empleo Censo'!E987</f>
        <v/>
      </c>
      <c r="N987" s="17">
        <f>IF(M987&gt;0,L987,Factores!$B$7)</f>
        <v/>
      </c>
      <c r="O987">
        <f>IF(M987&gt;0,"OK","sin PEA -&gt; peor")</f>
        <v/>
      </c>
    </row>
    <row r="988">
      <c r="A988" t="inlineStr">
        <is>
          <t>090401</t>
        </is>
      </c>
      <c r="B988" t="inlineStr">
        <is>
          <t>CASTROVIRREYNA</t>
        </is>
      </c>
      <c r="C988" s="14">
        <f>'Empleo Censo'!G988-'Empleo Censo'!F988</f>
        <v/>
      </c>
      <c r="D988" s="14">
        <f>'Empleo Censo'!F988</f>
        <v/>
      </c>
      <c r="E988" s="14">
        <f>'Empleo Censo'!H988</f>
        <v/>
      </c>
      <c r="F988" s="14">
        <f>'Empleo Censo'!I988</f>
        <v/>
      </c>
      <c r="G988" s="14">
        <f>'Empleo Censo'!J988+'Empleo Censo'!K988</f>
        <v/>
      </c>
      <c r="H988" s="14">
        <f>'Empleo Censo'!L988</f>
        <v/>
      </c>
      <c r="I988" s="14">
        <f>'Empleo Censo'!M988</f>
        <v/>
      </c>
      <c r="J988" s="14">
        <f>SUM('Empleo Censo'!N988:AA988)</f>
        <v/>
      </c>
      <c r="K988" s="14">
        <f>SUM(C988:J988)</f>
        <v/>
      </c>
      <c r="L988" s="15">
        <f>SUMPRODUCT(C988:J988,Factores!$B$3:$I$3)</f>
        <v/>
      </c>
      <c r="M988" s="16">
        <f>'Empleo Censo'!E988</f>
        <v/>
      </c>
      <c r="N988" s="17">
        <f>IF(M988&gt;0,L988,Factores!$B$7)</f>
        <v/>
      </c>
      <c r="O988">
        <f>IF(M988&gt;0,"OK","sin PEA -&gt; peor")</f>
        <v/>
      </c>
    </row>
    <row r="989">
      <c r="A989" t="inlineStr">
        <is>
          <t>060101</t>
        </is>
      </c>
      <c r="B989" t="inlineStr">
        <is>
          <t>CAJAMARCA</t>
        </is>
      </c>
      <c r="C989" s="14">
        <f>'Empleo Censo'!G989-'Empleo Censo'!F989</f>
        <v/>
      </c>
      <c r="D989" s="14">
        <f>'Empleo Censo'!F989</f>
        <v/>
      </c>
      <c r="E989" s="14">
        <f>'Empleo Censo'!H989</f>
        <v/>
      </c>
      <c r="F989" s="14">
        <f>'Empleo Censo'!I989</f>
        <v/>
      </c>
      <c r="G989" s="14">
        <f>'Empleo Censo'!J989+'Empleo Censo'!K989</f>
        <v/>
      </c>
      <c r="H989" s="14">
        <f>'Empleo Censo'!L989</f>
        <v/>
      </c>
      <c r="I989" s="14">
        <f>'Empleo Censo'!M989</f>
        <v/>
      </c>
      <c r="J989" s="14">
        <f>SUM('Empleo Censo'!N989:AA989)</f>
        <v/>
      </c>
      <c r="K989" s="14">
        <f>SUM(C989:J989)</f>
        <v/>
      </c>
      <c r="L989" s="15">
        <f>SUMPRODUCT(C989:J989,Factores!$B$3:$I$3)</f>
        <v/>
      </c>
      <c r="M989" s="16">
        <f>'Empleo Censo'!E989</f>
        <v/>
      </c>
      <c r="N989" s="17">
        <f>IF(M989&gt;0,L989,Factores!$B$7)</f>
        <v/>
      </c>
      <c r="O989">
        <f>IF(M989&gt;0,"OK","sin PEA -&gt; peor")</f>
        <v/>
      </c>
    </row>
    <row r="990">
      <c r="A990" t="inlineStr">
        <is>
          <t>050407</t>
        </is>
      </c>
      <c r="B990" t="inlineStr">
        <is>
          <t>SIVIA</t>
        </is>
      </c>
      <c r="C990" s="14">
        <f>'Empleo Censo'!G990-'Empleo Censo'!F990</f>
        <v/>
      </c>
      <c r="D990" s="14">
        <f>'Empleo Censo'!F990</f>
        <v/>
      </c>
      <c r="E990" s="14">
        <f>'Empleo Censo'!H990</f>
        <v/>
      </c>
      <c r="F990" s="14">
        <f>'Empleo Censo'!I990</f>
        <v/>
      </c>
      <c r="G990" s="14">
        <f>'Empleo Censo'!J990+'Empleo Censo'!K990</f>
        <v/>
      </c>
      <c r="H990" s="14">
        <f>'Empleo Censo'!L990</f>
        <v/>
      </c>
      <c r="I990" s="14">
        <f>'Empleo Censo'!M990</f>
        <v/>
      </c>
      <c r="J990" s="14">
        <f>SUM('Empleo Censo'!N990:AA990)</f>
        <v/>
      </c>
      <c r="K990" s="14">
        <f>SUM(C990:J990)</f>
        <v/>
      </c>
      <c r="L990" s="15">
        <f>SUMPRODUCT(C990:J990,Factores!$B$3:$I$3)</f>
        <v/>
      </c>
      <c r="M990" s="16">
        <f>'Empleo Censo'!E990</f>
        <v/>
      </c>
      <c r="N990" s="17">
        <f>IF(M990&gt;0,L990,Factores!$B$7)</f>
        <v/>
      </c>
      <c r="O990">
        <f>IF(M990&gt;0,"OK","sin PEA -&gt; peor")</f>
        <v/>
      </c>
    </row>
    <row r="991">
      <c r="A991" t="inlineStr">
        <is>
          <t>060904</t>
        </is>
      </c>
      <c r="B991" t="inlineStr">
        <is>
          <t>LA COIPA</t>
        </is>
      </c>
      <c r="C991" s="14">
        <f>'Empleo Censo'!G991-'Empleo Censo'!F991</f>
        <v/>
      </c>
      <c r="D991" s="14">
        <f>'Empleo Censo'!F991</f>
        <v/>
      </c>
      <c r="E991" s="14">
        <f>'Empleo Censo'!H991</f>
        <v/>
      </c>
      <c r="F991" s="14">
        <f>'Empleo Censo'!I991</f>
        <v/>
      </c>
      <c r="G991" s="14">
        <f>'Empleo Censo'!J991+'Empleo Censo'!K991</f>
        <v/>
      </c>
      <c r="H991" s="14">
        <f>'Empleo Censo'!L991</f>
        <v/>
      </c>
      <c r="I991" s="14">
        <f>'Empleo Censo'!M991</f>
        <v/>
      </c>
      <c r="J991" s="14">
        <f>SUM('Empleo Censo'!N991:AA991)</f>
        <v/>
      </c>
      <c r="K991" s="14">
        <f>SUM(C991:J991)</f>
        <v/>
      </c>
      <c r="L991" s="15">
        <f>SUMPRODUCT(C991:J991,Factores!$B$3:$I$3)</f>
        <v/>
      </c>
      <c r="M991" s="16">
        <f>'Empleo Censo'!E991</f>
        <v/>
      </c>
      <c r="N991" s="17">
        <f>IF(M991&gt;0,L991,Factores!$B$7)</f>
        <v/>
      </c>
      <c r="O991">
        <f>IF(M991&gt;0,"OK","sin PEA -&gt; peor")</f>
        <v/>
      </c>
    </row>
    <row r="992">
      <c r="A992" t="inlineStr">
        <is>
          <t>060301</t>
        </is>
      </c>
      <c r="B992" t="inlineStr">
        <is>
          <t>CELENDIN</t>
        </is>
      </c>
      <c r="C992" s="14">
        <f>'Empleo Censo'!G992-'Empleo Censo'!F992</f>
        <v/>
      </c>
      <c r="D992" s="14">
        <f>'Empleo Censo'!F992</f>
        <v/>
      </c>
      <c r="E992" s="14">
        <f>'Empleo Censo'!H992</f>
        <v/>
      </c>
      <c r="F992" s="14">
        <f>'Empleo Censo'!I992</f>
        <v/>
      </c>
      <c r="G992" s="14">
        <f>'Empleo Censo'!J992+'Empleo Censo'!K992</f>
        <v/>
      </c>
      <c r="H992" s="14">
        <f>'Empleo Censo'!L992</f>
        <v/>
      </c>
      <c r="I992" s="14">
        <f>'Empleo Censo'!M992</f>
        <v/>
      </c>
      <c r="J992" s="14">
        <f>SUM('Empleo Censo'!N992:AA992)</f>
        <v/>
      </c>
      <c r="K992" s="14">
        <f>SUM(C992:J992)</f>
        <v/>
      </c>
      <c r="L992" s="15">
        <f>SUMPRODUCT(C992:J992,Factores!$B$3:$I$3)</f>
        <v/>
      </c>
      <c r="M992" s="16">
        <f>'Empleo Censo'!E992</f>
        <v/>
      </c>
      <c r="N992" s="17">
        <f>IF(M992&gt;0,L992,Factores!$B$7)</f>
        <v/>
      </c>
      <c r="O992">
        <f>IF(M992&gt;0,"OK","sin PEA -&gt; peor")</f>
        <v/>
      </c>
    </row>
    <row r="993">
      <c r="A993" t="inlineStr">
        <is>
          <t>090118</t>
        </is>
      </c>
      <c r="B993" t="inlineStr">
        <is>
          <t>ASCENSION</t>
        </is>
      </c>
      <c r="C993" s="14">
        <f>'Empleo Censo'!G993-'Empleo Censo'!F993</f>
        <v/>
      </c>
      <c r="D993" s="14">
        <f>'Empleo Censo'!F993</f>
        <v/>
      </c>
      <c r="E993" s="14">
        <f>'Empleo Censo'!H993</f>
        <v/>
      </c>
      <c r="F993" s="14">
        <f>'Empleo Censo'!I993</f>
        <v/>
      </c>
      <c r="G993" s="14">
        <f>'Empleo Censo'!J993+'Empleo Censo'!K993</f>
        <v/>
      </c>
      <c r="H993" s="14">
        <f>'Empleo Censo'!L993</f>
        <v/>
      </c>
      <c r="I993" s="14">
        <f>'Empleo Censo'!M993</f>
        <v/>
      </c>
      <c r="J993" s="14">
        <f>SUM('Empleo Censo'!N993:AA993)</f>
        <v/>
      </c>
      <c r="K993" s="14">
        <f>SUM(C993:J993)</f>
        <v/>
      </c>
      <c r="L993" s="15">
        <f>SUMPRODUCT(C993:J993,Factores!$B$3:$I$3)</f>
        <v/>
      </c>
      <c r="M993" s="16">
        <f>'Empleo Censo'!E993</f>
        <v/>
      </c>
      <c r="N993" s="17">
        <f>IF(M993&gt;0,L993,Factores!$B$7)</f>
        <v/>
      </c>
      <c r="O993">
        <f>IF(M993&gt;0,"OK","sin PEA -&gt; peor")</f>
        <v/>
      </c>
    </row>
    <row r="994">
      <c r="A994" t="inlineStr">
        <is>
          <t>080910</t>
        </is>
      </c>
      <c r="B994" t="inlineStr">
        <is>
          <t>PICHARI</t>
        </is>
      </c>
      <c r="C994" s="14">
        <f>'Empleo Censo'!G994-'Empleo Censo'!F994</f>
        <v/>
      </c>
      <c r="D994" s="14">
        <f>'Empleo Censo'!F994</f>
        <v/>
      </c>
      <c r="E994" s="14">
        <f>'Empleo Censo'!H994</f>
        <v/>
      </c>
      <c r="F994" s="14">
        <f>'Empleo Censo'!I994</f>
        <v/>
      </c>
      <c r="G994" s="14">
        <f>'Empleo Censo'!J994+'Empleo Censo'!K994</f>
        <v/>
      </c>
      <c r="H994" s="14">
        <f>'Empleo Censo'!L994</f>
        <v/>
      </c>
      <c r="I994" s="14">
        <f>'Empleo Censo'!M994</f>
        <v/>
      </c>
      <c r="J994" s="14">
        <f>SUM('Empleo Censo'!N994:AA994)</f>
        <v/>
      </c>
      <c r="K994" s="14">
        <f>SUM(C994:J994)</f>
        <v/>
      </c>
      <c r="L994" s="15">
        <f>SUMPRODUCT(C994:J994,Factores!$B$3:$I$3)</f>
        <v/>
      </c>
      <c r="M994" s="16">
        <f>'Empleo Censo'!E994</f>
        <v/>
      </c>
      <c r="N994" s="17">
        <f>IF(M994&gt;0,L994,Factores!$B$7)</f>
        <v/>
      </c>
      <c r="O994">
        <f>IF(M994&gt;0,"OK","sin PEA -&gt; peor")</f>
        <v/>
      </c>
    </row>
    <row r="995">
      <c r="A995" t="inlineStr">
        <is>
          <t>090706</t>
        </is>
      </c>
      <c r="B995" t="inlineStr">
        <is>
          <t>DANIEL HERNANDEZ</t>
        </is>
      </c>
      <c r="C995" s="14">
        <f>'Empleo Censo'!G995-'Empleo Censo'!F995</f>
        <v/>
      </c>
      <c r="D995" s="14">
        <f>'Empleo Censo'!F995</f>
        <v/>
      </c>
      <c r="E995" s="14">
        <f>'Empleo Censo'!H995</f>
        <v/>
      </c>
      <c r="F995" s="14">
        <f>'Empleo Censo'!I995</f>
        <v/>
      </c>
      <c r="G995" s="14">
        <f>'Empleo Censo'!J995+'Empleo Censo'!K995</f>
        <v/>
      </c>
      <c r="H995" s="14">
        <f>'Empleo Censo'!L995</f>
        <v/>
      </c>
      <c r="I995" s="14">
        <f>'Empleo Censo'!M995</f>
        <v/>
      </c>
      <c r="J995" s="14">
        <f>SUM('Empleo Censo'!N995:AA995)</f>
        <v/>
      </c>
      <c r="K995" s="14">
        <f>SUM(C995:J995)</f>
        <v/>
      </c>
      <c r="L995" s="15">
        <f>SUMPRODUCT(C995:J995,Factores!$B$3:$I$3)</f>
        <v/>
      </c>
      <c r="M995" s="16">
        <f>'Empleo Censo'!E995</f>
        <v/>
      </c>
      <c r="N995" s="17">
        <f>IF(M995&gt;0,L995,Factores!$B$7)</f>
        <v/>
      </c>
      <c r="O995">
        <f>IF(M995&gt;0,"OK","sin PEA -&gt; peor")</f>
        <v/>
      </c>
    </row>
    <row r="996">
      <c r="A996" t="inlineStr">
        <is>
          <t>060906</t>
        </is>
      </c>
      <c r="B996" t="inlineStr">
        <is>
          <t>SAN JOSE DE LOURDES</t>
        </is>
      </c>
      <c r="C996" s="14">
        <f>'Empleo Censo'!G996-'Empleo Censo'!F996</f>
        <v/>
      </c>
      <c r="D996" s="14">
        <f>'Empleo Censo'!F996</f>
        <v/>
      </c>
      <c r="E996" s="14">
        <f>'Empleo Censo'!H996</f>
        <v/>
      </c>
      <c r="F996" s="14">
        <f>'Empleo Censo'!I996</f>
        <v/>
      </c>
      <c r="G996" s="14">
        <f>'Empleo Censo'!J996+'Empleo Censo'!K996</f>
        <v/>
      </c>
      <c r="H996" s="14">
        <f>'Empleo Censo'!L996</f>
        <v/>
      </c>
      <c r="I996" s="14">
        <f>'Empleo Censo'!M996</f>
        <v/>
      </c>
      <c r="J996" s="14">
        <f>SUM('Empleo Censo'!N996:AA996)</f>
        <v/>
      </c>
      <c r="K996" s="14">
        <f>SUM(C996:J996)</f>
        <v/>
      </c>
      <c r="L996" s="15">
        <f>SUMPRODUCT(C996:J996,Factores!$B$3:$I$3)</f>
        <v/>
      </c>
      <c r="M996" s="16">
        <f>'Empleo Censo'!E996</f>
        <v/>
      </c>
      <c r="N996" s="17">
        <f>IF(M996&gt;0,L996,Factores!$B$7)</f>
        <v/>
      </c>
      <c r="O996">
        <f>IF(M996&gt;0,"OK","sin PEA -&gt; peor")</f>
        <v/>
      </c>
    </row>
    <row r="997">
      <c r="A997" t="inlineStr">
        <is>
          <t>080909</t>
        </is>
      </c>
      <c r="B997" t="inlineStr">
        <is>
          <t>VILCABAMBA</t>
        </is>
      </c>
      <c r="C997" s="14">
        <f>'Empleo Censo'!G997-'Empleo Censo'!F997</f>
        <v/>
      </c>
      <c r="D997" s="14">
        <f>'Empleo Censo'!F997</f>
        <v/>
      </c>
      <c r="E997" s="14">
        <f>'Empleo Censo'!H997</f>
        <v/>
      </c>
      <c r="F997" s="14">
        <f>'Empleo Censo'!I997</f>
        <v/>
      </c>
      <c r="G997" s="14">
        <f>'Empleo Censo'!J997+'Empleo Censo'!K997</f>
        <v/>
      </c>
      <c r="H997" s="14">
        <f>'Empleo Censo'!L997</f>
        <v/>
      </c>
      <c r="I997" s="14">
        <f>'Empleo Censo'!M997</f>
        <v/>
      </c>
      <c r="J997" s="14">
        <f>SUM('Empleo Censo'!N997:AA997)</f>
        <v/>
      </c>
      <c r="K997" s="14">
        <f>SUM(C997:J997)</f>
        <v/>
      </c>
      <c r="L997" s="15">
        <f>SUMPRODUCT(C997:J997,Factores!$B$3:$I$3)</f>
        <v/>
      </c>
      <c r="M997" s="16">
        <f>'Empleo Censo'!E997</f>
        <v/>
      </c>
      <c r="N997" s="17">
        <f>IF(M997&gt;0,L997,Factores!$B$7)</f>
        <v/>
      </c>
      <c r="O997">
        <f>IF(M997&gt;0,"OK","sin PEA -&gt; peor")</f>
        <v/>
      </c>
    </row>
    <row r="998">
      <c r="A998" t="inlineStr">
        <is>
          <t>061101</t>
        </is>
      </c>
      <c r="B998" t="inlineStr">
        <is>
          <t>SAN MIGUEL</t>
        </is>
      </c>
      <c r="C998" s="14">
        <f>'Empleo Censo'!G998-'Empleo Censo'!F998</f>
        <v/>
      </c>
      <c r="D998" s="14">
        <f>'Empleo Censo'!F998</f>
        <v/>
      </c>
      <c r="E998" s="14">
        <f>'Empleo Censo'!H998</f>
        <v/>
      </c>
      <c r="F998" s="14">
        <f>'Empleo Censo'!I998</f>
        <v/>
      </c>
      <c r="G998" s="14">
        <f>'Empleo Censo'!J998+'Empleo Censo'!K998</f>
        <v/>
      </c>
      <c r="H998" s="14">
        <f>'Empleo Censo'!L998</f>
        <v/>
      </c>
      <c r="I998" s="14">
        <f>'Empleo Censo'!M998</f>
        <v/>
      </c>
      <c r="J998" s="14">
        <f>SUM('Empleo Censo'!N998:AA998)</f>
        <v/>
      </c>
      <c r="K998" s="14">
        <f>SUM(C998:J998)</f>
        <v/>
      </c>
      <c r="L998" s="15">
        <f>SUMPRODUCT(C998:J998,Factores!$B$3:$I$3)</f>
        <v/>
      </c>
      <c r="M998" s="16">
        <f>'Empleo Censo'!E998</f>
        <v/>
      </c>
      <c r="N998" s="17">
        <f>IF(M998&gt;0,L998,Factores!$B$7)</f>
        <v/>
      </c>
      <c r="O998">
        <f>IF(M998&gt;0,"OK","sin PEA -&gt; peor")</f>
        <v/>
      </c>
    </row>
    <row r="999">
      <c r="A999" t="inlineStr">
        <is>
          <t>060602</t>
        </is>
      </c>
      <c r="B999" t="inlineStr">
        <is>
          <t>CALLAYUC</t>
        </is>
      </c>
      <c r="C999" s="14">
        <f>'Empleo Censo'!G999-'Empleo Censo'!F999</f>
        <v/>
      </c>
      <c r="D999" s="14">
        <f>'Empleo Censo'!F999</f>
        <v/>
      </c>
      <c r="E999" s="14">
        <f>'Empleo Censo'!H999</f>
        <v/>
      </c>
      <c r="F999" s="14">
        <f>'Empleo Censo'!I999</f>
        <v/>
      </c>
      <c r="G999" s="14">
        <f>'Empleo Censo'!J999+'Empleo Censo'!K999</f>
        <v/>
      </c>
      <c r="H999" s="14">
        <f>'Empleo Censo'!L999</f>
        <v/>
      </c>
      <c r="I999" s="14">
        <f>'Empleo Censo'!M999</f>
        <v/>
      </c>
      <c r="J999" s="14">
        <f>SUM('Empleo Censo'!N999:AA999)</f>
        <v/>
      </c>
      <c r="K999" s="14">
        <f>SUM(C999:J999)</f>
        <v/>
      </c>
      <c r="L999" s="15">
        <f>SUMPRODUCT(C999:J999,Factores!$B$3:$I$3)</f>
        <v/>
      </c>
      <c r="M999" s="16">
        <f>'Empleo Censo'!E999</f>
        <v/>
      </c>
      <c r="N999" s="17">
        <f>IF(M999&gt;0,L999,Factores!$B$7)</f>
        <v/>
      </c>
      <c r="O999">
        <f>IF(M999&gt;0,"OK","sin PEA -&gt; peor")</f>
        <v/>
      </c>
    </row>
    <row r="1000">
      <c r="A1000" t="inlineStr">
        <is>
          <t>021014</t>
        </is>
      </c>
      <c r="B1000" t="inlineStr">
        <is>
          <t>SAN MARCOS</t>
        </is>
      </c>
      <c r="C1000" s="14">
        <f>'Empleo Censo'!G1000-'Empleo Censo'!F1000</f>
        <v/>
      </c>
      <c r="D1000" s="14">
        <f>'Empleo Censo'!F1000</f>
        <v/>
      </c>
      <c r="E1000" s="14">
        <f>'Empleo Censo'!H1000</f>
        <v/>
      </c>
      <c r="F1000" s="14">
        <f>'Empleo Censo'!I1000</f>
        <v/>
      </c>
      <c r="G1000" s="14">
        <f>'Empleo Censo'!J1000+'Empleo Censo'!K1000</f>
        <v/>
      </c>
      <c r="H1000" s="14">
        <f>'Empleo Censo'!L1000</f>
        <v/>
      </c>
      <c r="I1000" s="14">
        <f>'Empleo Censo'!M1000</f>
        <v/>
      </c>
      <c r="J1000" s="14">
        <f>SUM('Empleo Censo'!N1000:AA1000)</f>
        <v/>
      </c>
      <c r="K1000" s="14">
        <f>SUM(C1000:J1000)</f>
        <v/>
      </c>
      <c r="L1000" s="15">
        <f>SUMPRODUCT(C1000:J1000,Factores!$B$3:$I$3)</f>
        <v/>
      </c>
      <c r="M1000" s="16">
        <f>'Empleo Censo'!E1000</f>
        <v/>
      </c>
      <c r="N1000" s="17">
        <f>IF(M1000&gt;0,L1000,Factores!$B$7)</f>
        <v/>
      </c>
      <c r="O1000">
        <f>IF(M1000&gt;0,"OK","sin PEA -&gt; peor")</f>
        <v/>
      </c>
    </row>
    <row r="1001">
      <c r="A1001" t="inlineStr">
        <is>
          <t>090106</t>
        </is>
      </c>
      <c r="B1001" t="inlineStr">
        <is>
          <t>HUACHOCOLPA</t>
        </is>
      </c>
      <c r="C1001" s="14">
        <f>'Empleo Censo'!G1001-'Empleo Censo'!F1001</f>
        <v/>
      </c>
      <c r="D1001" s="14">
        <f>'Empleo Censo'!F1001</f>
        <v/>
      </c>
      <c r="E1001" s="14">
        <f>'Empleo Censo'!H1001</f>
        <v/>
      </c>
      <c r="F1001" s="14">
        <f>'Empleo Censo'!I1001</f>
        <v/>
      </c>
      <c r="G1001" s="14">
        <f>'Empleo Censo'!J1001+'Empleo Censo'!K1001</f>
        <v/>
      </c>
      <c r="H1001" s="14">
        <f>'Empleo Censo'!L1001</f>
        <v/>
      </c>
      <c r="I1001" s="14">
        <f>'Empleo Censo'!M1001</f>
        <v/>
      </c>
      <c r="J1001" s="14">
        <f>SUM('Empleo Censo'!N1001:AA1001)</f>
        <v/>
      </c>
      <c r="K1001" s="14">
        <f>SUM(C1001:J1001)</f>
        <v/>
      </c>
      <c r="L1001" s="15">
        <f>SUMPRODUCT(C1001:J1001,Factores!$B$3:$I$3)</f>
        <v/>
      </c>
      <c r="M1001" s="16">
        <f>'Empleo Censo'!E1001</f>
        <v/>
      </c>
      <c r="N1001" s="17">
        <f>IF(M1001&gt;0,L1001,Factores!$B$7)</f>
        <v/>
      </c>
      <c r="O1001">
        <f>IF(M1001&gt;0,"OK","sin PEA -&gt; peor")</f>
        <v/>
      </c>
    </row>
    <row r="1002">
      <c r="A1002" t="inlineStr">
        <is>
          <t>090201</t>
        </is>
      </c>
      <c r="B1002" t="inlineStr">
        <is>
          <t>ACOBAMBA</t>
        </is>
      </c>
      <c r="C1002" s="14">
        <f>'Empleo Censo'!G1002-'Empleo Censo'!F1002</f>
        <v/>
      </c>
      <c r="D1002" s="14">
        <f>'Empleo Censo'!F1002</f>
        <v/>
      </c>
      <c r="E1002" s="14">
        <f>'Empleo Censo'!H1002</f>
        <v/>
      </c>
      <c r="F1002" s="14">
        <f>'Empleo Censo'!I1002</f>
        <v/>
      </c>
      <c r="G1002" s="14">
        <f>'Empleo Censo'!J1002+'Empleo Censo'!K1002</f>
        <v/>
      </c>
      <c r="H1002" s="14">
        <f>'Empleo Censo'!L1002</f>
        <v/>
      </c>
      <c r="I1002" s="14">
        <f>'Empleo Censo'!M1002</f>
        <v/>
      </c>
      <c r="J1002" s="14">
        <f>SUM('Empleo Censo'!N1002:AA1002)</f>
        <v/>
      </c>
      <c r="K1002" s="14">
        <f>SUM(C1002:J1002)</f>
        <v/>
      </c>
      <c r="L1002" s="15">
        <f>SUMPRODUCT(C1002:J1002,Factores!$B$3:$I$3)</f>
        <v/>
      </c>
      <c r="M1002" s="16">
        <f>'Empleo Censo'!E1002</f>
        <v/>
      </c>
      <c r="N1002" s="17">
        <f>IF(M1002&gt;0,L1002,Factores!$B$7)</f>
        <v/>
      </c>
      <c r="O1002">
        <f>IF(M1002&gt;0,"OK","sin PEA -&gt; peor")</f>
        <v/>
      </c>
    </row>
    <row r="1003">
      <c r="A1003" t="inlineStr">
        <is>
          <t>090301</t>
        </is>
      </c>
      <c r="B1003" t="inlineStr">
        <is>
          <t>LIRCAY</t>
        </is>
      </c>
      <c r="C1003" s="14">
        <f>'Empleo Censo'!G1003-'Empleo Censo'!F1003</f>
        <v/>
      </c>
      <c r="D1003" s="14">
        <f>'Empleo Censo'!F1003</f>
        <v/>
      </c>
      <c r="E1003" s="14">
        <f>'Empleo Censo'!H1003</f>
        <v/>
      </c>
      <c r="F1003" s="14">
        <f>'Empleo Censo'!I1003</f>
        <v/>
      </c>
      <c r="G1003" s="14">
        <f>'Empleo Censo'!J1003+'Empleo Censo'!K1003</f>
        <v/>
      </c>
      <c r="H1003" s="14">
        <f>'Empleo Censo'!L1003</f>
        <v/>
      </c>
      <c r="I1003" s="14">
        <f>'Empleo Censo'!M1003</f>
        <v/>
      </c>
      <c r="J1003" s="14">
        <f>SUM('Empleo Censo'!N1003:AA1003)</f>
        <v/>
      </c>
      <c r="K1003" s="14">
        <f>SUM(C1003:J1003)</f>
        <v/>
      </c>
      <c r="L1003" s="15">
        <f>SUMPRODUCT(C1003:J1003,Factores!$B$3:$I$3)</f>
        <v/>
      </c>
      <c r="M1003" s="16">
        <f>'Empleo Censo'!E1003</f>
        <v/>
      </c>
      <c r="N1003" s="17">
        <f>IF(M1003&gt;0,L1003,Factores!$B$7)</f>
        <v/>
      </c>
      <c r="O1003">
        <f>IF(M1003&gt;0,"OK","sin PEA -&gt; peor")</f>
        <v/>
      </c>
    </row>
    <row r="1004">
      <c r="A1004" t="inlineStr">
        <is>
          <t>090701</t>
        </is>
      </c>
      <c r="B1004" t="inlineStr">
        <is>
          <t>PAMPAS</t>
        </is>
      </c>
      <c r="C1004" s="14">
        <f>'Empleo Censo'!G1004-'Empleo Censo'!F1004</f>
        <v/>
      </c>
      <c r="D1004" s="14">
        <f>'Empleo Censo'!F1004</f>
        <v/>
      </c>
      <c r="E1004" s="14">
        <f>'Empleo Censo'!H1004</f>
        <v/>
      </c>
      <c r="F1004" s="14">
        <f>'Empleo Censo'!I1004</f>
        <v/>
      </c>
      <c r="G1004" s="14">
        <f>'Empleo Censo'!J1004+'Empleo Censo'!K1004</f>
        <v/>
      </c>
      <c r="H1004" s="14">
        <f>'Empleo Censo'!L1004</f>
        <v/>
      </c>
      <c r="I1004" s="14">
        <f>'Empleo Censo'!M1004</f>
        <v/>
      </c>
      <c r="J1004" s="14">
        <f>SUM('Empleo Censo'!N1004:AA1004)</f>
        <v/>
      </c>
      <c r="K1004" s="14">
        <f>SUM(C1004:J1004)</f>
        <v/>
      </c>
      <c r="L1004" s="15">
        <f>SUMPRODUCT(C1004:J1004,Factores!$B$3:$I$3)</f>
        <v/>
      </c>
      <c r="M1004" s="16">
        <f>'Empleo Censo'!E1004</f>
        <v/>
      </c>
      <c r="N1004" s="17">
        <f>IF(M1004&gt;0,L1004,Factores!$B$7)</f>
        <v/>
      </c>
      <c r="O1004">
        <f>IF(M1004&gt;0,"OK","sin PEA -&gt; peor")</f>
        <v/>
      </c>
    </row>
    <row r="1005">
      <c r="A1005" t="inlineStr">
        <is>
          <t>090711</t>
        </is>
      </c>
      <c r="B1005" t="inlineStr">
        <is>
          <t>PAZOS</t>
        </is>
      </c>
      <c r="C1005" s="14">
        <f>'Empleo Censo'!G1005-'Empleo Censo'!F1005</f>
        <v/>
      </c>
      <c r="D1005" s="14">
        <f>'Empleo Censo'!F1005</f>
        <v/>
      </c>
      <c r="E1005" s="14">
        <f>'Empleo Censo'!H1005</f>
        <v/>
      </c>
      <c r="F1005" s="14">
        <f>'Empleo Censo'!I1005</f>
        <v/>
      </c>
      <c r="G1005" s="14">
        <f>'Empleo Censo'!J1005+'Empleo Censo'!K1005</f>
        <v/>
      </c>
      <c r="H1005" s="14">
        <f>'Empleo Censo'!L1005</f>
        <v/>
      </c>
      <c r="I1005" s="14">
        <f>'Empleo Censo'!M1005</f>
        <v/>
      </c>
      <c r="J1005" s="14">
        <f>SUM('Empleo Censo'!N1005:AA1005)</f>
        <v/>
      </c>
      <c r="K1005" s="14">
        <f>SUM(C1005:J1005)</f>
        <v/>
      </c>
      <c r="L1005" s="15">
        <f>SUMPRODUCT(C1005:J1005,Factores!$B$3:$I$3)</f>
        <v/>
      </c>
      <c r="M1005" s="16">
        <f>'Empleo Censo'!E1005</f>
        <v/>
      </c>
      <c r="N1005" s="17">
        <f>IF(M1005&gt;0,L1005,Factores!$B$7)</f>
        <v/>
      </c>
      <c r="O1005">
        <f>IF(M1005&gt;0,"OK","sin PEA -&gt; peor")</f>
        <v/>
      </c>
    </row>
    <row r="1006">
      <c r="A1006" t="inlineStr">
        <is>
          <t>021001</t>
        </is>
      </c>
      <c r="B1006" t="inlineStr">
        <is>
          <t>HUARI</t>
        </is>
      </c>
      <c r="C1006" s="14">
        <f>'Empleo Censo'!G1006-'Empleo Censo'!F1006</f>
        <v/>
      </c>
      <c r="D1006" s="14">
        <f>'Empleo Censo'!F1006</f>
        <v/>
      </c>
      <c r="E1006" s="14">
        <f>'Empleo Censo'!H1006</f>
        <v/>
      </c>
      <c r="F1006" s="14">
        <f>'Empleo Censo'!I1006</f>
        <v/>
      </c>
      <c r="G1006" s="14">
        <f>'Empleo Censo'!J1006+'Empleo Censo'!K1006</f>
        <v/>
      </c>
      <c r="H1006" s="14">
        <f>'Empleo Censo'!L1006</f>
        <v/>
      </c>
      <c r="I1006" s="14">
        <f>'Empleo Censo'!M1006</f>
        <v/>
      </c>
      <c r="J1006" s="14">
        <f>SUM('Empleo Censo'!N1006:AA1006)</f>
        <v/>
      </c>
      <c r="K1006" s="14">
        <f>SUM(C1006:J1006)</f>
        <v/>
      </c>
      <c r="L1006" s="15">
        <f>SUMPRODUCT(C1006:J1006,Factores!$B$3:$I$3)</f>
        <v/>
      </c>
      <c r="M1006" s="16">
        <f>'Empleo Censo'!E1006</f>
        <v/>
      </c>
      <c r="N1006" s="17">
        <f>IF(M1006&gt;0,L1006,Factores!$B$7)</f>
        <v/>
      </c>
      <c r="O1006">
        <f>IF(M1006&gt;0,"OK","sin PEA -&gt; peor")</f>
        <v/>
      </c>
    </row>
    <row r="1007">
      <c r="A1007" t="inlineStr">
        <is>
          <t>050201</t>
        </is>
      </c>
      <c r="B1007" t="inlineStr">
        <is>
          <t>CANGALLO</t>
        </is>
      </c>
      <c r="C1007" s="14">
        <f>'Empleo Censo'!G1007-'Empleo Censo'!F1007</f>
        <v/>
      </c>
      <c r="D1007" s="14">
        <f>'Empleo Censo'!F1007</f>
        <v/>
      </c>
      <c r="E1007" s="14">
        <f>'Empleo Censo'!H1007</f>
        <v/>
      </c>
      <c r="F1007" s="14">
        <f>'Empleo Censo'!I1007</f>
        <v/>
      </c>
      <c r="G1007" s="14">
        <f>'Empleo Censo'!J1007+'Empleo Censo'!K1007</f>
        <v/>
      </c>
      <c r="H1007" s="14">
        <f>'Empleo Censo'!L1007</f>
        <v/>
      </c>
      <c r="I1007" s="14">
        <f>'Empleo Censo'!M1007</f>
        <v/>
      </c>
      <c r="J1007" s="14">
        <f>SUM('Empleo Censo'!N1007:AA1007)</f>
        <v/>
      </c>
      <c r="K1007" s="14">
        <f>SUM(C1007:J1007)</f>
        <v/>
      </c>
      <c r="L1007" s="15">
        <f>SUMPRODUCT(C1007:J1007,Factores!$B$3:$I$3)</f>
        <v/>
      </c>
      <c r="M1007" s="16">
        <f>'Empleo Censo'!E1007</f>
        <v/>
      </c>
      <c r="N1007" s="17">
        <f>IF(M1007&gt;0,L1007,Factores!$B$7)</f>
        <v/>
      </c>
      <c r="O1007">
        <f>IF(M1007&gt;0,"OK","sin PEA -&gt; peor")</f>
        <v/>
      </c>
    </row>
    <row r="1008">
      <c r="A1008" t="inlineStr">
        <is>
          <t>050503</t>
        </is>
      </c>
      <c r="B1008" t="inlineStr">
        <is>
          <t>AYNA</t>
        </is>
      </c>
      <c r="C1008" s="14">
        <f>'Empleo Censo'!G1008-'Empleo Censo'!F1008</f>
        <v/>
      </c>
      <c r="D1008" s="14">
        <f>'Empleo Censo'!F1008</f>
        <v/>
      </c>
      <c r="E1008" s="14">
        <f>'Empleo Censo'!H1008</f>
        <v/>
      </c>
      <c r="F1008" s="14">
        <f>'Empleo Censo'!I1008</f>
        <v/>
      </c>
      <c r="G1008" s="14">
        <f>'Empleo Censo'!J1008+'Empleo Censo'!K1008</f>
        <v/>
      </c>
      <c r="H1008" s="14">
        <f>'Empleo Censo'!L1008</f>
        <v/>
      </c>
      <c r="I1008" s="14">
        <f>'Empleo Censo'!M1008</f>
        <v/>
      </c>
      <c r="J1008" s="14">
        <f>SUM('Empleo Censo'!N1008:AA1008)</f>
        <v/>
      </c>
      <c r="K1008" s="14">
        <f>SUM(C1008:J1008)</f>
        <v/>
      </c>
      <c r="L1008" s="15">
        <f>SUMPRODUCT(C1008:J1008,Factores!$B$3:$I$3)</f>
        <v/>
      </c>
      <c r="M1008" s="16">
        <f>'Empleo Censo'!E1008</f>
        <v/>
      </c>
      <c r="N1008" s="17">
        <f>IF(M1008&gt;0,L1008,Factores!$B$7)</f>
        <v/>
      </c>
      <c r="O1008">
        <f>IF(M1008&gt;0,"OK","sin PEA -&gt; peor")</f>
        <v/>
      </c>
    </row>
    <row r="1009">
      <c r="A1009" t="inlineStr">
        <is>
          <t>060804</t>
        </is>
      </c>
      <c r="B1009" t="inlineStr">
        <is>
          <t>COLASAY</t>
        </is>
      </c>
      <c r="C1009" s="14">
        <f>'Empleo Censo'!G1009-'Empleo Censo'!F1009</f>
        <v/>
      </c>
      <c r="D1009" s="14">
        <f>'Empleo Censo'!F1009</f>
        <v/>
      </c>
      <c r="E1009" s="14">
        <f>'Empleo Censo'!H1009</f>
        <v/>
      </c>
      <c r="F1009" s="14">
        <f>'Empleo Censo'!I1009</f>
        <v/>
      </c>
      <c r="G1009" s="14">
        <f>'Empleo Censo'!J1009+'Empleo Censo'!K1009</f>
        <v/>
      </c>
      <c r="H1009" s="14">
        <f>'Empleo Censo'!L1009</f>
        <v/>
      </c>
      <c r="I1009" s="14">
        <f>'Empleo Censo'!M1009</f>
        <v/>
      </c>
      <c r="J1009" s="14">
        <f>SUM('Empleo Censo'!N1009:AA1009)</f>
        <v/>
      </c>
      <c r="K1009" s="14">
        <f>SUM(C1009:J1009)</f>
        <v/>
      </c>
      <c r="L1009" s="15">
        <f>SUMPRODUCT(C1009:J1009,Factores!$B$3:$I$3)</f>
        <v/>
      </c>
      <c r="M1009" s="16">
        <f>'Empleo Censo'!E1009</f>
        <v/>
      </c>
      <c r="N1009" s="17">
        <f>IF(M1009&gt;0,L1009,Factores!$B$7)</f>
        <v/>
      </c>
      <c r="O1009">
        <f>IF(M1009&gt;0,"OK","sin PEA -&gt; peor")</f>
        <v/>
      </c>
    </row>
    <row r="1010">
      <c r="A1010" t="inlineStr">
        <is>
          <t>060903</t>
        </is>
      </c>
      <c r="B1010" t="inlineStr">
        <is>
          <t>HUARANGO</t>
        </is>
      </c>
      <c r="C1010" s="14">
        <f>'Empleo Censo'!G1010-'Empleo Censo'!F1010</f>
        <v/>
      </c>
      <c r="D1010" s="14">
        <f>'Empleo Censo'!F1010</f>
        <v/>
      </c>
      <c r="E1010" s="14">
        <f>'Empleo Censo'!H1010</f>
        <v/>
      </c>
      <c r="F1010" s="14">
        <f>'Empleo Censo'!I1010</f>
        <v/>
      </c>
      <c r="G1010" s="14">
        <f>'Empleo Censo'!J1010+'Empleo Censo'!K1010</f>
        <v/>
      </c>
      <c r="H1010" s="14">
        <f>'Empleo Censo'!L1010</f>
        <v/>
      </c>
      <c r="I1010" s="14">
        <f>'Empleo Censo'!M1010</f>
        <v/>
      </c>
      <c r="J1010" s="14">
        <f>SUM('Empleo Censo'!N1010:AA1010)</f>
        <v/>
      </c>
      <c r="K1010" s="14">
        <f>SUM(C1010:J1010)</f>
        <v/>
      </c>
      <c r="L1010" s="15">
        <f>SUMPRODUCT(C1010:J1010,Factores!$B$3:$I$3)</f>
        <v/>
      </c>
      <c r="M1010" s="16">
        <f>'Empleo Censo'!E1010</f>
        <v/>
      </c>
      <c r="N1010" s="17">
        <f>IF(M1010&gt;0,L1010,Factores!$B$7)</f>
        <v/>
      </c>
      <c r="O1010">
        <f>IF(M1010&gt;0,"OK","sin PEA -&gt; peor")</f>
        <v/>
      </c>
    </row>
    <row r="1011">
      <c r="A1011" t="inlineStr">
        <is>
          <t>060410</t>
        </is>
      </c>
      <c r="B1011" t="inlineStr">
        <is>
          <t>LAJAS</t>
        </is>
      </c>
      <c r="C1011" s="14">
        <f>'Empleo Censo'!G1011-'Empleo Censo'!F1011</f>
        <v/>
      </c>
      <c r="D1011" s="14">
        <f>'Empleo Censo'!F1011</f>
        <v/>
      </c>
      <c r="E1011" s="14">
        <f>'Empleo Censo'!H1011</f>
        <v/>
      </c>
      <c r="F1011" s="14">
        <f>'Empleo Censo'!I1011</f>
        <v/>
      </c>
      <c r="G1011" s="14">
        <f>'Empleo Censo'!J1011+'Empleo Censo'!K1011</f>
        <v/>
      </c>
      <c r="H1011" s="14">
        <f>'Empleo Censo'!L1011</f>
        <v/>
      </c>
      <c r="I1011" s="14">
        <f>'Empleo Censo'!M1011</f>
        <v/>
      </c>
      <c r="J1011" s="14">
        <f>SUM('Empleo Censo'!N1011:AA1011)</f>
        <v/>
      </c>
      <c r="K1011" s="14">
        <f>SUM(C1011:J1011)</f>
        <v/>
      </c>
      <c r="L1011" s="15">
        <f>SUMPRODUCT(C1011:J1011,Factores!$B$3:$I$3)</f>
        <v/>
      </c>
      <c r="M1011" s="16">
        <f>'Empleo Censo'!E1011</f>
        <v/>
      </c>
      <c r="N1011" s="17">
        <f>IF(M1011&gt;0,L1011,Factores!$B$7)</f>
        <v/>
      </c>
      <c r="O1011">
        <f>IF(M1011&gt;0,"OK","sin PEA -&gt; peor")</f>
        <v/>
      </c>
    </row>
    <row r="1012">
      <c r="A1012" t="inlineStr">
        <is>
          <t>081104</t>
        </is>
      </c>
      <c r="B1012" t="inlineStr">
        <is>
          <t>COLQUEPATA</t>
        </is>
      </c>
      <c r="C1012" s="14">
        <f>'Empleo Censo'!G1012-'Empleo Censo'!F1012</f>
        <v/>
      </c>
      <c r="D1012" s="14">
        <f>'Empleo Censo'!F1012</f>
        <v/>
      </c>
      <c r="E1012" s="14">
        <f>'Empleo Censo'!H1012</f>
        <v/>
      </c>
      <c r="F1012" s="14">
        <f>'Empleo Censo'!I1012</f>
        <v/>
      </c>
      <c r="G1012" s="14">
        <f>'Empleo Censo'!J1012+'Empleo Censo'!K1012</f>
        <v/>
      </c>
      <c r="H1012" s="14">
        <f>'Empleo Censo'!L1012</f>
        <v/>
      </c>
      <c r="I1012" s="14">
        <f>'Empleo Censo'!M1012</f>
        <v/>
      </c>
      <c r="J1012" s="14">
        <f>SUM('Empleo Censo'!N1012:AA1012)</f>
        <v/>
      </c>
      <c r="K1012" s="14">
        <f>SUM(C1012:J1012)</f>
        <v/>
      </c>
      <c r="L1012" s="15">
        <f>SUMPRODUCT(C1012:J1012,Factores!$B$3:$I$3)</f>
        <v/>
      </c>
      <c r="M1012" s="16">
        <f>'Empleo Censo'!E1012</f>
        <v/>
      </c>
      <c r="N1012" s="17">
        <f>IF(M1012&gt;0,L1012,Factores!$B$7)</f>
        <v/>
      </c>
      <c r="O1012">
        <f>IF(M1012&gt;0,"OK","sin PEA -&gt; peor")</f>
        <v/>
      </c>
    </row>
    <row r="1013">
      <c r="A1013" t="inlineStr">
        <is>
          <t>050501</t>
        </is>
      </c>
      <c r="B1013" t="inlineStr">
        <is>
          <t>SAN MIGUEL</t>
        </is>
      </c>
      <c r="C1013" s="14">
        <f>'Empleo Censo'!G1013-'Empleo Censo'!F1013</f>
        <v/>
      </c>
      <c r="D1013" s="14">
        <f>'Empleo Censo'!F1013</f>
        <v/>
      </c>
      <c r="E1013" s="14">
        <f>'Empleo Censo'!H1013</f>
        <v/>
      </c>
      <c r="F1013" s="14">
        <f>'Empleo Censo'!I1013</f>
        <v/>
      </c>
      <c r="G1013" s="14">
        <f>'Empleo Censo'!J1013+'Empleo Censo'!K1013</f>
        <v/>
      </c>
      <c r="H1013" s="14">
        <f>'Empleo Censo'!L1013</f>
        <v/>
      </c>
      <c r="I1013" s="14">
        <f>'Empleo Censo'!M1013</f>
        <v/>
      </c>
      <c r="J1013" s="14">
        <f>SUM('Empleo Censo'!N1013:AA1013)</f>
        <v/>
      </c>
      <c r="K1013" s="14">
        <f>SUM(C1013:J1013)</f>
        <v/>
      </c>
      <c r="L1013" s="15">
        <f>SUMPRODUCT(C1013:J1013,Factores!$B$3:$I$3)</f>
        <v/>
      </c>
      <c r="M1013" s="16">
        <f>'Empleo Censo'!E1013</f>
        <v/>
      </c>
      <c r="N1013" s="17">
        <f>IF(M1013&gt;0,L1013,Factores!$B$7)</f>
        <v/>
      </c>
      <c r="O1013">
        <f>IF(M1013&gt;0,"OK","sin PEA -&gt; peor")</f>
        <v/>
      </c>
    </row>
    <row r="1014">
      <c r="A1014" t="inlineStr">
        <is>
          <t>050510</t>
        </is>
      </c>
      <c r="B1014" t="inlineStr">
        <is>
          <t>ANCHIHUAY</t>
        </is>
      </c>
      <c r="C1014" s="14">
        <f>'Empleo Censo'!G1014-'Empleo Censo'!F1014</f>
        <v/>
      </c>
      <c r="D1014" s="14">
        <f>'Empleo Censo'!F1014</f>
        <v/>
      </c>
      <c r="E1014" s="14">
        <f>'Empleo Censo'!H1014</f>
        <v/>
      </c>
      <c r="F1014" s="14">
        <f>'Empleo Censo'!I1014</f>
        <v/>
      </c>
      <c r="G1014" s="14">
        <f>'Empleo Censo'!J1014+'Empleo Censo'!K1014</f>
        <v/>
      </c>
      <c r="H1014" s="14">
        <f>'Empleo Censo'!L1014</f>
        <v/>
      </c>
      <c r="I1014" s="14">
        <f>'Empleo Censo'!M1014</f>
        <v/>
      </c>
      <c r="J1014" s="14">
        <f>SUM('Empleo Censo'!N1014:AA1014)</f>
        <v/>
      </c>
      <c r="K1014" s="14">
        <f>SUM(C1014:J1014)</f>
        <v/>
      </c>
      <c r="L1014" s="15">
        <f>SUMPRODUCT(C1014:J1014,Factores!$B$3:$I$3)</f>
        <v/>
      </c>
      <c r="M1014" s="16">
        <f>'Empleo Censo'!E1014</f>
        <v/>
      </c>
      <c r="N1014" s="17">
        <f>IF(M1014&gt;0,L1014,Factores!$B$7)</f>
        <v/>
      </c>
      <c r="O1014">
        <f>IF(M1014&gt;0,"OK","sin PEA -&gt; peor")</f>
        <v/>
      </c>
    </row>
    <row r="1015">
      <c r="A1015" t="inlineStr">
        <is>
          <t>080908</t>
        </is>
      </c>
      <c r="B1015" t="inlineStr">
        <is>
          <t>SANTA TERESA</t>
        </is>
      </c>
      <c r="C1015" s="14">
        <f>'Empleo Censo'!G1015-'Empleo Censo'!F1015</f>
        <v/>
      </c>
      <c r="D1015" s="14">
        <f>'Empleo Censo'!F1015</f>
        <v/>
      </c>
      <c r="E1015" s="14">
        <f>'Empleo Censo'!H1015</f>
        <v/>
      </c>
      <c r="F1015" s="14">
        <f>'Empleo Censo'!I1015</f>
        <v/>
      </c>
      <c r="G1015" s="14">
        <f>'Empleo Censo'!J1015+'Empleo Censo'!K1015</f>
        <v/>
      </c>
      <c r="H1015" s="14">
        <f>'Empleo Censo'!L1015</f>
        <v/>
      </c>
      <c r="I1015" s="14">
        <f>'Empleo Censo'!M1015</f>
        <v/>
      </c>
      <c r="J1015" s="14">
        <f>SUM('Empleo Censo'!N1015:AA1015)</f>
        <v/>
      </c>
      <c r="K1015" s="14">
        <f>SUM(C1015:J1015)</f>
        <v/>
      </c>
      <c r="L1015" s="15">
        <f>SUMPRODUCT(C1015:J1015,Factores!$B$3:$I$3)</f>
        <v/>
      </c>
      <c r="M1015" s="16">
        <f>'Empleo Censo'!E1015</f>
        <v/>
      </c>
      <c r="N1015" s="17">
        <f>IF(M1015&gt;0,L1015,Factores!$B$7)</f>
        <v/>
      </c>
      <c r="O1015">
        <f>IF(M1015&gt;0,"OK","sin PEA -&gt; peor")</f>
        <v/>
      </c>
    </row>
    <row r="1016">
      <c r="A1016" t="inlineStr">
        <is>
          <t>090103</t>
        </is>
      </c>
      <c r="B1016" t="inlineStr">
        <is>
          <t>ACORIA</t>
        </is>
      </c>
      <c r="C1016" s="14">
        <f>'Empleo Censo'!G1016-'Empleo Censo'!F1016</f>
        <v/>
      </c>
      <c r="D1016" s="14">
        <f>'Empleo Censo'!F1016</f>
        <v/>
      </c>
      <c r="E1016" s="14">
        <f>'Empleo Censo'!H1016</f>
        <v/>
      </c>
      <c r="F1016" s="14">
        <f>'Empleo Censo'!I1016</f>
        <v/>
      </c>
      <c r="G1016" s="14">
        <f>'Empleo Censo'!J1016+'Empleo Censo'!K1016</f>
        <v/>
      </c>
      <c r="H1016" s="14">
        <f>'Empleo Censo'!L1016</f>
        <v/>
      </c>
      <c r="I1016" s="14">
        <f>'Empleo Censo'!M1016</f>
        <v/>
      </c>
      <c r="J1016" s="14">
        <f>SUM('Empleo Censo'!N1016:AA1016)</f>
        <v/>
      </c>
      <c r="K1016" s="14">
        <f>SUM(C1016:J1016)</f>
        <v/>
      </c>
      <c r="L1016" s="15">
        <f>SUMPRODUCT(C1016:J1016,Factores!$B$3:$I$3)</f>
        <v/>
      </c>
      <c r="M1016" s="16">
        <f>'Empleo Censo'!E1016</f>
        <v/>
      </c>
      <c r="N1016" s="17">
        <f>IF(M1016&gt;0,L1016,Factores!$B$7)</f>
        <v/>
      </c>
      <c r="O1016">
        <f>IF(M1016&gt;0,"OK","sin PEA -&gt; peor")</f>
        <v/>
      </c>
    </row>
    <row r="1017">
      <c r="A1017" t="inlineStr">
        <is>
          <t>080408</t>
        </is>
      </c>
      <c r="B1017" t="inlineStr">
        <is>
          <t>YANATILE</t>
        </is>
      </c>
      <c r="C1017" s="14">
        <f>'Empleo Censo'!G1017-'Empleo Censo'!F1017</f>
        <v/>
      </c>
      <c r="D1017" s="14">
        <f>'Empleo Censo'!F1017</f>
        <v/>
      </c>
      <c r="E1017" s="14">
        <f>'Empleo Censo'!H1017</f>
        <v/>
      </c>
      <c r="F1017" s="14">
        <f>'Empleo Censo'!I1017</f>
        <v/>
      </c>
      <c r="G1017" s="14">
        <f>'Empleo Censo'!J1017+'Empleo Censo'!K1017</f>
        <v/>
      </c>
      <c r="H1017" s="14">
        <f>'Empleo Censo'!L1017</f>
        <v/>
      </c>
      <c r="I1017" s="14">
        <f>'Empleo Censo'!M1017</f>
        <v/>
      </c>
      <c r="J1017" s="14">
        <f>SUM('Empleo Censo'!N1017:AA1017)</f>
        <v/>
      </c>
      <c r="K1017" s="14">
        <f>SUM(C1017:J1017)</f>
        <v/>
      </c>
      <c r="L1017" s="15">
        <f>SUMPRODUCT(C1017:J1017,Factores!$B$3:$I$3)</f>
        <v/>
      </c>
      <c r="M1017" s="16">
        <f>'Empleo Censo'!E1017</f>
        <v/>
      </c>
      <c r="N1017" s="17">
        <f>IF(M1017&gt;0,L1017,Factores!$B$7)</f>
        <v/>
      </c>
      <c r="O1017">
        <f>IF(M1017&gt;0,"OK","sin PEA -&gt; peor")</f>
        <v/>
      </c>
    </row>
    <row r="1018">
      <c r="A1018" t="inlineStr">
        <is>
          <t>080915</t>
        </is>
      </c>
      <c r="B1018" t="inlineStr">
        <is>
          <t>KUMPIRUSHIATO</t>
        </is>
      </c>
      <c r="C1018" s="14">
        <f>'Empleo Censo'!G1018-'Empleo Censo'!F1018</f>
        <v/>
      </c>
      <c r="D1018" s="14">
        <f>'Empleo Censo'!F1018</f>
        <v/>
      </c>
      <c r="E1018" s="14">
        <f>'Empleo Censo'!H1018</f>
        <v/>
      </c>
      <c r="F1018" s="14">
        <f>'Empleo Censo'!I1018</f>
        <v/>
      </c>
      <c r="G1018" s="14">
        <f>'Empleo Censo'!J1018+'Empleo Censo'!K1018</f>
        <v/>
      </c>
      <c r="H1018" s="14">
        <f>'Empleo Censo'!L1018</f>
        <v/>
      </c>
      <c r="I1018" s="14">
        <f>'Empleo Censo'!M1018</f>
        <v/>
      </c>
      <c r="J1018" s="14">
        <f>SUM('Empleo Censo'!N1018:AA1018)</f>
        <v/>
      </c>
      <c r="K1018" s="14">
        <f>SUM(C1018:J1018)</f>
        <v/>
      </c>
      <c r="L1018" s="15">
        <f>SUMPRODUCT(C1018:J1018,Factores!$B$3:$I$3)</f>
        <v/>
      </c>
      <c r="M1018" s="16">
        <f>'Empleo Censo'!E1018</f>
        <v/>
      </c>
      <c r="N1018" s="17">
        <f>IF(M1018&gt;0,L1018,Factores!$B$7)</f>
        <v/>
      </c>
      <c r="O1018">
        <f>IF(M1018&gt;0,"OK","sin PEA -&gt; peor")</f>
        <v/>
      </c>
    </row>
    <row r="1019">
      <c r="A1019" t="inlineStr">
        <is>
          <t>050408</t>
        </is>
      </c>
      <c r="B1019" t="inlineStr">
        <is>
          <t>LLOCHEGUA</t>
        </is>
      </c>
      <c r="C1019" s="14">
        <f>'Empleo Censo'!G1019-'Empleo Censo'!F1019</f>
        <v/>
      </c>
      <c r="D1019" s="14">
        <f>'Empleo Censo'!F1019</f>
        <v/>
      </c>
      <c r="E1019" s="14">
        <f>'Empleo Censo'!H1019</f>
        <v/>
      </c>
      <c r="F1019" s="14">
        <f>'Empleo Censo'!I1019</f>
        <v/>
      </c>
      <c r="G1019" s="14">
        <f>'Empleo Censo'!J1019+'Empleo Censo'!K1019</f>
        <v/>
      </c>
      <c r="H1019" s="14">
        <f>'Empleo Censo'!L1019</f>
        <v/>
      </c>
      <c r="I1019" s="14">
        <f>'Empleo Censo'!M1019</f>
        <v/>
      </c>
      <c r="J1019" s="14">
        <f>SUM('Empleo Censo'!N1019:AA1019)</f>
        <v/>
      </c>
      <c r="K1019" s="14">
        <f>SUM(C1019:J1019)</f>
        <v/>
      </c>
      <c r="L1019" s="15">
        <f>SUMPRODUCT(C1019:J1019,Factores!$B$3:$I$3)</f>
        <v/>
      </c>
      <c r="M1019" s="16">
        <f>'Empleo Censo'!E1019</f>
        <v/>
      </c>
      <c r="N1019" s="17">
        <f>IF(M1019&gt;0,L1019,Factores!$B$7)</f>
        <v/>
      </c>
      <c r="O1019">
        <f>IF(M1019&gt;0,"OK","sin PEA -&gt; peor")</f>
        <v/>
      </c>
    </row>
    <row r="1020">
      <c r="A1020" t="inlineStr">
        <is>
          <t>030601</t>
        </is>
      </c>
      <c r="B1020" t="inlineStr">
        <is>
          <t>CHINCHEROS</t>
        </is>
      </c>
      <c r="C1020" s="14">
        <f>'Empleo Censo'!G1020-'Empleo Censo'!F1020</f>
        <v/>
      </c>
      <c r="D1020" s="14">
        <f>'Empleo Censo'!F1020</f>
        <v/>
      </c>
      <c r="E1020" s="14">
        <f>'Empleo Censo'!H1020</f>
        <v/>
      </c>
      <c r="F1020" s="14">
        <f>'Empleo Censo'!I1020</f>
        <v/>
      </c>
      <c r="G1020" s="14">
        <f>'Empleo Censo'!J1020+'Empleo Censo'!K1020</f>
        <v/>
      </c>
      <c r="H1020" s="14">
        <f>'Empleo Censo'!L1020</f>
        <v/>
      </c>
      <c r="I1020" s="14">
        <f>'Empleo Censo'!M1020</f>
        <v/>
      </c>
      <c r="J1020" s="14">
        <f>SUM('Empleo Censo'!N1020:AA1020)</f>
        <v/>
      </c>
      <c r="K1020" s="14">
        <f>SUM(C1020:J1020)</f>
        <v/>
      </c>
      <c r="L1020" s="15">
        <f>SUMPRODUCT(C1020:J1020,Factores!$B$3:$I$3)</f>
        <v/>
      </c>
      <c r="M1020" s="16">
        <f>'Empleo Censo'!E1020</f>
        <v/>
      </c>
      <c r="N1020" s="17">
        <f>IF(M1020&gt;0,L1020,Factores!$B$7)</f>
        <v/>
      </c>
      <c r="O1020">
        <f>IF(M1020&gt;0,"OK","sin PEA -&gt; peor")</f>
        <v/>
      </c>
    </row>
    <row r="1021">
      <c r="A1021" t="inlineStr">
        <is>
          <t>050502</t>
        </is>
      </c>
      <c r="B1021" t="inlineStr">
        <is>
          <t>ANCO</t>
        </is>
      </c>
      <c r="C1021" s="14">
        <f>'Empleo Censo'!G1021-'Empleo Censo'!F1021</f>
        <v/>
      </c>
      <c r="D1021" s="14">
        <f>'Empleo Censo'!F1021</f>
        <v/>
      </c>
      <c r="E1021" s="14">
        <f>'Empleo Censo'!H1021</f>
        <v/>
      </c>
      <c r="F1021" s="14">
        <f>'Empleo Censo'!I1021</f>
        <v/>
      </c>
      <c r="G1021" s="14">
        <f>'Empleo Censo'!J1021+'Empleo Censo'!K1021</f>
        <v/>
      </c>
      <c r="H1021" s="14">
        <f>'Empleo Censo'!L1021</f>
        <v/>
      </c>
      <c r="I1021" s="14">
        <f>'Empleo Censo'!M1021</f>
        <v/>
      </c>
      <c r="J1021" s="14">
        <f>SUM('Empleo Censo'!N1021:AA1021)</f>
        <v/>
      </c>
      <c r="K1021" s="14">
        <f>SUM(C1021:J1021)</f>
        <v/>
      </c>
      <c r="L1021" s="15">
        <f>SUMPRODUCT(C1021:J1021,Factores!$B$3:$I$3)</f>
        <v/>
      </c>
      <c r="M1021" s="16">
        <f>'Empleo Censo'!E1021</f>
        <v/>
      </c>
      <c r="N1021" s="17">
        <f>IF(M1021&gt;0,L1021,Factores!$B$7)</f>
        <v/>
      </c>
      <c r="O1021">
        <f>IF(M1021&gt;0,"OK","sin PEA -&gt; peor")</f>
        <v/>
      </c>
    </row>
    <row r="1022">
      <c r="A1022" t="inlineStr">
        <is>
          <t>090714</t>
        </is>
      </c>
      <c r="B1022" t="inlineStr">
        <is>
          <t>SALCABAMBA</t>
        </is>
      </c>
      <c r="C1022" s="14">
        <f>'Empleo Censo'!G1022-'Empleo Censo'!F1022</f>
        <v/>
      </c>
      <c r="D1022" s="14">
        <f>'Empleo Censo'!F1022</f>
        <v/>
      </c>
      <c r="E1022" s="14">
        <f>'Empleo Censo'!H1022</f>
        <v/>
      </c>
      <c r="F1022" s="14">
        <f>'Empleo Censo'!I1022</f>
        <v/>
      </c>
      <c r="G1022" s="14">
        <f>'Empleo Censo'!J1022+'Empleo Censo'!K1022</f>
        <v/>
      </c>
      <c r="H1022" s="14">
        <f>'Empleo Censo'!L1022</f>
        <v/>
      </c>
      <c r="I1022" s="14">
        <f>'Empleo Censo'!M1022</f>
        <v/>
      </c>
      <c r="J1022" s="14">
        <f>SUM('Empleo Censo'!N1022:AA1022)</f>
        <v/>
      </c>
      <c r="K1022" s="14">
        <f>SUM(C1022:J1022)</f>
        <v/>
      </c>
      <c r="L1022" s="15">
        <f>SUMPRODUCT(C1022:J1022,Factores!$B$3:$I$3)</f>
        <v/>
      </c>
      <c r="M1022" s="16">
        <f>'Empleo Censo'!E1022</f>
        <v/>
      </c>
      <c r="N1022" s="17">
        <f>IF(M1022&gt;0,L1022,Factores!$B$7)</f>
        <v/>
      </c>
      <c r="O1022">
        <f>IF(M1022&gt;0,"OK","sin PEA -&gt; peor")</f>
        <v/>
      </c>
    </row>
    <row r="1023">
      <c r="A1023" t="inlineStr">
        <is>
          <t>090502</t>
        </is>
      </c>
      <c r="B1023" t="inlineStr">
        <is>
          <t>ANCO</t>
        </is>
      </c>
      <c r="C1023" s="14">
        <f>'Empleo Censo'!G1023-'Empleo Censo'!F1023</f>
        <v/>
      </c>
      <c r="D1023" s="14">
        <f>'Empleo Censo'!F1023</f>
        <v/>
      </c>
      <c r="E1023" s="14">
        <f>'Empleo Censo'!H1023</f>
        <v/>
      </c>
      <c r="F1023" s="14">
        <f>'Empleo Censo'!I1023</f>
        <v/>
      </c>
      <c r="G1023" s="14">
        <f>'Empleo Censo'!J1023+'Empleo Censo'!K1023</f>
        <v/>
      </c>
      <c r="H1023" s="14">
        <f>'Empleo Censo'!L1023</f>
        <v/>
      </c>
      <c r="I1023" s="14">
        <f>'Empleo Censo'!M1023</f>
        <v/>
      </c>
      <c r="J1023" s="14">
        <f>SUM('Empleo Censo'!N1023:AA1023)</f>
        <v/>
      </c>
      <c r="K1023" s="14">
        <f>SUM(C1023:J1023)</f>
        <v/>
      </c>
      <c r="L1023" s="15">
        <f>SUMPRODUCT(C1023:J1023,Factores!$B$3:$I$3)</f>
        <v/>
      </c>
      <c r="M1023" s="16">
        <f>'Empleo Censo'!E1023</f>
        <v/>
      </c>
      <c r="N1023" s="17">
        <f>IF(M1023&gt;0,L1023,Factores!$B$7)</f>
        <v/>
      </c>
      <c r="O1023">
        <f>IF(M1023&gt;0,"OK","sin PEA -&gt; peor")</f>
        <v/>
      </c>
    </row>
    <row r="1024">
      <c r="A1024" t="inlineStr">
        <is>
          <t>060905</t>
        </is>
      </c>
      <c r="B1024" t="inlineStr"/>
      <c r="C1024" s="14">
        <f>'Empleo Censo'!G1024-'Empleo Censo'!F1024</f>
        <v/>
      </c>
      <c r="D1024" s="14">
        <f>'Empleo Censo'!F1024</f>
        <v/>
      </c>
      <c r="E1024" s="14">
        <f>'Empleo Censo'!H1024</f>
        <v/>
      </c>
      <c r="F1024" s="14">
        <f>'Empleo Censo'!I1024</f>
        <v/>
      </c>
      <c r="G1024" s="14">
        <f>'Empleo Censo'!J1024+'Empleo Censo'!K1024</f>
        <v/>
      </c>
      <c r="H1024" s="14">
        <f>'Empleo Censo'!L1024</f>
        <v/>
      </c>
      <c r="I1024" s="14">
        <f>'Empleo Censo'!M1024</f>
        <v/>
      </c>
      <c r="J1024" s="14">
        <f>SUM('Empleo Censo'!N1024:AA1024)</f>
        <v/>
      </c>
      <c r="K1024" s="14">
        <f>SUM(C1024:J1024)</f>
        <v/>
      </c>
      <c r="L1024" s="15">
        <f>SUMPRODUCT(C1024:J1024,Factores!$B$3:$I$3)</f>
        <v/>
      </c>
      <c r="M1024" s="16">
        <f>'Empleo Censo'!E1024</f>
        <v/>
      </c>
      <c r="N1024" s="17">
        <f>IF(M1024&gt;0,L1024,Factores!$B$7)</f>
        <v/>
      </c>
      <c r="O1024">
        <f>IF(M1024&gt;0,"OK","sin PEA -&gt; peor")</f>
        <v/>
      </c>
    </row>
    <row r="1025">
      <c r="A1025" t="inlineStr">
        <is>
          <t>050507</t>
        </is>
      </c>
      <c r="B1025" t="inlineStr">
        <is>
          <t>SANTA ROSA</t>
        </is>
      </c>
      <c r="C1025" s="14">
        <f>'Empleo Censo'!G1025-'Empleo Censo'!F1025</f>
        <v/>
      </c>
      <c r="D1025" s="14">
        <f>'Empleo Censo'!F1025</f>
        <v/>
      </c>
      <c r="E1025" s="14">
        <f>'Empleo Censo'!H1025</f>
        <v/>
      </c>
      <c r="F1025" s="14">
        <f>'Empleo Censo'!I1025</f>
        <v/>
      </c>
      <c r="G1025" s="14">
        <f>'Empleo Censo'!J1025+'Empleo Censo'!K1025</f>
        <v/>
      </c>
      <c r="H1025" s="14">
        <f>'Empleo Censo'!L1025</f>
        <v/>
      </c>
      <c r="I1025" s="14">
        <f>'Empleo Censo'!M1025</f>
        <v/>
      </c>
      <c r="J1025" s="14">
        <f>SUM('Empleo Censo'!N1025:AA1025)</f>
        <v/>
      </c>
      <c r="K1025" s="14">
        <f>SUM(C1025:J1025)</f>
        <v/>
      </c>
      <c r="L1025" s="15">
        <f>SUMPRODUCT(C1025:J1025,Factores!$B$3:$I$3)</f>
        <v/>
      </c>
      <c r="M1025" s="16">
        <f>'Empleo Censo'!E1025</f>
        <v/>
      </c>
      <c r="N1025" s="17">
        <f>IF(M1025&gt;0,L1025,Factores!$B$7)</f>
        <v/>
      </c>
      <c r="O1025">
        <f>IF(M1025&gt;0,"OK","sin PEA -&gt; peor")</f>
        <v/>
      </c>
    </row>
    <row r="1026">
      <c r="A1026" t="inlineStr">
        <is>
          <t>090413</t>
        </is>
      </c>
      <c r="B1026" t="inlineStr">
        <is>
          <t>TICRAPO</t>
        </is>
      </c>
      <c r="C1026" s="14">
        <f>'Empleo Censo'!G1026-'Empleo Censo'!F1026</f>
        <v/>
      </c>
      <c r="D1026" s="14">
        <f>'Empleo Censo'!F1026</f>
        <v/>
      </c>
      <c r="E1026" s="14">
        <f>'Empleo Censo'!H1026</f>
        <v/>
      </c>
      <c r="F1026" s="14">
        <f>'Empleo Censo'!I1026</f>
        <v/>
      </c>
      <c r="G1026" s="14">
        <f>'Empleo Censo'!J1026+'Empleo Censo'!K1026</f>
        <v/>
      </c>
      <c r="H1026" s="14">
        <f>'Empleo Censo'!L1026</f>
        <v/>
      </c>
      <c r="I1026" s="14">
        <f>'Empleo Censo'!M1026</f>
        <v/>
      </c>
      <c r="J1026" s="14">
        <f>SUM('Empleo Censo'!N1026:AA1026)</f>
        <v/>
      </c>
      <c r="K1026" s="14">
        <f>SUM(C1026:J1026)</f>
        <v/>
      </c>
      <c r="L1026" s="15">
        <f>SUMPRODUCT(C1026:J1026,Factores!$B$3:$I$3)</f>
        <v/>
      </c>
      <c r="M1026" s="16">
        <f>'Empleo Censo'!E1026</f>
        <v/>
      </c>
      <c r="N1026" s="17">
        <f>IF(M1026&gt;0,L1026,Factores!$B$7)</f>
        <v/>
      </c>
      <c r="O1026">
        <f>IF(M1026&gt;0,"OK","sin PEA -&gt; peor")</f>
        <v/>
      </c>
    </row>
    <row r="1027">
      <c r="A1027" t="inlineStr">
        <is>
          <t>080913</t>
        </is>
      </c>
      <c r="B1027" t="inlineStr">
        <is>
          <t>VILLA KINTIARINA</t>
        </is>
      </c>
      <c r="C1027" s="14">
        <f>'Empleo Censo'!G1027-'Empleo Censo'!F1027</f>
        <v/>
      </c>
      <c r="D1027" s="14">
        <f>'Empleo Censo'!F1027</f>
        <v/>
      </c>
      <c r="E1027" s="14">
        <f>'Empleo Censo'!H1027</f>
        <v/>
      </c>
      <c r="F1027" s="14">
        <f>'Empleo Censo'!I1027</f>
        <v/>
      </c>
      <c r="G1027" s="14">
        <f>'Empleo Censo'!J1027+'Empleo Censo'!K1027</f>
        <v/>
      </c>
      <c r="H1027" s="14">
        <f>'Empleo Censo'!L1027</f>
        <v/>
      </c>
      <c r="I1027" s="14">
        <f>'Empleo Censo'!M1027</f>
        <v/>
      </c>
      <c r="J1027" s="14">
        <f>SUM('Empleo Censo'!N1027:AA1027)</f>
        <v/>
      </c>
      <c r="K1027" s="14">
        <f>SUM(C1027:J1027)</f>
        <v/>
      </c>
      <c r="L1027" s="15">
        <f>SUMPRODUCT(C1027:J1027,Factores!$B$3:$I$3)</f>
        <v/>
      </c>
      <c r="M1027" s="16">
        <f>'Empleo Censo'!E1027</f>
        <v/>
      </c>
      <c r="N1027" s="17">
        <f>IF(M1027&gt;0,L1027,Factores!$B$7)</f>
        <v/>
      </c>
      <c r="O1027">
        <f>IF(M1027&gt;0,"OK","sin PEA -&gt; peor")</f>
        <v/>
      </c>
    </row>
    <row r="1028">
      <c r="A1028" t="inlineStr">
        <is>
          <t>090716</t>
        </is>
      </c>
      <c r="B1028" t="inlineStr">
        <is>
          <t>SAN MARCOS DE ROCCHAC</t>
        </is>
      </c>
      <c r="C1028" s="14">
        <f>'Empleo Censo'!G1028-'Empleo Censo'!F1028</f>
        <v/>
      </c>
      <c r="D1028" s="14">
        <f>'Empleo Censo'!F1028</f>
        <v/>
      </c>
      <c r="E1028" s="14">
        <f>'Empleo Censo'!H1028</f>
        <v/>
      </c>
      <c r="F1028" s="14">
        <f>'Empleo Censo'!I1028</f>
        <v/>
      </c>
      <c r="G1028" s="14">
        <f>'Empleo Censo'!J1028+'Empleo Censo'!K1028</f>
        <v/>
      </c>
      <c r="H1028" s="14">
        <f>'Empleo Censo'!L1028</f>
        <v/>
      </c>
      <c r="I1028" s="14">
        <f>'Empleo Censo'!M1028</f>
        <v/>
      </c>
      <c r="J1028" s="14">
        <f>SUM('Empleo Censo'!N1028:AA1028)</f>
        <v/>
      </c>
      <c r="K1028" s="14">
        <f>SUM(C1028:J1028)</f>
        <v/>
      </c>
      <c r="L1028" s="15">
        <f>SUMPRODUCT(C1028:J1028,Factores!$B$3:$I$3)</f>
        <v/>
      </c>
      <c r="M1028" s="16">
        <f>'Empleo Censo'!E1028</f>
        <v/>
      </c>
      <c r="N1028" s="17">
        <f>IF(M1028&gt;0,L1028,Factores!$B$7)</f>
        <v/>
      </c>
      <c r="O1028">
        <f>IF(M1028&gt;0,"OK","sin PEA -&gt; peor")</f>
        <v/>
      </c>
    </row>
    <row r="1029">
      <c r="A1029" t="inlineStr">
        <is>
          <t>022001</t>
        </is>
      </c>
      <c r="B1029" t="inlineStr">
        <is>
          <t>YUNGAY</t>
        </is>
      </c>
      <c r="C1029" s="14">
        <f>'Empleo Censo'!G1029-'Empleo Censo'!F1029</f>
        <v/>
      </c>
      <c r="D1029" s="14">
        <f>'Empleo Censo'!F1029</f>
        <v/>
      </c>
      <c r="E1029" s="14">
        <f>'Empleo Censo'!H1029</f>
        <v/>
      </c>
      <c r="F1029" s="14">
        <f>'Empleo Censo'!I1029</f>
        <v/>
      </c>
      <c r="G1029" s="14">
        <f>'Empleo Censo'!J1029+'Empleo Censo'!K1029</f>
        <v/>
      </c>
      <c r="H1029" s="14">
        <f>'Empleo Censo'!L1029</f>
        <v/>
      </c>
      <c r="I1029" s="14">
        <f>'Empleo Censo'!M1029</f>
        <v/>
      </c>
      <c r="J1029" s="14">
        <f>SUM('Empleo Censo'!N1029:AA1029)</f>
        <v/>
      </c>
      <c r="K1029" s="14">
        <f>SUM(C1029:J1029)</f>
        <v/>
      </c>
      <c r="L1029" s="15">
        <f>SUMPRODUCT(C1029:J1029,Factores!$B$3:$I$3)</f>
        <v/>
      </c>
      <c r="M1029" s="16">
        <f>'Empleo Censo'!E1029</f>
        <v/>
      </c>
      <c r="N1029" s="17">
        <f>IF(M1029&gt;0,L1029,Factores!$B$7)</f>
        <v/>
      </c>
      <c r="O1029">
        <f>IF(M1029&gt;0,"OK","sin PEA -&gt; peor")</f>
        <v/>
      </c>
    </row>
    <row r="1030">
      <c r="A1030" t="inlineStr">
        <is>
          <t>020601</t>
        </is>
      </c>
      <c r="B1030" t="inlineStr">
        <is>
          <t>CARHUAZ</t>
        </is>
      </c>
      <c r="C1030" s="14">
        <f>'Empleo Censo'!G1030-'Empleo Censo'!F1030</f>
        <v/>
      </c>
      <c r="D1030" s="14">
        <f>'Empleo Censo'!F1030</f>
        <v/>
      </c>
      <c r="E1030" s="14">
        <f>'Empleo Censo'!H1030</f>
        <v/>
      </c>
      <c r="F1030" s="14">
        <f>'Empleo Censo'!I1030</f>
        <v/>
      </c>
      <c r="G1030" s="14">
        <f>'Empleo Censo'!J1030+'Empleo Censo'!K1030</f>
        <v/>
      </c>
      <c r="H1030" s="14">
        <f>'Empleo Censo'!L1030</f>
        <v/>
      </c>
      <c r="I1030" s="14">
        <f>'Empleo Censo'!M1030</f>
        <v/>
      </c>
      <c r="J1030" s="14">
        <f>SUM('Empleo Censo'!N1030:AA1030)</f>
        <v/>
      </c>
      <c r="K1030" s="14">
        <f>SUM(C1030:J1030)</f>
        <v/>
      </c>
      <c r="L1030" s="15">
        <f>SUMPRODUCT(C1030:J1030,Factores!$B$3:$I$3)</f>
        <v/>
      </c>
      <c r="M1030" s="16">
        <f>'Empleo Censo'!E1030</f>
        <v/>
      </c>
      <c r="N1030" s="17">
        <f>IF(M1030&gt;0,L1030,Factores!$B$7)</f>
        <v/>
      </c>
      <c r="O1030">
        <f>IF(M1030&gt;0,"OK","sin PEA -&gt; peor")</f>
        <v/>
      </c>
    </row>
    <row r="1031">
      <c r="A1031" t="inlineStr">
        <is>
          <t>050105</t>
        </is>
      </c>
      <c r="B1031" t="inlineStr">
        <is>
          <t>CHIARA</t>
        </is>
      </c>
      <c r="C1031" s="14">
        <f>'Empleo Censo'!G1031-'Empleo Censo'!F1031</f>
        <v/>
      </c>
      <c r="D1031" s="14">
        <f>'Empleo Censo'!F1031</f>
        <v/>
      </c>
      <c r="E1031" s="14">
        <f>'Empleo Censo'!H1031</f>
        <v/>
      </c>
      <c r="F1031" s="14">
        <f>'Empleo Censo'!I1031</f>
        <v/>
      </c>
      <c r="G1031" s="14">
        <f>'Empleo Censo'!J1031+'Empleo Censo'!K1031</f>
        <v/>
      </c>
      <c r="H1031" s="14">
        <f>'Empleo Censo'!L1031</f>
        <v/>
      </c>
      <c r="I1031" s="14">
        <f>'Empleo Censo'!M1031</f>
        <v/>
      </c>
      <c r="J1031" s="14">
        <f>SUM('Empleo Censo'!N1031:AA1031)</f>
        <v/>
      </c>
      <c r="K1031" s="14">
        <f>SUM(C1031:J1031)</f>
        <v/>
      </c>
      <c r="L1031" s="15">
        <f>SUMPRODUCT(C1031:J1031,Factores!$B$3:$I$3)</f>
        <v/>
      </c>
      <c r="M1031" s="16">
        <f>'Empleo Censo'!E1031</f>
        <v/>
      </c>
      <c r="N1031" s="17">
        <f>IF(M1031&gt;0,L1031,Factores!$B$7)</f>
        <v/>
      </c>
      <c r="O1031">
        <f>IF(M1031&gt;0,"OK","sin PEA -&gt; peor")</f>
        <v/>
      </c>
    </row>
    <row r="1032">
      <c r="A1032" t="inlineStr">
        <is>
          <t>090717</t>
        </is>
      </c>
      <c r="B1032" t="inlineStr">
        <is>
          <t>SURCUBAMBA</t>
        </is>
      </c>
      <c r="C1032" s="14">
        <f>'Empleo Censo'!G1032-'Empleo Censo'!F1032</f>
        <v/>
      </c>
      <c r="D1032" s="14">
        <f>'Empleo Censo'!F1032</f>
        <v/>
      </c>
      <c r="E1032" s="14">
        <f>'Empleo Censo'!H1032</f>
        <v/>
      </c>
      <c r="F1032" s="14">
        <f>'Empleo Censo'!I1032</f>
        <v/>
      </c>
      <c r="G1032" s="14">
        <f>'Empleo Censo'!J1032+'Empleo Censo'!K1032</f>
        <v/>
      </c>
      <c r="H1032" s="14">
        <f>'Empleo Censo'!L1032</f>
        <v/>
      </c>
      <c r="I1032" s="14">
        <f>'Empleo Censo'!M1032</f>
        <v/>
      </c>
      <c r="J1032" s="14">
        <f>SUM('Empleo Censo'!N1032:AA1032)</f>
        <v/>
      </c>
      <c r="K1032" s="14">
        <f>SUM(C1032:J1032)</f>
        <v/>
      </c>
      <c r="L1032" s="15">
        <f>SUMPRODUCT(C1032:J1032,Factores!$B$3:$I$3)</f>
        <v/>
      </c>
      <c r="M1032" s="16">
        <f>'Empleo Censo'!E1032</f>
        <v/>
      </c>
      <c r="N1032" s="17">
        <f>IF(M1032&gt;0,L1032,Factores!$B$7)</f>
        <v/>
      </c>
      <c r="O1032">
        <f>IF(M1032&gt;0,"OK","sin PEA -&gt; peor")</f>
        <v/>
      </c>
    </row>
    <row r="1033">
      <c r="A1033" t="inlineStr">
        <is>
          <t>090208</t>
        </is>
      </c>
      <c r="B1033" t="inlineStr">
        <is>
          <t>ROSARIO</t>
        </is>
      </c>
      <c r="C1033" s="14">
        <f>'Empleo Censo'!G1033-'Empleo Censo'!F1033</f>
        <v/>
      </c>
      <c r="D1033" s="14">
        <f>'Empleo Censo'!F1033</f>
        <v/>
      </c>
      <c r="E1033" s="14">
        <f>'Empleo Censo'!H1033</f>
        <v/>
      </c>
      <c r="F1033" s="14">
        <f>'Empleo Censo'!I1033</f>
        <v/>
      </c>
      <c r="G1033" s="14">
        <f>'Empleo Censo'!J1033+'Empleo Censo'!K1033</f>
        <v/>
      </c>
      <c r="H1033" s="14">
        <f>'Empleo Censo'!L1033</f>
        <v/>
      </c>
      <c r="I1033" s="14">
        <f>'Empleo Censo'!M1033</f>
        <v/>
      </c>
      <c r="J1033" s="14">
        <f>SUM('Empleo Censo'!N1033:AA1033)</f>
        <v/>
      </c>
      <c r="K1033" s="14">
        <f>SUM(C1033:J1033)</f>
        <v/>
      </c>
      <c r="L1033" s="15">
        <f>SUMPRODUCT(C1033:J1033,Factores!$B$3:$I$3)</f>
        <v/>
      </c>
      <c r="M1033" s="16">
        <f>'Empleo Censo'!E1033</f>
        <v/>
      </c>
      <c r="N1033" s="17">
        <f>IF(M1033&gt;0,L1033,Factores!$B$7)</f>
        <v/>
      </c>
      <c r="O1033">
        <f>IF(M1033&gt;0,"OK","sin PEA -&gt; peor")</f>
        <v/>
      </c>
    </row>
    <row r="1034">
      <c r="A1034" t="inlineStr">
        <is>
          <t>030701</t>
        </is>
      </c>
      <c r="B1034" t="inlineStr">
        <is>
          <t>CHUQUIBAMBILLA</t>
        </is>
      </c>
      <c r="C1034" s="14">
        <f>'Empleo Censo'!G1034-'Empleo Censo'!F1034</f>
        <v/>
      </c>
      <c r="D1034" s="14">
        <f>'Empleo Censo'!F1034</f>
        <v/>
      </c>
      <c r="E1034" s="14">
        <f>'Empleo Censo'!H1034</f>
        <v/>
      </c>
      <c r="F1034" s="14">
        <f>'Empleo Censo'!I1034</f>
        <v/>
      </c>
      <c r="G1034" s="14">
        <f>'Empleo Censo'!J1034+'Empleo Censo'!K1034</f>
        <v/>
      </c>
      <c r="H1034" s="14">
        <f>'Empleo Censo'!L1034</f>
        <v/>
      </c>
      <c r="I1034" s="14">
        <f>'Empleo Censo'!M1034</f>
        <v/>
      </c>
      <c r="J1034" s="14">
        <f>SUM('Empleo Censo'!N1034:AA1034)</f>
        <v/>
      </c>
      <c r="K1034" s="14">
        <f>SUM(C1034:J1034)</f>
        <v/>
      </c>
      <c r="L1034" s="15">
        <f>SUMPRODUCT(C1034:J1034,Factores!$B$3:$I$3)</f>
        <v/>
      </c>
      <c r="M1034" s="16">
        <f>'Empleo Censo'!E1034</f>
        <v/>
      </c>
      <c r="N1034" s="17">
        <f>IF(M1034&gt;0,L1034,Factores!$B$7)</f>
        <v/>
      </c>
      <c r="O1034">
        <f>IF(M1034&gt;0,"OK","sin PEA -&gt; peor")</f>
        <v/>
      </c>
    </row>
    <row r="1035">
      <c r="A1035" t="inlineStr">
        <is>
          <t>030505</t>
        </is>
      </c>
      <c r="B1035" t="inlineStr">
        <is>
          <t>MARA</t>
        </is>
      </c>
      <c r="C1035" s="14">
        <f>'Empleo Censo'!G1035-'Empleo Censo'!F1035</f>
        <v/>
      </c>
      <c r="D1035" s="14">
        <f>'Empleo Censo'!F1035</f>
        <v/>
      </c>
      <c r="E1035" s="14">
        <f>'Empleo Censo'!H1035</f>
        <v/>
      </c>
      <c r="F1035" s="14">
        <f>'Empleo Censo'!I1035</f>
        <v/>
      </c>
      <c r="G1035" s="14">
        <f>'Empleo Censo'!J1035+'Empleo Censo'!K1035</f>
        <v/>
      </c>
      <c r="H1035" s="14">
        <f>'Empleo Censo'!L1035</f>
        <v/>
      </c>
      <c r="I1035" s="14">
        <f>'Empleo Censo'!M1035</f>
        <v/>
      </c>
      <c r="J1035" s="14">
        <f>SUM('Empleo Censo'!N1035:AA1035)</f>
        <v/>
      </c>
      <c r="K1035" s="14">
        <f>SUM(C1035:J1035)</f>
        <v/>
      </c>
      <c r="L1035" s="15">
        <f>SUMPRODUCT(C1035:J1035,Factores!$B$3:$I$3)</f>
        <v/>
      </c>
      <c r="M1035" s="16">
        <f>'Empleo Censo'!E1035</f>
        <v/>
      </c>
      <c r="N1035" s="17">
        <f>IF(M1035&gt;0,L1035,Factores!$B$7)</f>
        <v/>
      </c>
      <c r="O1035">
        <f>IF(M1035&gt;0,"OK","sin PEA -&gt; peor")</f>
        <v/>
      </c>
    </row>
    <row r="1036">
      <c r="A1036" t="inlineStr">
        <is>
          <t>090507</t>
        </is>
      </c>
      <c r="B1036" t="inlineStr">
        <is>
          <t>PAUCARBAMBA</t>
        </is>
      </c>
      <c r="C1036" s="14">
        <f>'Empleo Censo'!G1036-'Empleo Censo'!F1036</f>
        <v/>
      </c>
      <c r="D1036" s="14">
        <f>'Empleo Censo'!F1036</f>
        <v/>
      </c>
      <c r="E1036" s="14">
        <f>'Empleo Censo'!H1036</f>
        <v/>
      </c>
      <c r="F1036" s="14">
        <f>'Empleo Censo'!I1036</f>
        <v/>
      </c>
      <c r="G1036" s="14">
        <f>'Empleo Censo'!J1036+'Empleo Censo'!K1036</f>
        <v/>
      </c>
      <c r="H1036" s="14">
        <f>'Empleo Censo'!L1036</f>
        <v/>
      </c>
      <c r="I1036" s="14">
        <f>'Empleo Censo'!M1036</f>
        <v/>
      </c>
      <c r="J1036" s="14">
        <f>SUM('Empleo Censo'!N1036:AA1036)</f>
        <v/>
      </c>
      <c r="K1036" s="14">
        <f>SUM(C1036:J1036)</f>
        <v/>
      </c>
      <c r="L1036" s="15">
        <f>SUMPRODUCT(C1036:J1036,Factores!$B$3:$I$3)</f>
        <v/>
      </c>
      <c r="M1036" s="16">
        <f>'Empleo Censo'!E1036</f>
        <v/>
      </c>
      <c r="N1036" s="17">
        <f>IF(M1036&gt;0,L1036,Factores!$B$7)</f>
        <v/>
      </c>
      <c r="O1036">
        <f>IF(M1036&gt;0,"OK","sin PEA -&gt; peor")</f>
        <v/>
      </c>
    </row>
    <row r="1037">
      <c r="A1037" t="inlineStr">
        <is>
          <t>050508</t>
        </is>
      </c>
      <c r="B1037" t="inlineStr">
        <is>
          <t>TAMBO</t>
        </is>
      </c>
      <c r="C1037" s="14">
        <f>'Empleo Censo'!G1037-'Empleo Censo'!F1037</f>
        <v/>
      </c>
      <c r="D1037" s="14">
        <f>'Empleo Censo'!F1037</f>
        <v/>
      </c>
      <c r="E1037" s="14">
        <f>'Empleo Censo'!H1037</f>
        <v/>
      </c>
      <c r="F1037" s="14">
        <f>'Empleo Censo'!I1037</f>
        <v/>
      </c>
      <c r="G1037" s="14">
        <f>'Empleo Censo'!J1037+'Empleo Censo'!K1037</f>
        <v/>
      </c>
      <c r="H1037" s="14">
        <f>'Empleo Censo'!L1037</f>
        <v/>
      </c>
      <c r="I1037" s="14">
        <f>'Empleo Censo'!M1037</f>
        <v/>
      </c>
      <c r="J1037" s="14">
        <f>SUM('Empleo Censo'!N1037:AA1037)</f>
        <v/>
      </c>
      <c r="K1037" s="14">
        <f>SUM(C1037:J1037)</f>
        <v/>
      </c>
      <c r="L1037" s="15">
        <f>SUMPRODUCT(C1037:J1037,Factores!$B$3:$I$3)</f>
        <v/>
      </c>
      <c r="M1037" s="16">
        <f>'Empleo Censo'!E1037</f>
        <v/>
      </c>
      <c r="N1037" s="17">
        <f>IF(M1037&gt;0,L1037,Factores!$B$7)</f>
        <v/>
      </c>
      <c r="O1037">
        <f>IF(M1037&gt;0,"OK","sin PEA -&gt; peor")</f>
        <v/>
      </c>
    </row>
    <row r="1038">
      <c r="A1038" t="inlineStr">
        <is>
          <t>060308</t>
        </is>
      </c>
      <c r="B1038" t="inlineStr">
        <is>
          <t>OXAMARCA</t>
        </is>
      </c>
      <c r="C1038" s="14">
        <f>'Empleo Censo'!G1038-'Empleo Censo'!F1038</f>
        <v/>
      </c>
      <c r="D1038" s="14">
        <f>'Empleo Censo'!F1038</f>
        <v/>
      </c>
      <c r="E1038" s="14">
        <f>'Empleo Censo'!H1038</f>
        <v/>
      </c>
      <c r="F1038" s="14">
        <f>'Empleo Censo'!I1038</f>
        <v/>
      </c>
      <c r="G1038" s="14">
        <f>'Empleo Censo'!J1038+'Empleo Censo'!K1038</f>
        <v/>
      </c>
      <c r="H1038" s="14">
        <f>'Empleo Censo'!L1038</f>
        <v/>
      </c>
      <c r="I1038" s="14">
        <f>'Empleo Censo'!M1038</f>
        <v/>
      </c>
      <c r="J1038" s="14">
        <f>SUM('Empleo Censo'!N1038:AA1038)</f>
        <v/>
      </c>
      <c r="K1038" s="14">
        <f>SUM(C1038:J1038)</f>
        <v/>
      </c>
      <c r="L1038" s="15">
        <f>SUMPRODUCT(C1038:J1038,Factores!$B$3:$I$3)</f>
        <v/>
      </c>
      <c r="M1038" s="16">
        <f>'Empleo Censo'!E1038</f>
        <v/>
      </c>
      <c r="N1038" s="17">
        <f>IF(M1038&gt;0,L1038,Factores!$B$7)</f>
        <v/>
      </c>
      <c r="O1038">
        <f>IF(M1038&gt;0,"OK","sin PEA -&gt; peor")</f>
        <v/>
      </c>
    </row>
    <row r="1039">
      <c r="A1039" t="inlineStr">
        <is>
          <t>060417</t>
        </is>
      </c>
      <c r="B1039" t="inlineStr">
        <is>
          <t>TACABAMBA</t>
        </is>
      </c>
      <c r="C1039" s="14">
        <f>'Empleo Censo'!G1039-'Empleo Censo'!F1039</f>
        <v/>
      </c>
      <c r="D1039" s="14">
        <f>'Empleo Censo'!F1039</f>
        <v/>
      </c>
      <c r="E1039" s="14">
        <f>'Empleo Censo'!H1039</f>
        <v/>
      </c>
      <c r="F1039" s="14">
        <f>'Empleo Censo'!I1039</f>
        <v/>
      </c>
      <c r="G1039" s="14">
        <f>'Empleo Censo'!J1039+'Empleo Censo'!K1039</f>
        <v/>
      </c>
      <c r="H1039" s="14">
        <f>'Empleo Censo'!L1039</f>
        <v/>
      </c>
      <c r="I1039" s="14">
        <f>'Empleo Censo'!M1039</f>
        <v/>
      </c>
      <c r="J1039" s="14">
        <f>SUM('Empleo Censo'!N1039:AA1039)</f>
        <v/>
      </c>
      <c r="K1039" s="14">
        <f>SUM(C1039:J1039)</f>
        <v/>
      </c>
      <c r="L1039" s="15">
        <f>SUMPRODUCT(C1039:J1039,Factores!$B$3:$I$3)</f>
        <v/>
      </c>
      <c r="M1039" s="16">
        <f>'Empleo Censo'!E1039</f>
        <v/>
      </c>
      <c r="N1039" s="17">
        <f>IF(M1039&gt;0,L1039,Factores!$B$7)</f>
        <v/>
      </c>
      <c r="O1039">
        <f>IF(M1039&gt;0,"OK","sin PEA -&gt; peor")</f>
        <v/>
      </c>
    </row>
    <row r="1040">
      <c r="A1040" t="inlineStr">
        <is>
          <t>050409</t>
        </is>
      </c>
      <c r="B1040" t="inlineStr">
        <is>
          <t>CANAYRE</t>
        </is>
      </c>
      <c r="C1040" s="14">
        <f>'Empleo Censo'!G1040-'Empleo Censo'!F1040</f>
        <v/>
      </c>
      <c r="D1040" s="14">
        <f>'Empleo Censo'!F1040</f>
        <v/>
      </c>
      <c r="E1040" s="14">
        <f>'Empleo Censo'!H1040</f>
        <v/>
      </c>
      <c r="F1040" s="14">
        <f>'Empleo Censo'!I1040</f>
        <v/>
      </c>
      <c r="G1040" s="14">
        <f>'Empleo Censo'!J1040+'Empleo Censo'!K1040</f>
        <v/>
      </c>
      <c r="H1040" s="14">
        <f>'Empleo Censo'!L1040</f>
        <v/>
      </c>
      <c r="I1040" s="14">
        <f>'Empleo Censo'!M1040</f>
        <v/>
      </c>
      <c r="J1040" s="14">
        <f>SUM('Empleo Censo'!N1040:AA1040)</f>
        <v/>
      </c>
      <c r="K1040" s="14">
        <f>SUM(C1040:J1040)</f>
        <v/>
      </c>
      <c r="L1040" s="15">
        <f>SUMPRODUCT(C1040:J1040,Factores!$B$3:$I$3)</f>
        <v/>
      </c>
      <c r="M1040" s="16">
        <f>'Empleo Censo'!E1040</f>
        <v/>
      </c>
      <c r="N1040" s="17">
        <f>IF(M1040&gt;0,L1040,Factores!$B$7)</f>
        <v/>
      </c>
      <c r="O1040">
        <f>IF(M1040&gt;0,"OK","sin PEA -&gt; peor")</f>
        <v/>
      </c>
    </row>
    <row r="1041">
      <c r="A1041" t="inlineStr">
        <is>
          <t>060105</t>
        </is>
      </c>
      <c r="B1041" t="inlineStr">
        <is>
          <t>ENCAÑADA</t>
        </is>
      </c>
      <c r="C1041" s="14">
        <f>'Empleo Censo'!G1041-'Empleo Censo'!F1041</f>
        <v/>
      </c>
      <c r="D1041" s="14">
        <f>'Empleo Censo'!F1041</f>
        <v/>
      </c>
      <c r="E1041" s="14">
        <f>'Empleo Censo'!H1041</f>
        <v/>
      </c>
      <c r="F1041" s="14">
        <f>'Empleo Censo'!I1041</f>
        <v/>
      </c>
      <c r="G1041" s="14">
        <f>'Empleo Censo'!J1041+'Empleo Censo'!K1041</f>
        <v/>
      </c>
      <c r="H1041" s="14">
        <f>'Empleo Censo'!L1041</f>
        <v/>
      </c>
      <c r="I1041" s="14">
        <f>'Empleo Censo'!M1041</f>
        <v/>
      </c>
      <c r="J1041" s="14">
        <f>SUM('Empleo Censo'!N1041:AA1041)</f>
        <v/>
      </c>
      <c r="K1041" s="14">
        <f>SUM(C1041:J1041)</f>
        <v/>
      </c>
      <c r="L1041" s="15">
        <f>SUMPRODUCT(C1041:J1041,Factores!$B$3:$I$3)</f>
        <v/>
      </c>
      <c r="M1041" s="16">
        <f>'Empleo Censo'!E1041</f>
        <v/>
      </c>
      <c r="N1041" s="17">
        <f>IF(M1041&gt;0,L1041,Factores!$B$7)</f>
        <v/>
      </c>
      <c r="O1041">
        <f>IF(M1041&gt;0,"OK","sin PEA -&gt; peor")</f>
        <v/>
      </c>
    </row>
    <row r="1042">
      <c r="A1042" t="inlineStr">
        <is>
          <t>051108</t>
        </is>
      </c>
      <c r="B1042" t="inlineStr">
        <is>
          <t>VISCHONGO</t>
        </is>
      </c>
      <c r="C1042" s="14">
        <f>'Empleo Censo'!G1042-'Empleo Censo'!F1042</f>
        <v/>
      </c>
      <c r="D1042" s="14">
        <f>'Empleo Censo'!F1042</f>
        <v/>
      </c>
      <c r="E1042" s="14">
        <f>'Empleo Censo'!H1042</f>
        <v/>
      </c>
      <c r="F1042" s="14">
        <f>'Empleo Censo'!I1042</f>
        <v/>
      </c>
      <c r="G1042" s="14">
        <f>'Empleo Censo'!J1042+'Empleo Censo'!K1042</f>
        <v/>
      </c>
      <c r="H1042" s="14">
        <f>'Empleo Censo'!L1042</f>
        <v/>
      </c>
      <c r="I1042" s="14">
        <f>'Empleo Censo'!M1042</f>
        <v/>
      </c>
      <c r="J1042" s="14">
        <f>SUM('Empleo Censo'!N1042:AA1042)</f>
        <v/>
      </c>
      <c r="K1042" s="14">
        <f>SUM(C1042:J1042)</f>
        <v/>
      </c>
      <c r="L1042" s="15">
        <f>SUMPRODUCT(C1042:J1042,Factores!$B$3:$I$3)</f>
        <v/>
      </c>
      <c r="M1042" s="16">
        <f>'Empleo Censo'!E1042</f>
        <v/>
      </c>
      <c r="N1042" s="17">
        <f>IF(M1042&gt;0,L1042,Factores!$B$7)</f>
        <v/>
      </c>
      <c r="O1042">
        <f>IF(M1042&gt;0,"OK","sin PEA -&gt; peor")</f>
        <v/>
      </c>
    </row>
    <row r="1043">
      <c r="A1043" t="inlineStr">
        <is>
          <t>090721</t>
        </is>
      </c>
      <c r="B1043" t="inlineStr">
        <is>
          <t>ROBLE</t>
        </is>
      </c>
      <c r="C1043" s="14">
        <f>'Empleo Censo'!G1043-'Empleo Censo'!F1043</f>
        <v/>
      </c>
      <c r="D1043" s="14">
        <f>'Empleo Censo'!F1043</f>
        <v/>
      </c>
      <c r="E1043" s="14">
        <f>'Empleo Censo'!H1043</f>
        <v/>
      </c>
      <c r="F1043" s="14">
        <f>'Empleo Censo'!I1043</f>
        <v/>
      </c>
      <c r="G1043" s="14">
        <f>'Empleo Censo'!J1043+'Empleo Censo'!K1043</f>
        <v/>
      </c>
      <c r="H1043" s="14">
        <f>'Empleo Censo'!L1043</f>
        <v/>
      </c>
      <c r="I1043" s="14">
        <f>'Empleo Censo'!M1043</f>
        <v/>
      </c>
      <c r="J1043" s="14">
        <f>SUM('Empleo Censo'!N1043:AA1043)</f>
        <v/>
      </c>
      <c r="K1043" s="14">
        <f>SUM(C1043:J1043)</f>
        <v/>
      </c>
      <c r="L1043" s="15">
        <f>SUMPRODUCT(C1043:J1043,Factores!$B$3:$I$3)</f>
        <v/>
      </c>
      <c r="M1043" s="16">
        <f>'Empleo Censo'!E1043</f>
        <v/>
      </c>
      <c r="N1043" s="17">
        <f>IF(M1043&gt;0,L1043,Factores!$B$7)</f>
        <v/>
      </c>
      <c r="O1043">
        <f>IF(M1043&gt;0,"OK","sin PEA -&gt; peor")</f>
        <v/>
      </c>
    </row>
    <row r="1044">
      <c r="A1044" t="inlineStr">
        <is>
          <t>010101</t>
        </is>
      </c>
      <c r="B1044" t="inlineStr">
        <is>
          <t>CHACHAPOYAS</t>
        </is>
      </c>
      <c r="C1044" s="14">
        <f>'Empleo Censo'!G1044-'Empleo Censo'!F1044</f>
        <v/>
      </c>
      <c r="D1044" s="14">
        <f>'Empleo Censo'!F1044</f>
        <v/>
      </c>
      <c r="E1044" s="14">
        <f>'Empleo Censo'!H1044</f>
        <v/>
      </c>
      <c r="F1044" s="14">
        <f>'Empleo Censo'!I1044</f>
        <v/>
      </c>
      <c r="G1044" s="14">
        <f>'Empleo Censo'!J1044+'Empleo Censo'!K1044</f>
        <v/>
      </c>
      <c r="H1044" s="14">
        <f>'Empleo Censo'!L1044</f>
        <v/>
      </c>
      <c r="I1044" s="14">
        <f>'Empleo Censo'!M1044</f>
        <v/>
      </c>
      <c r="J1044" s="14">
        <f>SUM('Empleo Censo'!N1044:AA1044)</f>
        <v/>
      </c>
      <c r="K1044" s="14">
        <f>SUM(C1044:J1044)</f>
        <v/>
      </c>
      <c r="L1044" s="15">
        <f>SUMPRODUCT(C1044:J1044,Factores!$B$3:$I$3)</f>
        <v/>
      </c>
      <c r="M1044" s="16">
        <f>'Empleo Censo'!E1044</f>
        <v/>
      </c>
      <c r="N1044" s="17">
        <f>IF(M1044&gt;0,L1044,Factores!$B$7)</f>
        <v/>
      </c>
      <c r="O1044">
        <f>IF(M1044&gt;0,"OK","sin PEA -&gt; peor")</f>
        <v/>
      </c>
    </row>
    <row r="1045">
      <c r="A1045" t="inlineStr">
        <is>
          <t>010702</t>
        </is>
      </c>
      <c r="B1045" t="inlineStr">
        <is>
          <t>CAJARURO</t>
        </is>
      </c>
      <c r="C1045" s="14">
        <f>'Empleo Censo'!G1045-'Empleo Censo'!F1045</f>
        <v/>
      </c>
      <c r="D1045" s="14">
        <f>'Empleo Censo'!F1045</f>
        <v/>
      </c>
      <c r="E1045" s="14">
        <f>'Empleo Censo'!H1045</f>
        <v/>
      </c>
      <c r="F1045" s="14">
        <f>'Empleo Censo'!I1045</f>
        <v/>
      </c>
      <c r="G1045" s="14">
        <f>'Empleo Censo'!J1045+'Empleo Censo'!K1045</f>
        <v/>
      </c>
      <c r="H1045" s="14">
        <f>'Empleo Censo'!L1045</f>
        <v/>
      </c>
      <c r="I1045" s="14">
        <f>'Empleo Censo'!M1045</f>
        <v/>
      </c>
      <c r="J1045" s="14">
        <f>SUM('Empleo Censo'!N1045:AA1045)</f>
        <v/>
      </c>
      <c r="K1045" s="14">
        <f>SUM(C1045:J1045)</f>
        <v/>
      </c>
      <c r="L1045" s="15">
        <f>SUMPRODUCT(C1045:J1045,Factores!$B$3:$I$3)</f>
        <v/>
      </c>
      <c r="M1045" s="16">
        <f>'Empleo Censo'!E1045</f>
        <v/>
      </c>
      <c r="N1045" s="17">
        <f>IF(M1045&gt;0,L1045,Factores!$B$7)</f>
        <v/>
      </c>
      <c r="O1045">
        <f>IF(M1045&gt;0,"OK","sin PEA -&gt; peor")</f>
        <v/>
      </c>
    </row>
    <row r="1046">
      <c r="A1046" t="inlineStr">
        <is>
          <t>090715</t>
        </is>
      </c>
      <c r="B1046" t="inlineStr">
        <is>
          <t>SALCAHUASI</t>
        </is>
      </c>
      <c r="C1046" s="14">
        <f>'Empleo Censo'!G1046-'Empleo Censo'!F1046</f>
        <v/>
      </c>
      <c r="D1046" s="14">
        <f>'Empleo Censo'!F1046</f>
        <v/>
      </c>
      <c r="E1046" s="14">
        <f>'Empleo Censo'!H1046</f>
        <v/>
      </c>
      <c r="F1046" s="14">
        <f>'Empleo Censo'!I1046</f>
        <v/>
      </c>
      <c r="G1046" s="14">
        <f>'Empleo Censo'!J1046+'Empleo Censo'!K1046</f>
        <v/>
      </c>
      <c r="H1046" s="14">
        <f>'Empleo Censo'!L1046</f>
        <v/>
      </c>
      <c r="I1046" s="14">
        <f>'Empleo Censo'!M1046</f>
        <v/>
      </c>
      <c r="J1046" s="14">
        <f>SUM('Empleo Censo'!N1046:AA1046)</f>
        <v/>
      </c>
      <c r="K1046" s="14">
        <f>SUM(C1046:J1046)</f>
        <v/>
      </c>
      <c r="L1046" s="15">
        <f>SUMPRODUCT(C1046:J1046,Factores!$B$3:$I$3)</f>
        <v/>
      </c>
      <c r="M1046" s="16">
        <f>'Empleo Censo'!E1046</f>
        <v/>
      </c>
      <c r="N1046" s="17">
        <f>IF(M1046&gt;0,L1046,Factores!$B$7)</f>
        <v/>
      </c>
      <c r="O1046">
        <f>IF(M1046&gt;0,"OK","sin PEA -&gt; peor")</f>
        <v/>
      </c>
    </row>
    <row r="1047">
      <c r="A1047" t="inlineStr">
        <is>
          <t>060801</t>
        </is>
      </c>
      <c r="B1047" t="inlineStr">
        <is>
          <t>JAEN</t>
        </is>
      </c>
      <c r="C1047" s="14">
        <f>'Empleo Censo'!G1047-'Empleo Censo'!F1047</f>
        <v/>
      </c>
      <c r="D1047" s="14">
        <f>'Empleo Censo'!F1047</f>
        <v/>
      </c>
      <c r="E1047" s="14">
        <f>'Empleo Censo'!H1047</f>
        <v/>
      </c>
      <c r="F1047" s="14">
        <f>'Empleo Censo'!I1047</f>
        <v/>
      </c>
      <c r="G1047" s="14">
        <f>'Empleo Censo'!J1047+'Empleo Censo'!K1047</f>
        <v/>
      </c>
      <c r="H1047" s="14">
        <f>'Empleo Censo'!L1047</f>
        <v/>
      </c>
      <c r="I1047" s="14">
        <f>'Empleo Censo'!M1047</f>
        <v/>
      </c>
      <c r="J1047" s="14">
        <f>SUM('Empleo Censo'!N1047:AA1047)</f>
        <v/>
      </c>
      <c r="K1047" s="14">
        <f>SUM(C1047:J1047)</f>
        <v/>
      </c>
      <c r="L1047" s="15">
        <f>SUMPRODUCT(C1047:J1047,Factores!$B$3:$I$3)</f>
        <v/>
      </c>
      <c r="M1047" s="16">
        <f>'Empleo Censo'!E1047</f>
        <v/>
      </c>
      <c r="N1047" s="17">
        <f>IF(M1047&gt;0,L1047,Factores!$B$7)</f>
        <v/>
      </c>
      <c r="O1047">
        <f>IF(M1047&gt;0,"OK","sin PEA -&gt; peor")</f>
        <v/>
      </c>
    </row>
    <row r="1048">
      <c r="A1048" t="inlineStr">
        <is>
          <t>060102</t>
        </is>
      </c>
      <c r="B1048" t="inlineStr">
        <is>
          <t>ASUNCION</t>
        </is>
      </c>
      <c r="C1048" s="14">
        <f>'Empleo Censo'!G1048-'Empleo Censo'!F1048</f>
        <v/>
      </c>
      <c r="D1048" s="14">
        <f>'Empleo Censo'!F1048</f>
        <v/>
      </c>
      <c r="E1048" s="14">
        <f>'Empleo Censo'!H1048</f>
        <v/>
      </c>
      <c r="F1048" s="14">
        <f>'Empleo Censo'!I1048</f>
        <v/>
      </c>
      <c r="G1048" s="14">
        <f>'Empleo Censo'!J1048+'Empleo Censo'!K1048</f>
        <v/>
      </c>
      <c r="H1048" s="14">
        <f>'Empleo Censo'!L1048</f>
        <v/>
      </c>
      <c r="I1048" s="14">
        <f>'Empleo Censo'!M1048</f>
        <v/>
      </c>
      <c r="J1048" s="14">
        <f>SUM('Empleo Censo'!N1048:AA1048)</f>
        <v/>
      </c>
      <c r="K1048" s="14">
        <f>SUM(C1048:J1048)</f>
        <v/>
      </c>
      <c r="L1048" s="15">
        <f>SUMPRODUCT(C1048:J1048,Factores!$B$3:$I$3)</f>
        <v/>
      </c>
      <c r="M1048" s="16">
        <f>'Empleo Censo'!E1048</f>
        <v/>
      </c>
      <c r="N1048" s="17">
        <f>IF(M1048&gt;0,L1048,Factores!$B$7)</f>
        <v/>
      </c>
      <c r="O1048">
        <f>IF(M1048&gt;0,"OK","sin PEA -&gt; peor")</f>
        <v/>
      </c>
    </row>
    <row r="1049">
      <c r="A1049" t="inlineStr">
        <is>
          <t>060812</t>
        </is>
      </c>
      <c r="B1049" t="inlineStr">
        <is>
          <t>SANTA ROSA</t>
        </is>
      </c>
      <c r="C1049" s="14">
        <f>'Empleo Censo'!G1049-'Empleo Censo'!F1049</f>
        <v/>
      </c>
      <c r="D1049" s="14">
        <f>'Empleo Censo'!F1049</f>
        <v/>
      </c>
      <c r="E1049" s="14">
        <f>'Empleo Censo'!H1049</f>
        <v/>
      </c>
      <c r="F1049" s="14">
        <f>'Empleo Censo'!I1049</f>
        <v/>
      </c>
      <c r="G1049" s="14">
        <f>'Empleo Censo'!J1049+'Empleo Censo'!K1049</f>
        <v/>
      </c>
      <c r="H1049" s="14">
        <f>'Empleo Censo'!L1049</f>
        <v/>
      </c>
      <c r="I1049" s="14">
        <f>'Empleo Censo'!M1049</f>
        <v/>
      </c>
      <c r="J1049" s="14">
        <f>SUM('Empleo Censo'!N1049:AA1049)</f>
        <v/>
      </c>
      <c r="K1049" s="14">
        <f>SUM(C1049:J1049)</f>
        <v/>
      </c>
      <c r="L1049" s="15">
        <f>SUMPRODUCT(C1049:J1049,Factores!$B$3:$I$3)</f>
        <v/>
      </c>
      <c r="M1049" s="16">
        <f>'Empleo Censo'!E1049</f>
        <v/>
      </c>
      <c r="N1049" s="17">
        <f>IF(M1049&gt;0,L1049,Factores!$B$7)</f>
        <v/>
      </c>
      <c r="O1049">
        <f>IF(M1049&gt;0,"OK","sin PEA -&gt; peor")</f>
        <v/>
      </c>
    </row>
    <row r="1050">
      <c r="A1050" t="inlineStr">
        <is>
          <t>090719</t>
        </is>
      </c>
      <c r="B1050" t="inlineStr">
        <is>
          <t>QUICHUAS</t>
        </is>
      </c>
      <c r="C1050" s="14">
        <f>'Empleo Censo'!G1050-'Empleo Censo'!F1050</f>
        <v/>
      </c>
      <c r="D1050" s="14">
        <f>'Empleo Censo'!F1050</f>
        <v/>
      </c>
      <c r="E1050" s="14">
        <f>'Empleo Censo'!H1050</f>
        <v/>
      </c>
      <c r="F1050" s="14">
        <f>'Empleo Censo'!I1050</f>
        <v/>
      </c>
      <c r="G1050" s="14">
        <f>'Empleo Censo'!J1050+'Empleo Censo'!K1050</f>
        <v/>
      </c>
      <c r="H1050" s="14">
        <f>'Empleo Censo'!L1050</f>
        <v/>
      </c>
      <c r="I1050" s="14">
        <f>'Empleo Censo'!M1050</f>
        <v/>
      </c>
      <c r="J1050" s="14">
        <f>SUM('Empleo Censo'!N1050:AA1050)</f>
        <v/>
      </c>
      <c r="K1050" s="14">
        <f>SUM(C1050:J1050)</f>
        <v/>
      </c>
      <c r="L1050" s="15">
        <f>SUMPRODUCT(C1050:J1050,Factores!$B$3:$I$3)</f>
        <v/>
      </c>
      <c r="M1050" s="16">
        <f>'Empleo Censo'!E1050</f>
        <v/>
      </c>
      <c r="N1050" s="17">
        <f>IF(M1050&gt;0,L1050,Factores!$B$7)</f>
        <v/>
      </c>
      <c r="O1050">
        <f>IF(M1050&gt;0,"OK","sin PEA -&gt; peor")</f>
        <v/>
      </c>
    </row>
    <row r="1051">
      <c r="A1051" t="inlineStr">
        <is>
          <t>060802</t>
        </is>
      </c>
      <c r="B1051" t="inlineStr">
        <is>
          <t>BELLAVISTA</t>
        </is>
      </c>
      <c r="C1051" s="14">
        <f>'Empleo Censo'!G1051-'Empleo Censo'!F1051</f>
        <v/>
      </c>
      <c r="D1051" s="14">
        <f>'Empleo Censo'!F1051</f>
        <v/>
      </c>
      <c r="E1051" s="14">
        <f>'Empleo Censo'!H1051</f>
        <v/>
      </c>
      <c r="F1051" s="14">
        <f>'Empleo Censo'!I1051</f>
        <v/>
      </c>
      <c r="G1051" s="14">
        <f>'Empleo Censo'!J1051+'Empleo Censo'!K1051</f>
        <v/>
      </c>
      <c r="H1051" s="14">
        <f>'Empleo Censo'!L1051</f>
        <v/>
      </c>
      <c r="I1051" s="14">
        <f>'Empleo Censo'!M1051</f>
        <v/>
      </c>
      <c r="J1051" s="14">
        <f>SUM('Empleo Censo'!N1051:AA1051)</f>
        <v/>
      </c>
      <c r="K1051" s="14">
        <f>SUM(C1051:J1051)</f>
        <v/>
      </c>
      <c r="L1051" s="15">
        <f>SUMPRODUCT(C1051:J1051,Factores!$B$3:$I$3)</f>
        <v/>
      </c>
      <c r="M1051" s="16">
        <f>'Empleo Censo'!E1051</f>
        <v/>
      </c>
      <c r="N1051" s="17">
        <f>IF(M1051&gt;0,L1051,Factores!$B$7)</f>
        <v/>
      </c>
      <c r="O1051">
        <f>IF(M1051&gt;0,"OK","sin PEA -&gt; peor")</f>
        <v/>
      </c>
    </row>
    <row r="1052">
      <c r="A1052" t="inlineStr">
        <is>
          <t>090607</t>
        </is>
      </c>
      <c r="B1052" t="inlineStr">
        <is>
          <t>PILPICHACA</t>
        </is>
      </c>
      <c r="C1052" s="14">
        <f>'Empleo Censo'!G1052-'Empleo Censo'!F1052</f>
        <v/>
      </c>
      <c r="D1052" s="14">
        <f>'Empleo Censo'!F1052</f>
        <v/>
      </c>
      <c r="E1052" s="14">
        <f>'Empleo Censo'!H1052</f>
        <v/>
      </c>
      <c r="F1052" s="14">
        <f>'Empleo Censo'!I1052</f>
        <v/>
      </c>
      <c r="G1052" s="14">
        <f>'Empleo Censo'!J1052+'Empleo Censo'!K1052</f>
        <v/>
      </c>
      <c r="H1052" s="14">
        <f>'Empleo Censo'!L1052</f>
        <v/>
      </c>
      <c r="I1052" s="14">
        <f>'Empleo Censo'!M1052</f>
        <v/>
      </c>
      <c r="J1052" s="14">
        <f>SUM('Empleo Censo'!N1052:AA1052)</f>
        <v/>
      </c>
      <c r="K1052" s="14">
        <f>SUM(C1052:J1052)</f>
        <v/>
      </c>
      <c r="L1052" s="15">
        <f>SUMPRODUCT(C1052:J1052,Factores!$B$3:$I$3)</f>
        <v/>
      </c>
      <c r="M1052" s="16">
        <f>'Empleo Censo'!E1052</f>
        <v/>
      </c>
      <c r="N1052" s="17">
        <f>IF(M1052&gt;0,L1052,Factores!$B$7)</f>
        <v/>
      </c>
      <c r="O1052">
        <f>IF(M1052&gt;0,"OK","sin PEA -&gt; peor")</f>
        <v/>
      </c>
    </row>
    <row r="1053">
      <c r="A1053" t="inlineStr">
        <is>
          <t>010306</t>
        </is>
      </c>
      <c r="B1053" t="inlineStr">
        <is>
          <t>FLORIDA</t>
        </is>
      </c>
      <c r="C1053" s="14">
        <f>'Empleo Censo'!G1053-'Empleo Censo'!F1053</f>
        <v/>
      </c>
      <c r="D1053" s="14">
        <f>'Empleo Censo'!F1053</f>
        <v/>
      </c>
      <c r="E1053" s="14">
        <f>'Empleo Censo'!H1053</f>
        <v/>
      </c>
      <c r="F1053" s="14">
        <f>'Empleo Censo'!I1053</f>
        <v/>
      </c>
      <c r="G1053" s="14">
        <f>'Empleo Censo'!J1053+'Empleo Censo'!K1053</f>
        <v/>
      </c>
      <c r="H1053" s="14">
        <f>'Empleo Censo'!L1053</f>
        <v/>
      </c>
      <c r="I1053" s="14">
        <f>'Empleo Censo'!M1053</f>
        <v/>
      </c>
      <c r="J1053" s="14">
        <f>SUM('Empleo Censo'!N1053:AA1053)</f>
        <v/>
      </c>
      <c r="K1053" s="14">
        <f>SUM(C1053:J1053)</f>
        <v/>
      </c>
      <c r="L1053" s="15">
        <f>SUMPRODUCT(C1053:J1053,Factores!$B$3:$I$3)</f>
        <v/>
      </c>
      <c r="M1053" s="16">
        <f>'Empleo Censo'!E1053</f>
        <v/>
      </c>
      <c r="N1053" s="17">
        <f>IF(M1053&gt;0,L1053,Factores!$B$7)</f>
        <v/>
      </c>
      <c r="O1053">
        <f>IF(M1053&gt;0,"OK","sin PEA -&gt; peor")</f>
        <v/>
      </c>
    </row>
    <row r="1054">
      <c r="A1054" t="inlineStr">
        <is>
          <t>030603</t>
        </is>
      </c>
      <c r="B1054" t="inlineStr">
        <is>
          <t>COCHARCAS</t>
        </is>
      </c>
      <c r="C1054" s="14">
        <f>'Empleo Censo'!G1054-'Empleo Censo'!F1054</f>
        <v/>
      </c>
      <c r="D1054" s="14">
        <f>'Empleo Censo'!F1054</f>
        <v/>
      </c>
      <c r="E1054" s="14">
        <f>'Empleo Censo'!H1054</f>
        <v/>
      </c>
      <c r="F1054" s="14">
        <f>'Empleo Censo'!I1054</f>
        <v/>
      </c>
      <c r="G1054" s="14">
        <f>'Empleo Censo'!J1054+'Empleo Censo'!K1054</f>
        <v/>
      </c>
      <c r="H1054" s="14">
        <f>'Empleo Censo'!L1054</f>
        <v/>
      </c>
      <c r="I1054" s="14">
        <f>'Empleo Censo'!M1054</f>
        <v/>
      </c>
      <c r="J1054" s="14">
        <f>SUM('Empleo Censo'!N1054:AA1054)</f>
        <v/>
      </c>
      <c r="K1054" s="14">
        <f>SUM(C1054:J1054)</f>
        <v/>
      </c>
      <c r="L1054" s="15">
        <f>SUMPRODUCT(C1054:J1054,Factores!$B$3:$I$3)</f>
        <v/>
      </c>
      <c r="M1054" s="16">
        <f>'Empleo Censo'!E1054</f>
        <v/>
      </c>
      <c r="N1054" s="17">
        <f>IF(M1054&gt;0,L1054,Factores!$B$7)</f>
        <v/>
      </c>
      <c r="O1054">
        <f>IF(M1054&gt;0,"OK","sin PEA -&gt; peor")</f>
        <v/>
      </c>
    </row>
    <row r="1055">
      <c r="A1055" t="inlineStr">
        <is>
          <t>030106</t>
        </is>
      </c>
      <c r="B1055" t="inlineStr">
        <is>
          <t>LAMBRAMA</t>
        </is>
      </c>
      <c r="C1055" s="14">
        <f>'Empleo Censo'!G1055-'Empleo Censo'!F1055</f>
        <v/>
      </c>
      <c r="D1055" s="14">
        <f>'Empleo Censo'!F1055</f>
        <v/>
      </c>
      <c r="E1055" s="14">
        <f>'Empleo Censo'!H1055</f>
        <v/>
      </c>
      <c r="F1055" s="14">
        <f>'Empleo Censo'!I1055</f>
        <v/>
      </c>
      <c r="G1055" s="14">
        <f>'Empleo Censo'!J1055+'Empleo Censo'!K1055</f>
        <v/>
      </c>
      <c r="H1055" s="14">
        <f>'Empleo Censo'!L1055</f>
        <v/>
      </c>
      <c r="I1055" s="14">
        <f>'Empleo Censo'!M1055</f>
        <v/>
      </c>
      <c r="J1055" s="14">
        <f>SUM('Empleo Censo'!N1055:AA1055)</f>
        <v/>
      </c>
      <c r="K1055" s="14">
        <f>SUM(C1055:J1055)</f>
        <v/>
      </c>
      <c r="L1055" s="15">
        <f>SUMPRODUCT(C1055:J1055,Factores!$B$3:$I$3)</f>
        <v/>
      </c>
      <c r="M1055" s="16">
        <f>'Empleo Censo'!E1055</f>
        <v/>
      </c>
      <c r="N1055" s="17">
        <f>IF(M1055&gt;0,L1055,Factores!$B$7)</f>
        <v/>
      </c>
      <c r="O1055">
        <f>IF(M1055&gt;0,"OK","sin PEA -&gt; peor")</f>
        <v/>
      </c>
    </row>
    <row r="1056">
      <c r="A1056" t="inlineStr">
        <is>
          <t>080918</t>
        </is>
      </c>
      <c r="B1056" t="inlineStr">
        <is>
          <t>UNION ASHÁNINKA</t>
        </is>
      </c>
      <c r="C1056" s="14">
        <f>'Empleo Censo'!G1056-'Empleo Censo'!F1056</f>
        <v/>
      </c>
      <c r="D1056" s="14">
        <f>'Empleo Censo'!F1056</f>
        <v/>
      </c>
      <c r="E1056" s="14">
        <f>'Empleo Censo'!H1056</f>
        <v/>
      </c>
      <c r="F1056" s="14">
        <f>'Empleo Censo'!I1056</f>
        <v/>
      </c>
      <c r="G1056" s="14">
        <f>'Empleo Censo'!J1056+'Empleo Censo'!K1056</f>
        <v/>
      </c>
      <c r="H1056" s="14">
        <f>'Empleo Censo'!L1056</f>
        <v/>
      </c>
      <c r="I1056" s="14">
        <f>'Empleo Censo'!M1056</f>
        <v/>
      </c>
      <c r="J1056" s="14">
        <f>SUM('Empleo Censo'!N1056:AA1056)</f>
        <v/>
      </c>
      <c r="K1056" s="14">
        <f>SUM(C1056:J1056)</f>
        <v/>
      </c>
      <c r="L1056" s="15">
        <f>SUMPRODUCT(C1056:J1056,Factores!$B$3:$I$3)</f>
        <v/>
      </c>
      <c r="M1056" s="16">
        <f>'Empleo Censo'!E1056</f>
        <v/>
      </c>
      <c r="N1056" s="17">
        <f>IF(M1056&gt;0,L1056,Factores!$B$7)</f>
        <v/>
      </c>
      <c r="O1056">
        <f>IF(M1056&gt;0,"OK","sin PEA -&gt; peor")</f>
        <v/>
      </c>
    </row>
    <row r="1057">
      <c r="A1057" t="inlineStr">
        <is>
          <t>030506</t>
        </is>
      </c>
      <c r="B1057" t="inlineStr">
        <is>
          <t>CHALLHUAHUACHO</t>
        </is>
      </c>
      <c r="C1057" s="14">
        <f>'Empleo Censo'!G1057-'Empleo Censo'!F1057</f>
        <v/>
      </c>
      <c r="D1057" s="14">
        <f>'Empleo Censo'!F1057</f>
        <v/>
      </c>
      <c r="E1057" s="14">
        <f>'Empleo Censo'!H1057</f>
        <v/>
      </c>
      <c r="F1057" s="14">
        <f>'Empleo Censo'!I1057</f>
        <v/>
      </c>
      <c r="G1057" s="14">
        <f>'Empleo Censo'!J1057+'Empleo Censo'!K1057</f>
        <v/>
      </c>
      <c r="H1057" s="14">
        <f>'Empleo Censo'!L1057</f>
        <v/>
      </c>
      <c r="I1057" s="14">
        <f>'Empleo Censo'!M1057</f>
        <v/>
      </c>
      <c r="J1057" s="14">
        <f>SUM('Empleo Censo'!N1057:AA1057)</f>
        <v/>
      </c>
      <c r="K1057" s="14">
        <f>SUM(C1057:J1057)</f>
        <v/>
      </c>
      <c r="L1057" s="15">
        <f>SUMPRODUCT(C1057:J1057,Factores!$B$3:$I$3)</f>
        <v/>
      </c>
      <c r="M1057" s="16">
        <f>'Empleo Censo'!E1057</f>
        <v/>
      </c>
      <c r="N1057" s="17">
        <f>IF(M1057&gt;0,L1057,Factores!$B$7)</f>
        <v/>
      </c>
      <c r="O1057">
        <f>IF(M1057&gt;0,"OK","sin PEA -&gt; peor")</f>
        <v/>
      </c>
    </row>
    <row r="1058">
      <c r="A1058" t="inlineStr">
        <is>
          <t>060309</t>
        </is>
      </c>
      <c r="B1058" t="inlineStr">
        <is>
          <t>SOROCHUCO</t>
        </is>
      </c>
      <c r="C1058" s="14">
        <f>'Empleo Censo'!G1058-'Empleo Censo'!F1058</f>
        <v/>
      </c>
      <c r="D1058" s="14">
        <f>'Empleo Censo'!F1058</f>
        <v/>
      </c>
      <c r="E1058" s="14">
        <f>'Empleo Censo'!H1058</f>
        <v/>
      </c>
      <c r="F1058" s="14">
        <f>'Empleo Censo'!I1058</f>
        <v/>
      </c>
      <c r="G1058" s="14">
        <f>'Empleo Censo'!J1058+'Empleo Censo'!K1058</f>
        <v/>
      </c>
      <c r="H1058" s="14">
        <f>'Empleo Censo'!L1058</f>
        <v/>
      </c>
      <c r="I1058" s="14">
        <f>'Empleo Censo'!M1058</f>
        <v/>
      </c>
      <c r="J1058" s="14">
        <f>SUM('Empleo Censo'!N1058:AA1058)</f>
        <v/>
      </c>
      <c r="K1058" s="14">
        <f>SUM(C1058:J1058)</f>
        <v/>
      </c>
      <c r="L1058" s="15">
        <f>SUMPRODUCT(C1058:J1058,Factores!$B$3:$I$3)</f>
        <v/>
      </c>
      <c r="M1058" s="16">
        <f>'Empleo Censo'!E1058</f>
        <v/>
      </c>
      <c r="N1058" s="17">
        <f>IF(M1058&gt;0,L1058,Factores!$B$7)</f>
        <v/>
      </c>
      <c r="O1058">
        <f>IF(M1058&gt;0,"OK","sin PEA -&gt; peor")</f>
        <v/>
      </c>
    </row>
    <row r="1059">
      <c r="A1059" t="inlineStr">
        <is>
          <t>060303</t>
        </is>
      </c>
      <c r="B1059" t="inlineStr">
        <is>
          <t>CORTEGANA</t>
        </is>
      </c>
      <c r="C1059" s="14">
        <f>'Empleo Censo'!G1059-'Empleo Censo'!F1059</f>
        <v/>
      </c>
      <c r="D1059" s="14">
        <f>'Empleo Censo'!F1059</f>
        <v/>
      </c>
      <c r="E1059" s="14">
        <f>'Empleo Censo'!H1059</f>
        <v/>
      </c>
      <c r="F1059" s="14">
        <f>'Empleo Censo'!I1059</f>
        <v/>
      </c>
      <c r="G1059" s="14">
        <f>'Empleo Censo'!J1059+'Empleo Censo'!K1059</f>
        <v/>
      </c>
      <c r="H1059" s="14">
        <f>'Empleo Censo'!L1059</f>
        <v/>
      </c>
      <c r="I1059" s="14">
        <f>'Empleo Censo'!M1059</f>
        <v/>
      </c>
      <c r="J1059" s="14">
        <f>SUM('Empleo Censo'!N1059:AA1059)</f>
        <v/>
      </c>
      <c r="K1059" s="14">
        <f>SUM(C1059:J1059)</f>
        <v/>
      </c>
      <c r="L1059" s="15">
        <f>SUMPRODUCT(C1059:J1059,Factores!$B$3:$I$3)</f>
        <v/>
      </c>
      <c r="M1059" s="16">
        <f>'Empleo Censo'!E1059</f>
        <v/>
      </c>
      <c r="N1059" s="17">
        <f>IF(M1059&gt;0,L1059,Factores!$B$7)</f>
        <v/>
      </c>
      <c r="O1059">
        <f>IF(M1059&gt;0,"OK","sin PEA -&gt; peor")</f>
        <v/>
      </c>
    </row>
    <row r="1060">
      <c r="A1060" t="inlineStr">
        <is>
          <t>090304</t>
        </is>
      </c>
      <c r="B1060" t="inlineStr">
        <is>
          <t>CCOCHACCASA</t>
        </is>
      </c>
      <c r="C1060" s="14">
        <f>'Empleo Censo'!G1060-'Empleo Censo'!F1060</f>
        <v/>
      </c>
      <c r="D1060" s="14">
        <f>'Empleo Censo'!F1060</f>
        <v/>
      </c>
      <c r="E1060" s="14">
        <f>'Empleo Censo'!H1060</f>
        <v/>
      </c>
      <c r="F1060" s="14">
        <f>'Empleo Censo'!I1060</f>
        <v/>
      </c>
      <c r="G1060" s="14">
        <f>'Empleo Censo'!J1060+'Empleo Censo'!K1060</f>
        <v/>
      </c>
      <c r="H1060" s="14">
        <f>'Empleo Censo'!L1060</f>
        <v/>
      </c>
      <c r="I1060" s="14">
        <f>'Empleo Censo'!M1060</f>
        <v/>
      </c>
      <c r="J1060" s="14">
        <f>SUM('Empleo Censo'!N1060:AA1060)</f>
        <v/>
      </c>
      <c r="K1060" s="14">
        <f>SUM(C1060:J1060)</f>
        <v/>
      </c>
      <c r="L1060" s="15">
        <f>SUMPRODUCT(C1060:J1060,Factores!$B$3:$I$3)</f>
        <v/>
      </c>
      <c r="M1060" s="16">
        <f>'Empleo Censo'!E1060</f>
        <v/>
      </c>
      <c r="N1060" s="17">
        <f>IF(M1060&gt;0,L1060,Factores!$B$7)</f>
        <v/>
      </c>
      <c r="O1060">
        <f>IF(M1060&gt;0,"OK","sin PEA -&gt; peor")</f>
        <v/>
      </c>
    </row>
    <row r="1061">
      <c r="A1061" t="inlineStr">
        <is>
          <t>030104</t>
        </is>
      </c>
      <c r="B1061" t="inlineStr">
        <is>
          <t>CURAHUASI</t>
        </is>
      </c>
      <c r="C1061" s="14">
        <f>'Empleo Censo'!G1061-'Empleo Censo'!F1061</f>
        <v/>
      </c>
      <c r="D1061" s="14">
        <f>'Empleo Censo'!F1061</f>
        <v/>
      </c>
      <c r="E1061" s="14">
        <f>'Empleo Censo'!H1061</f>
        <v/>
      </c>
      <c r="F1061" s="14">
        <f>'Empleo Censo'!I1061</f>
        <v/>
      </c>
      <c r="G1061" s="14">
        <f>'Empleo Censo'!J1061+'Empleo Censo'!K1061</f>
        <v/>
      </c>
      <c r="H1061" s="14">
        <f>'Empleo Censo'!L1061</f>
        <v/>
      </c>
      <c r="I1061" s="14">
        <f>'Empleo Censo'!M1061</f>
        <v/>
      </c>
      <c r="J1061" s="14">
        <f>SUM('Empleo Censo'!N1061:AA1061)</f>
        <v/>
      </c>
      <c r="K1061" s="14">
        <f>SUM(C1061:J1061)</f>
        <v/>
      </c>
      <c r="L1061" s="15">
        <f>SUMPRODUCT(C1061:J1061,Factores!$B$3:$I$3)</f>
        <v/>
      </c>
      <c r="M1061" s="16">
        <f>'Empleo Censo'!E1061</f>
        <v/>
      </c>
      <c r="N1061" s="17">
        <f>IF(M1061&gt;0,L1061,Factores!$B$7)</f>
        <v/>
      </c>
      <c r="O1061">
        <f>IF(M1061&gt;0,"OK","sin PEA -&gt; peor")</f>
        <v/>
      </c>
    </row>
    <row r="1062">
      <c r="A1062" t="inlineStr">
        <is>
          <t>090119</t>
        </is>
      </c>
      <c r="B1062" t="inlineStr">
        <is>
          <t>HUANDO</t>
        </is>
      </c>
      <c r="C1062" s="14">
        <f>'Empleo Censo'!G1062-'Empleo Censo'!F1062</f>
        <v/>
      </c>
      <c r="D1062" s="14">
        <f>'Empleo Censo'!F1062</f>
        <v/>
      </c>
      <c r="E1062" s="14">
        <f>'Empleo Censo'!H1062</f>
        <v/>
      </c>
      <c r="F1062" s="14">
        <f>'Empleo Censo'!I1062</f>
        <v/>
      </c>
      <c r="G1062" s="14">
        <f>'Empleo Censo'!J1062+'Empleo Censo'!K1062</f>
        <v/>
      </c>
      <c r="H1062" s="14">
        <f>'Empleo Censo'!L1062</f>
        <v/>
      </c>
      <c r="I1062" s="14">
        <f>'Empleo Censo'!M1062</f>
        <v/>
      </c>
      <c r="J1062" s="14">
        <f>SUM('Empleo Censo'!N1062:AA1062)</f>
        <v/>
      </c>
      <c r="K1062" s="14">
        <f>SUM(C1062:J1062)</f>
        <v/>
      </c>
      <c r="L1062" s="15">
        <f>SUMPRODUCT(C1062:J1062,Factores!$B$3:$I$3)</f>
        <v/>
      </c>
      <c r="M1062" s="16">
        <f>'Empleo Censo'!E1062</f>
        <v/>
      </c>
      <c r="N1062" s="17">
        <f>IF(M1062&gt;0,L1062,Factores!$B$7)</f>
        <v/>
      </c>
      <c r="O1062">
        <f>IF(M1062&gt;0,"OK","sin PEA -&gt; peor")</f>
        <v/>
      </c>
    </row>
    <row r="1063">
      <c r="A1063" t="inlineStr">
        <is>
          <t>060204</t>
        </is>
      </c>
      <c r="B1063" t="inlineStr">
        <is>
          <t>SITACOCHA</t>
        </is>
      </c>
      <c r="C1063" s="14">
        <f>'Empleo Censo'!G1063-'Empleo Censo'!F1063</f>
        <v/>
      </c>
      <c r="D1063" s="14">
        <f>'Empleo Censo'!F1063</f>
        <v/>
      </c>
      <c r="E1063" s="14">
        <f>'Empleo Censo'!H1063</f>
        <v/>
      </c>
      <c r="F1063" s="14">
        <f>'Empleo Censo'!I1063</f>
        <v/>
      </c>
      <c r="G1063" s="14">
        <f>'Empleo Censo'!J1063+'Empleo Censo'!K1063</f>
        <v/>
      </c>
      <c r="H1063" s="14">
        <f>'Empleo Censo'!L1063</f>
        <v/>
      </c>
      <c r="I1063" s="14">
        <f>'Empleo Censo'!M1063</f>
        <v/>
      </c>
      <c r="J1063" s="14">
        <f>SUM('Empleo Censo'!N1063:AA1063)</f>
        <v/>
      </c>
      <c r="K1063" s="14">
        <f>SUM(C1063:J1063)</f>
        <v/>
      </c>
      <c r="L1063" s="15">
        <f>SUMPRODUCT(C1063:J1063,Factores!$B$3:$I$3)</f>
        <v/>
      </c>
      <c r="M1063" s="16">
        <f>'Empleo Censo'!E1063</f>
        <v/>
      </c>
      <c r="N1063" s="17">
        <f>IF(M1063&gt;0,L1063,Factores!$B$7)</f>
        <v/>
      </c>
      <c r="O1063">
        <f>IF(M1063&gt;0,"OK","sin PEA -&gt; peor")</f>
        <v/>
      </c>
    </row>
    <row r="1064">
      <c r="A1064" t="inlineStr">
        <is>
          <t>051105</t>
        </is>
      </c>
      <c r="B1064" t="inlineStr">
        <is>
          <t>HUAMBALPA</t>
        </is>
      </c>
      <c r="C1064" s="14">
        <f>'Empleo Censo'!G1064-'Empleo Censo'!F1064</f>
        <v/>
      </c>
      <c r="D1064" s="14">
        <f>'Empleo Censo'!F1064</f>
        <v/>
      </c>
      <c r="E1064" s="14">
        <f>'Empleo Censo'!H1064</f>
        <v/>
      </c>
      <c r="F1064" s="14">
        <f>'Empleo Censo'!I1064</f>
        <v/>
      </c>
      <c r="G1064" s="14">
        <f>'Empleo Censo'!J1064+'Empleo Censo'!K1064</f>
        <v/>
      </c>
      <c r="H1064" s="14">
        <f>'Empleo Censo'!L1064</f>
        <v/>
      </c>
      <c r="I1064" s="14">
        <f>'Empleo Censo'!M1064</f>
        <v/>
      </c>
      <c r="J1064" s="14">
        <f>SUM('Empleo Censo'!N1064:AA1064)</f>
        <v/>
      </c>
      <c r="K1064" s="14">
        <f>SUM(C1064:J1064)</f>
        <v/>
      </c>
      <c r="L1064" s="15">
        <f>SUMPRODUCT(C1064:J1064,Factores!$B$3:$I$3)</f>
        <v/>
      </c>
      <c r="M1064" s="16">
        <f>'Empleo Censo'!E1064</f>
        <v/>
      </c>
      <c r="N1064" s="17">
        <f>IF(M1064&gt;0,L1064,Factores!$B$7)</f>
        <v/>
      </c>
      <c r="O1064">
        <f>IF(M1064&gt;0,"OK","sin PEA -&gt; peor")</f>
        <v/>
      </c>
    </row>
    <row r="1065">
      <c r="A1065" t="inlineStr">
        <is>
          <t>020701</t>
        </is>
      </c>
      <c r="B1065" t="inlineStr">
        <is>
          <t>SAN LUIS</t>
        </is>
      </c>
      <c r="C1065" s="14">
        <f>'Empleo Censo'!G1065-'Empleo Censo'!F1065</f>
        <v/>
      </c>
      <c r="D1065" s="14">
        <f>'Empleo Censo'!F1065</f>
        <v/>
      </c>
      <c r="E1065" s="14">
        <f>'Empleo Censo'!H1065</f>
        <v/>
      </c>
      <c r="F1065" s="14">
        <f>'Empleo Censo'!I1065</f>
        <v/>
      </c>
      <c r="G1065" s="14">
        <f>'Empleo Censo'!J1065+'Empleo Censo'!K1065</f>
        <v/>
      </c>
      <c r="H1065" s="14">
        <f>'Empleo Censo'!L1065</f>
        <v/>
      </c>
      <c r="I1065" s="14">
        <f>'Empleo Censo'!M1065</f>
        <v/>
      </c>
      <c r="J1065" s="14">
        <f>SUM('Empleo Censo'!N1065:AA1065)</f>
        <v/>
      </c>
      <c r="K1065" s="14">
        <f>SUM(C1065:J1065)</f>
        <v/>
      </c>
      <c r="L1065" s="15">
        <f>SUMPRODUCT(C1065:J1065,Factores!$B$3:$I$3)</f>
        <v/>
      </c>
      <c r="M1065" s="16">
        <f>'Empleo Censo'!E1065</f>
        <v/>
      </c>
      <c r="N1065" s="17">
        <f>IF(M1065&gt;0,L1065,Factores!$B$7)</f>
        <v/>
      </c>
      <c r="O1065">
        <f>IF(M1065&gt;0,"OK","sin PEA -&gt; peor")</f>
        <v/>
      </c>
    </row>
    <row r="1066">
      <c r="A1066" t="inlineStr">
        <is>
          <t>020401</t>
        </is>
      </c>
      <c r="B1066" t="inlineStr">
        <is>
          <t>CHACAS</t>
        </is>
      </c>
      <c r="C1066" s="14">
        <f>'Empleo Censo'!G1066-'Empleo Censo'!F1066</f>
        <v/>
      </c>
      <c r="D1066" s="14">
        <f>'Empleo Censo'!F1066</f>
        <v/>
      </c>
      <c r="E1066" s="14">
        <f>'Empleo Censo'!H1066</f>
        <v/>
      </c>
      <c r="F1066" s="14">
        <f>'Empleo Censo'!I1066</f>
        <v/>
      </c>
      <c r="G1066" s="14">
        <f>'Empleo Censo'!J1066+'Empleo Censo'!K1066</f>
        <v/>
      </c>
      <c r="H1066" s="14">
        <f>'Empleo Censo'!L1066</f>
        <v/>
      </c>
      <c r="I1066" s="14">
        <f>'Empleo Censo'!M1066</f>
        <v/>
      </c>
      <c r="J1066" s="14">
        <f>SUM('Empleo Censo'!N1066:AA1066)</f>
        <v/>
      </c>
      <c r="K1066" s="14">
        <f>SUM(C1066:J1066)</f>
        <v/>
      </c>
      <c r="L1066" s="15">
        <f>SUMPRODUCT(C1066:J1066,Factores!$B$3:$I$3)</f>
        <v/>
      </c>
      <c r="M1066" s="16">
        <f>'Empleo Censo'!E1066</f>
        <v/>
      </c>
      <c r="N1066" s="17">
        <f>IF(M1066&gt;0,L1066,Factores!$B$7)</f>
        <v/>
      </c>
      <c r="O1066">
        <f>IF(M1066&gt;0,"OK","sin PEA -&gt; peor")</f>
        <v/>
      </c>
    </row>
    <row r="1067">
      <c r="A1067" t="inlineStr">
        <is>
          <t>030107</t>
        </is>
      </c>
      <c r="B1067" t="inlineStr">
        <is>
          <t>PICHIRHUA</t>
        </is>
      </c>
      <c r="C1067" s="14">
        <f>'Empleo Censo'!G1067-'Empleo Censo'!F1067</f>
        <v/>
      </c>
      <c r="D1067" s="14">
        <f>'Empleo Censo'!F1067</f>
        <v/>
      </c>
      <c r="E1067" s="14">
        <f>'Empleo Censo'!H1067</f>
        <v/>
      </c>
      <c r="F1067" s="14">
        <f>'Empleo Censo'!I1067</f>
        <v/>
      </c>
      <c r="G1067" s="14">
        <f>'Empleo Censo'!J1067+'Empleo Censo'!K1067</f>
        <v/>
      </c>
      <c r="H1067" s="14">
        <f>'Empleo Censo'!L1067</f>
        <v/>
      </c>
      <c r="I1067" s="14">
        <f>'Empleo Censo'!M1067</f>
        <v/>
      </c>
      <c r="J1067" s="14">
        <f>SUM('Empleo Censo'!N1067:AA1067)</f>
        <v/>
      </c>
      <c r="K1067" s="14">
        <f>SUM(C1067:J1067)</f>
        <v/>
      </c>
      <c r="L1067" s="15">
        <f>SUMPRODUCT(C1067:J1067,Factores!$B$3:$I$3)</f>
        <v/>
      </c>
      <c r="M1067" s="16">
        <f>'Empleo Censo'!E1067</f>
        <v/>
      </c>
      <c r="N1067" s="17">
        <f>IF(M1067&gt;0,L1067,Factores!$B$7)</f>
        <v/>
      </c>
      <c r="O1067">
        <f>IF(M1067&gt;0,"OK","sin PEA -&gt; peor")</f>
        <v/>
      </c>
    </row>
    <row r="1068">
      <c r="A1068" t="inlineStr">
        <is>
          <t>050410</t>
        </is>
      </c>
      <c r="B1068" t="inlineStr">
        <is>
          <t>UCHURACCAY</t>
        </is>
      </c>
      <c r="C1068" s="14">
        <f>'Empleo Censo'!G1068-'Empleo Censo'!F1068</f>
        <v/>
      </c>
      <c r="D1068" s="14">
        <f>'Empleo Censo'!F1068</f>
        <v/>
      </c>
      <c r="E1068" s="14">
        <f>'Empleo Censo'!H1068</f>
        <v/>
      </c>
      <c r="F1068" s="14">
        <f>'Empleo Censo'!I1068</f>
        <v/>
      </c>
      <c r="G1068" s="14">
        <f>'Empleo Censo'!J1068+'Empleo Censo'!K1068</f>
        <v/>
      </c>
      <c r="H1068" s="14">
        <f>'Empleo Censo'!L1068</f>
        <v/>
      </c>
      <c r="I1068" s="14">
        <f>'Empleo Censo'!M1068</f>
        <v/>
      </c>
      <c r="J1068" s="14">
        <f>SUM('Empleo Censo'!N1068:AA1068)</f>
        <v/>
      </c>
      <c r="K1068" s="14">
        <f>SUM(C1068:J1068)</f>
        <v/>
      </c>
      <c r="L1068" s="15">
        <f>SUMPRODUCT(C1068:J1068,Factores!$B$3:$I$3)</f>
        <v/>
      </c>
      <c r="M1068" s="16">
        <f>'Empleo Censo'!E1068</f>
        <v/>
      </c>
      <c r="N1068" s="17">
        <f>IF(M1068&gt;0,L1068,Factores!$B$7)</f>
        <v/>
      </c>
      <c r="O1068">
        <f>IF(M1068&gt;0,"OK","sin PEA -&gt; peor")</f>
        <v/>
      </c>
    </row>
    <row r="1069">
      <c r="A1069" t="inlineStr">
        <is>
          <t>060401</t>
        </is>
      </c>
      <c r="B1069" t="inlineStr">
        <is>
          <t>CHOTA</t>
        </is>
      </c>
      <c r="C1069" s="14">
        <f>'Empleo Censo'!G1069-'Empleo Censo'!F1069</f>
        <v/>
      </c>
      <c r="D1069" s="14">
        <f>'Empleo Censo'!F1069</f>
        <v/>
      </c>
      <c r="E1069" s="14">
        <f>'Empleo Censo'!H1069</f>
        <v/>
      </c>
      <c r="F1069" s="14">
        <f>'Empleo Censo'!I1069</f>
        <v/>
      </c>
      <c r="G1069" s="14">
        <f>'Empleo Censo'!J1069+'Empleo Censo'!K1069</f>
        <v/>
      </c>
      <c r="H1069" s="14">
        <f>'Empleo Censo'!L1069</f>
        <v/>
      </c>
      <c r="I1069" s="14">
        <f>'Empleo Censo'!M1069</f>
        <v/>
      </c>
      <c r="J1069" s="14">
        <f>SUM('Empleo Censo'!N1069:AA1069)</f>
        <v/>
      </c>
      <c r="K1069" s="14">
        <f>SUM(C1069:J1069)</f>
        <v/>
      </c>
      <c r="L1069" s="15">
        <f>SUMPRODUCT(C1069:J1069,Factores!$B$3:$I$3)</f>
        <v/>
      </c>
      <c r="M1069" s="16">
        <f>'Empleo Censo'!E1069</f>
        <v/>
      </c>
      <c r="N1069" s="17">
        <f>IF(M1069&gt;0,L1069,Factores!$B$7)</f>
        <v/>
      </c>
      <c r="O1069">
        <f>IF(M1069&gt;0,"OK","sin PEA -&gt; peor")</f>
        <v/>
      </c>
    </row>
    <row r="1070">
      <c r="A1070" t="inlineStr">
        <is>
          <t>050505</t>
        </is>
      </c>
      <c r="B1070" t="inlineStr">
        <is>
          <t>CHUNGUI</t>
        </is>
      </c>
      <c r="C1070" s="14">
        <f>'Empleo Censo'!G1070-'Empleo Censo'!F1070</f>
        <v/>
      </c>
      <c r="D1070" s="14">
        <f>'Empleo Censo'!F1070</f>
        <v/>
      </c>
      <c r="E1070" s="14">
        <f>'Empleo Censo'!H1070</f>
        <v/>
      </c>
      <c r="F1070" s="14">
        <f>'Empleo Censo'!I1070</f>
        <v/>
      </c>
      <c r="G1070" s="14">
        <f>'Empleo Censo'!J1070+'Empleo Censo'!K1070</f>
        <v/>
      </c>
      <c r="H1070" s="14">
        <f>'Empleo Censo'!L1070</f>
        <v/>
      </c>
      <c r="I1070" s="14">
        <f>'Empleo Censo'!M1070</f>
        <v/>
      </c>
      <c r="J1070" s="14">
        <f>SUM('Empleo Censo'!N1070:AA1070)</f>
        <v/>
      </c>
      <c r="K1070" s="14">
        <f>SUM(C1070:J1070)</f>
        <v/>
      </c>
      <c r="L1070" s="15">
        <f>SUMPRODUCT(C1070:J1070,Factores!$B$3:$I$3)</f>
        <v/>
      </c>
      <c r="M1070" s="16">
        <f>'Empleo Censo'!E1070</f>
        <v/>
      </c>
      <c r="N1070" s="17">
        <f>IF(M1070&gt;0,L1070,Factores!$B$7)</f>
        <v/>
      </c>
      <c r="O1070">
        <f>IF(M1070&gt;0,"OK","sin PEA -&gt; peor")</f>
        <v/>
      </c>
    </row>
    <row r="1071">
      <c r="A1071" t="inlineStr">
        <is>
          <t>090206</t>
        </is>
      </c>
      <c r="B1071" t="inlineStr">
        <is>
          <t>PAUCARA</t>
        </is>
      </c>
      <c r="C1071" s="14">
        <f>'Empleo Censo'!G1071-'Empleo Censo'!F1071</f>
        <v/>
      </c>
      <c r="D1071" s="14">
        <f>'Empleo Censo'!F1071</f>
        <v/>
      </c>
      <c r="E1071" s="14">
        <f>'Empleo Censo'!H1071</f>
        <v/>
      </c>
      <c r="F1071" s="14">
        <f>'Empleo Censo'!I1071</f>
        <v/>
      </c>
      <c r="G1071" s="14">
        <f>'Empleo Censo'!J1071+'Empleo Censo'!K1071</f>
        <v/>
      </c>
      <c r="H1071" s="14">
        <f>'Empleo Censo'!L1071</f>
        <v/>
      </c>
      <c r="I1071" s="14">
        <f>'Empleo Censo'!M1071</f>
        <v/>
      </c>
      <c r="J1071" s="14">
        <f>SUM('Empleo Censo'!N1071:AA1071)</f>
        <v/>
      </c>
      <c r="K1071" s="14">
        <f>SUM(C1071:J1071)</f>
        <v/>
      </c>
      <c r="L1071" s="15">
        <f>SUMPRODUCT(C1071:J1071,Factores!$B$3:$I$3)</f>
        <v/>
      </c>
      <c r="M1071" s="16">
        <f>'Empleo Censo'!E1071</f>
        <v/>
      </c>
      <c r="N1071" s="17">
        <f>IF(M1071&gt;0,L1071,Factores!$B$7)</f>
        <v/>
      </c>
      <c r="O1071">
        <f>IF(M1071&gt;0,"OK","sin PEA -&gt; peor")</f>
        <v/>
      </c>
    </row>
    <row r="1072">
      <c r="A1072" t="inlineStr">
        <is>
          <t>060412</t>
        </is>
      </c>
      <c r="B1072" t="inlineStr">
        <is>
          <t>MIRACOSTA</t>
        </is>
      </c>
      <c r="C1072" s="14">
        <f>'Empleo Censo'!G1072-'Empleo Censo'!F1072</f>
        <v/>
      </c>
      <c r="D1072" s="14">
        <f>'Empleo Censo'!F1072</f>
        <v/>
      </c>
      <c r="E1072" s="14">
        <f>'Empleo Censo'!H1072</f>
        <v/>
      </c>
      <c r="F1072" s="14">
        <f>'Empleo Censo'!I1072</f>
        <v/>
      </c>
      <c r="G1072" s="14">
        <f>'Empleo Censo'!J1072+'Empleo Censo'!K1072</f>
        <v/>
      </c>
      <c r="H1072" s="14">
        <f>'Empleo Censo'!L1072</f>
        <v/>
      </c>
      <c r="I1072" s="14">
        <f>'Empleo Censo'!M1072</f>
        <v/>
      </c>
      <c r="J1072" s="14">
        <f>SUM('Empleo Censo'!N1072:AA1072)</f>
        <v/>
      </c>
      <c r="K1072" s="14">
        <f>SUM(C1072:J1072)</f>
        <v/>
      </c>
      <c r="L1072" s="15">
        <f>SUMPRODUCT(C1072:J1072,Factores!$B$3:$I$3)</f>
        <v/>
      </c>
      <c r="M1072" s="16">
        <f>'Empleo Censo'!E1072</f>
        <v/>
      </c>
      <c r="N1072" s="17">
        <f>IF(M1072&gt;0,L1072,Factores!$B$7)</f>
        <v/>
      </c>
      <c r="O1072">
        <f>IF(M1072&gt;0,"OK","sin PEA -&gt; peor")</f>
        <v/>
      </c>
    </row>
    <row r="1073">
      <c r="A1073" t="inlineStr">
        <is>
          <t>060203</t>
        </is>
      </c>
      <c r="B1073" t="inlineStr">
        <is>
          <t>CONDEBAMBA</t>
        </is>
      </c>
      <c r="C1073" s="14">
        <f>'Empleo Censo'!G1073-'Empleo Censo'!F1073</f>
        <v/>
      </c>
      <c r="D1073" s="14">
        <f>'Empleo Censo'!F1073</f>
        <v/>
      </c>
      <c r="E1073" s="14">
        <f>'Empleo Censo'!H1073</f>
        <v/>
      </c>
      <c r="F1073" s="14">
        <f>'Empleo Censo'!I1073</f>
        <v/>
      </c>
      <c r="G1073" s="14">
        <f>'Empleo Censo'!J1073+'Empleo Censo'!K1073</f>
        <v/>
      </c>
      <c r="H1073" s="14">
        <f>'Empleo Censo'!L1073</f>
        <v/>
      </c>
      <c r="I1073" s="14">
        <f>'Empleo Censo'!M1073</f>
        <v/>
      </c>
      <c r="J1073" s="14">
        <f>SUM('Empleo Censo'!N1073:AA1073)</f>
        <v/>
      </c>
      <c r="K1073" s="14">
        <f>SUM(C1073:J1073)</f>
        <v/>
      </c>
      <c r="L1073" s="15">
        <f>SUMPRODUCT(C1073:J1073,Factores!$B$3:$I$3)</f>
        <v/>
      </c>
      <c r="M1073" s="16">
        <f>'Empleo Censo'!E1073</f>
        <v/>
      </c>
      <c r="N1073" s="17">
        <f>IF(M1073&gt;0,L1073,Factores!$B$7)</f>
        <v/>
      </c>
      <c r="O1073">
        <f>IF(M1073&gt;0,"OK","sin PEA -&gt; peor")</f>
        <v/>
      </c>
    </row>
    <row r="1074">
      <c r="A1074" t="inlineStr">
        <is>
          <t>090709</t>
        </is>
      </c>
      <c r="B1074" t="inlineStr">
        <is>
          <t>HUARIBAMBA</t>
        </is>
      </c>
      <c r="C1074" s="14">
        <f>'Empleo Censo'!G1074-'Empleo Censo'!F1074</f>
        <v/>
      </c>
      <c r="D1074" s="14">
        <f>'Empleo Censo'!F1074</f>
        <v/>
      </c>
      <c r="E1074" s="14">
        <f>'Empleo Censo'!H1074</f>
        <v/>
      </c>
      <c r="F1074" s="14">
        <f>'Empleo Censo'!I1074</f>
        <v/>
      </c>
      <c r="G1074" s="14">
        <f>'Empleo Censo'!J1074+'Empleo Censo'!K1074</f>
        <v/>
      </c>
      <c r="H1074" s="14">
        <f>'Empleo Censo'!L1074</f>
        <v/>
      </c>
      <c r="I1074" s="14">
        <f>'Empleo Censo'!M1074</f>
        <v/>
      </c>
      <c r="J1074" s="14">
        <f>SUM('Empleo Censo'!N1074:AA1074)</f>
        <v/>
      </c>
      <c r="K1074" s="14">
        <f>SUM(C1074:J1074)</f>
        <v/>
      </c>
      <c r="L1074" s="15">
        <f>SUMPRODUCT(C1074:J1074,Factores!$B$3:$I$3)</f>
        <v/>
      </c>
      <c r="M1074" s="16">
        <f>'Empleo Censo'!E1074</f>
        <v/>
      </c>
      <c r="N1074" s="17">
        <f>IF(M1074&gt;0,L1074,Factores!$B$7)</f>
        <v/>
      </c>
      <c r="O1074">
        <f>IF(M1074&gt;0,"OK","sin PEA -&gt; peor")</f>
        <v/>
      </c>
    </row>
    <row r="1075">
      <c r="A1075" t="inlineStr">
        <is>
          <t>030301</t>
        </is>
      </c>
      <c r="B1075" t="inlineStr">
        <is>
          <t>ANTABAMBA</t>
        </is>
      </c>
      <c r="C1075" s="14">
        <f>'Empleo Censo'!G1075-'Empleo Censo'!F1075</f>
        <v/>
      </c>
      <c r="D1075" s="14">
        <f>'Empleo Censo'!F1075</f>
        <v/>
      </c>
      <c r="E1075" s="14">
        <f>'Empleo Censo'!H1075</f>
        <v/>
      </c>
      <c r="F1075" s="14">
        <f>'Empleo Censo'!I1075</f>
        <v/>
      </c>
      <c r="G1075" s="14">
        <f>'Empleo Censo'!J1075+'Empleo Censo'!K1075</f>
        <v/>
      </c>
      <c r="H1075" s="14">
        <f>'Empleo Censo'!L1075</f>
        <v/>
      </c>
      <c r="I1075" s="14">
        <f>'Empleo Censo'!M1075</f>
        <v/>
      </c>
      <c r="J1075" s="14">
        <f>SUM('Empleo Censo'!N1075:AA1075)</f>
        <v/>
      </c>
      <c r="K1075" s="14">
        <f>SUM(C1075:J1075)</f>
        <v/>
      </c>
      <c r="L1075" s="15">
        <f>SUMPRODUCT(C1075:J1075,Factores!$B$3:$I$3)</f>
        <v/>
      </c>
      <c r="M1075" s="16">
        <f>'Empleo Censo'!E1075</f>
        <v/>
      </c>
      <c r="N1075" s="17">
        <f>IF(M1075&gt;0,L1075,Factores!$B$7)</f>
        <v/>
      </c>
      <c r="O1075">
        <f>IF(M1075&gt;0,"OK","sin PEA -&gt; peor")</f>
        <v/>
      </c>
    </row>
    <row r="1076">
      <c r="A1076" t="inlineStr">
        <is>
          <t>030201</t>
        </is>
      </c>
      <c r="B1076" t="inlineStr">
        <is>
          <t>ANDAHUAYLAS</t>
        </is>
      </c>
      <c r="C1076" s="14">
        <f>'Empleo Censo'!G1076-'Empleo Censo'!F1076</f>
        <v/>
      </c>
      <c r="D1076" s="14">
        <f>'Empleo Censo'!F1076</f>
        <v/>
      </c>
      <c r="E1076" s="14">
        <f>'Empleo Censo'!H1076</f>
        <v/>
      </c>
      <c r="F1076" s="14">
        <f>'Empleo Censo'!I1076</f>
        <v/>
      </c>
      <c r="G1076" s="14">
        <f>'Empleo Censo'!J1076+'Empleo Censo'!K1076</f>
        <v/>
      </c>
      <c r="H1076" s="14">
        <f>'Empleo Censo'!L1076</f>
        <v/>
      </c>
      <c r="I1076" s="14">
        <f>'Empleo Censo'!M1076</f>
        <v/>
      </c>
      <c r="J1076" s="14">
        <f>SUM('Empleo Censo'!N1076:AA1076)</f>
        <v/>
      </c>
      <c r="K1076" s="14">
        <f>SUM(C1076:J1076)</f>
        <v/>
      </c>
      <c r="L1076" s="15">
        <f>SUMPRODUCT(C1076:J1076,Factores!$B$3:$I$3)</f>
        <v/>
      </c>
      <c r="M1076" s="16">
        <f>'Empleo Censo'!E1076</f>
        <v/>
      </c>
      <c r="N1076" s="17">
        <f>IF(M1076&gt;0,L1076,Factores!$B$7)</f>
        <v/>
      </c>
      <c r="O1076">
        <f>IF(M1076&gt;0,"OK","sin PEA -&gt; peor")</f>
        <v/>
      </c>
    </row>
    <row r="1077">
      <c r="A1077" t="inlineStr">
        <is>
          <t>060811</t>
        </is>
      </c>
      <c r="B1077" t="inlineStr">
        <is>
          <t>SAN JOSE DEL ALTO</t>
        </is>
      </c>
      <c r="C1077" s="14">
        <f>'Empleo Censo'!G1077-'Empleo Censo'!F1077</f>
        <v/>
      </c>
      <c r="D1077" s="14">
        <f>'Empleo Censo'!F1077</f>
        <v/>
      </c>
      <c r="E1077" s="14">
        <f>'Empleo Censo'!H1077</f>
        <v/>
      </c>
      <c r="F1077" s="14">
        <f>'Empleo Censo'!I1077</f>
        <v/>
      </c>
      <c r="G1077" s="14">
        <f>'Empleo Censo'!J1077+'Empleo Censo'!K1077</f>
        <v/>
      </c>
      <c r="H1077" s="14">
        <f>'Empleo Censo'!L1077</f>
        <v/>
      </c>
      <c r="I1077" s="14">
        <f>'Empleo Censo'!M1077</f>
        <v/>
      </c>
      <c r="J1077" s="14">
        <f>SUM('Empleo Censo'!N1077:AA1077)</f>
        <v/>
      </c>
      <c r="K1077" s="14">
        <f>SUM(C1077:J1077)</f>
        <v/>
      </c>
      <c r="L1077" s="15">
        <f>SUMPRODUCT(C1077:J1077,Factores!$B$3:$I$3)</f>
        <v/>
      </c>
      <c r="M1077" s="16">
        <f>'Empleo Censo'!E1077</f>
        <v/>
      </c>
      <c r="N1077" s="17">
        <f>IF(M1077&gt;0,L1077,Factores!$B$7)</f>
        <v/>
      </c>
      <c r="O1077">
        <f>IF(M1077&gt;0,"OK","sin PEA -&gt; peor")</f>
        <v/>
      </c>
    </row>
    <row r="1078">
      <c r="A1078" t="inlineStr">
        <is>
          <t>080903</t>
        </is>
      </c>
      <c r="B1078" t="inlineStr">
        <is>
          <t>HUAYOPATA</t>
        </is>
      </c>
      <c r="C1078" s="14">
        <f>'Empleo Censo'!G1078-'Empleo Censo'!F1078</f>
        <v/>
      </c>
      <c r="D1078" s="14">
        <f>'Empleo Censo'!F1078</f>
        <v/>
      </c>
      <c r="E1078" s="14">
        <f>'Empleo Censo'!H1078</f>
        <v/>
      </c>
      <c r="F1078" s="14">
        <f>'Empleo Censo'!I1078</f>
        <v/>
      </c>
      <c r="G1078" s="14">
        <f>'Empleo Censo'!J1078+'Empleo Censo'!K1078</f>
        <v/>
      </c>
      <c r="H1078" s="14">
        <f>'Empleo Censo'!L1078</f>
        <v/>
      </c>
      <c r="I1078" s="14">
        <f>'Empleo Censo'!M1078</f>
        <v/>
      </c>
      <c r="J1078" s="14">
        <f>SUM('Empleo Censo'!N1078:AA1078)</f>
        <v/>
      </c>
      <c r="K1078" s="14">
        <f>SUM(C1078:J1078)</f>
        <v/>
      </c>
      <c r="L1078" s="15">
        <f>SUMPRODUCT(C1078:J1078,Factores!$B$3:$I$3)</f>
        <v/>
      </c>
      <c r="M1078" s="16">
        <f>'Empleo Censo'!E1078</f>
        <v/>
      </c>
      <c r="N1078" s="17">
        <f>IF(M1078&gt;0,L1078,Factores!$B$7)</f>
        <v/>
      </c>
      <c r="O1078">
        <f>IF(M1078&gt;0,"OK","sin PEA -&gt; peor")</f>
        <v/>
      </c>
    </row>
    <row r="1079">
      <c r="A1079" t="inlineStr">
        <is>
          <t>080701</t>
        </is>
      </c>
      <c r="B1079" t="inlineStr">
        <is>
          <t>SANTO TOMAS</t>
        </is>
      </c>
      <c r="C1079" s="14">
        <f>'Empleo Censo'!G1079-'Empleo Censo'!F1079</f>
        <v/>
      </c>
      <c r="D1079" s="14">
        <f>'Empleo Censo'!F1079</f>
        <v/>
      </c>
      <c r="E1079" s="14">
        <f>'Empleo Censo'!H1079</f>
        <v/>
      </c>
      <c r="F1079" s="14">
        <f>'Empleo Censo'!I1079</f>
        <v/>
      </c>
      <c r="G1079" s="14">
        <f>'Empleo Censo'!J1079+'Empleo Censo'!K1079</f>
        <v/>
      </c>
      <c r="H1079" s="14">
        <f>'Empleo Censo'!L1079</f>
        <v/>
      </c>
      <c r="I1079" s="14">
        <f>'Empleo Censo'!M1079</f>
        <v/>
      </c>
      <c r="J1079" s="14">
        <f>SUM('Empleo Censo'!N1079:AA1079)</f>
        <v/>
      </c>
      <c r="K1079" s="14">
        <f>SUM(C1079:J1079)</f>
        <v/>
      </c>
      <c r="L1079" s="15">
        <f>SUMPRODUCT(C1079:J1079,Factores!$B$3:$I$3)</f>
        <v/>
      </c>
      <c r="M1079" s="16">
        <f>'Empleo Censo'!E1079</f>
        <v/>
      </c>
      <c r="N1079" s="17">
        <f>IF(M1079&gt;0,L1079,Factores!$B$7)</f>
        <v/>
      </c>
      <c r="O1079">
        <f>IF(M1079&gt;0,"OK","sin PEA -&gt; peor")</f>
        <v/>
      </c>
    </row>
    <row r="1080">
      <c r="A1080" t="inlineStr">
        <is>
          <t>030611</t>
        </is>
      </c>
      <c r="B1080" t="inlineStr">
        <is>
          <t>LOS CHANKAS</t>
        </is>
      </c>
      <c r="C1080" s="14">
        <f>'Empleo Censo'!G1080-'Empleo Censo'!F1080</f>
        <v/>
      </c>
      <c r="D1080" s="14">
        <f>'Empleo Censo'!F1080</f>
        <v/>
      </c>
      <c r="E1080" s="14">
        <f>'Empleo Censo'!H1080</f>
        <v/>
      </c>
      <c r="F1080" s="14">
        <f>'Empleo Censo'!I1080</f>
        <v/>
      </c>
      <c r="G1080" s="14">
        <f>'Empleo Censo'!J1080+'Empleo Censo'!K1080</f>
        <v/>
      </c>
      <c r="H1080" s="14">
        <f>'Empleo Censo'!L1080</f>
        <v/>
      </c>
      <c r="I1080" s="14">
        <f>'Empleo Censo'!M1080</f>
        <v/>
      </c>
      <c r="J1080" s="14">
        <f>SUM('Empleo Censo'!N1080:AA1080)</f>
        <v/>
      </c>
      <c r="K1080" s="14">
        <f>SUM(C1080:J1080)</f>
        <v/>
      </c>
      <c r="L1080" s="15">
        <f>SUMPRODUCT(C1080:J1080,Factores!$B$3:$I$3)</f>
        <v/>
      </c>
      <c r="M1080" s="16">
        <f>'Empleo Censo'!E1080</f>
        <v/>
      </c>
      <c r="N1080" s="17">
        <f>IF(M1080&gt;0,L1080,Factores!$B$7)</f>
        <v/>
      </c>
      <c r="O1080">
        <f>IF(M1080&gt;0,"OK","sin PEA -&gt; peor")</f>
        <v/>
      </c>
    </row>
    <row r="1081">
      <c r="A1081" t="inlineStr">
        <is>
          <t>090718</t>
        </is>
      </c>
      <c r="B1081" t="inlineStr">
        <is>
          <t>TINTAY PUNCU</t>
        </is>
      </c>
      <c r="C1081" s="14">
        <f>'Empleo Censo'!G1081-'Empleo Censo'!F1081</f>
        <v/>
      </c>
      <c r="D1081" s="14">
        <f>'Empleo Censo'!F1081</f>
        <v/>
      </c>
      <c r="E1081" s="14">
        <f>'Empleo Censo'!H1081</f>
        <v/>
      </c>
      <c r="F1081" s="14">
        <f>'Empleo Censo'!I1081</f>
        <v/>
      </c>
      <c r="G1081" s="14">
        <f>'Empleo Censo'!J1081+'Empleo Censo'!K1081</f>
        <v/>
      </c>
      <c r="H1081" s="14">
        <f>'Empleo Censo'!L1081</f>
        <v/>
      </c>
      <c r="I1081" s="14">
        <f>'Empleo Censo'!M1081</f>
        <v/>
      </c>
      <c r="J1081" s="14">
        <f>SUM('Empleo Censo'!N1081:AA1081)</f>
        <v/>
      </c>
      <c r="K1081" s="14">
        <f>SUM(C1081:J1081)</f>
        <v/>
      </c>
      <c r="L1081" s="15">
        <f>SUMPRODUCT(C1081:J1081,Factores!$B$3:$I$3)</f>
        <v/>
      </c>
      <c r="M1081" s="16">
        <f>'Empleo Censo'!E1081</f>
        <v/>
      </c>
      <c r="N1081" s="17">
        <f>IF(M1081&gt;0,L1081,Factores!$B$7)</f>
        <v/>
      </c>
      <c r="O1081">
        <f>IF(M1081&gt;0,"OK","sin PEA -&gt; peor")</f>
        <v/>
      </c>
    </row>
    <row r="1082">
      <c r="A1082" t="inlineStr">
        <is>
          <t>030604</t>
        </is>
      </c>
      <c r="B1082" t="inlineStr">
        <is>
          <t>HUACCANA</t>
        </is>
      </c>
      <c r="C1082" s="14">
        <f>'Empleo Censo'!G1082-'Empleo Censo'!F1082</f>
        <v/>
      </c>
      <c r="D1082" s="14">
        <f>'Empleo Censo'!F1082</f>
        <v/>
      </c>
      <c r="E1082" s="14">
        <f>'Empleo Censo'!H1082</f>
        <v/>
      </c>
      <c r="F1082" s="14">
        <f>'Empleo Censo'!I1082</f>
        <v/>
      </c>
      <c r="G1082" s="14">
        <f>'Empleo Censo'!J1082+'Empleo Censo'!K1082</f>
        <v/>
      </c>
      <c r="H1082" s="14">
        <f>'Empleo Censo'!L1082</f>
        <v/>
      </c>
      <c r="I1082" s="14">
        <f>'Empleo Censo'!M1082</f>
        <v/>
      </c>
      <c r="J1082" s="14">
        <f>SUM('Empleo Censo'!N1082:AA1082)</f>
        <v/>
      </c>
      <c r="K1082" s="14">
        <f>SUM(C1082:J1082)</f>
        <v/>
      </c>
      <c r="L1082" s="15">
        <f>SUMPRODUCT(C1082:J1082,Factores!$B$3:$I$3)</f>
        <v/>
      </c>
      <c r="M1082" s="16">
        <f>'Empleo Censo'!E1082</f>
        <v/>
      </c>
      <c r="N1082" s="17">
        <f>IF(M1082&gt;0,L1082,Factores!$B$7)</f>
        <v/>
      </c>
      <c r="O1082">
        <f>IF(M1082&gt;0,"OK","sin PEA -&gt; peor")</f>
        <v/>
      </c>
    </row>
    <row r="1083">
      <c r="A1083" t="inlineStr">
        <is>
          <t>090511</t>
        </is>
      </c>
      <c r="B1083" t="inlineStr">
        <is>
          <t>COSME</t>
        </is>
      </c>
      <c r="C1083" s="14">
        <f>'Empleo Censo'!G1083-'Empleo Censo'!F1083</f>
        <v/>
      </c>
      <c r="D1083" s="14">
        <f>'Empleo Censo'!F1083</f>
        <v/>
      </c>
      <c r="E1083" s="14">
        <f>'Empleo Censo'!H1083</f>
        <v/>
      </c>
      <c r="F1083" s="14">
        <f>'Empleo Censo'!I1083</f>
        <v/>
      </c>
      <c r="G1083" s="14">
        <f>'Empleo Censo'!J1083+'Empleo Censo'!K1083</f>
        <v/>
      </c>
      <c r="H1083" s="14">
        <f>'Empleo Censo'!L1083</f>
        <v/>
      </c>
      <c r="I1083" s="14">
        <f>'Empleo Censo'!M1083</f>
        <v/>
      </c>
      <c r="J1083" s="14">
        <f>SUM('Empleo Censo'!N1083:AA1083)</f>
        <v/>
      </c>
      <c r="K1083" s="14">
        <f>SUM(C1083:J1083)</f>
        <v/>
      </c>
      <c r="L1083" s="15">
        <f>SUMPRODUCT(C1083:J1083,Factores!$B$3:$I$3)</f>
        <v/>
      </c>
      <c r="M1083" s="16">
        <f>'Empleo Censo'!E1083</f>
        <v/>
      </c>
      <c r="N1083" s="17">
        <f>IF(M1083&gt;0,L1083,Factores!$B$7)</f>
        <v/>
      </c>
      <c r="O1083">
        <f>IF(M1083&gt;0,"OK","sin PEA -&gt; peor")</f>
        <v/>
      </c>
    </row>
    <row r="1084">
      <c r="A1084" t="inlineStr">
        <is>
          <t>030202</t>
        </is>
      </c>
      <c r="B1084" t="inlineStr">
        <is>
          <t>ANDARAPA</t>
        </is>
      </c>
      <c r="C1084" s="14">
        <f>'Empleo Censo'!G1084-'Empleo Censo'!F1084</f>
        <v/>
      </c>
      <c r="D1084" s="14">
        <f>'Empleo Censo'!F1084</f>
        <v/>
      </c>
      <c r="E1084" s="14">
        <f>'Empleo Censo'!H1084</f>
        <v/>
      </c>
      <c r="F1084" s="14">
        <f>'Empleo Censo'!I1084</f>
        <v/>
      </c>
      <c r="G1084" s="14">
        <f>'Empleo Censo'!J1084+'Empleo Censo'!K1084</f>
        <v/>
      </c>
      <c r="H1084" s="14">
        <f>'Empleo Censo'!L1084</f>
        <v/>
      </c>
      <c r="I1084" s="14">
        <f>'Empleo Censo'!M1084</f>
        <v/>
      </c>
      <c r="J1084" s="14">
        <f>SUM('Empleo Censo'!N1084:AA1084)</f>
        <v/>
      </c>
      <c r="K1084" s="14">
        <f>SUM(C1084:J1084)</f>
        <v/>
      </c>
      <c r="L1084" s="15">
        <f>SUMPRODUCT(C1084:J1084,Factores!$B$3:$I$3)</f>
        <v/>
      </c>
      <c r="M1084" s="16">
        <f>'Empleo Censo'!E1084</f>
        <v/>
      </c>
      <c r="N1084" s="17">
        <f>IF(M1084&gt;0,L1084,Factores!$B$7)</f>
        <v/>
      </c>
      <c r="O1084">
        <f>IF(M1084&gt;0,"OK","sin PEA -&gt; peor")</f>
        <v/>
      </c>
    </row>
    <row r="1085">
      <c r="A1085" t="inlineStr">
        <is>
          <t>030708</t>
        </is>
      </c>
      <c r="B1085" t="inlineStr">
        <is>
          <t>PROGRESO</t>
        </is>
      </c>
      <c r="C1085" s="14">
        <f>'Empleo Censo'!G1085-'Empleo Censo'!F1085</f>
        <v/>
      </c>
      <c r="D1085" s="14">
        <f>'Empleo Censo'!F1085</f>
        <v/>
      </c>
      <c r="E1085" s="14">
        <f>'Empleo Censo'!H1085</f>
        <v/>
      </c>
      <c r="F1085" s="14">
        <f>'Empleo Censo'!I1085</f>
        <v/>
      </c>
      <c r="G1085" s="14">
        <f>'Empleo Censo'!J1085+'Empleo Censo'!K1085</f>
        <v/>
      </c>
      <c r="H1085" s="14">
        <f>'Empleo Censo'!L1085</f>
        <v/>
      </c>
      <c r="I1085" s="14">
        <f>'Empleo Censo'!M1085</f>
        <v/>
      </c>
      <c r="J1085" s="14">
        <f>SUM('Empleo Censo'!N1085:AA1085)</f>
        <v/>
      </c>
      <c r="K1085" s="14">
        <f>SUM(C1085:J1085)</f>
        <v/>
      </c>
      <c r="L1085" s="15">
        <f>SUMPRODUCT(C1085:J1085,Factores!$B$3:$I$3)</f>
        <v/>
      </c>
      <c r="M1085" s="16">
        <f>'Empleo Censo'!E1085</f>
        <v/>
      </c>
      <c r="N1085" s="17">
        <f>IF(M1085&gt;0,L1085,Factores!$B$7)</f>
        <v/>
      </c>
      <c r="O1085">
        <f>IF(M1085&gt;0,"OK","sin PEA -&gt; peor")</f>
        <v/>
      </c>
    </row>
    <row r="1086">
      <c r="A1086" t="inlineStr">
        <is>
          <t>090704</t>
        </is>
      </c>
      <c r="B1086" t="inlineStr">
        <is>
          <t>AHUAYCHA</t>
        </is>
      </c>
      <c r="C1086" s="14">
        <f>'Empleo Censo'!G1086-'Empleo Censo'!F1086</f>
        <v/>
      </c>
      <c r="D1086" s="14">
        <f>'Empleo Censo'!F1086</f>
        <v/>
      </c>
      <c r="E1086" s="14">
        <f>'Empleo Censo'!H1086</f>
        <v/>
      </c>
      <c r="F1086" s="14">
        <f>'Empleo Censo'!I1086</f>
        <v/>
      </c>
      <c r="G1086" s="14">
        <f>'Empleo Censo'!J1086+'Empleo Censo'!K1086</f>
        <v/>
      </c>
      <c r="H1086" s="14">
        <f>'Empleo Censo'!L1086</f>
        <v/>
      </c>
      <c r="I1086" s="14">
        <f>'Empleo Censo'!M1086</f>
        <v/>
      </c>
      <c r="J1086" s="14">
        <f>SUM('Empleo Censo'!N1086:AA1086)</f>
        <v/>
      </c>
      <c r="K1086" s="14">
        <f>SUM(C1086:J1086)</f>
        <v/>
      </c>
      <c r="L1086" s="15">
        <f>SUMPRODUCT(C1086:J1086,Factores!$B$3:$I$3)</f>
        <v/>
      </c>
      <c r="M1086" s="16">
        <f>'Empleo Censo'!E1086</f>
        <v/>
      </c>
      <c r="N1086" s="17">
        <f>IF(M1086&gt;0,L1086,Factores!$B$7)</f>
        <v/>
      </c>
      <c r="O1086">
        <f>IF(M1086&gt;0,"OK","sin PEA -&gt; peor")</f>
        <v/>
      </c>
    </row>
    <row r="1087">
      <c r="A1087" t="inlineStr">
        <is>
          <t>060201</t>
        </is>
      </c>
      <c r="B1087" t="inlineStr">
        <is>
          <t>CAJABAMBA</t>
        </is>
      </c>
      <c r="C1087" s="14">
        <f>'Empleo Censo'!G1087-'Empleo Censo'!F1087</f>
        <v/>
      </c>
      <c r="D1087" s="14">
        <f>'Empleo Censo'!F1087</f>
        <v/>
      </c>
      <c r="E1087" s="14">
        <f>'Empleo Censo'!H1087</f>
        <v/>
      </c>
      <c r="F1087" s="14">
        <f>'Empleo Censo'!I1087</f>
        <v/>
      </c>
      <c r="G1087" s="14">
        <f>'Empleo Censo'!J1087+'Empleo Censo'!K1087</f>
        <v/>
      </c>
      <c r="H1087" s="14">
        <f>'Empleo Censo'!L1087</f>
        <v/>
      </c>
      <c r="I1087" s="14">
        <f>'Empleo Censo'!M1087</f>
        <v/>
      </c>
      <c r="J1087" s="14">
        <f>SUM('Empleo Censo'!N1087:AA1087)</f>
        <v/>
      </c>
      <c r="K1087" s="14">
        <f>SUM(C1087:J1087)</f>
        <v/>
      </c>
      <c r="L1087" s="15">
        <f>SUMPRODUCT(C1087:J1087,Factores!$B$3:$I$3)</f>
        <v/>
      </c>
      <c r="M1087" s="16">
        <f>'Empleo Censo'!E1087</f>
        <v/>
      </c>
      <c r="N1087" s="17">
        <f>IF(M1087&gt;0,L1087,Factores!$B$7)</f>
        <v/>
      </c>
      <c r="O1087">
        <f>IF(M1087&gt;0,"OK","sin PEA -&gt; peor")</f>
        <v/>
      </c>
    </row>
    <row r="1088">
      <c r="A1088" t="inlineStr">
        <is>
          <t>050801</t>
        </is>
      </c>
      <c r="B1088" t="inlineStr">
        <is>
          <t>PAUSA</t>
        </is>
      </c>
      <c r="C1088" s="14">
        <f>'Empleo Censo'!G1088-'Empleo Censo'!F1088</f>
        <v/>
      </c>
      <c r="D1088" s="14">
        <f>'Empleo Censo'!F1088</f>
        <v/>
      </c>
      <c r="E1088" s="14">
        <f>'Empleo Censo'!H1088</f>
        <v/>
      </c>
      <c r="F1088" s="14">
        <f>'Empleo Censo'!I1088</f>
        <v/>
      </c>
      <c r="G1088" s="14">
        <f>'Empleo Censo'!J1088+'Empleo Censo'!K1088</f>
        <v/>
      </c>
      <c r="H1088" s="14">
        <f>'Empleo Censo'!L1088</f>
        <v/>
      </c>
      <c r="I1088" s="14">
        <f>'Empleo Censo'!M1088</f>
        <v/>
      </c>
      <c r="J1088" s="14">
        <f>SUM('Empleo Censo'!N1088:AA1088)</f>
        <v/>
      </c>
      <c r="K1088" s="14">
        <f>SUM(C1088:J1088)</f>
        <v/>
      </c>
      <c r="L1088" s="15">
        <f>SUMPRODUCT(C1088:J1088,Factores!$B$3:$I$3)</f>
        <v/>
      </c>
      <c r="M1088" s="16">
        <f>'Empleo Censo'!E1088</f>
        <v/>
      </c>
      <c r="N1088" s="17">
        <f>IF(M1088&gt;0,L1088,Factores!$B$7)</f>
        <v/>
      </c>
      <c r="O1088">
        <f>IF(M1088&gt;0,"OK","sin PEA -&gt; peor")</f>
        <v/>
      </c>
    </row>
    <row r="1089">
      <c r="A1089" t="inlineStr">
        <is>
          <t>060803</t>
        </is>
      </c>
      <c r="B1089" t="inlineStr">
        <is>
          <t>CHONTALI</t>
        </is>
      </c>
      <c r="C1089" s="14">
        <f>'Empleo Censo'!G1089-'Empleo Censo'!F1089</f>
        <v/>
      </c>
      <c r="D1089" s="14">
        <f>'Empleo Censo'!F1089</f>
        <v/>
      </c>
      <c r="E1089" s="14">
        <f>'Empleo Censo'!H1089</f>
        <v/>
      </c>
      <c r="F1089" s="14">
        <f>'Empleo Censo'!I1089</f>
        <v/>
      </c>
      <c r="G1089" s="14">
        <f>'Empleo Censo'!J1089+'Empleo Censo'!K1089</f>
        <v/>
      </c>
      <c r="H1089" s="14">
        <f>'Empleo Censo'!L1089</f>
        <v/>
      </c>
      <c r="I1089" s="14">
        <f>'Empleo Censo'!M1089</f>
        <v/>
      </c>
      <c r="J1089" s="14">
        <f>SUM('Empleo Censo'!N1089:AA1089)</f>
        <v/>
      </c>
      <c r="K1089" s="14">
        <f>SUM(C1089:J1089)</f>
        <v/>
      </c>
      <c r="L1089" s="15">
        <f>SUMPRODUCT(C1089:J1089,Factores!$B$3:$I$3)</f>
        <v/>
      </c>
      <c r="M1089" s="16">
        <f>'Empleo Censo'!E1089</f>
        <v/>
      </c>
      <c r="N1089" s="17">
        <f>IF(M1089&gt;0,L1089,Factores!$B$7)</f>
        <v/>
      </c>
      <c r="O1089">
        <f>IF(M1089&gt;0,"OK","sin PEA -&gt; peor")</f>
        <v/>
      </c>
    </row>
    <row r="1090">
      <c r="A1090" t="inlineStr">
        <is>
          <t>060701</t>
        </is>
      </c>
      <c r="B1090" t="inlineStr">
        <is>
          <t>BAMBAMARCA</t>
        </is>
      </c>
      <c r="C1090" s="14">
        <f>'Empleo Censo'!G1090-'Empleo Censo'!F1090</f>
        <v/>
      </c>
      <c r="D1090" s="14">
        <f>'Empleo Censo'!F1090</f>
        <v/>
      </c>
      <c r="E1090" s="14">
        <f>'Empleo Censo'!H1090</f>
        <v/>
      </c>
      <c r="F1090" s="14">
        <f>'Empleo Censo'!I1090</f>
        <v/>
      </c>
      <c r="G1090" s="14">
        <f>'Empleo Censo'!J1090+'Empleo Censo'!K1090</f>
        <v/>
      </c>
      <c r="H1090" s="14">
        <f>'Empleo Censo'!L1090</f>
        <v/>
      </c>
      <c r="I1090" s="14">
        <f>'Empleo Censo'!M1090</f>
        <v/>
      </c>
      <c r="J1090" s="14">
        <f>SUM('Empleo Censo'!N1090:AA1090)</f>
        <v/>
      </c>
      <c r="K1090" s="14">
        <f>SUM(C1090:J1090)</f>
        <v/>
      </c>
      <c r="L1090" s="15">
        <f>SUMPRODUCT(C1090:J1090,Factores!$B$3:$I$3)</f>
        <v/>
      </c>
      <c r="M1090" s="16">
        <f>'Empleo Censo'!E1090</f>
        <v/>
      </c>
      <c r="N1090" s="17">
        <f>IF(M1090&gt;0,L1090,Factores!$B$7)</f>
        <v/>
      </c>
      <c r="O1090">
        <f>IF(M1090&gt;0,"OK","sin PEA -&gt; peor")</f>
        <v/>
      </c>
    </row>
    <row r="1091">
      <c r="A1091" t="inlineStr">
        <is>
          <t>061305</t>
        </is>
      </c>
      <c r="B1091" t="inlineStr">
        <is>
          <t>LA ESPERANZA</t>
        </is>
      </c>
      <c r="C1091" s="14">
        <f>'Empleo Censo'!G1091-'Empleo Censo'!F1091</f>
        <v/>
      </c>
      <c r="D1091" s="14">
        <f>'Empleo Censo'!F1091</f>
        <v/>
      </c>
      <c r="E1091" s="14">
        <f>'Empleo Censo'!H1091</f>
        <v/>
      </c>
      <c r="F1091" s="14">
        <f>'Empleo Censo'!I1091</f>
        <v/>
      </c>
      <c r="G1091" s="14">
        <f>'Empleo Censo'!J1091+'Empleo Censo'!K1091</f>
        <v/>
      </c>
      <c r="H1091" s="14">
        <f>'Empleo Censo'!L1091</f>
        <v/>
      </c>
      <c r="I1091" s="14">
        <f>'Empleo Censo'!M1091</f>
        <v/>
      </c>
      <c r="J1091" s="14">
        <f>SUM('Empleo Censo'!N1091:AA1091)</f>
        <v/>
      </c>
      <c r="K1091" s="14">
        <f>SUM(C1091:J1091)</f>
        <v/>
      </c>
      <c r="L1091" s="15">
        <f>SUMPRODUCT(C1091:J1091,Factores!$B$3:$I$3)</f>
        <v/>
      </c>
      <c r="M1091" s="16">
        <f>'Empleo Censo'!E1091</f>
        <v/>
      </c>
      <c r="N1091" s="17">
        <f>IF(M1091&gt;0,L1091,Factores!$B$7)</f>
        <v/>
      </c>
      <c r="O1091">
        <f>IF(M1091&gt;0,"OK","sin PEA -&gt; peor")</f>
        <v/>
      </c>
    </row>
    <row r="1092">
      <c r="A1092" t="inlineStr">
        <is>
          <t>090102</t>
        </is>
      </c>
      <c r="B1092" t="inlineStr">
        <is>
          <t>ACOBAMBILLA</t>
        </is>
      </c>
      <c r="C1092" s="14">
        <f>'Empleo Censo'!G1092-'Empleo Censo'!F1092</f>
        <v/>
      </c>
      <c r="D1092" s="14">
        <f>'Empleo Censo'!F1092</f>
        <v/>
      </c>
      <c r="E1092" s="14">
        <f>'Empleo Censo'!H1092</f>
        <v/>
      </c>
      <c r="F1092" s="14">
        <f>'Empleo Censo'!I1092</f>
        <v/>
      </c>
      <c r="G1092" s="14">
        <f>'Empleo Censo'!J1092+'Empleo Censo'!K1092</f>
        <v/>
      </c>
      <c r="H1092" s="14">
        <f>'Empleo Censo'!L1092</f>
        <v/>
      </c>
      <c r="I1092" s="14">
        <f>'Empleo Censo'!M1092</f>
        <v/>
      </c>
      <c r="J1092" s="14">
        <f>SUM('Empleo Censo'!N1092:AA1092)</f>
        <v/>
      </c>
      <c r="K1092" s="14">
        <f>SUM(C1092:J1092)</f>
        <v/>
      </c>
      <c r="L1092" s="15">
        <f>SUMPRODUCT(C1092:J1092,Factores!$B$3:$I$3)</f>
        <v/>
      </c>
      <c r="M1092" s="16">
        <f>'Empleo Censo'!E1092</f>
        <v/>
      </c>
      <c r="N1092" s="17">
        <f>IF(M1092&gt;0,L1092,Factores!$B$7)</f>
        <v/>
      </c>
      <c r="O1092">
        <f>IF(M1092&gt;0,"OK","sin PEA -&gt; peor")</f>
        <v/>
      </c>
    </row>
    <row r="1093">
      <c r="A1093" t="inlineStr">
        <is>
          <t>021909</t>
        </is>
      </c>
      <c r="B1093" t="inlineStr">
        <is>
          <t>SAN JUAN</t>
        </is>
      </c>
      <c r="C1093" s="14">
        <f>'Empleo Censo'!G1093-'Empleo Censo'!F1093</f>
        <v/>
      </c>
      <c r="D1093" s="14">
        <f>'Empleo Censo'!F1093</f>
        <v/>
      </c>
      <c r="E1093" s="14">
        <f>'Empleo Censo'!H1093</f>
        <v/>
      </c>
      <c r="F1093" s="14">
        <f>'Empleo Censo'!I1093</f>
        <v/>
      </c>
      <c r="G1093" s="14">
        <f>'Empleo Censo'!J1093+'Empleo Censo'!K1093</f>
        <v/>
      </c>
      <c r="H1093" s="14">
        <f>'Empleo Censo'!L1093</f>
        <v/>
      </c>
      <c r="I1093" s="14">
        <f>'Empleo Censo'!M1093</f>
        <v/>
      </c>
      <c r="J1093" s="14">
        <f>SUM('Empleo Censo'!N1093:AA1093)</f>
        <v/>
      </c>
      <c r="K1093" s="14">
        <f>SUM(C1093:J1093)</f>
        <v/>
      </c>
      <c r="L1093" s="15">
        <f>SUMPRODUCT(C1093:J1093,Factores!$B$3:$I$3)</f>
        <v/>
      </c>
      <c r="M1093" s="16">
        <f>'Empleo Censo'!E1093</f>
        <v/>
      </c>
      <c r="N1093" s="17">
        <f>IF(M1093&gt;0,L1093,Factores!$B$7)</f>
        <v/>
      </c>
      <c r="O1093">
        <f>IF(M1093&gt;0,"OK","sin PEA -&gt; peor")</f>
        <v/>
      </c>
    </row>
    <row r="1094">
      <c r="A1094" t="inlineStr">
        <is>
          <t>050901</t>
        </is>
      </c>
      <c r="B1094" t="inlineStr">
        <is>
          <t>QUEROBAMBA</t>
        </is>
      </c>
      <c r="C1094" s="14">
        <f>'Empleo Censo'!G1094-'Empleo Censo'!F1094</f>
        <v/>
      </c>
      <c r="D1094" s="14">
        <f>'Empleo Censo'!F1094</f>
        <v/>
      </c>
      <c r="E1094" s="14">
        <f>'Empleo Censo'!H1094</f>
        <v/>
      </c>
      <c r="F1094" s="14">
        <f>'Empleo Censo'!I1094</f>
        <v/>
      </c>
      <c r="G1094" s="14">
        <f>'Empleo Censo'!J1094+'Empleo Censo'!K1094</f>
        <v/>
      </c>
      <c r="H1094" s="14">
        <f>'Empleo Censo'!L1094</f>
        <v/>
      </c>
      <c r="I1094" s="14">
        <f>'Empleo Censo'!M1094</f>
        <v/>
      </c>
      <c r="J1094" s="14">
        <f>SUM('Empleo Censo'!N1094:AA1094)</f>
        <v/>
      </c>
      <c r="K1094" s="14">
        <f>SUM(C1094:J1094)</f>
        <v/>
      </c>
      <c r="L1094" s="15">
        <f>SUMPRODUCT(C1094:J1094,Factores!$B$3:$I$3)</f>
        <v/>
      </c>
      <c r="M1094" s="16">
        <f>'Empleo Censo'!E1094</f>
        <v/>
      </c>
      <c r="N1094" s="17">
        <f>IF(M1094&gt;0,L1094,Factores!$B$7)</f>
        <v/>
      </c>
      <c r="O1094">
        <f>IF(M1094&gt;0,"OK","sin PEA -&gt; peor")</f>
        <v/>
      </c>
    </row>
    <row r="1095">
      <c r="A1095" t="inlineStr">
        <is>
          <t>010206</t>
        </is>
      </c>
      <c r="B1095" t="inlineStr">
        <is>
          <t>LA PECA</t>
        </is>
      </c>
      <c r="C1095" s="14">
        <f>'Empleo Censo'!G1095-'Empleo Censo'!F1095</f>
        <v/>
      </c>
      <c r="D1095" s="14">
        <f>'Empleo Censo'!F1095</f>
        <v/>
      </c>
      <c r="E1095" s="14">
        <f>'Empleo Censo'!H1095</f>
        <v/>
      </c>
      <c r="F1095" s="14">
        <f>'Empleo Censo'!I1095</f>
        <v/>
      </c>
      <c r="G1095" s="14">
        <f>'Empleo Censo'!J1095+'Empleo Censo'!K1095</f>
        <v/>
      </c>
      <c r="H1095" s="14">
        <f>'Empleo Censo'!L1095</f>
        <v/>
      </c>
      <c r="I1095" s="14">
        <f>'Empleo Censo'!M1095</f>
        <v/>
      </c>
      <c r="J1095" s="14">
        <f>SUM('Empleo Censo'!N1095:AA1095)</f>
        <v/>
      </c>
      <c r="K1095" s="14">
        <f>SUM(C1095:J1095)</f>
        <v/>
      </c>
      <c r="L1095" s="15">
        <f>SUMPRODUCT(C1095:J1095,Factores!$B$3:$I$3)</f>
        <v/>
      </c>
      <c r="M1095" s="16">
        <f>'Empleo Censo'!E1095</f>
        <v/>
      </c>
      <c r="N1095" s="17">
        <f>IF(M1095&gt;0,L1095,Factores!$B$7)</f>
        <v/>
      </c>
      <c r="O1095">
        <f>IF(M1095&gt;0,"OK","sin PEA -&gt; peor")</f>
        <v/>
      </c>
    </row>
    <row r="1096">
      <c r="A1096" t="inlineStr">
        <is>
          <t>050611</t>
        </is>
      </c>
      <c r="B1096" t="inlineStr">
        <is>
          <t>LUCANAS</t>
        </is>
      </c>
      <c r="C1096" s="14">
        <f>'Empleo Censo'!G1096-'Empleo Censo'!F1096</f>
        <v/>
      </c>
      <c r="D1096" s="14">
        <f>'Empleo Censo'!F1096</f>
        <v/>
      </c>
      <c r="E1096" s="14">
        <f>'Empleo Censo'!H1096</f>
        <v/>
      </c>
      <c r="F1096" s="14">
        <f>'Empleo Censo'!I1096</f>
        <v/>
      </c>
      <c r="G1096" s="14">
        <f>'Empleo Censo'!J1096+'Empleo Censo'!K1096</f>
        <v/>
      </c>
      <c r="H1096" s="14">
        <f>'Empleo Censo'!L1096</f>
        <v/>
      </c>
      <c r="I1096" s="14">
        <f>'Empleo Censo'!M1096</f>
        <v/>
      </c>
      <c r="J1096" s="14">
        <f>SUM('Empleo Censo'!N1096:AA1096)</f>
        <v/>
      </c>
      <c r="K1096" s="14">
        <f>SUM(C1096:J1096)</f>
        <v/>
      </c>
      <c r="L1096" s="15">
        <f>SUMPRODUCT(C1096:J1096,Factores!$B$3:$I$3)</f>
        <v/>
      </c>
      <c r="M1096" s="16">
        <f>'Empleo Censo'!E1096</f>
        <v/>
      </c>
      <c r="N1096" s="17">
        <f>IF(M1096&gt;0,L1096,Factores!$B$7)</f>
        <v/>
      </c>
      <c r="O1096">
        <f>IF(M1096&gt;0,"OK","sin PEA -&gt; peor")</f>
        <v/>
      </c>
    </row>
    <row r="1097">
      <c r="A1097" t="inlineStr">
        <is>
          <t>060806</t>
        </is>
      </c>
      <c r="B1097" t="inlineStr">
        <is>
          <t>LAS PIRIAS</t>
        </is>
      </c>
      <c r="C1097" s="14">
        <f>'Empleo Censo'!G1097-'Empleo Censo'!F1097</f>
        <v/>
      </c>
      <c r="D1097" s="14">
        <f>'Empleo Censo'!F1097</f>
        <v/>
      </c>
      <c r="E1097" s="14">
        <f>'Empleo Censo'!H1097</f>
        <v/>
      </c>
      <c r="F1097" s="14">
        <f>'Empleo Censo'!I1097</f>
        <v/>
      </c>
      <c r="G1097" s="14">
        <f>'Empleo Censo'!J1097+'Empleo Censo'!K1097</f>
        <v/>
      </c>
      <c r="H1097" s="14">
        <f>'Empleo Censo'!L1097</f>
        <v/>
      </c>
      <c r="I1097" s="14">
        <f>'Empleo Censo'!M1097</f>
        <v/>
      </c>
      <c r="J1097" s="14">
        <f>SUM('Empleo Censo'!N1097:AA1097)</f>
        <v/>
      </c>
      <c r="K1097" s="14">
        <f>SUM(C1097:J1097)</f>
        <v/>
      </c>
      <c r="L1097" s="15">
        <f>SUMPRODUCT(C1097:J1097,Factores!$B$3:$I$3)</f>
        <v/>
      </c>
      <c r="M1097" s="16">
        <f>'Empleo Censo'!E1097</f>
        <v/>
      </c>
      <c r="N1097" s="17">
        <f>IF(M1097&gt;0,L1097,Factores!$B$7)</f>
        <v/>
      </c>
      <c r="O1097">
        <f>IF(M1097&gt;0,"OK","sin PEA -&gt; peor")</f>
        <v/>
      </c>
    </row>
    <row r="1098">
      <c r="A1098" t="inlineStr">
        <is>
          <t>090501</t>
        </is>
      </c>
      <c r="B1098" t="inlineStr">
        <is>
          <t>CHURCAMPA</t>
        </is>
      </c>
      <c r="C1098" s="14">
        <f>'Empleo Censo'!G1098-'Empleo Censo'!F1098</f>
        <v/>
      </c>
      <c r="D1098" s="14">
        <f>'Empleo Censo'!F1098</f>
        <v/>
      </c>
      <c r="E1098" s="14">
        <f>'Empleo Censo'!H1098</f>
        <v/>
      </c>
      <c r="F1098" s="14">
        <f>'Empleo Censo'!I1098</f>
        <v/>
      </c>
      <c r="G1098" s="14">
        <f>'Empleo Censo'!J1098+'Empleo Censo'!K1098</f>
        <v/>
      </c>
      <c r="H1098" s="14">
        <f>'Empleo Censo'!L1098</f>
        <v/>
      </c>
      <c r="I1098" s="14">
        <f>'Empleo Censo'!M1098</f>
        <v/>
      </c>
      <c r="J1098" s="14">
        <f>SUM('Empleo Censo'!N1098:AA1098)</f>
        <v/>
      </c>
      <c r="K1098" s="14">
        <f>SUM(C1098:J1098)</f>
        <v/>
      </c>
      <c r="L1098" s="15">
        <f>SUMPRODUCT(C1098:J1098,Factores!$B$3:$I$3)</f>
        <v/>
      </c>
      <c r="M1098" s="16">
        <f>'Empleo Censo'!E1098</f>
        <v/>
      </c>
      <c r="N1098" s="17">
        <f>IF(M1098&gt;0,L1098,Factores!$B$7)</f>
        <v/>
      </c>
      <c r="O1098">
        <f>IF(M1098&gt;0,"OK","sin PEA -&gt; peor")</f>
        <v/>
      </c>
    </row>
    <row r="1099">
      <c r="A1099" t="inlineStr">
        <is>
          <t>090202</t>
        </is>
      </c>
      <c r="B1099" t="inlineStr">
        <is>
          <t>ANDABAMBA</t>
        </is>
      </c>
      <c r="C1099" s="14">
        <f>'Empleo Censo'!G1099-'Empleo Censo'!F1099</f>
        <v/>
      </c>
      <c r="D1099" s="14">
        <f>'Empleo Censo'!F1099</f>
        <v/>
      </c>
      <c r="E1099" s="14">
        <f>'Empleo Censo'!H1099</f>
        <v/>
      </c>
      <c r="F1099" s="14">
        <f>'Empleo Censo'!I1099</f>
        <v/>
      </c>
      <c r="G1099" s="14">
        <f>'Empleo Censo'!J1099+'Empleo Censo'!K1099</f>
        <v/>
      </c>
      <c r="H1099" s="14">
        <f>'Empleo Censo'!L1099</f>
        <v/>
      </c>
      <c r="I1099" s="14">
        <f>'Empleo Censo'!M1099</f>
        <v/>
      </c>
      <c r="J1099" s="14">
        <f>SUM('Empleo Censo'!N1099:AA1099)</f>
        <v/>
      </c>
      <c r="K1099" s="14">
        <f>SUM(C1099:J1099)</f>
        <v/>
      </c>
      <c r="L1099" s="15">
        <f>SUMPRODUCT(C1099:J1099,Factores!$B$3:$I$3)</f>
        <v/>
      </c>
      <c r="M1099" s="16">
        <f>'Empleo Censo'!E1099</f>
        <v/>
      </c>
      <c r="N1099" s="17">
        <f>IF(M1099&gt;0,L1099,Factores!$B$7)</f>
        <v/>
      </c>
      <c r="O1099">
        <f>IF(M1099&gt;0,"OK","sin PEA -&gt; peor")</f>
        <v/>
      </c>
    </row>
    <row r="1100">
      <c r="A1100" t="inlineStr">
        <is>
          <t>051101</t>
        </is>
      </c>
      <c r="B1100" t="inlineStr">
        <is>
          <t>VILCAS HUAMAN</t>
        </is>
      </c>
      <c r="C1100" s="14">
        <f>'Empleo Censo'!G1100-'Empleo Censo'!F1100</f>
        <v/>
      </c>
      <c r="D1100" s="14">
        <f>'Empleo Censo'!F1100</f>
        <v/>
      </c>
      <c r="E1100" s="14">
        <f>'Empleo Censo'!H1100</f>
        <v/>
      </c>
      <c r="F1100" s="14">
        <f>'Empleo Censo'!I1100</f>
        <v/>
      </c>
      <c r="G1100" s="14">
        <f>'Empleo Censo'!J1100+'Empleo Censo'!K1100</f>
        <v/>
      </c>
      <c r="H1100" s="14">
        <f>'Empleo Censo'!L1100</f>
        <v/>
      </c>
      <c r="I1100" s="14">
        <f>'Empleo Censo'!M1100</f>
        <v/>
      </c>
      <c r="J1100" s="14">
        <f>SUM('Empleo Censo'!N1100:AA1100)</f>
        <v/>
      </c>
      <c r="K1100" s="14">
        <f>SUM(C1100:J1100)</f>
        <v/>
      </c>
      <c r="L1100" s="15">
        <f>SUMPRODUCT(C1100:J1100,Factores!$B$3:$I$3)</f>
        <v/>
      </c>
      <c r="M1100" s="16">
        <f>'Empleo Censo'!E1100</f>
        <v/>
      </c>
      <c r="N1100" s="17">
        <f>IF(M1100&gt;0,L1100,Factores!$B$7)</f>
        <v/>
      </c>
      <c r="O1100">
        <f>IF(M1100&gt;0,"OK","sin PEA -&gt; peor")</f>
        <v/>
      </c>
    </row>
    <row r="1101">
      <c r="A1101" t="inlineStr">
        <is>
          <t>050402</t>
        </is>
      </c>
      <c r="B1101" t="inlineStr">
        <is>
          <t>AYAHUANCO</t>
        </is>
      </c>
      <c r="C1101" s="14">
        <f>'Empleo Censo'!G1101-'Empleo Censo'!F1101</f>
        <v/>
      </c>
      <c r="D1101" s="14">
        <f>'Empleo Censo'!F1101</f>
        <v/>
      </c>
      <c r="E1101" s="14">
        <f>'Empleo Censo'!H1101</f>
        <v/>
      </c>
      <c r="F1101" s="14">
        <f>'Empleo Censo'!I1101</f>
        <v/>
      </c>
      <c r="G1101" s="14">
        <f>'Empleo Censo'!J1101+'Empleo Censo'!K1101</f>
        <v/>
      </c>
      <c r="H1101" s="14">
        <f>'Empleo Censo'!L1101</f>
        <v/>
      </c>
      <c r="I1101" s="14">
        <f>'Empleo Censo'!M1101</f>
        <v/>
      </c>
      <c r="J1101" s="14">
        <f>SUM('Empleo Censo'!N1101:AA1101)</f>
        <v/>
      </c>
      <c r="K1101" s="14">
        <f>SUM(C1101:J1101)</f>
        <v/>
      </c>
      <c r="L1101" s="15">
        <f>SUMPRODUCT(C1101:J1101,Factores!$B$3:$I$3)</f>
        <v/>
      </c>
      <c r="M1101" s="16">
        <f>'Empleo Censo'!E1101</f>
        <v/>
      </c>
      <c r="N1101" s="17">
        <f>IF(M1101&gt;0,L1101,Factores!$B$7)</f>
        <v/>
      </c>
      <c r="O1101">
        <f>IF(M1101&gt;0,"OK","sin PEA -&gt; peor")</f>
        <v/>
      </c>
    </row>
    <row r="1102">
      <c r="A1102" t="inlineStr">
        <is>
          <t>061004</t>
        </is>
      </c>
      <c r="B1102" t="inlineStr">
        <is>
          <t>GREGORIO PITA</t>
        </is>
      </c>
      <c r="C1102" s="14">
        <f>'Empleo Censo'!G1102-'Empleo Censo'!F1102</f>
        <v/>
      </c>
      <c r="D1102" s="14">
        <f>'Empleo Censo'!F1102</f>
        <v/>
      </c>
      <c r="E1102" s="14">
        <f>'Empleo Censo'!H1102</f>
        <v/>
      </c>
      <c r="F1102" s="14">
        <f>'Empleo Censo'!I1102</f>
        <v/>
      </c>
      <c r="G1102" s="14">
        <f>'Empleo Censo'!J1102+'Empleo Censo'!K1102</f>
        <v/>
      </c>
      <c r="H1102" s="14">
        <f>'Empleo Censo'!L1102</f>
        <v/>
      </c>
      <c r="I1102" s="14">
        <f>'Empleo Censo'!M1102</f>
        <v/>
      </c>
      <c r="J1102" s="14">
        <f>SUM('Empleo Censo'!N1102:AA1102)</f>
        <v/>
      </c>
      <c r="K1102" s="14">
        <f>SUM(C1102:J1102)</f>
        <v/>
      </c>
      <c r="L1102" s="15">
        <f>SUMPRODUCT(C1102:J1102,Factores!$B$3:$I$3)</f>
        <v/>
      </c>
      <c r="M1102" s="16">
        <f>'Empleo Censo'!E1102</f>
        <v/>
      </c>
      <c r="N1102" s="17">
        <f>IF(M1102&gt;0,L1102,Factores!$B$7)</f>
        <v/>
      </c>
      <c r="O1102">
        <f>IF(M1102&gt;0,"OK","sin PEA -&gt; peor")</f>
        <v/>
      </c>
    </row>
    <row r="1103">
      <c r="A1103" t="inlineStr">
        <is>
          <t>010706</t>
        </is>
      </c>
      <c r="B1103" t="inlineStr">
        <is>
          <t>LONYA GRANDE</t>
        </is>
      </c>
      <c r="C1103" s="14">
        <f>'Empleo Censo'!G1103-'Empleo Censo'!F1103</f>
        <v/>
      </c>
      <c r="D1103" s="14">
        <f>'Empleo Censo'!F1103</f>
        <v/>
      </c>
      <c r="E1103" s="14">
        <f>'Empleo Censo'!H1103</f>
        <v/>
      </c>
      <c r="F1103" s="14">
        <f>'Empleo Censo'!I1103</f>
        <v/>
      </c>
      <c r="G1103" s="14">
        <f>'Empleo Censo'!J1103+'Empleo Censo'!K1103</f>
        <v/>
      </c>
      <c r="H1103" s="14">
        <f>'Empleo Censo'!L1103</f>
        <v/>
      </c>
      <c r="I1103" s="14">
        <f>'Empleo Censo'!M1103</f>
        <v/>
      </c>
      <c r="J1103" s="14">
        <f>SUM('Empleo Censo'!N1103:AA1103)</f>
        <v/>
      </c>
      <c r="K1103" s="14">
        <f>SUM(C1103:J1103)</f>
        <v/>
      </c>
      <c r="L1103" s="15">
        <f>SUMPRODUCT(C1103:J1103,Factores!$B$3:$I$3)</f>
        <v/>
      </c>
      <c r="M1103" s="16">
        <f>'Empleo Censo'!E1103</f>
        <v/>
      </c>
      <c r="N1103" s="17">
        <f>IF(M1103&gt;0,L1103,Factores!$B$7)</f>
        <v/>
      </c>
      <c r="O1103">
        <f>IF(M1103&gt;0,"OK","sin PEA -&gt; peor")</f>
        <v/>
      </c>
    </row>
    <row r="1104">
      <c r="A1104" t="inlineStr">
        <is>
          <t>060807</t>
        </is>
      </c>
      <c r="B1104" t="inlineStr">
        <is>
          <t>POMAHUACA</t>
        </is>
      </c>
      <c r="C1104" s="14">
        <f>'Empleo Censo'!G1104-'Empleo Censo'!F1104</f>
        <v/>
      </c>
      <c r="D1104" s="14">
        <f>'Empleo Censo'!F1104</f>
        <v/>
      </c>
      <c r="E1104" s="14">
        <f>'Empleo Censo'!H1104</f>
        <v/>
      </c>
      <c r="F1104" s="14">
        <f>'Empleo Censo'!I1104</f>
        <v/>
      </c>
      <c r="G1104" s="14">
        <f>'Empleo Censo'!J1104+'Empleo Censo'!K1104</f>
        <v/>
      </c>
      <c r="H1104" s="14">
        <f>'Empleo Censo'!L1104</f>
        <v/>
      </c>
      <c r="I1104" s="14">
        <f>'Empleo Censo'!M1104</f>
        <v/>
      </c>
      <c r="J1104" s="14">
        <f>SUM('Empleo Censo'!N1104:AA1104)</f>
        <v/>
      </c>
      <c r="K1104" s="14">
        <f>SUM(C1104:J1104)</f>
        <v/>
      </c>
      <c r="L1104" s="15">
        <f>SUMPRODUCT(C1104:J1104,Factores!$B$3:$I$3)</f>
        <v/>
      </c>
      <c r="M1104" s="16">
        <f>'Empleo Censo'!E1104</f>
        <v/>
      </c>
      <c r="N1104" s="17">
        <f>IF(M1104&gt;0,L1104,Factores!$B$7)</f>
        <v/>
      </c>
      <c r="O1104">
        <f>IF(M1104&gt;0,"OK","sin PEA -&gt; peor")</f>
        <v/>
      </c>
    </row>
    <row r="1105">
      <c r="A1105" t="inlineStr">
        <is>
          <t>090302</t>
        </is>
      </c>
      <c r="B1105" t="inlineStr">
        <is>
          <t>ANCHONGA</t>
        </is>
      </c>
      <c r="C1105" s="14">
        <f>'Empleo Censo'!G1105-'Empleo Censo'!F1105</f>
        <v/>
      </c>
      <c r="D1105" s="14">
        <f>'Empleo Censo'!F1105</f>
        <v/>
      </c>
      <c r="E1105" s="14">
        <f>'Empleo Censo'!H1105</f>
        <v/>
      </c>
      <c r="F1105" s="14">
        <f>'Empleo Censo'!I1105</f>
        <v/>
      </c>
      <c r="G1105" s="14">
        <f>'Empleo Censo'!J1105+'Empleo Censo'!K1105</f>
        <v/>
      </c>
      <c r="H1105" s="14">
        <f>'Empleo Censo'!L1105</f>
        <v/>
      </c>
      <c r="I1105" s="14">
        <f>'Empleo Censo'!M1105</f>
        <v/>
      </c>
      <c r="J1105" s="14">
        <f>SUM('Empleo Censo'!N1105:AA1105)</f>
        <v/>
      </c>
      <c r="K1105" s="14">
        <f>SUM(C1105:J1105)</f>
        <v/>
      </c>
      <c r="L1105" s="15">
        <f>SUMPRODUCT(C1105:J1105,Factores!$B$3:$I$3)</f>
        <v/>
      </c>
      <c r="M1105" s="16">
        <f>'Empleo Censo'!E1105</f>
        <v/>
      </c>
      <c r="N1105" s="17">
        <f>IF(M1105&gt;0,L1105,Factores!$B$7)</f>
        <v/>
      </c>
      <c r="O1105">
        <f>IF(M1105&gt;0,"OK","sin PEA -&gt; peor")</f>
        <v/>
      </c>
    </row>
    <row r="1106">
      <c r="A1106" t="inlineStr">
        <is>
          <t>051104</t>
        </is>
      </c>
      <c r="B1106" t="inlineStr">
        <is>
          <t>CONCEPCION</t>
        </is>
      </c>
      <c r="C1106" s="14">
        <f>'Empleo Censo'!G1106-'Empleo Censo'!F1106</f>
        <v/>
      </c>
      <c r="D1106" s="14">
        <f>'Empleo Censo'!F1106</f>
        <v/>
      </c>
      <c r="E1106" s="14">
        <f>'Empleo Censo'!H1106</f>
        <v/>
      </c>
      <c r="F1106" s="14">
        <f>'Empleo Censo'!I1106</f>
        <v/>
      </c>
      <c r="G1106" s="14">
        <f>'Empleo Censo'!J1106+'Empleo Censo'!K1106</f>
        <v/>
      </c>
      <c r="H1106" s="14">
        <f>'Empleo Censo'!L1106</f>
        <v/>
      </c>
      <c r="I1106" s="14">
        <f>'Empleo Censo'!M1106</f>
        <v/>
      </c>
      <c r="J1106" s="14">
        <f>SUM('Empleo Censo'!N1106:AA1106)</f>
        <v/>
      </c>
      <c r="K1106" s="14">
        <f>SUM(C1106:J1106)</f>
        <v/>
      </c>
      <c r="L1106" s="15">
        <f>SUMPRODUCT(C1106:J1106,Factores!$B$3:$I$3)</f>
        <v/>
      </c>
      <c r="M1106" s="16">
        <f>'Empleo Censo'!E1106</f>
        <v/>
      </c>
      <c r="N1106" s="17">
        <f>IF(M1106&gt;0,L1106,Factores!$B$7)</f>
        <v/>
      </c>
      <c r="O1106">
        <f>IF(M1106&gt;0,"OK","sin PEA -&gt; peor")</f>
        <v/>
      </c>
    </row>
    <row r="1107">
      <c r="A1107" t="inlineStr">
        <is>
          <t>030109</t>
        </is>
      </c>
      <c r="B1107" t="inlineStr">
        <is>
          <t>TAMBURCO</t>
        </is>
      </c>
      <c r="C1107" s="14">
        <f>'Empleo Censo'!G1107-'Empleo Censo'!F1107</f>
        <v/>
      </c>
      <c r="D1107" s="14">
        <f>'Empleo Censo'!F1107</f>
        <v/>
      </c>
      <c r="E1107" s="14">
        <f>'Empleo Censo'!H1107</f>
        <v/>
      </c>
      <c r="F1107" s="14">
        <f>'Empleo Censo'!I1107</f>
        <v/>
      </c>
      <c r="G1107" s="14">
        <f>'Empleo Censo'!J1107+'Empleo Censo'!K1107</f>
        <v/>
      </c>
      <c r="H1107" s="14">
        <f>'Empleo Censo'!L1107</f>
        <v/>
      </c>
      <c r="I1107" s="14">
        <f>'Empleo Censo'!M1107</f>
        <v/>
      </c>
      <c r="J1107" s="14">
        <f>SUM('Empleo Censo'!N1107:AA1107)</f>
        <v/>
      </c>
      <c r="K1107" s="14">
        <f>SUM(C1107:J1107)</f>
        <v/>
      </c>
      <c r="L1107" s="15">
        <f>SUMPRODUCT(C1107:J1107,Factores!$B$3:$I$3)</f>
        <v/>
      </c>
      <c r="M1107" s="16">
        <f>'Empleo Censo'!E1107</f>
        <v/>
      </c>
      <c r="N1107" s="17">
        <f>IF(M1107&gt;0,L1107,Factores!$B$7)</f>
        <v/>
      </c>
      <c r="O1107">
        <f>IF(M1107&gt;0,"OK","sin PEA -&gt; peor")</f>
        <v/>
      </c>
    </row>
    <row r="1108">
      <c r="A1108" t="inlineStr">
        <is>
          <t>030105</t>
        </is>
      </c>
      <c r="B1108" t="inlineStr">
        <is>
          <t>HUANIPACA</t>
        </is>
      </c>
      <c r="C1108" s="14">
        <f>'Empleo Censo'!G1108-'Empleo Censo'!F1108</f>
        <v/>
      </c>
      <c r="D1108" s="14">
        <f>'Empleo Censo'!F1108</f>
        <v/>
      </c>
      <c r="E1108" s="14">
        <f>'Empleo Censo'!H1108</f>
        <v/>
      </c>
      <c r="F1108" s="14">
        <f>'Empleo Censo'!I1108</f>
        <v/>
      </c>
      <c r="G1108" s="14">
        <f>'Empleo Censo'!J1108+'Empleo Censo'!K1108</f>
        <v/>
      </c>
      <c r="H1108" s="14">
        <f>'Empleo Censo'!L1108</f>
        <v/>
      </c>
      <c r="I1108" s="14">
        <f>'Empleo Censo'!M1108</f>
        <v/>
      </c>
      <c r="J1108" s="14">
        <f>SUM('Empleo Censo'!N1108:AA1108)</f>
        <v/>
      </c>
      <c r="K1108" s="14">
        <f>SUM(C1108:J1108)</f>
        <v/>
      </c>
      <c r="L1108" s="15">
        <f>SUMPRODUCT(C1108:J1108,Factores!$B$3:$I$3)</f>
        <v/>
      </c>
      <c r="M1108" s="16">
        <f>'Empleo Censo'!E1108</f>
        <v/>
      </c>
      <c r="N1108" s="17">
        <f>IF(M1108&gt;0,L1108,Factores!$B$7)</f>
        <v/>
      </c>
      <c r="O1108">
        <f>IF(M1108&gt;0,"OK","sin PEA -&gt; peor")</f>
        <v/>
      </c>
    </row>
    <row r="1109">
      <c r="A1109" t="inlineStr">
        <is>
          <t>060810</t>
        </is>
      </c>
      <c r="B1109" t="inlineStr">
        <is>
          <t>SAN FELIPE</t>
        </is>
      </c>
      <c r="C1109" s="14">
        <f>'Empleo Censo'!G1109-'Empleo Censo'!F1109</f>
        <v/>
      </c>
      <c r="D1109" s="14">
        <f>'Empleo Censo'!F1109</f>
        <v/>
      </c>
      <c r="E1109" s="14">
        <f>'Empleo Censo'!H1109</f>
        <v/>
      </c>
      <c r="F1109" s="14">
        <f>'Empleo Censo'!I1109</f>
        <v/>
      </c>
      <c r="G1109" s="14">
        <f>'Empleo Censo'!J1109+'Empleo Censo'!K1109</f>
        <v/>
      </c>
      <c r="H1109" s="14">
        <f>'Empleo Censo'!L1109</f>
        <v/>
      </c>
      <c r="I1109" s="14">
        <f>'Empleo Censo'!M1109</f>
        <v/>
      </c>
      <c r="J1109" s="14">
        <f>SUM('Empleo Censo'!N1109:AA1109)</f>
        <v/>
      </c>
      <c r="K1109" s="14">
        <f>SUM(C1109:J1109)</f>
        <v/>
      </c>
      <c r="L1109" s="15">
        <f>SUMPRODUCT(C1109:J1109,Factores!$B$3:$I$3)</f>
        <v/>
      </c>
      <c r="M1109" s="16">
        <f>'Empleo Censo'!E1109</f>
        <v/>
      </c>
      <c r="N1109" s="17">
        <f>IF(M1109&gt;0,L1109,Factores!$B$7)</f>
        <v/>
      </c>
      <c r="O1109">
        <f>IF(M1109&gt;0,"OK","sin PEA -&gt; peor")</f>
        <v/>
      </c>
    </row>
    <row r="1110">
      <c r="A1110" t="inlineStr">
        <is>
          <t>081209</t>
        </is>
      </c>
      <c r="B1110" t="inlineStr">
        <is>
          <t>MARCAPATA</t>
        </is>
      </c>
      <c r="C1110" s="14">
        <f>'Empleo Censo'!G1110-'Empleo Censo'!F1110</f>
        <v/>
      </c>
      <c r="D1110" s="14">
        <f>'Empleo Censo'!F1110</f>
        <v/>
      </c>
      <c r="E1110" s="14">
        <f>'Empleo Censo'!H1110</f>
        <v/>
      </c>
      <c r="F1110" s="14">
        <f>'Empleo Censo'!I1110</f>
        <v/>
      </c>
      <c r="G1110" s="14">
        <f>'Empleo Censo'!J1110+'Empleo Censo'!K1110</f>
        <v/>
      </c>
      <c r="H1110" s="14">
        <f>'Empleo Censo'!L1110</f>
        <v/>
      </c>
      <c r="I1110" s="14">
        <f>'Empleo Censo'!M1110</f>
        <v/>
      </c>
      <c r="J1110" s="14">
        <f>SUM('Empleo Censo'!N1110:AA1110)</f>
        <v/>
      </c>
      <c r="K1110" s="14">
        <f>SUM(C1110:J1110)</f>
        <v/>
      </c>
      <c r="L1110" s="15">
        <f>SUMPRODUCT(C1110:J1110,Factores!$B$3:$I$3)</f>
        <v/>
      </c>
      <c r="M1110" s="16">
        <f>'Empleo Censo'!E1110</f>
        <v/>
      </c>
      <c r="N1110" s="17">
        <f>IF(M1110&gt;0,L1110,Factores!$B$7)</f>
        <v/>
      </c>
      <c r="O1110">
        <f>IF(M1110&gt;0,"OK","sin PEA -&gt; peor")</f>
        <v/>
      </c>
    </row>
    <row r="1111">
      <c r="A1111" t="inlineStr">
        <is>
          <t>010705</t>
        </is>
      </c>
      <c r="B1111" t="inlineStr">
        <is>
          <t>JAMALCA</t>
        </is>
      </c>
      <c r="C1111" s="14">
        <f>'Empleo Censo'!G1111-'Empleo Censo'!F1111</f>
        <v/>
      </c>
      <c r="D1111" s="14">
        <f>'Empleo Censo'!F1111</f>
        <v/>
      </c>
      <c r="E1111" s="14">
        <f>'Empleo Censo'!H1111</f>
        <v/>
      </c>
      <c r="F1111" s="14">
        <f>'Empleo Censo'!I1111</f>
        <v/>
      </c>
      <c r="G1111" s="14">
        <f>'Empleo Censo'!J1111+'Empleo Censo'!K1111</f>
        <v/>
      </c>
      <c r="H1111" s="14">
        <f>'Empleo Censo'!L1111</f>
        <v/>
      </c>
      <c r="I1111" s="14">
        <f>'Empleo Censo'!M1111</f>
        <v/>
      </c>
      <c r="J1111" s="14">
        <f>SUM('Empleo Censo'!N1111:AA1111)</f>
        <v/>
      </c>
      <c r="K1111" s="14">
        <f>SUM(C1111:J1111)</f>
        <v/>
      </c>
      <c r="L1111" s="15">
        <f>SUMPRODUCT(C1111:J1111,Factores!$B$3:$I$3)</f>
        <v/>
      </c>
      <c r="M1111" s="16">
        <f>'Empleo Censo'!E1111</f>
        <v/>
      </c>
      <c r="N1111" s="17">
        <f>IF(M1111&gt;0,L1111,Factores!$B$7)</f>
        <v/>
      </c>
      <c r="O1111">
        <f>IF(M1111&gt;0,"OK","sin PEA -&gt; peor")</f>
        <v/>
      </c>
    </row>
    <row r="1112">
      <c r="A1112" t="inlineStr">
        <is>
          <t>090205</t>
        </is>
      </c>
      <c r="B1112" t="inlineStr">
        <is>
          <t>MARCAS</t>
        </is>
      </c>
      <c r="C1112" s="14">
        <f>'Empleo Censo'!G1112-'Empleo Censo'!F1112</f>
        <v/>
      </c>
      <c r="D1112" s="14">
        <f>'Empleo Censo'!F1112</f>
        <v/>
      </c>
      <c r="E1112" s="14">
        <f>'Empleo Censo'!H1112</f>
        <v/>
      </c>
      <c r="F1112" s="14">
        <f>'Empleo Censo'!I1112</f>
        <v/>
      </c>
      <c r="G1112" s="14">
        <f>'Empleo Censo'!J1112+'Empleo Censo'!K1112</f>
        <v/>
      </c>
      <c r="H1112" s="14">
        <f>'Empleo Censo'!L1112</f>
        <v/>
      </c>
      <c r="I1112" s="14">
        <f>'Empleo Censo'!M1112</f>
        <v/>
      </c>
      <c r="J1112" s="14">
        <f>SUM('Empleo Censo'!N1112:AA1112)</f>
        <v/>
      </c>
      <c r="K1112" s="14">
        <f>SUM(C1112:J1112)</f>
        <v/>
      </c>
      <c r="L1112" s="15">
        <f>SUMPRODUCT(C1112:J1112,Factores!$B$3:$I$3)</f>
        <v/>
      </c>
      <c r="M1112" s="16">
        <f>'Empleo Censo'!E1112</f>
        <v/>
      </c>
      <c r="N1112" s="17">
        <f>IF(M1112&gt;0,L1112,Factores!$B$7)</f>
        <v/>
      </c>
      <c r="O1112">
        <f>IF(M1112&gt;0,"OK","sin PEA -&gt; peor")</f>
        <v/>
      </c>
    </row>
    <row r="1113">
      <c r="A1113" t="inlineStr">
        <is>
          <t>050806</t>
        </is>
      </c>
      <c r="B1113" t="inlineStr">
        <is>
          <t>OYOLO</t>
        </is>
      </c>
      <c r="C1113" s="14">
        <f>'Empleo Censo'!G1113-'Empleo Censo'!F1113</f>
        <v/>
      </c>
      <c r="D1113" s="14">
        <f>'Empleo Censo'!F1113</f>
        <v/>
      </c>
      <c r="E1113" s="14">
        <f>'Empleo Censo'!H1113</f>
        <v/>
      </c>
      <c r="F1113" s="14">
        <f>'Empleo Censo'!I1113</f>
        <v/>
      </c>
      <c r="G1113" s="14">
        <f>'Empleo Censo'!J1113+'Empleo Censo'!K1113</f>
        <v/>
      </c>
      <c r="H1113" s="14">
        <f>'Empleo Censo'!L1113</f>
        <v/>
      </c>
      <c r="I1113" s="14">
        <f>'Empleo Censo'!M1113</f>
        <v/>
      </c>
      <c r="J1113" s="14">
        <f>SUM('Empleo Censo'!N1113:AA1113)</f>
        <v/>
      </c>
      <c r="K1113" s="14">
        <f>SUM(C1113:J1113)</f>
        <v/>
      </c>
      <c r="L1113" s="15">
        <f>SUMPRODUCT(C1113:J1113,Factores!$B$3:$I$3)</f>
        <v/>
      </c>
      <c r="M1113" s="16">
        <f>'Empleo Censo'!E1113</f>
        <v/>
      </c>
      <c r="N1113" s="17">
        <f>IF(M1113&gt;0,L1113,Factores!$B$7)</f>
        <v/>
      </c>
      <c r="O1113">
        <f>IF(M1113&gt;0,"OK","sin PEA -&gt; peor")</f>
        <v/>
      </c>
    </row>
    <row r="1114">
      <c r="A1114" t="inlineStr">
        <is>
          <t>060305</t>
        </is>
      </c>
      <c r="B1114" t="inlineStr">
        <is>
          <t>JORGE CHAVEZ</t>
        </is>
      </c>
      <c r="C1114" s="14">
        <f>'Empleo Censo'!G1114-'Empleo Censo'!F1114</f>
        <v/>
      </c>
      <c r="D1114" s="14">
        <f>'Empleo Censo'!F1114</f>
        <v/>
      </c>
      <c r="E1114" s="14">
        <f>'Empleo Censo'!H1114</f>
        <v/>
      </c>
      <c r="F1114" s="14">
        <f>'Empleo Censo'!I1114</f>
        <v/>
      </c>
      <c r="G1114" s="14">
        <f>'Empleo Censo'!J1114+'Empleo Censo'!K1114</f>
        <v/>
      </c>
      <c r="H1114" s="14">
        <f>'Empleo Censo'!L1114</f>
        <v/>
      </c>
      <c r="I1114" s="14">
        <f>'Empleo Censo'!M1114</f>
        <v/>
      </c>
      <c r="J1114" s="14">
        <f>SUM('Empleo Censo'!N1114:AA1114)</f>
        <v/>
      </c>
      <c r="K1114" s="14">
        <f>SUM(C1114:J1114)</f>
        <v/>
      </c>
      <c r="L1114" s="15">
        <f>SUMPRODUCT(C1114:J1114,Factores!$B$3:$I$3)</f>
        <v/>
      </c>
      <c r="M1114" s="16">
        <f>'Empleo Censo'!E1114</f>
        <v/>
      </c>
      <c r="N1114" s="17">
        <f>IF(M1114&gt;0,L1114,Factores!$B$7)</f>
        <v/>
      </c>
      <c r="O1114">
        <f>IF(M1114&gt;0,"OK","sin PEA -&gt; peor")</f>
        <v/>
      </c>
    </row>
    <row r="1115">
      <c r="A1115" t="inlineStr">
        <is>
          <t>060805</t>
        </is>
      </c>
      <c r="B1115" t="inlineStr">
        <is>
          <t>HUABAL</t>
        </is>
      </c>
      <c r="C1115" s="14">
        <f>'Empleo Censo'!G1115-'Empleo Censo'!F1115</f>
        <v/>
      </c>
      <c r="D1115" s="14">
        <f>'Empleo Censo'!F1115</f>
        <v/>
      </c>
      <c r="E1115" s="14">
        <f>'Empleo Censo'!H1115</f>
        <v/>
      </c>
      <c r="F1115" s="14">
        <f>'Empleo Censo'!I1115</f>
        <v/>
      </c>
      <c r="G1115" s="14">
        <f>'Empleo Censo'!J1115+'Empleo Censo'!K1115</f>
        <v/>
      </c>
      <c r="H1115" s="14">
        <f>'Empleo Censo'!L1115</f>
        <v/>
      </c>
      <c r="I1115" s="14">
        <f>'Empleo Censo'!M1115</f>
        <v/>
      </c>
      <c r="J1115" s="14">
        <f>SUM('Empleo Censo'!N1115:AA1115)</f>
        <v/>
      </c>
      <c r="K1115" s="14">
        <f>SUM(C1115:J1115)</f>
        <v/>
      </c>
      <c r="L1115" s="15">
        <f>SUMPRODUCT(C1115:J1115,Factores!$B$3:$I$3)</f>
        <v/>
      </c>
      <c r="M1115" s="16">
        <f>'Empleo Censo'!E1115</f>
        <v/>
      </c>
      <c r="N1115" s="17">
        <f>IF(M1115&gt;0,L1115,Factores!$B$7)</f>
        <v/>
      </c>
      <c r="O1115">
        <f>IF(M1115&gt;0,"OK","sin PEA -&gt; peor")</f>
        <v/>
      </c>
    </row>
    <row r="1116">
      <c r="A1116" t="inlineStr">
        <is>
          <t>050101</t>
        </is>
      </c>
      <c r="B1116" t="inlineStr">
        <is>
          <t>AYACUCHO</t>
        </is>
      </c>
      <c r="C1116" s="14">
        <f>'Empleo Censo'!G1116-'Empleo Censo'!F1116</f>
        <v/>
      </c>
      <c r="D1116" s="14">
        <f>'Empleo Censo'!F1116</f>
        <v/>
      </c>
      <c r="E1116" s="14">
        <f>'Empleo Censo'!H1116</f>
        <v/>
      </c>
      <c r="F1116" s="14">
        <f>'Empleo Censo'!I1116</f>
        <v/>
      </c>
      <c r="G1116" s="14">
        <f>'Empleo Censo'!J1116+'Empleo Censo'!K1116</f>
        <v/>
      </c>
      <c r="H1116" s="14">
        <f>'Empleo Censo'!L1116</f>
        <v/>
      </c>
      <c r="I1116" s="14">
        <f>'Empleo Censo'!M1116</f>
        <v/>
      </c>
      <c r="J1116" s="14">
        <f>SUM('Empleo Censo'!N1116:AA1116)</f>
        <v/>
      </c>
      <c r="K1116" s="14">
        <f>SUM(C1116:J1116)</f>
        <v/>
      </c>
      <c r="L1116" s="15">
        <f>SUMPRODUCT(C1116:J1116,Factores!$B$3:$I$3)</f>
        <v/>
      </c>
      <c r="M1116" s="16">
        <f>'Empleo Censo'!E1116</f>
        <v/>
      </c>
      <c r="N1116" s="17">
        <f>IF(M1116&gt;0,L1116,Factores!$B$7)</f>
        <v/>
      </c>
      <c r="O1116">
        <f>IF(M1116&gt;0,"OK","sin PEA -&gt; peor")</f>
        <v/>
      </c>
    </row>
    <row r="1117">
      <c r="A1117" t="inlineStr">
        <is>
          <t>060907</t>
        </is>
      </c>
      <c r="B1117" t="inlineStr">
        <is>
          <t>TABACONAS</t>
        </is>
      </c>
      <c r="C1117" s="14">
        <f>'Empleo Censo'!G1117-'Empleo Censo'!F1117</f>
        <v/>
      </c>
      <c r="D1117" s="14">
        <f>'Empleo Censo'!F1117</f>
        <v/>
      </c>
      <c r="E1117" s="14">
        <f>'Empleo Censo'!H1117</f>
        <v/>
      </c>
      <c r="F1117" s="14">
        <f>'Empleo Censo'!I1117</f>
        <v/>
      </c>
      <c r="G1117" s="14">
        <f>'Empleo Censo'!J1117+'Empleo Censo'!K1117</f>
        <v/>
      </c>
      <c r="H1117" s="14">
        <f>'Empleo Censo'!L1117</f>
        <v/>
      </c>
      <c r="I1117" s="14">
        <f>'Empleo Censo'!M1117</f>
        <v/>
      </c>
      <c r="J1117" s="14">
        <f>SUM('Empleo Censo'!N1117:AA1117)</f>
        <v/>
      </c>
      <c r="K1117" s="14">
        <f>SUM(C1117:J1117)</f>
        <v/>
      </c>
      <c r="L1117" s="15">
        <f>SUMPRODUCT(C1117:J1117,Factores!$B$3:$I$3)</f>
        <v/>
      </c>
      <c r="M1117" s="16">
        <f>'Empleo Censo'!E1117</f>
        <v/>
      </c>
      <c r="N1117" s="17">
        <f>IF(M1117&gt;0,L1117,Factores!$B$7)</f>
        <v/>
      </c>
      <c r="O1117">
        <f>IF(M1117&gt;0,"OK","sin PEA -&gt; peor")</f>
        <v/>
      </c>
    </row>
    <row r="1118">
      <c r="A1118" t="inlineStr">
        <is>
          <t>090506</t>
        </is>
      </c>
      <c r="B1118" t="inlineStr">
        <is>
          <t>LOCROJA</t>
        </is>
      </c>
      <c r="C1118" s="14">
        <f>'Empleo Censo'!G1118-'Empleo Censo'!F1118</f>
        <v/>
      </c>
      <c r="D1118" s="14">
        <f>'Empleo Censo'!F1118</f>
        <v/>
      </c>
      <c r="E1118" s="14">
        <f>'Empleo Censo'!H1118</f>
        <v/>
      </c>
      <c r="F1118" s="14">
        <f>'Empleo Censo'!I1118</f>
        <v/>
      </c>
      <c r="G1118" s="14">
        <f>'Empleo Censo'!J1118+'Empleo Censo'!K1118</f>
        <v/>
      </c>
      <c r="H1118" s="14">
        <f>'Empleo Censo'!L1118</f>
        <v/>
      </c>
      <c r="I1118" s="14">
        <f>'Empleo Censo'!M1118</f>
        <v/>
      </c>
      <c r="J1118" s="14">
        <f>SUM('Empleo Censo'!N1118:AA1118)</f>
        <v/>
      </c>
      <c r="K1118" s="14">
        <f>SUM(C1118:J1118)</f>
        <v/>
      </c>
      <c r="L1118" s="15">
        <f>SUMPRODUCT(C1118:J1118,Factores!$B$3:$I$3)</f>
        <v/>
      </c>
      <c r="M1118" s="16">
        <f>'Empleo Censo'!E1118</f>
        <v/>
      </c>
      <c r="N1118" s="17">
        <f>IF(M1118&gt;0,L1118,Factores!$B$7)</f>
        <v/>
      </c>
      <c r="O1118">
        <f>IF(M1118&gt;0,"OK","sin PEA -&gt; peor")</f>
        <v/>
      </c>
    </row>
    <row r="1119">
      <c r="A1119" t="inlineStr">
        <is>
          <t>090720</t>
        </is>
      </c>
      <c r="B1119" t="inlineStr">
        <is>
          <t>ANDAYMARCA</t>
        </is>
      </c>
      <c r="C1119" s="14">
        <f>'Empleo Censo'!G1119-'Empleo Censo'!F1119</f>
        <v/>
      </c>
      <c r="D1119" s="14">
        <f>'Empleo Censo'!F1119</f>
        <v/>
      </c>
      <c r="E1119" s="14">
        <f>'Empleo Censo'!H1119</f>
        <v/>
      </c>
      <c r="F1119" s="14">
        <f>'Empleo Censo'!I1119</f>
        <v/>
      </c>
      <c r="G1119" s="14">
        <f>'Empleo Censo'!J1119+'Empleo Censo'!K1119</f>
        <v/>
      </c>
      <c r="H1119" s="14">
        <f>'Empleo Censo'!L1119</f>
        <v/>
      </c>
      <c r="I1119" s="14">
        <f>'Empleo Censo'!M1119</f>
        <v/>
      </c>
      <c r="J1119" s="14">
        <f>SUM('Empleo Censo'!N1119:AA1119)</f>
        <v/>
      </c>
      <c r="K1119" s="14">
        <f>SUM(C1119:J1119)</f>
        <v/>
      </c>
      <c r="L1119" s="15">
        <f>SUMPRODUCT(C1119:J1119,Factores!$B$3:$I$3)</f>
        <v/>
      </c>
      <c r="M1119" s="16">
        <f>'Empleo Censo'!E1119</f>
        <v/>
      </c>
      <c r="N1119" s="17">
        <f>IF(M1119&gt;0,L1119,Factores!$B$7)</f>
        <v/>
      </c>
      <c r="O1119">
        <f>IF(M1119&gt;0,"OK","sin PEA -&gt; peor")</f>
        <v/>
      </c>
    </row>
    <row r="1120">
      <c r="A1120" t="inlineStr">
        <is>
          <t>060302</t>
        </is>
      </c>
      <c r="B1120" t="inlineStr">
        <is>
          <t>CHUMUCH</t>
        </is>
      </c>
      <c r="C1120" s="14">
        <f>'Empleo Censo'!G1120-'Empleo Censo'!F1120</f>
        <v/>
      </c>
      <c r="D1120" s="14">
        <f>'Empleo Censo'!F1120</f>
        <v/>
      </c>
      <c r="E1120" s="14">
        <f>'Empleo Censo'!H1120</f>
        <v/>
      </c>
      <c r="F1120" s="14">
        <f>'Empleo Censo'!I1120</f>
        <v/>
      </c>
      <c r="G1120" s="14">
        <f>'Empleo Censo'!J1120+'Empleo Censo'!K1120</f>
        <v/>
      </c>
      <c r="H1120" s="14">
        <f>'Empleo Censo'!L1120</f>
        <v/>
      </c>
      <c r="I1120" s="14">
        <f>'Empleo Censo'!M1120</f>
        <v/>
      </c>
      <c r="J1120" s="14">
        <f>SUM('Empleo Censo'!N1120:AA1120)</f>
        <v/>
      </c>
      <c r="K1120" s="14">
        <f>SUM(C1120:J1120)</f>
        <v/>
      </c>
      <c r="L1120" s="15">
        <f>SUMPRODUCT(C1120:J1120,Factores!$B$3:$I$3)</f>
        <v/>
      </c>
      <c r="M1120" s="16">
        <f>'Empleo Censo'!E1120</f>
        <v/>
      </c>
      <c r="N1120" s="17">
        <f>IF(M1120&gt;0,L1120,Factores!$B$7)</f>
        <v/>
      </c>
      <c r="O1120">
        <f>IF(M1120&gt;0,"OK","sin PEA -&gt; peor")</f>
        <v/>
      </c>
    </row>
    <row r="1121">
      <c r="A1121" t="inlineStr">
        <is>
          <t>090306</t>
        </is>
      </c>
      <c r="B1121" t="inlineStr">
        <is>
          <t>CONGALLA</t>
        </is>
      </c>
      <c r="C1121" s="14">
        <f>'Empleo Censo'!G1121-'Empleo Censo'!F1121</f>
        <v/>
      </c>
      <c r="D1121" s="14">
        <f>'Empleo Censo'!F1121</f>
        <v/>
      </c>
      <c r="E1121" s="14">
        <f>'Empleo Censo'!H1121</f>
        <v/>
      </c>
      <c r="F1121" s="14">
        <f>'Empleo Censo'!I1121</f>
        <v/>
      </c>
      <c r="G1121" s="14">
        <f>'Empleo Censo'!J1121+'Empleo Censo'!K1121</f>
        <v/>
      </c>
      <c r="H1121" s="14">
        <f>'Empleo Censo'!L1121</f>
        <v/>
      </c>
      <c r="I1121" s="14">
        <f>'Empleo Censo'!M1121</f>
        <v/>
      </c>
      <c r="J1121" s="14">
        <f>SUM('Empleo Censo'!N1121:AA1121)</f>
        <v/>
      </c>
      <c r="K1121" s="14">
        <f>SUM(C1121:J1121)</f>
        <v/>
      </c>
      <c r="L1121" s="15">
        <f>SUMPRODUCT(C1121:J1121,Factores!$B$3:$I$3)</f>
        <v/>
      </c>
      <c r="M1121" s="16">
        <f>'Empleo Censo'!E1121</f>
        <v/>
      </c>
      <c r="N1121" s="17">
        <f>IF(M1121&gt;0,L1121,Factores!$B$7)</f>
        <v/>
      </c>
      <c r="O1121">
        <f>IF(M1121&gt;0,"OK","sin PEA -&gt; peor")</f>
        <v/>
      </c>
    </row>
    <row r="1122">
      <c r="A1122" t="inlineStr">
        <is>
          <t>090407</t>
        </is>
      </c>
      <c r="B1122" t="inlineStr">
        <is>
          <t>HUACHOS</t>
        </is>
      </c>
      <c r="C1122" s="14">
        <f>'Empleo Censo'!G1122-'Empleo Censo'!F1122</f>
        <v/>
      </c>
      <c r="D1122" s="14">
        <f>'Empleo Censo'!F1122</f>
        <v/>
      </c>
      <c r="E1122" s="14">
        <f>'Empleo Censo'!H1122</f>
        <v/>
      </c>
      <c r="F1122" s="14">
        <f>'Empleo Censo'!I1122</f>
        <v/>
      </c>
      <c r="G1122" s="14">
        <f>'Empleo Censo'!J1122+'Empleo Censo'!K1122</f>
        <v/>
      </c>
      <c r="H1122" s="14">
        <f>'Empleo Censo'!L1122</f>
        <v/>
      </c>
      <c r="I1122" s="14">
        <f>'Empleo Censo'!M1122</f>
        <v/>
      </c>
      <c r="J1122" s="14">
        <f>SUM('Empleo Censo'!N1122:AA1122)</f>
        <v/>
      </c>
      <c r="K1122" s="14">
        <f>SUM(C1122:J1122)</f>
        <v/>
      </c>
      <c r="L1122" s="15">
        <f>SUMPRODUCT(C1122:J1122,Factores!$B$3:$I$3)</f>
        <v/>
      </c>
      <c r="M1122" s="16">
        <f>'Empleo Censo'!E1122</f>
        <v/>
      </c>
      <c r="N1122" s="17">
        <f>IF(M1122&gt;0,L1122,Factores!$B$7)</f>
        <v/>
      </c>
      <c r="O1122">
        <f>IF(M1122&gt;0,"OK","sin PEA -&gt; peor")</f>
        <v/>
      </c>
    </row>
    <row r="1123">
      <c r="A1123" t="inlineStr">
        <is>
          <t>050708</t>
        </is>
      </c>
      <c r="B1123" t="inlineStr">
        <is>
          <t>UPAHUACHO</t>
        </is>
      </c>
      <c r="C1123" s="14">
        <f>'Empleo Censo'!G1123-'Empleo Censo'!F1123</f>
        <v/>
      </c>
      <c r="D1123" s="14">
        <f>'Empleo Censo'!F1123</f>
        <v/>
      </c>
      <c r="E1123" s="14">
        <f>'Empleo Censo'!H1123</f>
        <v/>
      </c>
      <c r="F1123" s="14">
        <f>'Empleo Censo'!I1123</f>
        <v/>
      </c>
      <c r="G1123" s="14">
        <f>'Empleo Censo'!J1123+'Empleo Censo'!K1123</f>
        <v/>
      </c>
      <c r="H1123" s="14">
        <f>'Empleo Censo'!L1123</f>
        <v/>
      </c>
      <c r="I1123" s="14">
        <f>'Empleo Censo'!M1123</f>
        <v/>
      </c>
      <c r="J1123" s="14">
        <f>SUM('Empleo Censo'!N1123:AA1123)</f>
        <v/>
      </c>
      <c r="K1123" s="14">
        <f>SUM(C1123:J1123)</f>
        <v/>
      </c>
      <c r="L1123" s="15">
        <f>SUMPRODUCT(C1123:J1123,Factores!$B$3:$I$3)</f>
        <v/>
      </c>
      <c r="M1123" s="16">
        <f>'Empleo Censo'!E1123</f>
        <v/>
      </c>
      <c r="N1123" s="17">
        <f>IF(M1123&gt;0,L1123,Factores!$B$7)</f>
        <v/>
      </c>
      <c r="O1123">
        <f>IF(M1123&gt;0,"OK","sin PEA -&gt; peor")</f>
        <v/>
      </c>
    </row>
    <row r="1124">
      <c r="A1124" t="inlineStr">
        <is>
          <t>090312</t>
        </is>
      </c>
      <c r="B1124" t="inlineStr">
        <is>
          <t>SECCLLA</t>
        </is>
      </c>
      <c r="C1124" s="14">
        <f>'Empleo Censo'!G1124-'Empleo Censo'!F1124</f>
        <v/>
      </c>
      <c r="D1124" s="14">
        <f>'Empleo Censo'!F1124</f>
        <v/>
      </c>
      <c r="E1124" s="14">
        <f>'Empleo Censo'!H1124</f>
        <v/>
      </c>
      <c r="F1124" s="14">
        <f>'Empleo Censo'!I1124</f>
        <v/>
      </c>
      <c r="G1124" s="14">
        <f>'Empleo Censo'!J1124+'Empleo Censo'!K1124</f>
        <v/>
      </c>
      <c r="H1124" s="14">
        <f>'Empleo Censo'!L1124</f>
        <v/>
      </c>
      <c r="I1124" s="14">
        <f>'Empleo Censo'!M1124</f>
        <v/>
      </c>
      <c r="J1124" s="14">
        <f>SUM('Empleo Censo'!N1124:AA1124)</f>
        <v/>
      </c>
      <c r="K1124" s="14">
        <f>SUM(C1124:J1124)</f>
        <v/>
      </c>
      <c r="L1124" s="15">
        <f>SUMPRODUCT(C1124:J1124,Factores!$B$3:$I$3)</f>
        <v/>
      </c>
      <c r="M1124" s="16">
        <f>'Empleo Censo'!E1124</f>
        <v/>
      </c>
      <c r="N1124" s="17">
        <f>IF(M1124&gt;0,L1124,Factores!$B$7)</f>
        <v/>
      </c>
      <c r="O1124">
        <f>IF(M1124&gt;0,"OK","sin PEA -&gt; peor")</f>
        <v/>
      </c>
    </row>
    <row r="1125">
      <c r="A1125" t="inlineStr">
        <is>
          <t>021509</t>
        </is>
      </c>
      <c r="B1125" t="inlineStr">
        <is>
          <t>PAMPAS</t>
        </is>
      </c>
      <c r="C1125" s="14">
        <f>'Empleo Censo'!G1125-'Empleo Censo'!F1125</f>
        <v/>
      </c>
      <c r="D1125" s="14">
        <f>'Empleo Censo'!F1125</f>
        <v/>
      </c>
      <c r="E1125" s="14">
        <f>'Empleo Censo'!H1125</f>
        <v/>
      </c>
      <c r="F1125" s="14">
        <f>'Empleo Censo'!I1125</f>
        <v/>
      </c>
      <c r="G1125" s="14">
        <f>'Empleo Censo'!J1125+'Empleo Censo'!K1125</f>
        <v/>
      </c>
      <c r="H1125" s="14">
        <f>'Empleo Censo'!L1125</f>
        <v/>
      </c>
      <c r="I1125" s="14">
        <f>'Empleo Censo'!M1125</f>
        <v/>
      </c>
      <c r="J1125" s="14">
        <f>SUM('Empleo Censo'!N1125:AA1125)</f>
        <v/>
      </c>
      <c r="K1125" s="14">
        <f>SUM(C1125:J1125)</f>
        <v/>
      </c>
      <c r="L1125" s="15">
        <f>SUMPRODUCT(C1125:J1125,Factores!$B$3:$I$3)</f>
        <v/>
      </c>
      <c r="M1125" s="16">
        <f>'Empleo Censo'!E1125</f>
        <v/>
      </c>
      <c r="N1125" s="17">
        <f>IF(M1125&gt;0,L1125,Factores!$B$7)</f>
        <v/>
      </c>
      <c r="O1125">
        <f>IF(M1125&gt;0,"OK","sin PEA -&gt; peor")</f>
        <v/>
      </c>
    </row>
    <row r="1126">
      <c r="A1126" t="inlineStr">
        <is>
          <t>090722</t>
        </is>
      </c>
      <c r="B1126" t="inlineStr">
        <is>
          <t>PICHOS</t>
        </is>
      </c>
      <c r="C1126" s="14">
        <f>'Empleo Censo'!G1126-'Empleo Censo'!F1126</f>
        <v/>
      </c>
      <c r="D1126" s="14">
        <f>'Empleo Censo'!F1126</f>
        <v/>
      </c>
      <c r="E1126" s="14">
        <f>'Empleo Censo'!H1126</f>
        <v/>
      </c>
      <c r="F1126" s="14">
        <f>'Empleo Censo'!I1126</f>
        <v/>
      </c>
      <c r="G1126" s="14">
        <f>'Empleo Censo'!J1126+'Empleo Censo'!K1126</f>
        <v/>
      </c>
      <c r="H1126" s="14">
        <f>'Empleo Censo'!L1126</f>
        <v/>
      </c>
      <c r="I1126" s="14">
        <f>'Empleo Censo'!M1126</f>
        <v/>
      </c>
      <c r="J1126" s="14">
        <f>SUM('Empleo Censo'!N1126:AA1126)</f>
        <v/>
      </c>
      <c r="K1126" s="14">
        <f>SUM(C1126:J1126)</f>
        <v/>
      </c>
      <c r="L1126" s="15">
        <f>SUMPRODUCT(C1126:J1126,Factores!$B$3:$I$3)</f>
        <v/>
      </c>
      <c r="M1126" s="16">
        <f>'Empleo Censo'!E1126</f>
        <v/>
      </c>
      <c r="N1126" s="17">
        <f>IF(M1126&gt;0,L1126,Factores!$B$7)</f>
        <v/>
      </c>
      <c r="O1126">
        <f>IF(M1126&gt;0,"OK","sin PEA -&gt; peor")</f>
        <v/>
      </c>
    </row>
    <row r="1127">
      <c r="A1127" t="inlineStr">
        <is>
          <t>090510</t>
        </is>
      </c>
      <c r="B1127" t="inlineStr">
        <is>
          <t>PACHAMARCA</t>
        </is>
      </c>
      <c r="C1127" s="14">
        <f>'Empleo Censo'!G1127-'Empleo Censo'!F1127</f>
        <v/>
      </c>
      <c r="D1127" s="14">
        <f>'Empleo Censo'!F1127</f>
        <v/>
      </c>
      <c r="E1127" s="14">
        <f>'Empleo Censo'!H1127</f>
        <v/>
      </c>
      <c r="F1127" s="14">
        <f>'Empleo Censo'!I1127</f>
        <v/>
      </c>
      <c r="G1127" s="14">
        <f>'Empleo Censo'!J1127+'Empleo Censo'!K1127</f>
        <v/>
      </c>
      <c r="H1127" s="14">
        <f>'Empleo Censo'!L1127</f>
        <v/>
      </c>
      <c r="I1127" s="14">
        <f>'Empleo Censo'!M1127</f>
        <v/>
      </c>
      <c r="J1127" s="14">
        <f>SUM('Empleo Censo'!N1127:AA1127)</f>
        <v/>
      </c>
      <c r="K1127" s="14">
        <f>SUM(C1127:J1127)</f>
        <v/>
      </c>
      <c r="L1127" s="15">
        <f>SUMPRODUCT(C1127:J1127,Factores!$B$3:$I$3)</f>
        <v/>
      </c>
      <c r="M1127" s="16">
        <f>'Empleo Censo'!E1127</f>
        <v/>
      </c>
      <c r="N1127" s="17">
        <f>IF(M1127&gt;0,L1127,Factores!$B$7)</f>
        <v/>
      </c>
      <c r="O1127">
        <f>IF(M1127&gt;0,"OK","sin PEA -&gt; peor")</f>
        <v/>
      </c>
    </row>
    <row r="1128">
      <c r="A1128" t="inlineStr">
        <is>
          <t>010205</t>
        </is>
      </c>
      <c r="B1128" t="inlineStr">
        <is>
          <t>IMAZA</t>
        </is>
      </c>
      <c r="C1128" s="14">
        <f>'Empleo Censo'!G1128-'Empleo Censo'!F1128</f>
        <v/>
      </c>
      <c r="D1128" s="14">
        <f>'Empleo Censo'!F1128</f>
        <v/>
      </c>
      <c r="E1128" s="14">
        <f>'Empleo Censo'!H1128</f>
        <v/>
      </c>
      <c r="F1128" s="14">
        <f>'Empleo Censo'!I1128</f>
        <v/>
      </c>
      <c r="G1128" s="14">
        <f>'Empleo Censo'!J1128+'Empleo Censo'!K1128</f>
        <v/>
      </c>
      <c r="H1128" s="14">
        <f>'Empleo Censo'!L1128</f>
        <v/>
      </c>
      <c r="I1128" s="14">
        <f>'Empleo Censo'!M1128</f>
        <v/>
      </c>
      <c r="J1128" s="14">
        <f>SUM('Empleo Censo'!N1128:AA1128)</f>
        <v/>
      </c>
      <c r="K1128" s="14">
        <f>SUM(C1128:J1128)</f>
        <v/>
      </c>
      <c r="L1128" s="15">
        <f>SUMPRODUCT(C1128:J1128,Factores!$B$3:$I$3)</f>
        <v/>
      </c>
      <c r="M1128" s="16">
        <f>'Empleo Censo'!E1128</f>
        <v/>
      </c>
      <c r="N1128" s="17">
        <f>IF(M1128&gt;0,L1128,Factores!$B$7)</f>
        <v/>
      </c>
      <c r="O1128">
        <f>IF(M1128&gt;0,"OK","sin PEA -&gt; peor")</f>
        <v/>
      </c>
    </row>
    <row r="1129">
      <c r="A1129" t="inlineStr">
        <is>
          <t>090503</t>
        </is>
      </c>
      <c r="B1129" t="inlineStr">
        <is>
          <t>CHINCHIHUASI</t>
        </is>
      </c>
      <c r="C1129" s="14">
        <f>'Empleo Censo'!G1129-'Empleo Censo'!F1129</f>
        <v/>
      </c>
      <c r="D1129" s="14">
        <f>'Empleo Censo'!F1129</f>
        <v/>
      </c>
      <c r="E1129" s="14">
        <f>'Empleo Censo'!H1129</f>
        <v/>
      </c>
      <c r="F1129" s="14">
        <f>'Empleo Censo'!I1129</f>
        <v/>
      </c>
      <c r="G1129" s="14">
        <f>'Empleo Censo'!J1129+'Empleo Censo'!K1129</f>
        <v/>
      </c>
      <c r="H1129" s="14">
        <f>'Empleo Censo'!L1129</f>
        <v/>
      </c>
      <c r="I1129" s="14">
        <f>'Empleo Censo'!M1129</f>
        <v/>
      </c>
      <c r="J1129" s="14">
        <f>SUM('Empleo Censo'!N1129:AA1129)</f>
        <v/>
      </c>
      <c r="K1129" s="14">
        <f>SUM(C1129:J1129)</f>
        <v/>
      </c>
      <c r="L1129" s="15">
        <f>SUMPRODUCT(C1129:J1129,Factores!$B$3:$I$3)</f>
        <v/>
      </c>
      <c r="M1129" s="16">
        <f>'Empleo Censo'!E1129</f>
        <v/>
      </c>
      <c r="N1129" s="17">
        <f>IF(M1129&gt;0,L1129,Factores!$B$7)</f>
        <v/>
      </c>
      <c r="O1129">
        <f>IF(M1129&gt;0,"OK","sin PEA -&gt; peor")</f>
        <v/>
      </c>
    </row>
    <row r="1130">
      <c r="A1130" t="inlineStr">
        <is>
          <t>020112</t>
        </is>
      </c>
      <c r="B1130" t="inlineStr">
        <is>
          <t>TARICA</t>
        </is>
      </c>
      <c r="C1130" s="14">
        <f>'Empleo Censo'!G1130-'Empleo Censo'!F1130</f>
        <v/>
      </c>
      <c r="D1130" s="14">
        <f>'Empleo Censo'!F1130</f>
        <v/>
      </c>
      <c r="E1130" s="14">
        <f>'Empleo Censo'!H1130</f>
        <v/>
      </c>
      <c r="F1130" s="14">
        <f>'Empleo Censo'!I1130</f>
        <v/>
      </c>
      <c r="G1130" s="14">
        <f>'Empleo Censo'!J1130+'Empleo Censo'!K1130</f>
        <v/>
      </c>
      <c r="H1130" s="14">
        <f>'Empleo Censo'!L1130</f>
        <v/>
      </c>
      <c r="I1130" s="14">
        <f>'Empleo Censo'!M1130</f>
        <v/>
      </c>
      <c r="J1130" s="14">
        <f>SUM('Empleo Censo'!N1130:AA1130)</f>
        <v/>
      </c>
      <c r="K1130" s="14">
        <f>SUM(C1130:J1130)</f>
        <v/>
      </c>
      <c r="L1130" s="15">
        <f>SUMPRODUCT(C1130:J1130,Factores!$B$3:$I$3)</f>
        <v/>
      </c>
      <c r="M1130" s="16">
        <f>'Empleo Censo'!E1130</f>
        <v/>
      </c>
      <c r="N1130" s="17">
        <f>IF(M1130&gt;0,L1130,Factores!$B$7)</f>
        <v/>
      </c>
      <c r="O1130">
        <f>IF(M1130&gt;0,"OK","sin PEA -&gt; peor")</f>
        <v/>
      </c>
    </row>
    <row r="1131">
      <c r="A1131" t="inlineStr">
        <is>
          <t>050702</t>
        </is>
      </c>
      <c r="B1131" t="inlineStr">
        <is>
          <t>CHUMPI</t>
        </is>
      </c>
      <c r="C1131" s="14">
        <f>'Empleo Censo'!G1131-'Empleo Censo'!F1131</f>
        <v/>
      </c>
      <c r="D1131" s="14">
        <f>'Empleo Censo'!F1131</f>
        <v/>
      </c>
      <c r="E1131" s="14">
        <f>'Empleo Censo'!H1131</f>
        <v/>
      </c>
      <c r="F1131" s="14">
        <f>'Empleo Censo'!I1131</f>
        <v/>
      </c>
      <c r="G1131" s="14">
        <f>'Empleo Censo'!J1131+'Empleo Censo'!K1131</f>
        <v/>
      </c>
      <c r="H1131" s="14">
        <f>'Empleo Censo'!L1131</f>
        <v/>
      </c>
      <c r="I1131" s="14">
        <f>'Empleo Censo'!M1131</f>
        <v/>
      </c>
      <c r="J1131" s="14">
        <f>SUM('Empleo Censo'!N1131:AA1131)</f>
        <v/>
      </c>
      <c r="K1131" s="14">
        <f>SUM(C1131:J1131)</f>
        <v/>
      </c>
      <c r="L1131" s="15">
        <f>SUMPRODUCT(C1131:J1131,Factores!$B$3:$I$3)</f>
        <v/>
      </c>
      <c r="M1131" s="16">
        <f>'Empleo Censo'!E1131</f>
        <v/>
      </c>
      <c r="N1131" s="17">
        <f>IF(M1131&gt;0,L1131,Factores!$B$7)</f>
        <v/>
      </c>
      <c r="O1131">
        <f>IF(M1131&gt;0,"OK","sin PEA -&gt; peor")</f>
        <v/>
      </c>
    </row>
    <row r="1132">
      <c r="A1132" t="inlineStr">
        <is>
          <t>090204</t>
        </is>
      </c>
      <c r="B1132" t="inlineStr">
        <is>
          <t>CAJA</t>
        </is>
      </c>
      <c r="C1132" s="14">
        <f>'Empleo Censo'!G1132-'Empleo Censo'!F1132</f>
        <v/>
      </c>
      <c r="D1132" s="14">
        <f>'Empleo Censo'!F1132</f>
        <v/>
      </c>
      <c r="E1132" s="14">
        <f>'Empleo Censo'!H1132</f>
        <v/>
      </c>
      <c r="F1132" s="14">
        <f>'Empleo Censo'!I1132</f>
        <v/>
      </c>
      <c r="G1132" s="14">
        <f>'Empleo Censo'!J1132+'Empleo Censo'!K1132</f>
        <v/>
      </c>
      <c r="H1132" s="14">
        <f>'Empleo Censo'!L1132</f>
        <v/>
      </c>
      <c r="I1132" s="14">
        <f>'Empleo Censo'!M1132</f>
        <v/>
      </c>
      <c r="J1132" s="14">
        <f>SUM('Empleo Censo'!N1132:AA1132)</f>
        <v/>
      </c>
      <c r="K1132" s="14">
        <f>SUM(C1132:J1132)</f>
        <v/>
      </c>
      <c r="L1132" s="15">
        <f>SUMPRODUCT(C1132:J1132,Factores!$B$3:$I$3)</f>
        <v/>
      </c>
      <c r="M1132" s="16">
        <f>'Empleo Censo'!E1132</f>
        <v/>
      </c>
      <c r="N1132" s="17">
        <f>IF(M1132&gt;0,L1132,Factores!$B$7)</f>
        <v/>
      </c>
      <c r="O1132">
        <f>IF(M1132&gt;0,"OK","sin PEA -&gt; peor")</f>
        <v/>
      </c>
    </row>
    <row r="1133">
      <c r="A1133" t="inlineStr">
        <is>
          <t>021301</t>
        </is>
      </c>
      <c r="B1133" t="inlineStr">
        <is>
          <t>PISCOBAMBA</t>
        </is>
      </c>
      <c r="C1133" s="14">
        <f>'Empleo Censo'!G1133-'Empleo Censo'!F1133</f>
        <v/>
      </c>
      <c r="D1133" s="14">
        <f>'Empleo Censo'!F1133</f>
        <v/>
      </c>
      <c r="E1133" s="14">
        <f>'Empleo Censo'!H1133</f>
        <v/>
      </c>
      <c r="F1133" s="14">
        <f>'Empleo Censo'!I1133</f>
        <v/>
      </c>
      <c r="G1133" s="14">
        <f>'Empleo Censo'!J1133+'Empleo Censo'!K1133</f>
        <v/>
      </c>
      <c r="H1133" s="14">
        <f>'Empleo Censo'!L1133</f>
        <v/>
      </c>
      <c r="I1133" s="14">
        <f>'Empleo Censo'!M1133</f>
        <v/>
      </c>
      <c r="J1133" s="14">
        <f>SUM('Empleo Censo'!N1133:AA1133)</f>
        <v/>
      </c>
      <c r="K1133" s="14">
        <f>SUM(C1133:J1133)</f>
        <v/>
      </c>
      <c r="L1133" s="15">
        <f>SUMPRODUCT(C1133:J1133,Factores!$B$3:$I$3)</f>
        <v/>
      </c>
      <c r="M1133" s="16">
        <f>'Empleo Censo'!E1133</f>
        <v/>
      </c>
      <c r="N1133" s="17">
        <f>IF(M1133&gt;0,L1133,Factores!$B$7)</f>
        <v/>
      </c>
      <c r="O1133">
        <f>IF(M1133&gt;0,"OK","sin PEA -&gt; peor")</f>
        <v/>
      </c>
    </row>
    <row r="1134">
      <c r="A1134" t="inlineStr">
        <is>
          <t>050511</t>
        </is>
      </c>
      <c r="B1134" t="inlineStr">
        <is>
          <t>ORONCCOY</t>
        </is>
      </c>
      <c r="C1134" s="14">
        <f>'Empleo Censo'!G1134-'Empleo Censo'!F1134</f>
        <v/>
      </c>
      <c r="D1134" s="14">
        <f>'Empleo Censo'!F1134</f>
        <v/>
      </c>
      <c r="E1134" s="14">
        <f>'Empleo Censo'!H1134</f>
        <v/>
      </c>
      <c r="F1134" s="14">
        <f>'Empleo Censo'!I1134</f>
        <v/>
      </c>
      <c r="G1134" s="14">
        <f>'Empleo Censo'!J1134+'Empleo Censo'!K1134</f>
        <v/>
      </c>
      <c r="H1134" s="14">
        <f>'Empleo Censo'!L1134</f>
        <v/>
      </c>
      <c r="I1134" s="14">
        <f>'Empleo Censo'!M1134</f>
        <v/>
      </c>
      <c r="J1134" s="14">
        <f>SUM('Empleo Censo'!N1134:AA1134)</f>
        <v/>
      </c>
      <c r="K1134" s="14">
        <f>SUM(C1134:J1134)</f>
        <v/>
      </c>
      <c r="L1134" s="15">
        <f>SUMPRODUCT(C1134:J1134,Factores!$B$3:$I$3)</f>
        <v/>
      </c>
      <c r="M1134" s="16">
        <f>'Empleo Censo'!E1134</f>
        <v/>
      </c>
      <c r="N1134" s="17">
        <f>IF(M1134&gt;0,L1134,Factores!$B$7)</f>
        <v/>
      </c>
      <c r="O1134">
        <f>IF(M1134&gt;0,"OK","sin PEA -&gt; peor")</f>
        <v/>
      </c>
    </row>
    <row r="1135">
      <c r="A1135" t="inlineStr">
        <is>
          <t>050513</t>
        </is>
      </c>
      <c r="B1135" t="inlineStr">
        <is>
          <t>RIO MAGDALENA</t>
        </is>
      </c>
      <c r="C1135" s="14">
        <f>'Empleo Censo'!G1135-'Empleo Censo'!F1135</f>
        <v/>
      </c>
      <c r="D1135" s="14">
        <f>'Empleo Censo'!F1135</f>
        <v/>
      </c>
      <c r="E1135" s="14">
        <f>'Empleo Censo'!H1135</f>
        <v/>
      </c>
      <c r="F1135" s="14">
        <f>'Empleo Censo'!I1135</f>
        <v/>
      </c>
      <c r="G1135" s="14">
        <f>'Empleo Censo'!J1135+'Empleo Censo'!K1135</f>
        <v/>
      </c>
      <c r="H1135" s="14">
        <f>'Empleo Censo'!L1135</f>
        <v/>
      </c>
      <c r="I1135" s="14">
        <f>'Empleo Censo'!M1135</f>
        <v/>
      </c>
      <c r="J1135" s="14">
        <f>SUM('Empleo Censo'!N1135:AA1135)</f>
        <v/>
      </c>
      <c r="K1135" s="14">
        <f>SUM(C1135:J1135)</f>
        <v/>
      </c>
      <c r="L1135" s="15">
        <f>SUMPRODUCT(C1135:J1135,Factores!$B$3:$I$3)</f>
        <v/>
      </c>
      <c r="M1135" s="16">
        <f>'Empleo Censo'!E1135</f>
        <v/>
      </c>
      <c r="N1135" s="17">
        <f>IF(M1135&gt;0,L1135,Factores!$B$7)</f>
        <v/>
      </c>
      <c r="O1135">
        <f>IF(M1135&gt;0,"OK","sin PEA -&gt; peor")</f>
        <v/>
      </c>
    </row>
    <row r="1136">
      <c r="A1136" t="inlineStr">
        <is>
          <t>061103</t>
        </is>
      </c>
      <c r="B1136" t="inlineStr">
        <is>
          <t>CALQUIS</t>
        </is>
      </c>
      <c r="C1136" s="14">
        <f>'Empleo Censo'!G1136-'Empleo Censo'!F1136</f>
        <v/>
      </c>
      <c r="D1136" s="14">
        <f>'Empleo Censo'!F1136</f>
        <v/>
      </c>
      <c r="E1136" s="14">
        <f>'Empleo Censo'!H1136</f>
        <v/>
      </c>
      <c r="F1136" s="14">
        <f>'Empleo Censo'!I1136</f>
        <v/>
      </c>
      <c r="G1136" s="14">
        <f>'Empleo Censo'!J1136+'Empleo Censo'!K1136</f>
        <v/>
      </c>
      <c r="H1136" s="14">
        <f>'Empleo Censo'!L1136</f>
        <v/>
      </c>
      <c r="I1136" s="14">
        <f>'Empleo Censo'!M1136</f>
        <v/>
      </c>
      <c r="J1136" s="14">
        <f>SUM('Empleo Censo'!N1136:AA1136)</f>
        <v/>
      </c>
      <c r="K1136" s="14">
        <f>SUM(C1136:J1136)</f>
        <v/>
      </c>
      <c r="L1136" s="15">
        <f>SUMPRODUCT(C1136:J1136,Factores!$B$3:$I$3)</f>
        <v/>
      </c>
      <c r="M1136" s="16">
        <f>'Empleo Censo'!E1136</f>
        <v/>
      </c>
      <c r="N1136" s="17">
        <f>IF(M1136&gt;0,L1136,Factores!$B$7)</f>
        <v/>
      </c>
      <c r="O1136">
        <f>IF(M1136&gt;0,"OK","sin PEA -&gt; peor")</f>
        <v/>
      </c>
    </row>
    <row r="1137">
      <c r="A1137" t="inlineStr">
        <is>
          <t>050802</t>
        </is>
      </c>
      <c r="B1137" t="inlineStr">
        <is>
          <t>COLTA</t>
        </is>
      </c>
      <c r="C1137" s="14">
        <f>'Empleo Censo'!G1137-'Empleo Censo'!F1137</f>
        <v/>
      </c>
      <c r="D1137" s="14">
        <f>'Empleo Censo'!F1137</f>
        <v/>
      </c>
      <c r="E1137" s="14">
        <f>'Empleo Censo'!H1137</f>
        <v/>
      </c>
      <c r="F1137" s="14">
        <f>'Empleo Censo'!I1137</f>
        <v/>
      </c>
      <c r="G1137" s="14">
        <f>'Empleo Censo'!J1137+'Empleo Censo'!K1137</f>
        <v/>
      </c>
      <c r="H1137" s="14">
        <f>'Empleo Censo'!L1137</f>
        <v/>
      </c>
      <c r="I1137" s="14">
        <f>'Empleo Censo'!M1137</f>
        <v/>
      </c>
      <c r="J1137" s="14">
        <f>SUM('Empleo Censo'!N1137:AA1137)</f>
        <v/>
      </c>
      <c r="K1137" s="14">
        <f>SUM(C1137:J1137)</f>
        <v/>
      </c>
      <c r="L1137" s="15">
        <f>SUMPRODUCT(C1137:J1137,Factores!$B$3:$I$3)</f>
        <v/>
      </c>
      <c r="M1137" s="16">
        <f>'Empleo Censo'!E1137</f>
        <v/>
      </c>
      <c r="N1137" s="17">
        <f>IF(M1137&gt;0,L1137,Factores!$B$7)</f>
        <v/>
      </c>
      <c r="O1137">
        <f>IF(M1137&gt;0,"OK","sin PEA -&gt; peor")</f>
        <v/>
      </c>
    </row>
    <row r="1138">
      <c r="A1138" t="inlineStr">
        <is>
          <t>050411</t>
        </is>
      </c>
      <c r="B1138" t="inlineStr">
        <is>
          <t>PUCACOLPA</t>
        </is>
      </c>
      <c r="C1138" s="14">
        <f>'Empleo Censo'!G1138-'Empleo Censo'!F1138</f>
        <v/>
      </c>
      <c r="D1138" s="14">
        <f>'Empleo Censo'!F1138</f>
        <v/>
      </c>
      <c r="E1138" s="14">
        <f>'Empleo Censo'!H1138</f>
        <v/>
      </c>
      <c r="F1138" s="14">
        <f>'Empleo Censo'!I1138</f>
        <v/>
      </c>
      <c r="G1138" s="14">
        <f>'Empleo Censo'!J1138+'Empleo Censo'!K1138</f>
        <v/>
      </c>
      <c r="H1138" s="14">
        <f>'Empleo Censo'!L1138</f>
        <v/>
      </c>
      <c r="I1138" s="14">
        <f>'Empleo Censo'!M1138</f>
        <v/>
      </c>
      <c r="J1138" s="14">
        <f>SUM('Empleo Censo'!N1138:AA1138)</f>
        <v/>
      </c>
      <c r="K1138" s="14">
        <f>SUM(C1138:J1138)</f>
        <v/>
      </c>
      <c r="L1138" s="15">
        <f>SUMPRODUCT(C1138:J1138,Factores!$B$3:$I$3)</f>
        <v/>
      </c>
      <c r="M1138" s="16">
        <f>'Empleo Censo'!E1138</f>
        <v/>
      </c>
      <c r="N1138" s="17">
        <f>IF(M1138&gt;0,L1138,Factores!$B$7)</f>
        <v/>
      </c>
      <c r="O1138">
        <f>IF(M1138&gt;0,"OK","sin PEA -&gt; peor")</f>
        <v/>
      </c>
    </row>
    <row r="1139">
      <c r="A1139" t="inlineStr">
        <is>
          <t>090309</t>
        </is>
      </c>
      <c r="B1139" t="inlineStr">
        <is>
          <t>JULCAMARCA</t>
        </is>
      </c>
      <c r="C1139" s="14">
        <f>'Empleo Censo'!G1139-'Empleo Censo'!F1139</f>
        <v/>
      </c>
      <c r="D1139" s="14">
        <f>'Empleo Censo'!F1139</f>
        <v/>
      </c>
      <c r="E1139" s="14">
        <f>'Empleo Censo'!H1139</f>
        <v/>
      </c>
      <c r="F1139" s="14">
        <f>'Empleo Censo'!I1139</f>
        <v/>
      </c>
      <c r="G1139" s="14">
        <f>'Empleo Censo'!J1139+'Empleo Censo'!K1139</f>
        <v/>
      </c>
      <c r="H1139" s="14">
        <f>'Empleo Censo'!L1139</f>
        <v/>
      </c>
      <c r="I1139" s="14">
        <f>'Empleo Censo'!M1139</f>
        <v/>
      </c>
      <c r="J1139" s="14">
        <f>SUM('Empleo Censo'!N1139:AA1139)</f>
        <v/>
      </c>
      <c r="K1139" s="14">
        <f>SUM(C1139:J1139)</f>
        <v/>
      </c>
      <c r="L1139" s="15">
        <f>SUMPRODUCT(C1139:J1139,Factores!$B$3:$I$3)</f>
        <v/>
      </c>
      <c r="M1139" s="16">
        <f>'Empleo Censo'!E1139</f>
        <v/>
      </c>
      <c r="N1139" s="17">
        <f>IF(M1139&gt;0,L1139,Factores!$B$7)</f>
        <v/>
      </c>
      <c r="O1139">
        <f>IF(M1139&gt;0,"OK","sin PEA -&gt; peor")</f>
        <v/>
      </c>
    </row>
    <row r="1140">
      <c r="A1140" t="inlineStr">
        <is>
          <t>030606</t>
        </is>
      </c>
      <c r="B1140" t="inlineStr">
        <is>
          <t>ONGOY</t>
        </is>
      </c>
      <c r="C1140" s="14">
        <f>'Empleo Censo'!G1140-'Empleo Censo'!F1140</f>
        <v/>
      </c>
      <c r="D1140" s="14">
        <f>'Empleo Censo'!F1140</f>
        <v/>
      </c>
      <c r="E1140" s="14">
        <f>'Empleo Censo'!H1140</f>
        <v/>
      </c>
      <c r="F1140" s="14">
        <f>'Empleo Censo'!I1140</f>
        <v/>
      </c>
      <c r="G1140" s="14">
        <f>'Empleo Censo'!J1140+'Empleo Censo'!K1140</f>
        <v/>
      </c>
      <c r="H1140" s="14">
        <f>'Empleo Censo'!L1140</f>
        <v/>
      </c>
      <c r="I1140" s="14">
        <f>'Empleo Censo'!M1140</f>
        <v/>
      </c>
      <c r="J1140" s="14">
        <f>SUM('Empleo Censo'!N1140:AA1140)</f>
        <v/>
      </c>
      <c r="K1140" s="14">
        <f>SUM(C1140:J1140)</f>
        <v/>
      </c>
      <c r="L1140" s="15">
        <f>SUMPRODUCT(C1140:J1140,Factores!$B$3:$I$3)</f>
        <v/>
      </c>
      <c r="M1140" s="16">
        <f>'Empleo Censo'!E1140</f>
        <v/>
      </c>
      <c r="N1140" s="17">
        <f>IF(M1140&gt;0,L1140,Factores!$B$7)</f>
        <v/>
      </c>
      <c r="O1140">
        <f>IF(M1140&gt;0,"OK","sin PEA -&gt; peor")</f>
        <v/>
      </c>
    </row>
    <row r="1141">
      <c r="A1141" t="inlineStr">
        <is>
          <t>020606</t>
        </is>
      </c>
      <c r="B1141" t="inlineStr">
        <is>
          <t>MARCARA</t>
        </is>
      </c>
      <c r="C1141" s="14">
        <f>'Empleo Censo'!G1141-'Empleo Censo'!F1141</f>
        <v/>
      </c>
      <c r="D1141" s="14">
        <f>'Empleo Censo'!F1141</f>
        <v/>
      </c>
      <c r="E1141" s="14">
        <f>'Empleo Censo'!H1141</f>
        <v/>
      </c>
      <c r="F1141" s="14">
        <f>'Empleo Censo'!I1141</f>
        <v/>
      </c>
      <c r="G1141" s="14">
        <f>'Empleo Censo'!J1141+'Empleo Censo'!K1141</f>
        <v/>
      </c>
      <c r="H1141" s="14">
        <f>'Empleo Censo'!L1141</f>
        <v/>
      </c>
      <c r="I1141" s="14">
        <f>'Empleo Censo'!M1141</f>
        <v/>
      </c>
      <c r="J1141" s="14">
        <f>SUM('Empleo Censo'!N1141:AA1141)</f>
        <v/>
      </c>
      <c r="K1141" s="14">
        <f>SUM(C1141:J1141)</f>
        <v/>
      </c>
      <c r="L1141" s="15">
        <f>SUMPRODUCT(C1141:J1141,Factores!$B$3:$I$3)</f>
        <v/>
      </c>
      <c r="M1141" s="16">
        <f>'Empleo Censo'!E1141</f>
        <v/>
      </c>
      <c r="N1141" s="17">
        <f>IF(M1141&gt;0,L1141,Factores!$B$7)</f>
        <v/>
      </c>
      <c r="O1141">
        <f>IF(M1141&gt;0,"OK","sin PEA -&gt; peor")</f>
        <v/>
      </c>
    </row>
    <row r="1142">
      <c r="A1142" t="inlineStr">
        <is>
          <t>060311</t>
        </is>
      </c>
      <c r="B1142" t="inlineStr">
        <is>
          <t>UTCO</t>
        </is>
      </c>
      <c r="C1142" s="14">
        <f>'Empleo Censo'!G1142-'Empleo Censo'!F1142</f>
        <v/>
      </c>
      <c r="D1142" s="14">
        <f>'Empleo Censo'!F1142</f>
        <v/>
      </c>
      <c r="E1142" s="14">
        <f>'Empleo Censo'!H1142</f>
        <v/>
      </c>
      <c r="F1142" s="14">
        <f>'Empleo Censo'!I1142</f>
        <v/>
      </c>
      <c r="G1142" s="14">
        <f>'Empleo Censo'!J1142+'Empleo Censo'!K1142</f>
        <v/>
      </c>
      <c r="H1142" s="14">
        <f>'Empleo Censo'!L1142</f>
        <v/>
      </c>
      <c r="I1142" s="14">
        <f>'Empleo Censo'!M1142</f>
        <v/>
      </c>
      <c r="J1142" s="14">
        <f>SUM('Empleo Censo'!N1142:AA1142)</f>
        <v/>
      </c>
      <c r="K1142" s="14">
        <f>SUM(C1142:J1142)</f>
        <v/>
      </c>
      <c r="L1142" s="15">
        <f>SUMPRODUCT(C1142:J1142,Factores!$B$3:$I$3)</f>
        <v/>
      </c>
      <c r="M1142" s="16">
        <f>'Empleo Censo'!E1142</f>
        <v/>
      </c>
      <c r="N1142" s="17">
        <f>IF(M1142&gt;0,L1142,Factores!$B$7)</f>
        <v/>
      </c>
      <c r="O1142">
        <f>IF(M1142&gt;0,"OK","sin PEA -&gt; peor")</f>
        <v/>
      </c>
    </row>
    <row r="1143">
      <c r="A1143" t="inlineStr">
        <is>
          <t>021701</t>
        </is>
      </c>
      <c r="B1143" t="inlineStr">
        <is>
          <t>RECUAY</t>
        </is>
      </c>
      <c r="C1143" s="14">
        <f>'Empleo Censo'!G1143-'Empleo Censo'!F1143</f>
        <v/>
      </c>
      <c r="D1143" s="14">
        <f>'Empleo Censo'!F1143</f>
        <v/>
      </c>
      <c r="E1143" s="14">
        <f>'Empleo Censo'!H1143</f>
        <v/>
      </c>
      <c r="F1143" s="14">
        <f>'Empleo Censo'!I1143</f>
        <v/>
      </c>
      <c r="G1143" s="14">
        <f>'Empleo Censo'!J1143+'Empleo Censo'!K1143</f>
        <v/>
      </c>
      <c r="H1143" s="14">
        <f>'Empleo Censo'!L1143</f>
        <v/>
      </c>
      <c r="I1143" s="14">
        <f>'Empleo Censo'!M1143</f>
        <v/>
      </c>
      <c r="J1143" s="14">
        <f>SUM('Empleo Censo'!N1143:AA1143)</f>
        <v/>
      </c>
      <c r="K1143" s="14">
        <f>SUM(C1143:J1143)</f>
        <v/>
      </c>
      <c r="L1143" s="15">
        <f>SUMPRODUCT(C1143:J1143,Factores!$B$3:$I$3)</f>
        <v/>
      </c>
      <c r="M1143" s="16">
        <f>'Empleo Censo'!E1143</f>
        <v/>
      </c>
      <c r="N1143" s="17">
        <f>IF(M1143&gt;0,L1143,Factores!$B$7)</f>
        <v/>
      </c>
      <c r="O1143">
        <f>IF(M1143&gt;0,"OK","sin PEA -&gt; peor")</f>
        <v/>
      </c>
    </row>
    <row r="1144">
      <c r="A1144" t="inlineStr">
        <is>
          <t>010202</t>
        </is>
      </c>
      <c r="B1144" t="inlineStr">
        <is>
          <t>ARAMANGO</t>
        </is>
      </c>
      <c r="C1144" s="14">
        <f>'Empleo Censo'!G1144-'Empleo Censo'!F1144</f>
        <v/>
      </c>
      <c r="D1144" s="14">
        <f>'Empleo Censo'!F1144</f>
        <v/>
      </c>
      <c r="E1144" s="14">
        <f>'Empleo Censo'!H1144</f>
        <v/>
      </c>
      <c r="F1144" s="14">
        <f>'Empleo Censo'!I1144</f>
        <v/>
      </c>
      <c r="G1144" s="14">
        <f>'Empleo Censo'!J1144+'Empleo Censo'!K1144</f>
        <v/>
      </c>
      <c r="H1144" s="14">
        <f>'Empleo Censo'!L1144</f>
        <v/>
      </c>
      <c r="I1144" s="14">
        <f>'Empleo Censo'!M1144</f>
        <v/>
      </c>
      <c r="J1144" s="14">
        <f>SUM('Empleo Censo'!N1144:AA1144)</f>
        <v/>
      </c>
      <c r="K1144" s="14">
        <f>SUM(C1144:J1144)</f>
        <v/>
      </c>
      <c r="L1144" s="15">
        <f>SUMPRODUCT(C1144:J1144,Factores!$B$3:$I$3)</f>
        <v/>
      </c>
      <c r="M1144" s="16">
        <f>'Empleo Censo'!E1144</f>
        <v/>
      </c>
      <c r="N1144" s="17">
        <f>IF(M1144&gt;0,L1144,Factores!$B$7)</f>
        <v/>
      </c>
      <c r="O1144">
        <f>IF(M1144&gt;0,"OK","sin PEA -&gt; peor")</f>
        <v/>
      </c>
    </row>
    <row r="1145">
      <c r="A1145" t="inlineStr">
        <is>
          <t>060415</t>
        </is>
      </c>
      <c r="B1145" t="inlineStr">
        <is>
          <t>QUEROCOTO</t>
        </is>
      </c>
      <c r="C1145" s="14">
        <f>'Empleo Censo'!G1145-'Empleo Censo'!F1145</f>
        <v/>
      </c>
      <c r="D1145" s="14">
        <f>'Empleo Censo'!F1145</f>
        <v/>
      </c>
      <c r="E1145" s="14">
        <f>'Empleo Censo'!H1145</f>
        <v/>
      </c>
      <c r="F1145" s="14">
        <f>'Empleo Censo'!I1145</f>
        <v/>
      </c>
      <c r="G1145" s="14">
        <f>'Empleo Censo'!J1145+'Empleo Censo'!K1145</f>
        <v/>
      </c>
      <c r="H1145" s="14">
        <f>'Empleo Censo'!L1145</f>
        <v/>
      </c>
      <c r="I1145" s="14">
        <f>'Empleo Censo'!M1145</f>
        <v/>
      </c>
      <c r="J1145" s="14">
        <f>SUM('Empleo Censo'!N1145:AA1145)</f>
        <v/>
      </c>
      <c r="K1145" s="14">
        <f>SUM(C1145:J1145)</f>
        <v/>
      </c>
      <c r="L1145" s="15">
        <f>SUMPRODUCT(C1145:J1145,Factores!$B$3:$I$3)</f>
        <v/>
      </c>
      <c r="M1145" s="16">
        <f>'Empleo Censo'!E1145</f>
        <v/>
      </c>
      <c r="N1145" s="17">
        <f>IF(M1145&gt;0,L1145,Factores!$B$7)</f>
        <v/>
      </c>
      <c r="O1145">
        <f>IF(M1145&gt;0,"OK","sin PEA -&gt; peor")</f>
        <v/>
      </c>
    </row>
    <row r="1146">
      <c r="A1146" t="inlineStr">
        <is>
          <t>060202</t>
        </is>
      </c>
      <c r="B1146" t="inlineStr">
        <is>
          <t>CACHACHI</t>
        </is>
      </c>
      <c r="C1146" s="14">
        <f>'Empleo Censo'!G1146-'Empleo Censo'!F1146</f>
        <v/>
      </c>
      <c r="D1146" s="14">
        <f>'Empleo Censo'!F1146</f>
        <v/>
      </c>
      <c r="E1146" s="14">
        <f>'Empleo Censo'!H1146</f>
        <v/>
      </c>
      <c r="F1146" s="14">
        <f>'Empleo Censo'!I1146</f>
        <v/>
      </c>
      <c r="G1146" s="14">
        <f>'Empleo Censo'!J1146+'Empleo Censo'!K1146</f>
        <v/>
      </c>
      <c r="H1146" s="14">
        <f>'Empleo Censo'!L1146</f>
        <v/>
      </c>
      <c r="I1146" s="14">
        <f>'Empleo Censo'!M1146</f>
        <v/>
      </c>
      <c r="J1146" s="14">
        <f>SUM('Empleo Censo'!N1146:AA1146)</f>
        <v/>
      </c>
      <c r="K1146" s="14">
        <f>SUM(C1146:J1146)</f>
        <v/>
      </c>
      <c r="L1146" s="15">
        <f>SUMPRODUCT(C1146:J1146,Factores!$B$3:$I$3)</f>
        <v/>
      </c>
      <c r="M1146" s="16">
        <f>'Empleo Censo'!E1146</f>
        <v/>
      </c>
      <c r="N1146" s="17">
        <f>IF(M1146&gt;0,L1146,Factores!$B$7)</f>
        <v/>
      </c>
      <c r="O1146">
        <f>IF(M1146&gt;0,"OK","sin PEA -&gt; peor")</f>
        <v/>
      </c>
    </row>
    <row r="1147">
      <c r="A1147" t="inlineStr">
        <is>
          <t>080601</t>
        </is>
      </c>
      <c r="B1147" t="inlineStr">
        <is>
          <t>SICUANI</t>
        </is>
      </c>
      <c r="C1147" s="14">
        <f>'Empleo Censo'!G1147-'Empleo Censo'!F1147</f>
        <v/>
      </c>
      <c r="D1147" s="14">
        <f>'Empleo Censo'!F1147</f>
        <v/>
      </c>
      <c r="E1147" s="14">
        <f>'Empleo Censo'!H1147</f>
        <v/>
      </c>
      <c r="F1147" s="14">
        <f>'Empleo Censo'!I1147</f>
        <v/>
      </c>
      <c r="G1147" s="14">
        <f>'Empleo Censo'!J1147+'Empleo Censo'!K1147</f>
        <v/>
      </c>
      <c r="H1147" s="14">
        <f>'Empleo Censo'!L1147</f>
        <v/>
      </c>
      <c r="I1147" s="14">
        <f>'Empleo Censo'!M1147</f>
        <v/>
      </c>
      <c r="J1147" s="14">
        <f>SUM('Empleo Censo'!N1147:AA1147)</f>
        <v/>
      </c>
      <c r="K1147" s="14">
        <f>SUM(C1147:J1147)</f>
        <v/>
      </c>
      <c r="L1147" s="15">
        <f>SUMPRODUCT(C1147:J1147,Factores!$B$3:$I$3)</f>
        <v/>
      </c>
      <c r="M1147" s="16">
        <f>'Empleo Censo'!E1147</f>
        <v/>
      </c>
      <c r="N1147" s="17">
        <f>IF(M1147&gt;0,L1147,Factores!$B$7)</f>
        <v/>
      </c>
      <c r="O1147">
        <f>IF(M1147&gt;0,"OK","sin PEA -&gt; peor")</f>
        <v/>
      </c>
    </row>
    <row r="1148">
      <c r="A1148" t="inlineStr">
        <is>
          <t>030103</t>
        </is>
      </c>
      <c r="B1148" t="inlineStr">
        <is>
          <t>CIRCA</t>
        </is>
      </c>
      <c r="C1148" s="14">
        <f>'Empleo Censo'!G1148-'Empleo Censo'!F1148</f>
        <v/>
      </c>
      <c r="D1148" s="14">
        <f>'Empleo Censo'!F1148</f>
        <v/>
      </c>
      <c r="E1148" s="14">
        <f>'Empleo Censo'!H1148</f>
        <v/>
      </c>
      <c r="F1148" s="14">
        <f>'Empleo Censo'!I1148</f>
        <v/>
      </c>
      <c r="G1148" s="14">
        <f>'Empleo Censo'!J1148+'Empleo Censo'!K1148</f>
        <v/>
      </c>
      <c r="H1148" s="14">
        <f>'Empleo Censo'!L1148</f>
        <v/>
      </c>
      <c r="I1148" s="14">
        <f>'Empleo Censo'!M1148</f>
        <v/>
      </c>
      <c r="J1148" s="14">
        <f>SUM('Empleo Censo'!N1148:AA1148)</f>
        <v/>
      </c>
      <c r="K1148" s="14">
        <f>SUM(C1148:J1148)</f>
        <v/>
      </c>
      <c r="L1148" s="15">
        <f>SUMPRODUCT(C1148:J1148,Factores!$B$3:$I$3)</f>
        <v/>
      </c>
      <c r="M1148" s="16">
        <f>'Empleo Censo'!E1148</f>
        <v/>
      </c>
      <c r="N1148" s="17">
        <f>IF(M1148&gt;0,L1148,Factores!$B$7)</f>
        <v/>
      </c>
      <c r="O1148">
        <f>IF(M1148&gt;0,"OK","sin PEA -&gt; peor")</f>
        <v/>
      </c>
    </row>
    <row r="1149">
      <c r="A1149" t="inlineStr">
        <is>
          <t>021004</t>
        </is>
      </c>
      <c r="B1149" t="inlineStr">
        <is>
          <t>CHAVIN DE HUANTAR</t>
        </is>
      </c>
      <c r="C1149" s="14">
        <f>'Empleo Censo'!G1149-'Empleo Censo'!F1149</f>
        <v/>
      </c>
      <c r="D1149" s="14">
        <f>'Empleo Censo'!F1149</f>
        <v/>
      </c>
      <c r="E1149" s="14">
        <f>'Empleo Censo'!H1149</f>
        <v/>
      </c>
      <c r="F1149" s="14">
        <f>'Empleo Censo'!I1149</f>
        <v/>
      </c>
      <c r="G1149" s="14">
        <f>'Empleo Censo'!J1149+'Empleo Censo'!K1149</f>
        <v/>
      </c>
      <c r="H1149" s="14">
        <f>'Empleo Censo'!L1149</f>
        <v/>
      </c>
      <c r="I1149" s="14">
        <f>'Empleo Censo'!M1149</f>
        <v/>
      </c>
      <c r="J1149" s="14">
        <f>SUM('Empleo Censo'!N1149:AA1149)</f>
        <v/>
      </c>
      <c r="K1149" s="14">
        <f>SUM(C1149:J1149)</f>
        <v/>
      </c>
      <c r="L1149" s="15">
        <f>SUMPRODUCT(C1149:J1149,Factores!$B$3:$I$3)</f>
        <v/>
      </c>
      <c r="M1149" s="16">
        <f>'Empleo Censo'!E1149</f>
        <v/>
      </c>
      <c r="N1149" s="17">
        <f>IF(M1149&gt;0,L1149,Factores!$B$7)</f>
        <v/>
      </c>
      <c r="O1149">
        <f>IF(M1149&gt;0,"OK","sin PEA -&gt; peor")</f>
        <v/>
      </c>
    </row>
    <row r="1150">
      <c r="A1150" t="inlineStr">
        <is>
          <t>090509</t>
        </is>
      </c>
      <c r="B1150" t="inlineStr">
        <is>
          <t>SAN PEDRO DE CORIS</t>
        </is>
      </c>
      <c r="C1150" s="14">
        <f>'Empleo Censo'!G1150-'Empleo Censo'!F1150</f>
        <v/>
      </c>
      <c r="D1150" s="14">
        <f>'Empleo Censo'!F1150</f>
        <v/>
      </c>
      <c r="E1150" s="14">
        <f>'Empleo Censo'!H1150</f>
        <v/>
      </c>
      <c r="F1150" s="14">
        <f>'Empleo Censo'!I1150</f>
        <v/>
      </c>
      <c r="G1150" s="14">
        <f>'Empleo Censo'!J1150+'Empleo Censo'!K1150</f>
        <v/>
      </c>
      <c r="H1150" s="14">
        <f>'Empleo Censo'!L1150</f>
        <v/>
      </c>
      <c r="I1150" s="14">
        <f>'Empleo Censo'!M1150</f>
        <v/>
      </c>
      <c r="J1150" s="14">
        <f>SUM('Empleo Censo'!N1150:AA1150)</f>
        <v/>
      </c>
      <c r="K1150" s="14">
        <f>SUM(C1150:J1150)</f>
        <v/>
      </c>
      <c r="L1150" s="15">
        <f>SUMPRODUCT(C1150:J1150,Factores!$B$3:$I$3)</f>
        <v/>
      </c>
      <c r="M1150" s="16">
        <f>'Empleo Censo'!E1150</f>
        <v/>
      </c>
      <c r="N1150" s="17">
        <f>IF(M1150&gt;0,L1150,Factores!$B$7)</f>
        <v/>
      </c>
      <c r="O1150">
        <f>IF(M1150&gt;0,"OK","sin PEA -&gt; peor")</f>
        <v/>
      </c>
    </row>
    <row r="1151">
      <c r="A1151" t="inlineStr">
        <is>
          <t>050102</t>
        </is>
      </c>
      <c r="B1151" t="inlineStr">
        <is>
          <t>ACOCRO</t>
        </is>
      </c>
      <c r="C1151" s="14">
        <f>'Empleo Censo'!G1151-'Empleo Censo'!F1151</f>
        <v/>
      </c>
      <c r="D1151" s="14">
        <f>'Empleo Censo'!F1151</f>
        <v/>
      </c>
      <c r="E1151" s="14">
        <f>'Empleo Censo'!H1151</f>
        <v/>
      </c>
      <c r="F1151" s="14">
        <f>'Empleo Censo'!I1151</f>
        <v/>
      </c>
      <c r="G1151" s="14">
        <f>'Empleo Censo'!J1151+'Empleo Censo'!K1151</f>
        <v/>
      </c>
      <c r="H1151" s="14">
        <f>'Empleo Censo'!L1151</f>
        <v/>
      </c>
      <c r="I1151" s="14">
        <f>'Empleo Censo'!M1151</f>
        <v/>
      </c>
      <c r="J1151" s="14">
        <f>SUM('Empleo Censo'!N1151:AA1151)</f>
        <v/>
      </c>
      <c r="K1151" s="14">
        <f>SUM(C1151:J1151)</f>
        <v/>
      </c>
      <c r="L1151" s="15">
        <f>SUMPRODUCT(C1151:J1151,Factores!$B$3:$I$3)</f>
        <v/>
      </c>
      <c r="M1151" s="16">
        <f>'Empleo Censo'!E1151</f>
        <v/>
      </c>
      <c r="N1151" s="17">
        <f>IF(M1151&gt;0,L1151,Factores!$B$7)</f>
        <v/>
      </c>
      <c r="O1151">
        <f>IF(M1151&gt;0,"OK","sin PEA -&gt; peor")</f>
        <v/>
      </c>
    </row>
    <row r="1152">
      <c r="A1152" t="inlineStr">
        <is>
          <t>030216</t>
        </is>
      </c>
      <c r="B1152" t="inlineStr">
        <is>
          <t>TALAVERA</t>
        </is>
      </c>
      <c r="C1152" s="14">
        <f>'Empleo Censo'!G1152-'Empleo Censo'!F1152</f>
        <v/>
      </c>
      <c r="D1152" s="14">
        <f>'Empleo Censo'!F1152</f>
        <v/>
      </c>
      <c r="E1152" s="14">
        <f>'Empleo Censo'!H1152</f>
        <v/>
      </c>
      <c r="F1152" s="14">
        <f>'Empleo Censo'!I1152</f>
        <v/>
      </c>
      <c r="G1152" s="14">
        <f>'Empleo Censo'!J1152+'Empleo Censo'!K1152</f>
        <v/>
      </c>
      <c r="H1152" s="14">
        <f>'Empleo Censo'!L1152</f>
        <v/>
      </c>
      <c r="I1152" s="14">
        <f>'Empleo Censo'!M1152</f>
        <v/>
      </c>
      <c r="J1152" s="14">
        <f>SUM('Empleo Censo'!N1152:AA1152)</f>
        <v/>
      </c>
      <c r="K1152" s="14">
        <f>SUM(C1152:J1152)</f>
        <v/>
      </c>
      <c r="L1152" s="15">
        <f>SUMPRODUCT(C1152:J1152,Factores!$B$3:$I$3)</f>
        <v/>
      </c>
      <c r="M1152" s="16">
        <f>'Empleo Censo'!E1152</f>
        <v/>
      </c>
      <c r="N1152" s="17">
        <f>IF(M1152&gt;0,L1152,Factores!$B$7)</f>
        <v/>
      </c>
      <c r="O1152">
        <f>IF(M1152&gt;0,"OK","sin PEA -&gt; peor")</f>
        <v/>
      </c>
    </row>
    <row r="1153">
      <c r="A1153" t="inlineStr">
        <is>
          <t>050512</t>
        </is>
      </c>
      <c r="B1153" t="inlineStr">
        <is>
          <t>UNION PROGRESO</t>
        </is>
      </c>
      <c r="C1153" s="14">
        <f>'Empleo Censo'!G1153-'Empleo Censo'!F1153</f>
        <v/>
      </c>
      <c r="D1153" s="14">
        <f>'Empleo Censo'!F1153</f>
        <v/>
      </c>
      <c r="E1153" s="14">
        <f>'Empleo Censo'!H1153</f>
        <v/>
      </c>
      <c r="F1153" s="14">
        <f>'Empleo Censo'!I1153</f>
        <v/>
      </c>
      <c r="G1153" s="14">
        <f>'Empleo Censo'!J1153+'Empleo Censo'!K1153</f>
        <v/>
      </c>
      <c r="H1153" s="14">
        <f>'Empleo Censo'!L1153</f>
        <v/>
      </c>
      <c r="I1153" s="14">
        <f>'Empleo Censo'!M1153</f>
        <v/>
      </c>
      <c r="J1153" s="14">
        <f>SUM('Empleo Censo'!N1153:AA1153)</f>
        <v/>
      </c>
      <c r="K1153" s="14">
        <f>SUM(C1153:J1153)</f>
        <v/>
      </c>
      <c r="L1153" s="15">
        <f>SUMPRODUCT(C1153:J1153,Factores!$B$3:$I$3)</f>
        <v/>
      </c>
      <c r="M1153" s="16">
        <f>'Empleo Censo'!E1153</f>
        <v/>
      </c>
      <c r="N1153" s="17">
        <f>IF(M1153&gt;0,L1153,Factores!$B$7)</f>
        <v/>
      </c>
      <c r="O1153">
        <f>IF(M1153&gt;0,"OK","sin PEA -&gt; peor")</f>
        <v/>
      </c>
    </row>
    <row r="1154">
      <c r="A1154" t="inlineStr">
        <is>
          <t>090311</t>
        </is>
      </c>
      <c r="B1154" t="inlineStr">
        <is>
          <t>SANTO TOMAS DE PATA</t>
        </is>
      </c>
      <c r="C1154" s="14">
        <f>'Empleo Censo'!G1154-'Empleo Censo'!F1154</f>
        <v/>
      </c>
      <c r="D1154" s="14">
        <f>'Empleo Censo'!F1154</f>
        <v/>
      </c>
      <c r="E1154" s="14">
        <f>'Empleo Censo'!H1154</f>
        <v/>
      </c>
      <c r="F1154" s="14">
        <f>'Empleo Censo'!I1154</f>
        <v/>
      </c>
      <c r="G1154" s="14">
        <f>'Empleo Censo'!J1154+'Empleo Censo'!K1154</f>
        <v/>
      </c>
      <c r="H1154" s="14">
        <f>'Empleo Censo'!L1154</f>
        <v/>
      </c>
      <c r="I1154" s="14">
        <f>'Empleo Censo'!M1154</f>
        <v/>
      </c>
      <c r="J1154" s="14">
        <f>SUM('Empleo Censo'!N1154:AA1154)</f>
        <v/>
      </c>
      <c r="K1154" s="14">
        <f>SUM(C1154:J1154)</f>
        <v/>
      </c>
      <c r="L1154" s="15">
        <f>SUMPRODUCT(C1154:J1154,Factores!$B$3:$I$3)</f>
        <v/>
      </c>
      <c r="M1154" s="16">
        <f>'Empleo Censo'!E1154</f>
        <v/>
      </c>
      <c r="N1154" s="17">
        <f>IF(M1154&gt;0,L1154,Factores!$B$7)</f>
        <v/>
      </c>
      <c r="O1154">
        <f>IF(M1154&gt;0,"OK","sin PEA -&gt; peor")</f>
        <v/>
      </c>
    </row>
    <row r="1155">
      <c r="A1155" t="inlineStr">
        <is>
          <t>060607</t>
        </is>
      </c>
      <c r="B1155" t="inlineStr">
        <is>
          <t>QUEROCOTILLO</t>
        </is>
      </c>
      <c r="C1155" s="14">
        <f>'Empleo Censo'!G1155-'Empleo Censo'!F1155</f>
        <v/>
      </c>
      <c r="D1155" s="14">
        <f>'Empleo Censo'!F1155</f>
        <v/>
      </c>
      <c r="E1155" s="14">
        <f>'Empleo Censo'!H1155</f>
        <v/>
      </c>
      <c r="F1155" s="14">
        <f>'Empleo Censo'!I1155</f>
        <v/>
      </c>
      <c r="G1155" s="14">
        <f>'Empleo Censo'!J1155+'Empleo Censo'!K1155</f>
        <v/>
      </c>
      <c r="H1155" s="14">
        <f>'Empleo Censo'!L1155</f>
        <v/>
      </c>
      <c r="I1155" s="14">
        <f>'Empleo Censo'!M1155</f>
        <v/>
      </c>
      <c r="J1155" s="14">
        <f>SUM('Empleo Censo'!N1155:AA1155)</f>
        <v/>
      </c>
      <c r="K1155" s="14">
        <f>SUM(C1155:J1155)</f>
        <v/>
      </c>
      <c r="L1155" s="15">
        <f>SUMPRODUCT(C1155:J1155,Factores!$B$3:$I$3)</f>
        <v/>
      </c>
      <c r="M1155" s="16">
        <f>'Empleo Censo'!E1155</f>
        <v/>
      </c>
      <c r="N1155" s="17">
        <f>IF(M1155&gt;0,L1155,Factores!$B$7)</f>
        <v/>
      </c>
      <c r="O1155">
        <f>IF(M1155&gt;0,"OK","sin PEA -&gt; peor")</f>
        <v/>
      </c>
    </row>
    <row r="1156">
      <c r="A1156" t="inlineStr">
        <is>
          <t>050114</t>
        </is>
      </c>
      <c r="B1156" t="inlineStr">
        <is>
          <t>VINCHOS</t>
        </is>
      </c>
      <c r="C1156" s="14">
        <f>'Empleo Censo'!G1156-'Empleo Censo'!F1156</f>
        <v/>
      </c>
      <c r="D1156" s="14">
        <f>'Empleo Censo'!F1156</f>
        <v/>
      </c>
      <c r="E1156" s="14">
        <f>'Empleo Censo'!H1156</f>
        <v/>
      </c>
      <c r="F1156" s="14">
        <f>'Empleo Censo'!I1156</f>
        <v/>
      </c>
      <c r="G1156" s="14">
        <f>'Empleo Censo'!J1156+'Empleo Censo'!K1156</f>
        <v/>
      </c>
      <c r="H1156" s="14">
        <f>'Empleo Censo'!L1156</f>
        <v/>
      </c>
      <c r="I1156" s="14">
        <f>'Empleo Censo'!M1156</f>
        <v/>
      </c>
      <c r="J1156" s="14">
        <f>SUM('Empleo Censo'!N1156:AA1156)</f>
        <v/>
      </c>
      <c r="K1156" s="14">
        <f>SUM(C1156:J1156)</f>
        <v/>
      </c>
      <c r="L1156" s="15">
        <f>SUMPRODUCT(C1156:J1156,Factores!$B$3:$I$3)</f>
        <v/>
      </c>
      <c r="M1156" s="16">
        <f>'Empleo Censo'!E1156</f>
        <v/>
      </c>
      <c r="N1156" s="17">
        <f>IF(M1156&gt;0,L1156,Factores!$B$7)</f>
        <v/>
      </c>
      <c r="O1156">
        <f>IF(M1156&gt;0,"OK","sin PEA -&gt; peor")</f>
        <v/>
      </c>
    </row>
    <row r="1157">
      <c r="A1157" t="inlineStr">
        <is>
          <t>080404</t>
        </is>
      </c>
      <c r="B1157" t="inlineStr">
        <is>
          <t>LARES</t>
        </is>
      </c>
      <c r="C1157" s="14">
        <f>'Empleo Censo'!G1157-'Empleo Censo'!F1157</f>
        <v/>
      </c>
      <c r="D1157" s="14">
        <f>'Empleo Censo'!F1157</f>
        <v/>
      </c>
      <c r="E1157" s="14">
        <f>'Empleo Censo'!H1157</f>
        <v/>
      </c>
      <c r="F1157" s="14">
        <f>'Empleo Censo'!I1157</f>
        <v/>
      </c>
      <c r="G1157" s="14">
        <f>'Empleo Censo'!J1157+'Empleo Censo'!K1157</f>
        <v/>
      </c>
      <c r="H1157" s="14">
        <f>'Empleo Censo'!L1157</f>
        <v/>
      </c>
      <c r="I1157" s="14">
        <f>'Empleo Censo'!M1157</f>
        <v/>
      </c>
      <c r="J1157" s="14">
        <f>SUM('Empleo Censo'!N1157:AA1157)</f>
        <v/>
      </c>
      <c r="K1157" s="14">
        <f>SUM(C1157:J1157)</f>
        <v/>
      </c>
      <c r="L1157" s="15">
        <f>SUMPRODUCT(C1157:J1157,Factores!$B$3:$I$3)</f>
        <v/>
      </c>
      <c r="M1157" s="16">
        <f>'Empleo Censo'!E1157</f>
        <v/>
      </c>
      <c r="N1157" s="17">
        <f>IF(M1157&gt;0,L1157,Factores!$B$7)</f>
        <v/>
      </c>
      <c r="O1157">
        <f>IF(M1157&gt;0,"OK","sin PEA -&gt; peor")</f>
        <v/>
      </c>
    </row>
    <row r="1158">
      <c r="A1158" t="inlineStr">
        <is>
          <t>060407</t>
        </is>
      </c>
      <c r="B1158" t="inlineStr">
        <is>
          <t>COCHABAMBA</t>
        </is>
      </c>
      <c r="C1158" s="14">
        <f>'Empleo Censo'!G1158-'Empleo Censo'!F1158</f>
        <v/>
      </c>
      <c r="D1158" s="14">
        <f>'Empleo Censo'!F1158</f>
        <v/>
      </c>
      <c r="E1158" s="14">
        <f>'Empleo Censo'!H1158</f>
        <v/>
      </c>
      <c r="F1158" s="14">
        <f>'Empleo Censo'!I1158</f>
        <v/>
      </c>
      <c r="G1158" s="14">
        <f>'Empleo Censo'!J1158+'Empleo Censo'!K1158</f>
        <v/>
      </c>
      <c r="H1158" s="14">
        <f>'Empleo Censo'!L1158</f>
        <v/>
      </c>
      <c r="I1158" s="14">
        <f>'Empleo Censo'!M1158</f>
        <v/>
      </c>
      <c r="J1158" s="14">
        <f>SUM('Empleo Censo'!N1158:AA1158)</f>
        <v/>
      </c>
      <c r="K1158" s="14">
        <f>SUM(C1158:J1158)</f>
        <v/>
      </c>
      <c r="L1158" s="15">
        <f>SUMPRODUCT(C1158:J1158,Factores!$B$3:$I$3)</f>
        <v/>
      </c>
      <c r="M1158" s="16">
        <f>'Empleo Censo'!E1158</f>
        <v/>
      </c>
      <c r="N1158" s="17">
        <f>IF(M1158&gt;0,L1158,Factores!$B$7)</f>
        <v/>
      </c>
      <c r="O1158">
        <f>IF(M1158&gt;0,"OK","sin PEA -&gt; peor")</f>
        <v/>
      </c>
    </row>
    <row r="1159">
      <c r="A1159" t="inlineStr">
        <is>
          <t>010521</t>
        </is>
      </c>
      <c r="B1159" t="inlineStr">
        <is>
          <t>SANTO TOMAS</t>
        </is>
      </c>
      <c r="C1159" s="14">
        <f>'Empleo Censo'!G1159-'Empleo Censo'!F1159</f>
        <v/>
      </c>
      <c r="D1159" s="14">
        <f>'Empleo Censo'!F1159</f>
        <v/>
      </c>
      <c r="E1159" s="14">
        <f>'Empleo Censo'!H1159</f>
        <v/>
      </c>
      <c r="F1159" s="14">
        <f>'Empleo Censo'!I1159</f>
        <v/>
      </c>
      <c r="G1159" s="14">
        <f>'Empleo Censo'!J1159+'Empleo Censo'!K1159</f>
        <v/>
      </c>
      <c r="H1159" s="14">
        <f>'Empleo Censo'!L1159</f>
        <v/>
      </c>
      <c r="I1159" s="14">
        <f>'Empleo Censo'!M1159</f>
        <v/>
      </c>
      <c r="J1159" s="14">
        <f>SUM('Empleo Censo'!N1159:AA1159)</f>
        <v/>
      </c>
      <c r="K1159" s="14">
        <f>SUM(C1159:J1159)</f>
        <v/>
      </c>
      <c r="L1159" s="15">
        <f>SUMPRODUCT(C1159:J1159,Factores!$B$3:$I$3)</f>
        <v/>
      </c>
      <c r="M1159" s="16">
        <f>'Empleo Censo'!E1159</f>
        <v/>
      </c>
      <c r="N1159" s="17">
        <f>IF(M1159&gt;0,L1159,Factores!$B$7)</f>
        <v/>
      </c>
      <c r="O1159">
        <f>IF(M1159&gt;0,"OK","sin PEA -&gt; peor")</f>
        <v/>
      </c>
    </row>
    <row r="1160">
      <c r="A1160" t="inlineStr">
        <is>
          <t>050401</t>
        </is>
      </c>
      <c r="B1160" t="inlineStr">
        <is>
          <t>HUANTA</t>
        </is>
      </c>
      <c r="C1160" s="14">
        <f>'Empleo Censo'!G1160-'Empleo Censo'!F1160</f>
        <v/>
      </c>
      <c r="D1160" s="14">
        <f>'Empleo Censo'!F1160</f>
        <v/>
      </c>
      <c r="E1160" s="14">
        <f>'Empleo Censo'!H1160</f>
        <v/>
      </c>
      <c r="F1160" s="14">
        <f>'Empleo Censo'!I1160</f>
        <v/>
      </c>
      <c r="G1160" s="14">
        <f>'Empleo Censo'!J1160+'Empleo Censo'!K1160</f>
        <v/>
      </c>
      <c r="H1160" s="14">
        <f>'Empleo Censo'!L1160</f>
        <v/>
      </c>
      <c r="I1160" s="14">
        <f>'Empleo Censo'!M1160</f>
        <v/>
      </c>
      <c r="J1160" s="14">
        <f>SUM('Empleo Censo'!N1160:AA1160)</f>
        <v/>
      </c>
      <c r="K1160" s="14">
        <f>SUM(C1160:J1160)</f>
        <v/>
      </c>
      <c r="L1160" s="15">
        <f>SUMPRODUCT(C1160:J1160,Factores!$B$3:$I$3)</f>
        <v/>
      </c>
      <c r="M1160" s="16">
        <f>'Empleo Censo'!E1160</f>
        <v/>
      </c>
      <c r="N1160" s="17">
        <f>IF(M1160&gt;0,L1160,Factores!$B$7)</f>
        <v/>
      </c>
      <c r="O1160">
        <f>IF(M1160&gt;0,"OK","sin PEA -&gt; peor")</f>
        <v/>
      </c>
    </row>
    <row r="1161">
      <c r="A1161" t="inlineStr">
        <is>
          <t>010704</t>
        </is>
      </c>
      <c r="B1161" t="inlineStr">
        <is>
          <t>EL MILAGRO</t>
        </is>
      </c>
      <c r="C1161" s="14">
        <f>'Empleo Censo'!G1161-'Empleo Censo'!F1161</f>
        <v/>
      </c>
      <c r="D1161" s="14">
        <f>'Empleo Censo'!F1161</f>
        <v/>
      </c>
      <c r="E1161" s="14">
        <f>'Empleo Censo'!H1161</f>
        <v/>
      </c>
      <c r="F1161" s="14">
        <f>'Empleo Censo'!I1161</f>
        <v/>
      </c>
      <c r="G1161" s="14">
        <f>'Empleo Censo'!J1161+'Empleo Censo'!K1161</f>
        <v/>
      </c>
      <c r="H1161" s="14">
        <f>'Empleo Censo'!L1161</f>
        <v/>
      </c>
      <c r="I1161" s="14">
        <f>'Empleo Censo'!M1161</f>
        <v/>
      </c>
      <c r="J1161" s="14">
        <f>SUM('Empleo Censo'!N1161:AA1161)</f>
        <v/>
      </c>
      <c r="K1161" s="14">
        <f>SUM(C1161:J1161)</f>
        <v/>
      </c>
      <c r="L1161" s="15">
        <f>SUMPRODUCT(C1161:J1161,Factores!$B$3:$I$3)</f>
        <v/>
      </c>
      <c r="M1161" s="16">
        <f>'Empleo Censo'!E1161</f>
        <v/>
      </c>
      <c r="N1161" s="17">
        <f>IF(M1161&gt;0,L1161,Factores!$B$7)</f>
        <v/>
      </c>
      <c r="O1161">
        <f>IF(M1161&gt;0,"OK","sin PEA -&gt; peor")</f>
        <v/>
      </c>
    </row>
    <row r="1162">
      <c r="A1162" t="inlineStr">
        <is>
          <t>090114</t>
        </is>
      </c>
      <c r="B1162" t="inlineStr">
        <is>
          <t>PALCA</t>
        </is>
      </c>
      <c r="C1162" s="14">
        <f>'Empleo Censo'!G1162-'Empleo Censo'!F1162</f>
        <v/>
      </c>
      <c r="D1162" s="14">
        <f>'Empleo Censo'!F1162</f>
        <v/>
      </c>
      <c r="E1162" s="14">
        <f>'Empleo Censo'!H1162</f>
        <v/>
      </c>
      <c r="F1162" s="14">
        <f>'Empleo Censo'!I1162</f>
        <v/>
      </c>
      <c r="G1162" s="14">
        <f>'Empleo Censo'!J1162+'Empleo Censo'!K1162</f>
        <v/>
      </c>
      <c r="H1162" s="14">
        <f>'Empleo Censo'!L1162</f>
        <v/>
      </c>
      <c r="I1162" s="14">
        <f>'Empleo Censo'!M1162</f>
        <v/>
      </c>
      <c r="J1162" s="14">
        <f>SUM('Empleo Censo'!N1162:AA1162)</f>
        <v/>
      </c>
      <c r="K1162" s="14">
        <f>SUM(C1162:J1162)</f>
        <v/>
      </c>
      <c r="L1162" s="15">
        <f>SUMPRODUCT(C1162:J1162,Factores!$B$3:$I$3)</f>
        <v/>
      </c>
      <c r="M1162" s="16">
        <f>'Empleo Censo'!E1162</f>
        <v/>
      </c>
      <c r="N1162" s="17">
        <f>IF(M1162&gt;0,L1162,Factores!$B$7)</f>
        <v/>
      </c>
      <c r="O1162">
        <f>IF(M1162&gt;0,"OK","sin PEA -&gt; peor")</f>
        <v/>
      </c>
    </row>
    <row r="1163">
      <c r="A1163" t="inlineStr">
        <is>
          <t>030504</t>
        </is>
      </c>
      <c r="B1163" t="inlineStr">
        <is>
          <t>HAQUIRA</t>
        </is>
      </c>
      <c r="C1163" s="14">
        <f>'Empleo Censo'!G1163-'Empleo Censo'!F1163</f>
        <v/>
      </c>
      <c r="D1163" s="14">
        <f>'Empleo Censo'!F1163</f>
        <v/>
      </c>
      <c r="E1163" s="14">
        <f>'Empleo Censo'!H1163</f>
        <v/>
      </c>
      <c r="F1163" s="14">
        <f>'Empleo Censo'!I1163</f>
        <v/>
      </c>
      <c r="G1163" s="14">
        <f>'Empleo Censo'!J1163+'Empleo Censo'!K1163</f>
        <v/>
      </c>
      <c r="H1163" s="14">
        <f>'Empleo Censo'!L1163</f>
        <v/>
      </c>
      <c r="I1163" s="14">
        <f>'Empleo Censo'!M1163</f>
        <v/>
      </c>
      <c r="J1163" s="14">
        <f>SUM('Empleo Censo'!N1163:AA1163)</f>
        <v/>
      </c>
      <c r="K1163" s="14">
        <f>SUM(C1163:J1163)</f>
        <v/>
      </c>
      <c r="L1163" s="15">
        <f>SUMPRODUCT(C1163:J1163,Factores!$B$3:$I$3)</f>
        <v/>
      </c>
      <c r="M1163" s="16">
        <f>'Empleo Censo'!E1163</f>
        <v/>
      </c>
      <c r="N1163" s="17">
        <f>IF(M1163&gt;0,L1163,Factores!$B$7)</f>
        <v/>
      </c>
      <c r="O1163">
        <f>IF(M1163&gt;0,"OK","sin PEA -&gt; peor")</f>
        <v/>
      </c>
    </row>
    <row r="1164">
      <c r="A1164" t="inlineStr">
        <is>
          <t>061003</t>
        </is>
      </c>
      <c r="B1164" t="inlineStr">
        <is>
          <t>EDUARDO VILLANUEVA</t>
        </is>
      </c>
      <c r="C1164" s="14">
        <f>'Empleo Censo'!G1164-'Empleo Censo'!F1164</f>
        <v/>
      </c>
      <c r="D1164" s="14">
        <f>'Empleo Censo'!F1164</f>
        <v/>
      </c>
      <c r="E1164" s="14">
        <f>'Empleo Censo'!H1164</f>
        <v/>
      </c>
      <c r="F1164" s="14">
        <f>'Empleo Censo'!I1164</f>
        <v/>
      </c>
      <c r="G1164" s="14">
        <f>'Empleo Censo'!J1164+'Empleo Censo'!K1164</f>
        <v/>
      </c>
      <c r="H1164" s="14">
        <f>'Empleo Censo'!L1164</f>
        <v/>
      </c>
      <c r="I1164" s="14">
        <f>'Empleo Censo'!M1164</f>
        <v/>
      </c>
      <c r="J1164" s="14">
        <f>SUM('Empleo Censo'!N1164:AA1164)</f>
        <v/>
      </c>
      <c r="K1164" s="14">
        <f>SUM(C1164:J1164)</f>
        <v/>
      </c>
      <c r="L1164" s="15">
        <f>SUMPRODUCT(C1164:J1164,Factores!$B$3:$I$3)</f>
        <v/>
      </c>
      <c r="M1164" s="16">
        <f>'Empleo Censo'!E1164</f>
        <v/>
      </c>
      <c r="N1164" s="17">
        <f>IF(M1164&gt;0,L1164,Factores!$B$7)</f>
        <v/>
      </c>
      <c r="O1164">
        <f>IF(M1164&gt;0,"OK","sin PEA -&gt; peor")</f>
        <v/>
      </c>
    </row>
    <row r="1165">
      <c r="A1165" t="inlineStr">
        <is>
          <t>090406</t>
        </is>
      </c>
      <c r="B1165" t="inlineStr">
        <is>
          <t>COCAS</t>
        </is>
      </c>
      <c r="C1165" s="14">
        <f>'Empleo Censo'!G1165-'Empleo Censo'!F1165</f>
        <v/>
      </c>
      <c r="D1165" s="14">
        <f>'Empleo Censo'!F1165</f>
        <v/>
      </c>
      <c r="E1165" s="14">
        <f>'Empleo Censo'!H1165</f>
        <v/>
      </c>
      <c r="F1165" s="14">
        <f>'Empleo Censo'!I1165</f>
        <v/>
      </c>
      <c r="G1165" s="14">
        <f>'Empleo Censo'!J1165+'Empleo Censo'!K1165</f>
        <v/>
      </c>
      <c r="H1165" s="14">
        <f>'Empleo Censo'!L1165</f>
        <v/>
      </c>
      <c r="I1165" s="14">
        <f>'Empleo Censo'!M1165</f>
        <v/>
      </c>
      <c r="J1165" s="14">
        <f>SUM('Empleo Censo'!N1165:AA1165)</f>
        <v/>
      </c>
      <c r="K1165" s="14">
        <f>SUM(C1165:J1165)</f>
        <v/>
      </c>
      <c r="L1165" s="15">
        <f>SUMPRODUCT(C1165:J1165,Factores!$B$3:$I$3)</f>
        <v/>
      </c>
      <c r="M1165" s="16">
        <f>'Empleo Censo'!E1165</f>
        <v/>
      </c>
      <c r="N1165" s="17">
        <f>IF(M1165&gt;0,L1165,Factores!$B$7)</f>
        <v/>
      </c>
      <c r="O1165">
        <f>IF(M1165&gt;0,"OK","sin PEA -&gt; peor")</f>
        <v/>
      </c>
    </row>
    <row r="1166">
      <c r="A1166" t="inlineStr">
        <is>
          <t>051012</t>
        </is>
      </c>
      <c r="B1166" t="inlineStr">
        <is>
          <t>VILCANCHOS</t>
        </is>
      </c>
      <c r="C1166" s="14">
        <f>'Empleo Censo'!G1166-'Empleo Censo'!F1166</f>
        <v/>
      </c>
      <c r="D1166" s="14">
        <f>'Empleo Censo'!F1166</f>
        <v/>
      </c>
      <c r="E1166" s="14">
        <f>'Empleo Censo'!H1166</f>
        <v/>
      </c>
      <c r="F1166" s="14">
        <f>'Empleo Censo'!I1166</f>
        <v/>
      </c>
      <c r="G1166" s="14">
        <f>'Empleo Censo'!J1166+'Empleo Censo'!K1166</f>
        <v/>
      </c>
      <c r="H1166" s="14">
        <f>'Empleo Censo'!L1166</f>
        <v/>
      </c>
      <c r="I1166" s="14">
        <f>'Empleo Censo'!M1166</f>
        <v/>
      </c>
      <c r="J1166" s="14">
        <f>SUM('Empleo Censo'!N1166:AA1166)</f>
        <v/>
      </c>
      <c r="K1166" s="14">
        <f>SUM(C1166:J1166)</f>
        <v/>
      </c>
      <c r="L1166" s="15">
        <f>SUMPRODUCT(C1166:J1166,Factores!$B$3:$I$3)</f>
        <v/>
      </c>
      <c r="M1166" s="16">
        <f>'Empleo Censo'!E1166</f>
        <v/>
      </c>
      <c r="N1166" s="17">
        <f>IF(M1166&gt;0,L1166,Factores!$B$7)</f>
        <v/>
      </c>
      <c r="O1166">
        <f>IF(M1166&gt;0,"OK","sin PEA -&gt; peor")</f>
        <v/>
      </c>
    </row>
    <row r="1167">
      <c r="A1167" t="inlineStr">
        <is>
          <t>020204</t>
        </is>
      </c>
      <c r="B1167" t="inlineStr">
        <is>
          <t>LA MERCED</t>
        </is>
      </c>
      <c r="C1167" s="14">
        <f>'Empleo Censo'!G1167-'Empleo Censo'!F1167</f>
        <v/>
      </c>
      <c r="D1167" s="14">
        <f>'Empleo Censo'!F1167</f>
        <v/>
      </c>
      <c r="E1167" s="14">
        <f>'Empleo Censo'!H1167</f>
        <v/>
      </c>
      <c r="F1167" s="14">
        <f>'Empleo Censo'!I1167</f>
        <v/>
      </c>
      <c r="G1167" s="14">
        <f>'Empleo Censo'!J1167+'Empleo Censo'!K1167</f>
        <v/>
      </c>
      <c r="H1167" s="14">
        <f>'Empleo Censo'!L1167</f>
        <v/>
      </c>
      <c r="I1167" s="14">
        <f>'Empleo Censo'!M1167</f>
        <v/>
      </c>
      <c r="J1167" s="14">
        <f>SUM('Empleo Censo'!N1167:AA1167)</f>
        <v/>
      </c>
      <c r="K1167" s="14">
        <f>SUM(C1167:J1167)</f>
        <v/>
      </c>
      <c r="L1167" s="15">
        <f>SUMPRODUCT(C1167:J1167,Factores!$B$3:$I$3)</f>
        <v/>
      </c>
      <c r="M1167" s="16">
        <f>'Empleo Censo'!E1167</f>
        <v/>
      </c>
      <c r="N1167" s="17">
        <f>IF(M1167&gt;0,L1167,Factores!$B$7)</f>
        <v/>
      </c>
      <c r="O1167">
        <f>IF(M1167&gt;0,"OK","sin PEA -&gt; peor")</f>
        <v/>
      </c>
    </row>
    <row r="1168">
      <c r="A1168" t="inlineStr">
        <is>
          <t>061112</t>
        </is>
      </c>
      <c r="B1168" t="inlineStr">
        <is>
          <t>TONGOD</t>
        </is>
      </c>
      <c r="C1168" s="14">
        <f>'Empleo Censo'!G1168-'Empleo Censo'!F1168</f>
        <v/>
      </c>
      <c r="D1168" s="14">
        <f>'Empleo Censo'!F1168</f>
        <v/>
      </c>
      <c r="E1168" s="14">
        <f>'Empleo Censo'!H1168</f>
        <v/>
      </c>
      <c r="F1168" s="14">
        <f>'Empleo Censo'!I1168</f>
        <v/>
      </c>
      <c r="G1168" s="14">
        <f>'Empleo Censo'!J1168+'Empleo Censo'!K1168</f>
        <v/>
      </c>
      <c r="H1168" s="14">
        <f>'Empleo Censo'!L1168</f>
        <v/>
      </c>
      <c r="I1168" s="14">
        <f>'Empleo Censo'!M1168</f>
        <v/>
      </c>
      <c r="J1168" s="14">
        <f>SUM('Empleo Censo'!N1168:AA1168)</f>
        <v/>
      </c>
      <c r="K1168" s="14">
        <f>SUM(C1168:J1168)</f>
        <v/>
      </c>
      <c r="L1168" s="15">
        <f>SUMPRODUCT(C1168:J1168,Factores!$B$3:$I$3)</f>
        <v/>
      </c>
      <c r="M1168" s="16">
        <f>'Empleo Censo'!E1168</f>
        <v/>
      </c>
      <c r="N1168" s="17">
        <f>IF(M1168&gt;0,L1168,Factores!$B$7)</f>
        <v/>
      </c>
      <c r="O1168">
        <f>IF(M1168&gt;0,"OK","sin PEA -&gt; peor")</f>
        <v/>
      </c>
    </row>
    <row r="1169">
      <c r="A1169" t="inlineStr">
        <is>
          <t>061204</t>
        </is>
      </c>
      <c r="B1169" t="inlineStr">
        <is>
          <t>TUMBADEN</t>
        </is>
      </c>
      <c r="C1169" s="14">
        <f>'Empleo Censo'!G1169-'Empleo Censo'!F1169</f>
        <v/>
      </c>
      <c r="D1169" s="14">
        <f>'Empleo Censo'!F1169</f>
        <v/>
      </c>
      <c r="E1169" s="14">
        <f>'Empleo Censo'!H1169</f>
        <v/>
      </c>
      <c r="F1169" s="14">
        <f>'Empleo Censo'!I1169</f>
        <v/>
      </c>
      <c r="G1169" s="14">
        <f>'Empleo Censo'!J1169+'Empleo Censo'!K1169</f>
        <v/>
      </c>
      <c r="H1169" s="14">
        <f>'Empleo Censo'!L1169</f>
        <v/>
      </c>
      <c r="I1169" s="14">
        <f>'Empleo Censo'!M1169</f>
        <v/>
      </c>
      <c r="J1169" s="14">
        <f>SUM('Empleo Censo'!N1169:AA1169)</f>
        <v/>
      </c>
      <c r="K1169" s="14">
        <f>SUM(C1169:J1169)</f>
        <v/>
      </c>
      <c r="L1169" s="15">
        <f>SUMPRODUCT(C1169:J1169,Factores!$B$3:$I$3)</f>
        <v/>
      </c>
      <c r="M1169" s="16">
        <f>'Empleo Censo'!E1169</f>
        <v/>
      </c>
      <c r="N1169" s="17">
        <f>IF(M1169&gt;0,L1169,Factores!$B$7)</f>
        <v/>
      </c>
      <c r="O1169">
        <f>IF(M1169&gt;0,"OK","sin PEA -&gt; peor")</f>
        <v/>
      </c>
    </row>
    <row r="1170">
      <c r="A1170" t="inlineStr">
        <is>
          <t>060606</t>
        </is>
      </c>
      <c r="B1170" t="inlineStr">
        <is>
          <t>PIMPINGOS</t>
        </is>
      </c>
      <c r="C1170" s="14">
        <f>'Empleo Censo'!G1170-'Empleo Censo'!F1170</f>
        <v/>
      </c>
      <c r="D1170" s="14">
        <f>'Empleo Censo'!F1170</f>
        <v/>
      </c>
      <c r="E1170" s="14">
        <f>'Empleo Censo'!H1170</f>
        <v/>
      </c>
      <c r="F1170" s="14">
        <f>'Empleo Censo'!I1170</f>
        <v/>
      </c>
      <c r="G1170" s="14">
        <f>'Empleo Censo'!J1170+'Empleo Censo'!K1170</f>
        <v/>
      </c>
      <c r="H1170" s="14">
        <f>'Empleo Censo'!L1170</f>
        <v/>
      </c>
      <c r="I1170" s="14">
        <f>'Empleo Censo'!M1170</f>
        <v/>
      </c>
      <c r="J1170" s="14">
        <f>SUM('Empleo Censo'!N1170:AA1170)</f>
        <v/>
      </c>
      <c r="K1170" s="14">
        <f>SUM(C1170:J1170)</f>
        <v/>
      </c>
      <c r="L1170" s="15">
        <f>SUMPRODUCT(C1170:J1170,Factores!$B$3:$I$3)</f>
        <v/>
      </c>
      <c r="M1170" s="16">
        <f>'Empleo Censo'!E1170</f>
        <v/>
      </c>
      <c r="N1170" s="17">
        <f>IF(M1170&gt;0,L1170,Factores!$B$7)</f>
        <v/>
      </c>
      <c r="O1170">
        <f>IF(M1170&gt;0,"OK","sin PEA -&gt; peor")</f>
        <v/>
      </c>
    </row>
    <row r="1171">
      <c r="A1171" t="inlineStr">
        <is>
          <t>050406</t>
        </is>
      </c>
      <c r="B1171" t="inlineStr">
        <is>
          <t>SANTILLANA</t>
        </is>
      </c>
      <c r="C1171" s="14">
        <f>'Empleo Censo'!G1171-'Empleo Censo'!F1171</f>
        <v/>
      </c>
      <c r="D1171" s="14">
        <f>'Empleo Censo'!F1171</f>
        <v/>
      </c>
      <c r="E1171" s="14">
        <f>'Empleo Censo'!H1171</f>
        <v/>
      </c>
      <c r="F1171" s="14">
        <f>'Empleo Censo'!I1171</f>
        <v/>
      </c>
      <c r="G1171" s="14">
        <f>'Empleo Censo'!J1171+'Empleo Censo'!K1171</f>
        <v/>
      </c>
      <c r="H1171" s="14">
        <f>'Empleo Censo'!L1171</f>
        <v/>
      </c>
      <c r="I1171" s="14">
        <f>'Empleo Censo'!M1171</f>
        <v/>
      </c>
      <c r="J1171" s="14">
        <f>SUM('Empleo Censo'!N1171:AA1171)</f>
        <v/>
      </c>
      <c r="K1171" s="14">
        <f>SUM(C1171:J1171)</f>
        <v/>
      </c>
      <c r="L1171" s="15">
        <f>SUMPRODUCT(C1171:J1171,Factores!$B$3:$I$3)</f>
        <v/>
      </c>
      <c r="M1171" s="16">
        <f>'Empleo Censo'!E1171</f>
        <v/>
      </c>
      <c r="N1171" s="17">
        <f>IF(M1171&gt;0,L1171,Factores!$B$7)</f>
        <v/>
      </c>
      <c r="O1171">
        <f>IF(M1171&gt;0,"OK","sin PEA -&gt; peor")</f>
        <v/>
      </c>
    </row>
    <row r="1172">
      <c r="A1172" t="inlineStr">
        <is>
          <t>060306</t>
        </is>
      </c>
      <c r="B1172" t="inlineStr">
        <is>
          <t>JOSE GALVEZ</t>
        </is>
      </c>
      <c r="C1172" s="14">
        <f>'Empleo Censo'!G1172-'Empleo Censo'!F1172</f>
        <v/>
      </c>
      <c r="D1172" s="14">
        <f>'Empleo Censo'!F1172</f>
        <v/>
      </c>
      <c r="E1172" s="14">
        <f>'Empleo Censo'!H1172</f>
        <v/>
      </c>
      <c r="F1172" s="14">
        <f>'Empleo Censo'!I1172</f>
        <v/>
      </c>
      <c r="G1172" s="14">
        <f>'Empleo Censo'!J1172+'Empleo Censo'!K1172</f>
        <v/>
      </c>
      <c r="H1172" s="14">
        <f>'Empleo Censo'!L1172</f>
        <v/>
      </c>
      <c r="I1172" s="14">
        <f>'Empleo Censo'!M1172</f>
        <v/>
      </c>
      <c r="J1172" s="14">
        <f>SUM('Empleo Censo'!N1172:AA1172)</f>
        <v/>
      </c>
      <c r="K1172" s="14">
        <f>SUM(C1172:J1172)</f>
        <v/>
      </c>
      <c r="L1172" s="15">
        <f>SUMPRODUCT(C1172:J1172,Factores!$B$3:$I$3)</f>
        <v/>
      </c>
      <c r="M1172" s="16">
        <f>'Empleo Censo'!E1172</f>
        <v/>
      </c>
      <c r="N1172" s="17">
        <f>IF(M1172&gt;0,L1172,Factores!$B$7)</f>
        <v/>
      </c>
      <c r="O1172">
        <f>IF(M1172&gt;0,"OK","sin PEA -&gt; peor")</f>
        <v/>
      </c>
    </row>
    <row r="1173">
      <c r="A1173" t="inlineStr">
        <is>
          <t>060703</t>
        </is>
      </c>
      <c r="B1173" t="inlineStr">
        <is>
          <t>HUALGAYOC</t>
        </is>
      </c>
      <c r="C1173" s="14">
        <f>'Empleo Censo'!G1173-'Empleo Censo'!F1173</f>
        <v/>
      </c>
      <c r="D1173" s="14">
        <f>'Empleo Censo'!F1173</f>
        <v/>
      </c>
      <c r="E1173" s="14">
        <f>'Empleo Censo'!H1173</f>
        <v/>
      </c>
      <c r="F1173" s="14">
        <f>'Empleo Censo'!I1173</f>
        <v/>
      </c>
      <c r="G1173" s="14">
        <f>'Empleo Censo'!J1173+'Empleo Censo'!K1173</f>
        <v/>
      </c>
      <c r="H1173" s="14">
        <f>'Empleo Censo'!L1173</f>
        <v/>
      </c>
      <c r="I1173" s="14">
        <f>'Empleo Censo'!M1173</f>
        <v/>
      </c>
      <c r="J1173" s="14">
        <f>SUM('Empleo Censo'!N1173:AA1173)</f>
        <v/>
      </c>
      <c r="K1173" s="14">
        <f>SUM(C1173:J1173)</f>
        <v/>
      </c>
      <c r="L1173" s="15">
        <f>SUMPRODUCT(C1173:J1173,Factores!$B$3:$I$3)</f>
        <v/>
      </c>
      <c r="M1173" s="16">
        <f>'Empleo Censo'!E1173</f>
        <v/>
      </c>
      <c r="N1173" s="17">
        <f>IF(M1173&gt;0,L1173,Factores!$B$7)</f>
        <v/>
      </c>
      <c r="O1173">
        <f>IF(M1173&gt;0,"OK","sin PEA -&gt; peor")</f>
        <v/>
      </c>
    </row>
    <row r="1174">
      <c r="A1174" t="inlineStr">
        <is>
          <t>081205</t>
        </is>
      </c>
      <c r="B1174" t="inlineStr">
        <is>
          <t>CCATCA</t>
        </is>
      </c>
      <c r="C1174" s="14">
        <f>'Empleo Censo'!G1174-'Empleo Censo'!F1174</f>
        <v/>
      </c>
      <c r="D1174" s="14">
        <f>'Empleo Censo'!F1174</f>
        <v/>
      </c>
      <c r="E1174" s="14">
        <f>'Empleo Censo'!H1174</f>
        <v/>
      </c>
      <c r="F1174" s="14">
        <f>'Empleo Censo'!I1174</f>
        <v/>
      </c>
      <c r="G1174" s="14">
        <f>'Empleo Censo'!J1174+'Empleo Censo'!K1174</f>
        <v/>
      </c>
      <c r="H1174" s="14">
        <f>'Empleo Censo'!L1174</f>
        <v/>
      </c>
      <c r="I1174" s="14">
        <f>'Empleo Censo'!M1174</f>
        <v/>
      </c>
      <c r="J1174" s="14">
        <f>SUM('Empleo Censo'!N1174:AA1174)</f>
        <v/>
      </c>
      <c r="K1174" s="14">
        <f>SUM(C1174:J1174)</f>
        <v/>
      </c>
      <c r="L1174" s="15">
        <f>SUMPRODUCT(C1174:J1174,Factores!$B$3:$I$3)</f>
        <v/>
      </c>
      <c r="M1174" s="16">
        <f>'Empleo Censo'!E1174</f>
        <v/>
      </c>
      <c r="N1174" s="17">
        <f>IF(M1174&gt;0,L1174,Factores!$B$7)</f>
        <v/>
      </c>
      <c r="O1174">
        <f>IF(M1174&gt;0,"OK","sin PEA -&gt; peor")</f>
        <v/>
      </c>
    </row>
    <row r="1175">
      <c r="A1175" t="inlineStr">
        <is>
          <t>061109</t>
        </is>
      </c>
      <c r="B1175" t="inlineStr">
        <is>
          <t>NIEPOS</t>
        </is>
      </c>
      <c r="C1175" s="14">
        <f>'Empleo Censo'!G1175-'Empleo Censo'!F1175</f>
        <v/>
      </c>
      <c r="D1175" s="14">
        <f>'Empleo Censo'!F1175</f>
        <v/>
      </c>
      <c r="E1175" s="14">
        <f>'Empleo Censo'!H1175</f>
        <v/>
      </c>
      <c r="F1175" s="14">
        <f>'Empleo Censo'!I1175</f>
        <v/>
      </c>
      <c r="G1175" s="14">
        <f>'Empleo Censo'!J1175+'Empleo Censo'!K1175</f>
        <v/>
      </c>
      <c r="H1175" s="14">
        <f>'Empleo Censo'!L1175</f>
        <v/>
      </c>
      <c r="I1175" s="14">
        <f>'Empleo Censo'!M1175</f>
        <v/>
      </c>
      <c r="J1175" s="14">
        <f>SUM('Empleo Censo'!N1175:AA1175)</f>
        <v/>
      </c>
      <c r="K1175" s="14">
        <f>SUM(C1175:J1175)</f>
        <v/>
      </c>
      <c r="L1175" s="15">
        <f>SUMPRODUCT(C1175:J1175,Factores!$B$3:$I$3)</f>
        <v/>
      </c>
      <c r="M1175" s="16">
        <f>'Empleo Censo'!E1175</f>
        <v/>
      </c>
      <c r="N1175" s="17">
        <f>IF(M1175&gt;0,L1175,Factores!$B$7)</f>
        <v/>
      </c>
      <c r="O1175">
        <f>IF(M1175&gt;0,"OK","sin PEA -&gt; peor")</f>
        <v/>
      </c>
    </row>
    <row r="1176">
      <c r="A1176" t="inlineStr">
        <is>
          <t>050202</t>
        </is>
      </c>
      <c r="B1176" t="inlineStr">
        <is>
          <t>CHUSCHI</t>
        </is>
      </c>
      <c r="C1176" s="14">
        <f>'Empleo Censo'!G1176-'Empleo Censo'!F1176</f>
        <v/>
      </c>
      <c r="D1176" s="14">
        <f>'Empleo Censo'!F1176</f>
        <v/>
      </c>
      <c r="E1176" s="14">
        <f>'Empleo Censo'!H1176</f>
        <v/>
      </c>
      <c r="F1176" s="14">
        <f>'Empleo Censo'!I1176</f>
        <v/>
      </c>
      <c r="G1176" s="14">
        <f>'Empleo Censo'!J1176+'Empleo Censo'!K1176</f>
        <v/>
      </c>
      <c r="H1176" s="14">
        <f>'Empleo Censo'!L1176</f>
        <v/>
      </c>
      <c r="I1176" s="14">
        <f>'Empleo Censo'!M1176</f>
        <v/>
      </c>
      <c r="J1176" s="14">
        <f>SUM('Empleo Censo'!N1176:AA1176)</f>
        <v/>
      </c>
      <c r="K1176" s="14">
        <f>SUM(C1176:J1176)</f>
        <v/>
      </c>
      <c r="L1176" s="15">
        <f>SUMPRODUCT(C1176:J1176,Factores!$B$3:$I$3)</f>
        <v/>
      </c>
      <c r="M1176" s="16">
        <f>'Empleo Censo'!E1176</f>
        <v/>
      </c>
      <c r="N1176" s="17">
        <f>IF(M1176&gt;0,L1176,Factores!$B$7)</f>
        <v/>
      </c>
      <c r="O1176">
        <f>IF(M1176&gt;0,"OK","sin PEA -&gt; peor")</f>
        <v/>
      </c>
    </row>
    <row r="1177">
      <c r="A1177" t="inlineStr">
        <is>
          <t>060409</t>
        </is>
      </c>
      <c r="B1177" t="inlineStr">
        <is>
          <t>HUAMBOS</t>
        </is>
      </c>
      <c r="C1177" s="14">
        <f>'Empleo Censo'!G1177-'Empleo Censo'!F1177</f>
        <v/>
      </c>
      <c r="D1177" s="14">
        <f>'Empleo Censo'!F1177</f>
        <v/>
      </c>
      <c r="E1177" s="14">
        <f>'Empleo Censo'!H1177</f>
        <v/>
      </c>
      <c r="F1177" s="14">
        <f>'Empleo Censo'!I1177</f>
        <v/>
      </c>
      <c r="G1177" s="14">
        <f>'Empleo Censo'!J1177+'Empleo Censo'!K1177</f>
        <v/>
      </c>
      <c r="H1177" s="14">
        <f>'Empleo Censo'!L1177</f>
        <v/>
      </c>
      <c r="I1177" s="14">
        <f>'Empleo Censo'!M1177</f>
        <v/>
      </c>
      <c r="J1177" s="14">
        <f>SUM('Empleo Censo'!N1177:AA1177)</f>
        <v/>
      </c>
      <c r="K1177" s="14">
        <f>SUM(C1177:J1177)</f>
        <v/>
      </c>
      <c r="L1177" s="15">
        <f>SUMPRODUCT(C1177:J1177,Factores!$B$3:$I$3)</f>
        <v/>
      </c>
      <c r="M1177" s="16">
        <f>'Empleo Censo'!E1177</f>
        <v/>
      </c>
      <c r="N1177" s="17">
        <f>IF(M1177&gt;0,L1177,Factores!$B$7)</f>
        <v/>
      </c>
      <c r="O1177">
        <f>IF(M1177&gt;0,"OK","sin PEA -&gt; peor")</f>
        <v/>
      </c>
    </row>
    <row r="1178">
      <c r="A1178" t="inlineStr">
        <is>
          <t>050909</t>
        </is>
      </c>
      <c r="B1178" t="inlineStr">
        <is>
          <t>SAN SALVADOR DE QUIJE</t>
        </is>
      </c>
      <c r="C1178" s="14">
        <f>'Empleo Censo'!G1178-'Empleo Censo'!F1178</f>
        <v/>
      </c>
      <c r="D1178" s="14">
        <f>'Empleo Censo'!F1178</f>
        <v/>
      </c>
      <c r="E1178" s="14">
        <f>'Empleo Censo'!H1178</f>
        <v/>
      </c>
      <c r="F1178" s="14">
        <f>'Empleo Censo'!I1178</f>
        <v/>
      </c>
      <c r="G1178" s="14">
        <f>'Empleo Censo'!J1178+'Empleo Censo'!K1178</f>
        <v/>
      </c>
      <c r="H1178" s="14">
        <f>'Empleo Censo'!L1178</f>
        <v/>
      </c>
      <c r="I1178" s="14">
        <f>'Empleo Censo'!M1178</f>
        <v/>
      </c>
      <c r="J1178" s="14">
        <f>SUM('Empleo Censo'!N1178:AA1178)</f>
        <v/>
      </c>
      <c r="K1178" s="14">
        <f>SUM(C1178:J1178)</f>
        <v/>
      </c>
      <c r="L1178" s="15">
        <f>SUMPRODUCT(C1178:J1178,Factores!$B$3:$I$3)</f>
        <v/>
      </c>
      <c r="M1178" s="16">
        <f>'Empleo Censo'!E1178</f>
        <v/>
      </c>
      <c r="N1178" s="17">
        <f>IF(M1178&gt;0,L1178,Factores!$B$7)</f>
        <v/>
      </c>
      <c r="O1178">
        <f>IF(M1178&gt;0,"OK","sin PEA -&gt; peor")</f>
        <v/>
      </c>
    </row>
    <row r="1179">
      <c r="A1179" t="inlineStr">
        <is>
          <t>050109</t>
        </is>
      </c>
      <c r="B1179" t="inlineStr">
        <is>
          <t>SAN JOSE DE TICLLAS</t>
        </is>
      </c>
      <c r="C1179" s="14">
        <f>'Empleo Censo'!G1179-'Empleo Censo'!F1179</f>
        <v/>
      </c>
      <c r="D1179" s="14">
        <f>'Empleo Censo'!F1179</f>
        <v/>
      </c>
      <c r="E1179" s="14">
        <f>'Empleo Censo'!H1179</f>
        <v/>
      </c>
      <c r="F1179" s="14">
        <f>'Empleo Censo'!I1179</f>
        <v/>
      </c>
      <c r="G1179" s="14">
        <f>'Empleo Censo'!J1179+'Empleo Censo'!K1179</f>
        <v/>
      </c>
      <c r="H1179" s="14">
        <f>'Empleo Censo'!L1179</f>
        <v/>
      </c>
      <c r="I1179" s="14">
        <f>'Empleo Censo'!M1179</f>
        <v/>
      </c>
      <c r="J1179" s="14">
        <f>SUM('Empleo Censo'!N1179:AA1179)</f>
        <v/>
      </c>
      <c r="K1179" s="14">
        <f>SUM(C1179:J1179)</f>
        <v/>
      </c>
      <c r="L1179" s="15">
        <f>SUMPRODUCT(C1179:J1179,Factores!$B$3:$I$3)</f>
        <v/>
      </c>
      <c r="M1179" s="16">
        <f>'Empleo Censo'!E1179</f>
        <v/>
      </c>
      <c r="N1179" s="17">
        <f>IF(M1179&gt;0,L1179,Factores!$B$7)</f>
        <v/>
      </c>
      <c r="O1179">
        <f>IF(M1179&gt;0,"OK","sin PEA -&gt; peor")</f>
        <v/>
      </c>
    </row>
    <row r="1180">
      <c r="A1180" t="inlineStr">
        <is>
          <t>021901</t>
        </is>
      </c>
      <c r="B1180" t="inlineStr">
        <is>
          <t>SIHUAS</t>
        </is>
      </c>
      <c r="C1180" s="14">
        <f>'Empleo Censo'!G1180-'Empleo Censo'!F1180</f>
        <v/>
      </c>
      <c r="D1180" s="14">
        <f>'Empleo Censo'!F1180</f>
        <v/>
      </c>
      <c r="E1180" s="14">
        <f>'Empleo Censo'!H1180</f>
        <v/>
      </c>
      <c r="F1180" s="14">
        <f>'Empleo Censo'!I1180</f>
        <v/>
      </c>
      <c r="G1180" s="14">
        <f>'Empleo Censo'!J1180+'Empleo Censo'!K1180</f>
        <v/>
      </c>
      <c r="H1180" s="14">
        <f>'Empleo Censo'!L1180</f>
        <v/>
      </c>
      <c r="I1180" s="14">
        <f>'Empleo Censo'!M1180</f>
        <v/>
      </c>
      <c r="J1180" s="14">
        <f>SUM('Empleo Censo'!N1180:AA1180)</f>
        <v/>
      </c>
      <c r="K1180" s="14">
        <f>SUM(C1180:J1180)</f>
        <v/>
      </c>
      <c r="L1180" s="15">
        <f>SUMPRODUCT(C1180:J1180,Factores!$B$3:$I$3)</f>
        <v/>
      </c>
      <c r="M1180" s="16">
        <f>'Empleo Censo'!E1180</f>
        <v/>
      </c>
      <c r="N1180" s="17">
        <f>IF(M1180&gt;0,L1180,Factores!$B$7)</f>
        <v/>
      </c>
      <c r="O1180">
        <f>IF(M1180&gt;0,"OK","sin PEA -&gt; peor")</f>
        <v/>
      </c>
    </row>
    <row r="1181">
      <c r="A1181" t="inlineStr">
        <is>
          <t>050205</t>
        </is>
      </c>
      <c r="B1181" t="inlineStr">
        <is>
          <t>PARAS</t>
        </is>
      </c>
      <c r="C1181" s="14">
        <f>'Empleo Censo'!G1181-'Empleo Censo'!F1181</f>
        <v/>
      </c>
      <c r="D1181" s="14">
        <f>'Empleo Censo'!F1181</f>
        <v/>
      </c>
      <c r="E1181" s="14">
        <f>'Empleo Censo'!H1181</f>
        <v/>
      </c>
      <c r="F1181" s="14">
        <f>'Empleo Censo'!I1181</f>
        <v/>
      </c>
      <c r="G1181" s="14">
        <f>'Empleo Censo'!J1181+'Empleo Censo'!K1181</f>
        <v/>
      </c>
      <c r="H1181" s="14">
        <f>'Empleo Censo'!L1181</f>
        <v/>
      </c>
      <c r="I1181" s="14">
        <f>'Empleo Censo'!M1181</f>
        <v/>
      </c>
      <c r="J1181" s="14">
        <f>SUM('Empleo Censo'!N1181:AA1181)</f>
        <v/>
      </c>
      <c r="K1181" s="14">
        <f>SUM(C1181:J1181)</f>
        <v/>
      </c>
      <c r="L1181" s="15">
        <f>SUMPRODUCT(C1181:J1181,Factores!$B$3:$I$3)</f>
        <v/>
      </c>
      <c r="M1181" s="16">
        <f>'Empleo Censo'!E1181</f>
        <v/>
      </c>
      <c r="N1181" s="17">
        <f>IF(M1181&gt;0,L1181,Factores!$B$7)</f>
        <v/>
      </c>
      <c r="O1181">
        <f>IF(M1181&gt;0,"OK","sin PEA -&gt; peor")</f>
        <v/>
      </c>
    </row>
    <row r="1182">
      <c r="A1182" t="inlineStr">
        <is>
          <t>021601</t>
        </is>
      </c>
      <c r="B1182" t="inlineStr">
        <is>
          <t>POMABAMBA</t>
        </is>
      </c>
      <c r="C1182" s="14">
        <f>'Empleo Censo'!G1182-'Empleo Censo'!F1182</f>
        <v/>
      </c>
      <c r="D1182" s="14">
        <f>'Empleo Censo'!F1182</f>
        <v/>
      </c>
      <c r="E1182" s="14">
        <f>'Empleo Censo'!H1182</f>
        <v/>
      </c>
      <c r="F1182" s="14">
        <f>'Empleo Censo'!I1182</f>
        <v/>
      </c>
      <c r="G1182" s="14">
        <f>'Empleo Censo'!J1182+'Empleo Censo'!K1182</f>
        <v/>
      </c>
      <c r="H1182" s="14">
        <f>'Empleo Censo'!L1182</f>
        <v/>
      </c>
      <c r="I1182" s="14">
        <f>'Empleo Censo'!M1182</f>
        <v/>
      </c>
      <c r="J1182" s="14">
        <f>SUM('Empleo Censo'!N1182:AA1182)</f>
        <v/>
      </c>
      <c r="K1182" s="14">
        <f>SUM(C1182:J1182)</f>
        <v/>
      </c>
      <c r="L1182" s="15">
        <f>SUMPRODUCT(C1182:J1182,Factores!$B$3:$I$3)</f>
        <v/>
      </c>
      <c r="M1182" s="16">
        <f>'Empleo Censo'!E1182</f>
        <v/>
      </c>
      <c r="N1182" s="17">
        <f>IF(M1182&gt;0,L1182,Factores!$B$7)</f>
        <v/>
      </c>
      <c r="O1182">
        <f>IF(M1182&gt;0,"OK","sin PEA -&gt; peor")</f>
        <v/>
      </c>
    </row>
    <row r="1183">
      <c r="A1183" t="inlineStr">
        <is>
          <t>090403</t>
        </is>
      </c>
      <c r="B1183" t="inlineStr">
        <is>
          <t>AURAHUA</t>
        </is>
      </c>
      <c r="C1183" s="14">
        <f>'Empleo Censo'!G1183-'Empleo Censo'!F1183</f>
        <v/>
      </c>
      <c r="D1183" s="14">
        <f>'Empleo Censo'!F1183</f>
        <v/>
      </c>
      <c r="E1183" s="14">
        <f>'Empleo Censo'!H1183</f>
        <v/>
      </c>
      <c r="F1183" s="14">
        <f>'Empleo Censo'!I1183</f>
        <v/>
      </c>
      <c r="G1183" s="14">
        <f>'Empleo Censo'!J1183+'Empleo Censo'!K1183</f>
        <v/>
      </c>
      <c r="H1183" s="14">
        <f>'Empleo Censo'!L1183</f>
        <v/>
      </c>
      <c r="I1183" s="14">
        <f>'Empleo Censo'!M1183</f>
        <v/>
      </c>
      <c r="J1183" s="14">
        <f>SUM('Empleo Censo'!N1183:AA1183)</f>
        <v/>
      </c>
      <c r="K1183" s="14">
        <f>SUM(C1183:J1183)</f>
        <v/>
      </c>
      <c r="L1183" s="15">
        <f>SUMPRODUCT(C1183:J1183,Factores!$B$3:$I$3)</f>
        <v/>
      </c>
      <c r="M1183" s="16">
        <f>'Empleo Censo'!E1183</f>
        <v/>
      </c>
      <c r="N1183" s="17">
        <f>IF(M1183&gt;0,L1183,Factores!$B$7)</f>
        <v/>
      </c>
      <c r="O1183">
        <f>IF(M1183&gt;0,"OK","sin PEA -&gt; peor")</f>
        <v/>
      </c>
    </row>
    <row r="1184">
      <c r="A1184" t="inlineStr">
        <is>
          <t>061001</t>
        </is>
      </c>
      <c r="B1184" t="inlineStr">
        <is>
          <t>PEDRO GALVEZ</t>
        </is>
      </c>
      <c r="C1184" s="14">
        <f>'Empleo Censo'!G1184-'Empleo Censo'!F1184</f>
        <v/>
      </c>
      <c r="D1184" s="14">
        <f>'Empleo Censo'!F1184</f>
        <v/>
      </c>
      <c r="E1184" s="14">
        <f>'Empleo Censo'!H1184</f>
        <v/>
      </c>
      <c r="F1184" s="14">
        <f>'Empleo Censo'!I1184</f>
        <v/>
      </c>
      <c r="G1184" s="14">
        <f>'Empleo Censo'!J1184+'Empleo Censo'!K1184</f>
        <v/>
      </c>
      <c r="H1184" s="14">
        <f>'Empleo Censo'!L1184</f>
        <v/>
      </c>
      <c r="I1184" s="14">
        <f>'Empleo Censo'!M1184</f>
        <v/>
      </c>
      <c r="J1184" s="14">
        <f>SUM('Empleo Censo'!N1184:AA1184)</f>
        <v/>
      </c>
      <c r="K1184" s="14">
        <f>SUM(C1184:J1184)</f>
        <v/>
      </c>
      <c r="L1184" s="15">
        <f>SUMPRODUCT(C1184:J1184,Factores!$B$3:$I$3)</f>
        <v/>
      </c>
      <c r="M1184" s="16">
        <f>'Empleo Censo'!E1184</f>
        <v/>
      </c>
      <c r="N1184" s="17">
        <f>IF(M1184&gt;0,L1184,Factores!$B$7)</f>
        <v/>
      </c>
      <c r="O1184">
        <f>IF(M1184&gt;0,"OK","sin PEA -&gt; peor")</f>
        <v/>
      </c>
    </row>
    <row r="1185">
      <c r="A1185" t="inlineStr">
        <is>
          <t>060112</t>
        </is>
      </c>
      <c r="B1185" t="inlineStr">
        <is>
          <t>SAN JUAN</t>
        </is>
      </c>
      <c r="C1185" s="14">
        <f>'Empleo Censo'!G1185-'Empleo Censo'!F1185</f>
        <v/>
      </c>
      <c r="D1185" s="14">
        <f>'Empleo Censo'!F1185</f>
        <v/>
      </c>
      <c r="E1185" s="14">
        <f>'Empleo Censo'!H1185</f>
        <v/>
      </c>
      <c r="F1185" s="14">
        <f>'Empleo Censo'!I1185</f>
        <v/>
      </c>
      <c r="G1185" s="14">
        <f>'Empleo Censo'!J1185+'Empleo Censo'!K1185</f>
        <v/>
      </c>
      <c r="H1185" s="14">
        <f>'Empleo Censo'!L1185</f>
        <v/>
      </c>
      <c r="I1185" s="14">
        <f>'Empleo Censo'!M1185</f>
        <v/>
      </c>
      <c r="J1185" s="14">
        <f>SUM('Empleo Censo'!N1185:AA1185)</f>
        <v/>
      </c>
      <c r="K1185" s="14">
        <f>SUM(C1185:J1185)</f>
        <v/>
      </c>
      <c r="L1185" s="15">
        <f>SUMPRODUCT(C1185:J1185,Factores!$B$3:$I$3)</f>
        <v/>
      </c>
      <c r="M1185" s="16">
        <f>'Empleo Censo'!E1185</f>
        <v/>
      </c>
      <c r="N1185" s="17">
        <f>IF(M1185&gt;0,L1185,Factores!$B$7)</f>
        <v/>
      </c>
      <c r="O1185">
        <f>IF(M1185&gt;0,"OK","sin PEA -&gt; peor")</f>
        <v/>
      </c>
    </row>
    <row r="1186">
      <c r="A1186" t="inlineStr">
        <is>
          <t>090109</t>
        </is>
      </c>
      <c r="B1186" t="inlineStr">
        <is>
          <t>LARIA</t>
        </is>
      </c>
      <c r="C1186" s="14">
        <f>'Empleo Censo'!G1186-'Empleo Censo'!F1186</f>
        <v/>
      </c>
      <c r="D1186" s="14">
        <f>'Empleo Censo'!F1186</f>
        <v/>
      </c>
      <c r="E1186" s="14">
        <f>'Empleo Censo'!H1186</f>
        <v/>
      </c>
      <c r="F1186" s="14">
        <f>'Empleo Censo'!I1186</f>
        <v/>
      </c>
      <c r="G1186" s="14">
        <f>'Empleo Censo'!J1186+'Empleo Censo'!K1186</f>
        <v/>
      </c>
      <c r="H1186" s="14">
        <f>'Empleo Censo'!L1186</f>
        <v/>
      </c>
      <c r="I1186" s="14">
        <f>'Empleo Censo'!M1186</f>
        <v/>
      </c>
      <c r="J1186" s="14">
        <f>SUM('Empleo Censo'!N1186:AA1186)</f>
        <v/>
      </c>
      <c r="K1186" s="14">
        <f>SUM(C1186:J1186)</f>
        <v/>
      </c>
      <c r="L1186" s="15">
        <f>SUMPRODUCT(C1186:J1186,Factores!$B$3:$I$3)</f>
        <v/>
      </c>
      <c r="M1186" s="16">
        <f>'Empleo Censo'!E1186</f>
        <v/>
      </c>
      <c r="N1186" s="17">
        <f>IF(M1186&gt;0,L1186,Factores!$B$7)</f>
        <v/>
      </c>
      <c r="O1186">
        <f>IF(M1186&gt;0,"OK","sin PEA -&gt; peor")</f>
        <v/>
      </c>
    </row>
    <row r="1187">
      <c r="A1187" t="inlineStr">
        <is>
          <t>080505</t>
        </is>
      </c>
      <c r="B1187" t="inlineStr">
        <is>
          <t>LAYO</t>
        </is>
      </c>
      <c r="C1187" s="14">
        <f>'Empleo Censo'!G1187-'Empleo Censo'!F1187</f>
        <v/>
      </c>
      <c r="D1187" s="14">
        <f>'Empleo Censo'!F1187</f>
        <v/>
      </c>
      <c r="E1187" s="14">
        <f>'Empleo Censo'!H1187</f>
        <v/>
      </c>
      <c r="F1187" s="14">
        <f>'Empleo Censo'!I1187</f>
        <v/>
      </c>
      <c r="G1187" s="14">
        <f>'Empleo Censo'!J1187+'Empleo Censo'!K1187</f>
        <v/>
      </c>
      <c r="H1187" s="14">
        <f>'Empleo Censo'!L1187</f>
        <v/>
      </c>
      <c r="I1187" s="14">
        <f>'Empleo Censo'!M1187</f>
        <v/>
      </c>
      <c r="J1187" s="14">
        <f>SUM('Empleo Censo'!N1187:AA1187)</f>
        <v/>
      </c>
      <c r="K1187" s="14">
        <f>SUM(C1187:J1187)</f>
        <v/>
      </c>
      <c r="L1187" s="15">
        <f>SUMPRODUCT(C1187:J1187,Factores!$B$3:$I$3)</f>
        <v/>
      </c>
      <c r="M1187" s="16">
        <f>'Empleo Censo'!E1187</f>
        <v/>
      </c>
      <c r="N1187" s="17">
        <f>IF(M1187&gt;0,L1187,Factores!$B$7)</f>
        <v/>
      </c>
      <c r="O1187">
        <f>IF(M1187&gt;0,"OK","sin PEA -&gt; peor")</f>
        <v/>
      </c>
    </row>
    <row r="1188">
      <c r="A1188" t="inlineStr">
        <is>
          <t>030218</t>
        </is>
      </c>
      <c r="B1188" t="inlineStr">
        <is>
          <t>TURPO</t>
        </is>
      </c>
      <c r="C1188" s="14">
        <f>'Empleo Censo'!G1188-'Empleo Censo'!F1188</f>
        <v/>
      </c>
      <c r="D1188" s="14">
        <f>'Empleo Censo'!F1188</f>
        <v/>
      </c>
      <c r="E1188" s="14">
        <f>'Empleo Censo'!H1188</f>
        <v/>
      </c>
      <c r="F1188" s="14">
        <f>'Empleo Censo'!I1188</f>
        <v/>
      </c>
      <c r="G1188" s="14">
        <f>'Empleo Censo'!J1188+'Empleo Censo'!K1188</f>
        <v/>
      </c>
      <c r="H1188" s="14">
        <f>'Empleo Censo'!L1188</f>
        <v/>
      </c>
      <c r="I1188" s="14">
        <f>'Empleo Censo'!M1188</f>
        <v/>
      </c>
      <c r="J1188" s="14">
        <f>SUM('Empleo Censo'!N1188:AA1188)</f>
        <v/>
      </c>
      <c r="K1188" s="14">
        <f>SUM(C1188:J1188)</f>
        <v/>
      </c>
      <c r="L1188" s="15">
        <f>SUMPRODUCT(C1188:J1188,Factores!$B$3:$I$3)</f>
        <v/>
      </c>
      <c r="M1188" s="16">
        <f>'Empleo Censo'!E1188</f>
        <v/>
      </c>
      <c r="N1188" s="17">
        <f>IF(M1188&gt;0,L1188,Factores!$B$7)</f>
        <v/>
      </c>
      <c r="O1188">
        <f>IF(M1188&gt;0,"OK","sin PEA -&gt; peor")</f>
        <v/>
      </c>
    </row>
    <row r="1189">
      <c r="A1189" t="inlineStr">
        <is>
          <t>090705</t>
        </is>
      </c>
      <c r="B1189" t="inlineStr">
        <is>
          <t>COLCABAMBA</t>
        </is>
      </c>
      <c r="C1189" s="14">
        <f>'Empleo Censo'!G1189-'Empleo Censo'!F1189</f>
        <v/>
      </c>
      <c r="D1189" s="14">
        <f>'Empleo Censo'!F1189</f>
        <v/>
      </c>
      <c r="E1189" s="14">
        <f>'Empleo Censo'!H1189</f>
        <v/>
      </c>
      <c r="F1189" s="14">
        <f>'Empleo Censo'!I1189</f>
        <v/>
      </c>
      <c r="G1189" s="14">
        <f>'Empleo Censo'!J1189+'Empleo Censo'!K1189</f>
        <v/>
      </c>
      <c r="H1189" s="14">
        <f>'Empleo Censo'!L1189</f>
        <v/>
      </c>
      <c r="I1189" s="14">
        <f>'Empleo Censo'!M1189</f>
        <v/>
      </c>
      <c r="J1189" s="14">
        <f>SUM('Empleo Censo'!N1189:AA1189)</f>
        <v/>
      </c>
      <c r="K1189" s="14">
        <f>SUM(C1189:J1189)</f>
        <v/>
      </c>
      <c r="L1189" s="15">
        <f>SUMPRODUCT(C1189:J1189,Factores!$B$3:$I$3)</f>
        <v/>
      </c>
      <c r="M1189" s="16">
        <f>'Empleo Censo'!E1189</f>
        <v/>
      </c>
      <c r="N1189" s="17">
        <f>IF(M1189&gt;0,L1189,Factores!$B$7)</f>
        <v/>
      </c>
      <c r="O1189">
        <f>IF(M1189&gt;0,"OK","sin PEA -&gt; peor")</f>
        <v/>
      </c>
    </row>
    <row r="1190">
      <c r="A1190" t="inlineStr">
        <is>
          <t>060304</t>
        </is>
      </c>
      <c r="B1190" t="inlineStr">
        <is>
          <t>HUASMIN</t>
        </is>
      </c>
      <c r="C1190" s="14">
        <f>'Empleo Censo'!G1190-'Empleo Censo'!F1190</f>
        <v/>
      </c>
      <c r="D1190" s="14">
        <f>'Empleo Censo'!F1190</f>
        <v/>
      </c>
      <c r="E1190" s="14">
        <f>'Empleo Censo'!H1190</f>
        <v/>
      </c>
      <c r="F1190" s="14">
        <f>'Empleo Censo'!I1190</f>
        <v/>
      </c>
      <c r="G1190" s="14">
        <f>'Empleo Censo'!J1190+'Empleo Censo'!K1190</f>
        <v/>
      </c>
      <c r="H1190" s="14">
        <f>'Empleo Censo'!L1190</f>
        <v/>
      </c>
      <c r="I1190" s="14">
        <f>'Empleo Censo'!M1190</f>
        <v/>
      </c>
      <c r="J1190" s="14">
        <f>SUM('Empleo Censo'!N1190:AA1190)</f>
        <v/>
      </c>
      <c r="K1190" s="14">
        <f>SUM(C1190:J1190)</f>
        <v/>
      </c>
      <c r="L1190" s="15">
        <f>SUMPRODUCT(C1190:J1190,Factores!$B$3:$I$3)</f>
        <v/>
      </c>
      <c r="M1190" s="16">
        <f>'Empleo Censo'!E1190</f>
        <v/>
      </c>
      <c r="N1190" s="17">
        <f>IF(M1190&gt;0,L1190,Factores!$B$7)</f>
        <v/>
      </c>
      <c r="O1190">
        <f>IF(M1190&gt;0,"OK","sin PEA -&gt; peor")</f>
        <v/>
      </c>
    </row>
    <row r="1191">
      <c r="A1191" t="inlineStr">
        <is>
          <t>010609</t>
        </is>
      </c>
      <c r="B1191" t="inlineStr">
        <is>
          <t>OMIA</t>
        </is>
      </c>
      <c r="C1191" s="14">
        <f>'Empleo Censo'!G1191-'Empleo Censo'!F1191</f>
        <v/>
      </c>
      <c r="D1191" s="14">
        <f>'Empleo Censo'!F1191</f>
        <v/>
      </c>
      <c r="E1191" s="14">
        <f>'Empleo Censo'!H1191</f>
        <v/>
      </c>
      <c r="F1191" s="14">
        <f>'Empleo Censo'!I1191</f>
        <v/>
      </c>
      <c r="G1191" s="14">
        <f>'Empleo Censo'!J1191+'Empleo Censo'!K1191</f>
        <v/>
      </c>
      <c r="H1191" s="14">
        <f>'Empleo Censo'!L1191</f>
        <v/>
      </c>
      <c r="I1191" s="14">
        <f>'Empleo Censo'!M1191</f>
        <v/>
      </c>
      <c r="J1191" s="14">
        <f>SUM('Empleo Censo'!N1191:AA1191)</f>
        <v/>
      </c>
      <c r="K1191" s="14">
        <f>SUM(C1191:J1191)</f>
        <v/>
      </c>
      <c r="L1191" s="15">
        <f>SUMPRODUCT(C1191:J1191,Factores!$B$3:$I$3)</f>
        <v/>
      </c>
      <c r="M1191" s="16">
        <f>'Empleo Censo'!E1191</f>
        <v/>
      </c>
      <c r="N1191" s="17">
        <f>IF(M1191&gt;0,L1191,Factores!$B$7)</f>
        <v/>
      </c>
      <c r="O1191">
        <f>IF(M1191&gt;0,"OK","sin PEA -&gt; peor")</f>
        <v/>
      </c>
    </row>
    <row r="1192">
      <c r="A1192" t="inlineStr">
        <is>
          <t>050807</t>
        </is>
      </c>
      <c r="B1192" t="inlineStr">
        <is>
          <t>PARARCA</t>
        </is>
      </c>
      <c r="C1192" s="14">
        <f>'Empleo Censo'!G1192-'Empleo Censo'!F1192</f>
        <v/>
      </c>
      <c r="D1192" s="14">
        <f>'Empleo Censo'!F1192</f>
        <v/>
      </c>
      <c r="E1192" s="14">
        <f>'Empleo Censo'!H1192</f>
        <v/>
      </c>
      <c r="F1192" s="14">
        <f>'Empleo Censo'!I1192</f>
        <v/>
      </c>
      <c r="G1192" s="14">
        <f>'Empleo Censo'!J1192+'Empleo Censo'!K1192</f>
        <v/>
      </c>
      <c r="H1192" s="14">
        <f>'Empleo Censo'!L1192</f>
        <v/>
      </c>
      <c r="I1192" s="14">
        <f>'Empleo Censo'!M1192</f>
        <v/>
      </c>
      <c r="J1192" s="14">
        <f>SUM('Empleo Censo'!N1192:AA1192)</f>
        <v/>
      </c>
      <c r="K1192" s="14">
        <f>SUM(C1192:J1192)</f>
        <v/>
      </c>
      <c r="L1192" s="15">
        <f>SUMPRODUCT(C1192:J1192,Factores!$B$3:$I$3)</f>
        <v/>
      </c>
      <c r="M1192" s="16">
        <f>'Empleo Censo'!E1192</f>
        <v/>
      </c>
      <c r="N1192" s="17">
        <f>IF(M1192&gt;0,L1192,Factores!$B$7)</f>
        <v/>
      </c>
      <c r="O1192">
        <f>IF(M1192&gt;0,"OK","sin PEA -&gt; peor")</f>
        <v/>
      </c>
    </row>
    <row r="1193">
      <c r="A1193" t="inlineStr">
        <is>
          <t>090707</t>
        </is>
      </c>
      <c r="B1193" t="inlineStr">
        <is>
          <t>HUACHOCOLPA</t>
        </is>
      </c>
      <c r="C1193" s="14">
        <f>'Empleo Censo'!G1193-'Empleo Censo'!F1193</f>
        <v/>
      </c>
      <c r="D1193" s="14">
        <f>'Empleo Censo'!F1193</f>
        <v/>
      </c>
      <c r="E1193" s="14">
        <f>'Empleo Censo'!H1193</f>
        <v/>
      </c>
      <c r="F1193" s="14">
        <f>'Empleo Censo'!I1193</f>
        <v/>
      </c>
      <c r="G1193" s="14">
        <f>'Empleo Censo'!J1193+'Empleo Censo'!K1193</f>
        <v/>
      </c>
      <c r="H1193" s="14">
        <f>'Empleo Censo'!L1193</f>
        <v/>
      </c>
      <c r="I1193" s="14">
        <f>'Empleo Censo'!M1193</f>
        <v/>
      </c>
      <c r="J1193" s="14">
        <f>SUM('Empleo Censo'!N1193:AA1193)</f>
        <v/>
      </c>
      <c r="K1193" s="14">
        <f>SUM(C1193:J1193)</f>
        <v/>
      </c>
      <c r="L1193" s="15">
        <f>SUMPRODUCT(C1193:J1193,Factores!$B$3:$I$3)</f>
        <v/>
      </c>
      <c r="M1193" s="16">
        <f>'Empleo Censo'!E1193</f>
        <v/>
      </c>
      <c r="N1193" s="17">
        <f>IF(M1193&gt;0,L1193,Factores!$B$7)</f>
        <v/>
      </c>
      <c r="O1193">
        <f>IF(M1193&gt;0,"OK","sin PEA -&gt; peor")</f>
        <v/>
      </c>
    </row>
    <row r="1194">
      <c r="A1194" t="inlineStr">
        <is>
          <t>050506</t>
        </is>
      </c>
      <c r="B1194" t="inlineStr">
        <is>
          <t>LUIS CARRANZA</t>
        </is>
      </c>
      <c r="C1194" s="14">
        <f>'Empleo Censo'!G1194-'Empleo Censo'!F1194</f>
        <v/>
      </c>
      <c r="D1194" s="14">
        <f>'Empleo Censo'!F1194</f>
        <v/>
      </c>
      <c r="E1194" s="14">
        <f>'Empleo Censo'!H1194</f>
        <v/>
      </c>
      <c r="F1194" s="14">
        <f>'Empleo Censo'!I1194</f>
        <v/>
      </c>
      <c r="G1194" s="14">
        <f>'Empleo Censo'!J1194+'Empleo Censo'!K1194</f>
        <v/>
      </c>
      <c r="H1194" s="14">
        <f>'Empleo Censo'!L1194</f>
        <v/>
      </c>
      <c r="I1194" s="14">
        <f>'Empleo Censo'!M1194</f>
        <v/>
      </c>
      <c r="J1194" s="14">
        <f>SUM('Empleo Censo'!N1194:AA1194)</f>
        <v/>
      </c>
      <c r="K1194" s="14">
        <f>SUM(C1194:J1194)</f>
        <v/>
      </c>
      <c r="L1194" s="15">
        <f>SUMPRODUCT(C1194:J1194,Factores!$B$3:$I$3)</f>
        <v/>
      </c>
      <c r="M1194" s="16">
        <f>'Empleo Censo'!E1194</f>
        <v/>
      </c>
      <c r="N1194" s="17">
        <f>IF(M1194&gt;0,L1194,Factores!$B$7)</f>
        <v/>
      </c>
      <c r="O1194">
        <f>IF(M1194&gt;0,"OK","sin PEA -&gt; peor")</f>
        <v/>
      </c>
    </row>
    <row r="1195">
      <c r="A1195" t="inlineStr">
        <is>
          <t>030108</t>
        </is>
      </c>
      <c r="B1195" t="inlineStr">
        <is>
          <t>SAN PEDRO DE CACHORA</t>
        </is>
      </c>
      <c r="C1195" s="14">
        <f>'Empleo Censo'!G1195-'Empleo Censo'!F1195</f>
        <v/>
      </c>
      <c r="D1195" s="14">
        <f>'Empleo Censo'!F1195</f>
        <v/>
      </c>
      <c r="E1195" s="14">
        <f>'Empleo Censo'!H1195</f>
        <v/>
      </c>
      <c r="F1195" s="14">
        <f>'Empleo Censo'!I1195</f>
        <v/>
      </c>
      <c r="G1195" s="14">
        <f>'Empleo Censo'!J1195+'Empleo Censo'!K1195</f>
        <v/>
      </c>
      <c r="H1195" s="14">
        <f>'Empleo Censo'!L1195</f>
        <v/>
      </c>
      <c r="I1195" s="14">
        <f>'Empleo Censo'!M1195</f>
        <v/>
      </c>
      <c r="J1195" s="14">
        <f>SUM('Empleo Censo'!N1195:AA1195)</f>
        <v/>
      </c>
      <c r="K1195" s="14">
        <f>SUM(C1195:J1195)</f>
        <v/>
      </c>
      <c r="L1195" s="15">
        <f>SUMPRODUCT(C1195:J1195,Factores!$B$3:$I$3)</f>
        <v/>
      </c>
      <c r="M1195" s="16">
        <f>'Empleo Censo'!E1195</f>
        <v/>
      </c>
      <c r="N1195" s="17">
        <f>IF(M1195&gt;0,L1195,Factores!$B$7)</f>
        <v/>
      </c>
      <c r="O1195">
        <f>IF(M1195&gt;0,"OK","sin PEA -&gt; peor")</f>
        <v/>
      </c>
    </row>
    <row r="1196">
      <c r="A1196" t="inlineStr">
        <is>
          <t>060902</t>
        </is>
      </c>
      <c r="B1196" t="inlineStr">
        <is>
          <t>CHIRINOS</t>
        </is>
      </c>
      <c r="C1196" s="14">
        <f>'Empleo Censo'!G1196-'Empleo Censo'!F1196</f>
        <v/>
      </c>
      <c r="D1196" s="14">
        <f>'Empleo Censo'!F1196</f>
        <v/>
      </c>
      <c r="E1196" s="14">
        <f>'Empleo Censo'!H1196</f>
        <v/>
      </c>
      <c r="F1196" s="14">
        <f>'Empleo Censo'!I1196</f>
        <v/>
      </c>
      <c r="G1196" s="14">
        <f>'Empleo Censo'!J1196+'Empleo Censo'!K1196</f>
        <v/>
      </c>
      <c r="H1196" s="14">
        <f>'Empleo Censo'!L1196</f>
        <v/>
      </c>
      <c r="I1196" s="14">
        <f>'Empleo Censo'!M1196</f>
        <v/>
      </c>
      <c r="J1196" s="14">
        <f>SUM('Empleo Censo'!N1196:AA1196)</f>
        <v/>
      </c>
      <c r="K1196" s="14">
        <f>SUM(C1196:J1196)</f>
        <v/>
      </c>
      <c r="L1196" s="15">
        <f>SUMPRODUCT(C1196:J1196,Factores!$B$3:$I$3)</f>
        <v/>
      </c>
      <c r="M1196" s="16">
        <f>'Empleo Censo'!E1196</f>
        <v/>
      </c>
      <c r="N1196" s="17">
        <f>IF(M1196&gt;0,L1196,Factores!$B$7)</f>
        <v/>
      </c>
      <c r="O1196">
        <f>IF(M1196&gt;0,"OK","sin PEA -&gt; peor")</f>
        <v/>
      </c>
    </row>
    <row r="1197">
      <c r="A1197" t="inlineStr">
        <is>
          <t>021603</t>
        </is>
      </c>
      <c r="B1197" t="inlineStr">
        <is>
          <t>PAROBAMBA</t>
        </is>
      </c>
      <c r="C1197" s="14">
        <f>'Empleo Censo'!G1197-'Empleo Censo'!F1197</f>
        <v/>
      </c>
      <c r="D1197" s="14">
        <f>'Empleo Censo'!F1197</f>
        <v/>
      </c>
      <c r="E1197" s="14">
        <f>'Empleo Censo'!H1197</f>
        <v/>
      </c>
      <c r="F1197" s="14">
        <f>'Empleo Censo'!I1197</f>
        <v/>
      </c>
      <c r="G1197" s="14">
        <f>'Empleo Censo'!J1197+'Empleo Censo'!K1197</f>
        <v/>
      </c>
      <c r="H1197" s="14">
        <f>'Empleo Censo'!L1197</f>
        <v/>
      </c>
      <c r="I1197" s="14">
        <f>'Empleo Censo'!M1197</f>
        <v/>
      </c>
      <c r="J1197" s="14">
        <f>SUM('Empleo Censo'!N1197:AA1197)</f>
        <v/>
      </c>
      <c r="K1197" s="14">
        <f>SUM(C1197:J1197)</f>
        <v/>
      </c>
      <c r="L1197" s="15">
        <f>SUMPRODUCT(C1197:J1197,Factores!$B$3:$I$3)</f>
        <v/>
      </c>
      <c r="M1197" s="16">
        <f>'Empleo Censo'!E1197</f>
        <v/>
      </c>
      <c r="N1197" s="17">
        <f>IF(M1197&gt;0,L1197,Factores!$B$7)</f>
        <v/>
      </c>
      <c r="O1197">
        <f>IF(M1197&gt;0,"OK","sin PEA -&gt; peor")</f>
        <v/>
      </c>
    </row>
    <row r="1198">
      <c r="A1198" t="inlineStr">
        <is>
          <t>010109</t>
        </is>
      </c>
      <c r="B1198" t="inlineStr">
        <is>
          <t>LA JALCA</t>
        </is>
      </c>
      <c r="C1198" s="14">
        <f>'Empleo Censo'!G1198-'Empleo Censo'!F1198</f>
        <v/>
      </c>
      <c r="D1198" s="14">
        <f>'Empleo Censo'!F1198</f>
        <v/>
      </c>
      <c r="E1198" s="14">
        <f>'Empleo Censo'!H1198</f>
        <v/>
      </c>
      <c r="F1198" s="14">
        <f>'Empleo Censo'!I1198</f>
        <v/>
      </c>
      <c r="G1198" s="14">
        <f>'Empleo Censo'!J1198+'Empleo Censo'!K1198</f>
        <v/>
      </c>
      <c r="H1198" s="14">
        <f>'Empleo Censo'!L1198</f>
        <v/>
      </c>
      <c r="I1198" s="14">
        <f>'Empleo Censo'!M1198</f>
        <v/>
      </c>
      <c r="J1198" s="14">
        <f>SUM('Empleo Censo'!N1198:AA1198)</f>
        <v/>
      </c>
      <c r="K1198" s="14">
        <f>SUM(C1198:J1198)</f>
        <v/>
      </c>
      <c r="L1198" s="15">
        <f>SUMPRODUCT(C1198:J1198,Factores!$B$3:$I$3)</f>
        <v/>
      </c>
      <c r="M1198" s="16">
        <f>'Empleo Censo'!E1198</f>
        <v/>
      </c>
      <c r="N1198" s="17">
        <f>IF(M1198&gt;0,L1198,Factores!$B$7)</f>
        <v/>
      </c>
      <c r="O1198">
        <f>IF(M1198&gt;0,"OK","sin PEA -&gt; peor")</f>
        <v/>
      </c>
    </row>
    <row r="1199">
      <c r="A1199" t="inlineStr">
        <is>
          <t>010503</t>
        </is>
      </c>
      <c r="B1199" t="inlineStr">
        <is>
          <t>COCABAMBA</t>
        </is>
      </c>
      <c r="C1199" s="14">
        <f>'Empleo Censo'!G1199-'Empleo Censo'!F1199</f>
        <v/>
      </c>
      <c r="D1199" s="14">
        <f>'Empleo Censo'!F1199</f>
        <v/>
      </c>
      <c r="E1199" s="14">
        <f>'Empleo Censo'!H1199</f>
        <v/>
      </c>
      <c r="F1199" s="14">
        <f>'Empleo Censo'!I1199</f>
        <v/>
      </c>
      <c r="G1199" s="14">
        <f>'Empleo Censo'!J1199+'Empleo Censo'!K1199</f>
        <v/>
      </c>
      <c r="H1199" s="14">
        <f>'Empleo Censo'!L1199</f>
        <v/>
      </c>
      <c r="I1199" s="14">
        <f>'Empleo Censo'!M1199</f>
        <v/>
      </c>
      <c r="J1199" s="14">
        <f>SUM('Empleo Censo'!N1199:AA1199)</f>
        <v/>
      </c>
      <c r="K1199" s="14">
        <f>SUM(C1199:J1199)</f>
        <v/>
      </c>
      <c r="L1199" s="15">
        <f>SUMPRODUCT(C1199:J1199,Factores!$B$3:$I$3)</f>
        <v/>
      </c>
      <c r="M1199" s="16">
        <f>'Empleo Censo'!E1199</f>
        <v/>
      </c>
      <c r="N1199" s="17">
        <f>IF(M1199&gt;0,L1199,Factores!$B$7)</f>
        <v/>
      </c>
      <c r="O1199">
        <f>IF(M1199&gt;0,"OK","sin PEA -&gt; peor")</f>
        <v/>
      </c>
    </row>
    <row r="1200">
      <c r="A1200" t="inlineStr">
        <is>
          <t>060411</t>
        </is>
      </c>
      <c r="B1200" t="inlineStr">
        <is>
          <t>LLAMA</t>
        </is>
      </c>
      <c r="C1200" s="14">
        <f>'Empleo Censo'!G1200-'Empleo Censo'!F1200</f>
        <v/>
      </c>
      <c r="D1200" s="14">
        <f>'Empleo Censo'!F1200</f>
        <v/>
      </c>
      <c r="E1200" s="14">
        <f>'Empleo Censo'!H1200</f>
        <v/>
      </c>
      <c r="F1200" s="14">
        <f>'Empleo Censo'!I1200</f>
        <v/>
      </c>
      <c r="G1200" s="14">
        <f>'Empleo Censo'!J1200+'Empleo Censo'!K1200</f>
        <v/>
      </c>
      <c r="H1200" s="14">
        <f>'Empleo Censo'!L1200</f>
        <v/>
      </c>
      <c r="I1200" s="14">
        <f>'Empleo Censo'!M1200</f>
        <v/>
      </c>
      <c r="J1200" s="14">
        <f>SUM('Empleo Censo'!N1200:AA1200)</f>
        <v/>
      </c>
      <c r="K1200" s="14">
        <f>SUM(C1200:J1200)</f>
        <v/>
      </c>
      <c r="L1200" s="15">
        <f>SUMPRODUCT(C1200:J1200,Factores!$B$3:$I$3)</f>
        <v/>
      </c>
      <c r="M1200" s="16">
        <f>'Empleo Censo'!E1200</f>
        <v/>
      </c>
      <c r="N1200" s="17">
        <f>IF(M1200&gt;0,L1200,Factores!$B$7)</f>
        <v/>
      </c>
      <c r="O1200">
        <f>IF(M1200&gt;0,"OK","sin PEA -&gt; peor")</f>
        <v/>
      </c>
    </row>
    <row r="1201">
      <c r="A1201" t="inlineStr">
        <is>
          <t>050106</t>
        </is>
      </c>
      <c r="B1201" t="inlineStr">
        <is>
          <t>OCROS</t>
        </is>
      </c>
      <c r="C1201" s="14">
        <f>'Empleo Censo'!G1201-'Empleo Censo'!F1201</f>
        <v/>
      </c>
      <c r="D1201" s="14">
        <f>'Empleo Censo'!F1201</f>
        <v/>
      </c>
      <c r="E1201" s="14">
        <f>'Empleo Censo'!H1201</f>
        <v/>
      </c>
      <c r="F1201" s="14">
        <f>'Empleo Censo'!I1201</f>
        <v/>
      </c>
      <c r="G1201" s="14">
        <f>'Empleo Censo'!J1201+'Empleo Censo'!K1201</f>
        <v/>
      </c>
      <c r="H1201" s="14">
        <f>'Empleo Censo'!L1201</f>
        <v/>
      </c>
      <c r="I1201" s="14">
        <f>'Empleo Censo'!M1201</f>
        <v/>
      </c>
      <c r="J1201" s="14">
        <f>SUM('Empleo Censo'!N1201:AA1201)</f>
        <v/>
      </c>
      <c r="K1201" s="14">
        <f>SUM(C1201:J1201)</f>
        <v/>
      </c>
      <c r="L1201" s="15">
        <f>SUMPRODUCT(C1201:J1201,Factores!$B$3:$I$3)</f>
        <v/>
      </c>
      <c r="M1201" s="16">
        <f>'Empleo Censo'!E1201</f>
        <v/>
      </c>
      <c r="N1201" s="17">
        <f>IF(M1201&gt;0,L1201,Factores!$B$7)</f>
        <v/>
      </c>
      <c r="O1201">
        <f>IF(M1201&gt;0,"OK","sin PEA -&gt; peor")</f>
        <v/>
      </c>
    </row>
    <row r="1202">
      <c r="A1202" t="inlineStr">
        <is>
          <t>090116</t>
        </is>
      </c>
      <c r="B1202" t="inlineStr">
        <is>
          <t>VILCA</t>
        </is>
      </c>
      <c r="C1202" s="14">
        <f>'Empleo Censo'!G1202-'Empleo Censo'!F1202</f>
        <v/>
      </c>
      <c r="D1202" s="14">
        <f>'Empleo Censo'!F1202</f>
        <v/>
      </c>
      <c r="E1202" s="14">
        <f>'Empleo Censo'!H1202</f>
        <v/>
      </c>
      <c r="F1202" s="14">
        <f>'Empleo Censo'!I1202</f>
        <v/>
      </c>
      <c r="G1202" s="14">
        <f>'Empleo Censo'!J1202+'Empleo Censo'!K1202</f>
        <v/>
      </c>
      <c r="H1202" s="14">
        <f>'Empleo Censo'!L1202</f>
        <v/>
      </c>
      <c r="I1202" s="14">
        <f>'Empleo Censo'!M1202</f>
        <v/>
      </c>
      <c r="J1202" s="14">
        <f>SUM('Empleo Censo'!N1202:AA1202)</f>
        <v/>
      </c>
      <c r="K1202" s="14">
        <f>SUM(C1202:J1202)</f>
        <v/>
      </c>
      <c r="L1202" s="15">
        <f>SUMPRODUCT(C1202:J1202,Factores!$B$3:$I$3)</f>
        <v/>
      </c>
      <c r="M1202" s="16">
        <f>'Empleo Censo'!E1202</f>
        <v/>
      </c>
      <c r="N1202" s="17">
        <f>IF(M1202&gt;0,L1202,Factores!$B$7)</f>
        <v/>
      </c>
      <c r="O1202">
        <f>IF(M1202&gt;0,"OK","sin PEA -&gt; peor")</f>
        <v/>
      </c>
    </row>
    <row r="1203">
      <c r="A1203" t="inlineStr">
        <is>
          <t>060103</t>
        </is>
      </c>
      <c r="B1203" t="inlineStr">
        <is>
          <t>CHETILLA</t>
        </is>
      </c>
      <c r="C1203" s="14">
        <f>'Empleo Censo'!G1203-'Empleo Censo'!F1203</f>
        <v/>
      </c>
      <c r="D1203" s="14">
        <f>'Empleo Censo'!F1203</f>
        <v/>
      </c>
      <c r="E1203" s="14">
        <f>'Empleo Censo'!H1203</f>
        <v/>
      </c>
      <c r="F1203" s="14">
        <f>'Empleo Censo'!I1203</f>
        <v/>
      </c>
      <c r="G1203" s="14">
        <f>'Empleo Censo'!J1203+'Empleo Censo'!K1203</f>
        <v/>
      </c>
      <c r="H1203" s="14">
        <f>'Empleo Censo'!L1203</f>
        <v/>
      </c>
      <c r="I1203" s="14">
        <f>'Empleo Censo'!M1203</f>
        <v/>
      </c>
      <c r="J1203" s="14">
        <f>SUM('Empleo Censo'!N1203:AA1203)</f>
        <v/>
      </c>
      <c r="K1203" s="14">
        <f>SUM(C1203:J1203)</f>
        <v/>
      </c>
      <c r="L1203" s="15">
        <f>SUMPRODUCT(C1203:J1203,Factores!$B$3:$I$3)</f>
        <v/>
      </c>
      <c r="M1203" s="16">
        <f>'Empleo Censo'!E1203</f>
        <v/>
      </c>
      <c r="N1203" s="17">
        <f>IF(M1203&gt;0,L1203,Factores!$B$7)</f>
        <v/>
      </c>
      <c r="O1203">
        <f>IF(M1203&gt;0,"OK","sin PEA -&gt; peor")</f>
        <v/>
      </c>
    </row>
    <row r="1204">
      <c r="A1204" t="inlineStr">
        <is>
          <t>050302</t>
        </is>
      </c>
      <c r="B1204" t="inlineStr">
        <is>
          <t>CARAPO</t>
        </is>
      </c>
      <c r="C1204" s="14">
        <f>'Empleo Censo'!G1204-'Empleo Censo'!F1204</f>
        <v/>
      </c>
      <c r="D1204" s="14">
        <f>'Empleo Censo'!F1204</f>
        <v/>
      </c>
      <c r="E1204" s="14">
        <f>'Empleo Censo'!H1204</f>
        <v/>
      </c>
      <c r="F1204" s="14">
        <f>'Empleo Censo'!I1204</f>
        <v/>
      </c>
      <c r="G1204" s="14">
        <f>'Empleo Censo'!J1204+'Empleo Censo'!K1204</f>
        <v/>
      </c>
      <c r="H1204" s="14">
        <f>'Empleo Censo'!L1204</f>
        <v/>
      </c>
      <c r="I1204" s="14">
        <f>'Empleo Censo'!M1204</f>
        <v/>
      </c>
      <c r="J1204" s="14">
        <f>SUM('Empleo Censo'!N1204:AA1204)</f>
        <v/>
      </c>
      <c r="K1204" s="14">
        <f>SUM(C1204:J1204)</f>
        <v/>
      </c>
      <c r="L1204" s="15">
        <f>SUMPRODUCT(C1204:J1204,Factores!$B$3:$I$3)</f>
        <v/>
      </c>
      <c r="M1204" s="16">
        <f>'Empleo Censo'!E1204</f>
        <v/>
      </c>
      <c r="N1204" s="17">
        <f>IF(M1204&gt;0,L1204,Factores!$B$7)</f>
        <v/>
      </c>
      <c r="O1204">
        <f>IF(M1204&gt;0,"OK","sin PEA -&gt; peor")</f>
        <v/>
      </c>
    </row>
    <row r="1205">
      <c r="A1205" t="inlineStr">
        <is>
          <t>010201</t>
        </is>
      </c>
      <c r="B1205" t="inlineStr">
        <is>
          <t>BAGUA</t>
        </is>
      </c>
      <c r="C1205" s="14">
        <f>'Empleo Censo'!G1205-'Empleo Censo'!F1205</f>
        <v/>
      </c>
      <c r="D1205" s="14">
        <f>'Empleo Censo'!F1205</f>
        <v/>
      </c>
      <c r="E1205" s="14">
        <f>'Empleo Censo'!H1205</f>
        <v/>
      </c>
      <c r="F1205" s="14">
        <f>'Empleo Censo'!I1205</f>
        <v/>
      </c>
      <c r="G1205" s="14">
        <f>'Empleo Censo'!J1205+'Empleo Censo'!K1205</f>
        <v/>
      </c>
      <c r="H1205" s="14">
        <f>'Empleo Censo'!L1205</f>
        <v/>
      </c>
      <c r="I1205" s="14">
        <f>'Empleo Censo'!M1205</f>
        <v/>
      </c>
      <c r="J1205" s="14">
        <f>SUM('Empleo Censo'!N1205:AA1205)</f>
        <v/>
      </c>
      <c r="K1205" s="14">
        <f>SUM(C1205:J1205)</f>
        <v/>
      </c>
      <c r="L1205" s="15">
        <f>SUMPRODUCT(C1205:J1205,Factores!$B$3:$I$3)</f>
        <v/>
      </c>
      <c r="M1205" s="16">
        <f>'Empleo Censo'!E1205</f>
        <v/>
      </c>
      <c r="N1205" s="17">
        <f>IF(M1205&gt;0,L1205,Factores!$B$7)</f>
        <v/>
      </c>
      <c r="O1205">
        <f>IF(M1205&gt;0,"OK","sin PEA -&gt; peor")</f>
        <v/>
      </c>
    </row>
    <row r="1206">
      <c r="A1206" t="inlineStr">
        <is>
          <t>090613</t>
        </is>
      </c>
      <c r="B1206" t="inlineStr">
        <is>
          <t>SANTIAGO DE CHOCORVOS</t>
        </is>
      </c>
      <c r="C1206" s="14">
        <f>'Empleo Censo'!G1206-'Empleo Censo'!F1206</f>
        <v/>
      </c>
      <c r="D1206" s="14">
        <f>'Empleo Censo'!F1206</f>
        <v/>
      </c>
      <c r="E1206" s="14">
        <f>'Empleo Censo'!H1206</f>
        <v/>
      </c>
      <c r="F1206" s="14">
        <f>'Empleo Censo'!I1206</f>
        <v/>
      </c>
      <c r="G1206" s="14">
        <f>'Empleo Censo'!J1206+'Empleo Censo'!K1206</f>
        <v/>
      </c>
      <c r="H1206" s="14">
        <f>'Empleo Censo'!L1206</f>
        <v/>
      </c>
      <c r="I1206" s="14">
        <f>'Empleo Censo'!M1206</f>
        <v/>
      </c>
      <c r="J1206" s="14">
        <f>SUM('Empleo Censo'!N1206:AA1206)</f>
        <v/>
      </c>
      <c r="K1206" s="14">
        <f>SUM(C1206:J1206)</f>
        <v/>
      </c>
      <c r="L1206" s="15">
        <f>SUMPRODUCT(C1206:J1206,Factores!$B$3:$I$3)</f>
        <v/>
      </c>
      <c r="M1206" s="16">
        <f>'Empleo Censo'!E1206</f>
        <v/>
      </c>
      <c r="N1206" s="17">
        <f>IF(M1206&gt;0,L1206,Factores!$B$7)</f>
        <v/>
      </c>
      <c r="O1206">
        <f>IF(M1206&gt;0,"OK","sin PEA -&gt; peor")</f>
        <v/>
      </c>
    </row>
    <row r="1207">
      <c r="A1207" t="inlineStr">
        <is>
          <t>050203</t>
        </is>
      </c>
      <c r="B1207" t="inlineStr">
        <is>
          <t>LOS MOROCHUCOS</t>
        </is>
      </c>
      <c r="C1207" s="14">
        <f>'Empleo Censo'!G1207-'Empleo Censo'!F1207</f>
        <v/>
      </c>
      <c r="D1207" s="14">
        <f>'Empleo Censo'!F1207</f>
        <v/>
      </c>
      <c r="E1207" s="14">
        <f>'Empleo Censo'!H1207</f>
        <v/>
      </c>
      <c r="F1207" s="14">
        <f>'Empleo Censo'!I1207</f>
        <v/>
      </c>
      <c r="G1207" s="14">
        <f>'Empleo Censo'!J1207+'Empleo Censo'!K1207</f>
        <v/>
      </c>
      <c r="H1207" s="14">
        <f>'Empleo Censo'!L1207</f>
        <v/>
      </c>
      <c r="I1207" s="14">
        <f>'Empleo Censo'!M1207</f>
        <v/>
      </c>
      <c r="J1207" s="14">
        <f>SUM('Empleo Censo'!N1207:AA1207)</f>
        <v/>
      </c>
      <c r="K1207" s="14">
        <f>SUM(C1207:J1207)</f>
        <v/>
      </c>
      <c r="L1207" s="15">
        <f>SUMPRODUCT(C1207:J1207,Factores!$B$3:$I$3)</f>
        <v/>
      </c>
      <c r="M1207" s="16">
        <f>'Empleo Censo'!E1207</f>
        <v/>
      </c>
      <c r="N1207" s="17">
        <f>IF(M1207&gt;0,L1207,Factores!$B$7)</f>
        <v/>
      </c>
      <c r="O1207">
        <f>IF(M1207&gt;0,"OK","sin PEA -&gt; peor")</f>
        <v/>
      </c>
    </row>
    <row r="1208">
      <c r="A1208" t="inlineStr">
        <is>
          <t>080401</t>
        </is>
      </c>
      <c r="B1208" t="inlineStr">
        <is>
          <t>CALCA</t>
        </is>
      </c>
      <c r="C1208" s="14">
        <f>'Empleo Censo'!G1208-'Empleo Censo'!F1208</f>
        <v/>
      </c>
      <c r="D1208" s="14">
        <f>'Empleo Censo'!F1208</f>
        <v/>
      </c>
      <c r="E1208" s="14">
        <f>'Empleo Censo'!H1208</f>
        <v/>
      </c>
      <c r="F1208" s="14">
        <f>'Empleo Censo'!I1208</f>
        <v/>
      </c>
      <c r="G1208" s="14">
        <f>'Empleo Censo'!J1208+'Empleo Censo'!K1208</f>
        <v/>
      </c>
      <c r="H1208" s="14">
        <f>'Empleo Censo'!L1208</f>
        <v/>
      </c>
      <c r="I1208" s="14">
        <f>'Empleo Censo'!M1208</f>
        <v/>
      </c>
      <c r="J1208" s="14">
        <f>SUM('Empleo Censo'!N1208:AA1208)</f>
        <v/>
      </c>
      <c r="K1208" s="14">
        <f>SUM(C1208:J1208)</f>
        <v/>
      </c>
      <c r="L1208" s="15">
        <f>SUMPRODUCT(C1208:J1208,Factores!$B$3:$I$3)</f>
        <v/>
      </c>
      <c r="M1208" s="16">
        <f>'Empleo Censo'!E1208</f>
        <v/>
      </c>
      <c r="N1208" s="17">
        <f>IF(M1208&gt;0,L1208,Factores!$B$7)</f>
        <v/>
      </c>
      <c r="O1208">
        <f>IF(M1208&gt;0,"OK","sin PEA -&gt; peor")</f>
        <v/>
      </c>
    </row>
    <row r="1209">
      <c r="A1209" t="inlineStr">
        <is>
          <t>060601</t>
        </is>
      </c>
      <c r="B1209" t="inlineStr">
        <is>
          <t>CUTERVO</t>
        </is>
      </c>
      <c r="C1209" s="14">
        <f>'Empleo Censo'!G1209-'Empleo Censo'!F1209</f>
        <v/>
      </c>
      <c r="D1209" s="14">
        <f>'Empleo Censo'!F1209</f>
        <v/>
      </c>
      <c r="E1209" s="14">
        <f>'Empleo Censo'!H1209</f>
        <v/>
      </c>
      <c r="F1209" s="14">
        <f>'Empleo Censo'!I1209</f>
        <v/>
      </c>
      <c r="G1209" s="14">
        <f>'Empleo Censo'!J1209+'Empleo Censo'!K1209</f>
        <v/>
      </c>
      <c r="H1209" s="14">
        <f>'Empleo Censo'!L1209</f>
        <v/>
      </c>
      <c r="I1209" s="14">
        <f>'Empleo Censo'!M1209</f>
        <v/>
      </c>
      <c r="J1209" s="14">
        <f>SUM('Empleo Censo'!N1209:AA1209)</f>
        <v/>
      </c>
      <c r="K1209" s="14">
        <f>SUM(C1209:J1209)</f>
        <v/>
      </c>
      <c r="L1209" s="15">
        <f>SUMPRODUCT(C1209:J1209,Factores!$B$3:$I$3)</f>
        <v/>
      </c>
      <c r="M1209" s="16">
        <f>'Empleo Censo'!E1209</f>
        <v/>
      </c>
      <c r="N1209" s="17">
        <f>IF(M1209&gt;0,L1209,Factores!$B$7)</f>
        <v/>
      </c>
      <c r="O1209">
        <f>IF(M1209&gt;0,"OK","sin PEA -&gt; peor")</f>
        <v/>
      </c>
    </row>
    <row r="1210">
      <c r="A1210" t="inlineStr">
        <is>
          <t>060809</t>
        </is>
      </c>
      <c r="B1210" t="inlineStr">
        <is>
          <t>SALLIQUE</t>
        </is>
      </c>
      <c r="C1210" s="14">
        <f>'Empleo Censo'!G1210-'Empleo Censo'!F1210</f>
        <v/>
      </c>
      <c r="D1210" s="14">
        <f>'Empleo Censo'!F1210</f>
        <v/>
      </c>
      <c r="E1210" s="14">
        <f>'Empleo Censo'!H1210</f>
        <v/>
      </c>
      <c r="F1210" s="14">
        <f>'Empleo Censo'!I1210</f>
        <v/>
      </c>
      <c r="G1210" s="14">
        <f>'Empleo Censo'!J1210+'Empleo Censo'!K1210</f>
        <v/>
      </c>
      <c r="H1210" s="14">
        <f>'Empleo Censo'!L1210</f>
        <v/>
      </c>
      <c r="I1210" s="14">
        <f>'Empleo Censo'!M1210</f>
        <v/>
      </c>
      <c r="J1210" s="14">
        <f>SUM('Empleo Censo'!N1210:AA1210)</f>
        <v/>
      </c>
      <c r="K1210" s="14">
        <f>SUM(C1210:J1210)</f>
        <v/>
      </c>
      <c r="L1210" s="15">
        <f>SUMPRODUCT(C1210:J1210,Factores!$B$3:$I$3)</f>
        <v/>
      </c>
      <c r="M1210" s="16">
        <f>'Empleo Censo'!E1210</f>
        <v/>
      </c>
      <c r="N1210" s="17">
        <f>IF(M1210&gt;0,L1210,Factores!$B$7)</f>
        <v/>
      </c>
      <c r="O1210">
        <f>IF(M1210&gt;0,"OK","sin PEA -&gt; peor")</f>
        <v/>
      </c>
    </row>
    <row r="1211">
      <c r="A1211" t="inlineStr">
        <is>
          <t>010312</t>
        </is>
      </c>
      <c r="B1211" t="inlineStr">
        <is>
          <t>YAMBRASBAMBA</t>
        </is>
      </c>
      <c r="C1211" s="14">
        <f>'Empleo Censo'!G1211-'Empleo Censo'!F1211</f>
        <v/>
      </c>
      <c r="D1211" s="14">
        <f>'Empleo Censo'!F1211</f>
        <v/>
      </c>
      <c r="E1211" s="14">
        <f>'Empleo Censo'!H1211</f>
        <v/>
      </c>
      <c r="F1211" s="14">
        <f>'Empleo Censo'!I1211</f>
        <v/>
      </c>
      <c r="G1211" s="14">
        <f>'Empleo Censo'!J1211+'Empleo Censo'!K1211</f>
        <v/>
      </c>
      <c r="H1211" s="14">
        <f>'Empleo Censo'!L1211</f>
        <v/>
      </c>
      <c r="I1211" s="14">
        <f>'Empleo Censo'!M1211</f>
        <v/>
      </c>
      <c r="J1211" s="14">
        <f>SUM('Empleo Censo'!N1211:AA1211)</f>
        <v/>
      </c>
      <c r="K1211" s="14">
        <f>SUM(C1211:J1211)</f>
        <v/>
      </c>
      <c r="L1211" s="15">
        <f>SUMPRODUCT(C1211:J1211,Factores!$B$3:$I$3)</f>
        <v/>
      </c>
      <c r="M1211" s="16">
        <f>'Empleo Censo'!E1211</f>
        <v/>
      </c>
      <c r="N1211" s="17">
        <f>IF(M1211&gt;0,L1211,Factores!$B$7)</f>
        <v/>
      </c>
      <c r="O1211">
        <f>IF(M1211&gt;0,"OK","sin PEA -&gt; peor")</f>
        <v/>
      </c>
    </row>
    <row r="1212">
      <c r="A1212" t="inlineStr">
        <is>
          <t>090609</t>
        </is>
      </c>
      <c r="B1212" t="inlineStr">
        <is>
          <t>QUITO-ARMA</t>
        </is>
      </c>
      <c r="C1212" s="14">
        <f>'Empleo Censo'!G1212-'Empleo Censo'!F1212</f>
        <v/>
      </c>
      <c r="D1212" s="14">
        <f>'Empleo Censo'!F1212</f>
        <v/>
      </c>
      <c r="E1212" s="14">
        <f>'Empleo Censo'!H1212</f>
        <v/>
      </c>
      <c r="F1212" s="14">
        <f>'Empleo Censo'!I1212</f>
        <v/>
      </c>
      <c r="G1212" s="14">
        <f>'Empleo Censo'!J1212+'Empleo Censo'!K1212</f>
        <v/>
      </c>
      <c r="H1212" s="14">
        <f>'Empleo Censo'!L1212</f>
        <v/>
      </c>
      <c r="I1212" s="14">
        <f>'Empleo Censo'!M1212</f>
        <v/>
      </c>
      <c r="J1212" s="14">
        <f>SUM('Empleo Censo'!N1212:AA1212)</f>
        <v/>
      </c>
      <c r="K1212" s="14">
        <f>SUM(C1212:J1212)</f>
        <v/>
      </c>
      <c r="L1212" s="15">
        <f>SUMPRODUCT(C1212:J1212,Factores!$B$3:$I$3)</f>
        <v/>
      </c>
      <c r="M1212" s="16">
        <f>'Empleo Censo'!E1212</f>
        <v/>
      </c>
      <c r="N1212" s="17">
        <f>IF(M1212&gt;0,L1212,Factores!$B$7)</f>
        <v/>
      </c>
      <c r="O1212">
        <f>IF(M1212&gt;0,"OK","sin PEA -&gt; peor")</f>
        <v/>
      </c>
    </row>
    <row r="1213">
      <c r="A1213" t="inlineStr">
        <is>
          <t>080905</t>
        </is>
      </c>
      <c r="B1213" t="inlineStr">
        <is>
          <t>OCOBAMBA</t>
        </is>
      </c>
      <c r="C1213" s="14">
        <f>'Empleo Censo'!G1213-'Empleo Censo'!F1213</f>
        <v/>
      </c>
      <c r="D1213" s="14">
        <f>'Empleo Censo'!F1213</f>
        <v/>
      </c>
      <c r="E1213" s="14">
        <f>'Empleo Censo'!H1213</f>
        <v/>
      </c>
      <c r="F1213" s="14">
        <f>'Empleo Censo'!I1213</f>
        <v/>
      </c>
      <c r="G1213" s="14">
        <f>'Empleo Censo'!J1213+'Empleo Censo'!K1213</f>
        <v/>
      </c>
      <c r="H1213" s="14">
        <f>'Empleo Censo'!L1213</f>
        <v/>
      </c>
      <c r="I1213" s="14">
        <f>'Empleo Censo'!M1213</f>
        <v/>
      </c>
      <c r="J1213" s="14">
        <f>SUM('Empleo Censo'!N1213:AA1213)</f>
        <v/>
      </c>
      <c r="K1213" s="14">
        <f>SUM(C1213:J1213)</f>
        <v/>
      </c>
      <c r="L1213" s="15">
        <f>SUMPRODUCT(C1213:J1213,Factores!$B$3:$I$3)</f>
        <v/>
      </c>
      <c r="M1213" s="16">
        <f>'Empleo Censo'!E1213</f>
        <v/>
      </c>
      <c r="N1213" s="17">
        <f>IF(M1213&gt;0,L1213,Factores!$B$7)</f>
        <v/>
      </c>
      <c r="O1213">
        <f>IF(M1213&gt;0,"OK","sin PEA -&gt; peor")</f>
        <v/>
      </c>
    </row>
    <row r="1214">
      <c r="A1214" t="inlineStr">
        <is>
          <t>060310</t>
        </is>
      </c>
      <c r="B1214" t="inlineStr">
        <is>
          <t>SUCRE</t>
        </is>
      </c>
      <c r="C1214" s="14">
        <f>'Empleo Censo'!G1214-'Empleo Censo'!F1214</f>
        <v/>
      </c>
      <c r="D1214" s="14">
        <f>'Empleo Censo'!F1214</f>
        <v/>
      </c>
      <c r="E1214" s="14">
        <f>'Empleo Censo'!H1214</f>
        <v/>
      </c>
      <c r="F1214" s="14">
        <f>'Empleo Censo'!I1214</f>
        <v/>
      </c>
      <c r="G1214" s="14">
        <f>'Empleo Censo'!J1214+'Empleo Censo'!K1214</f>
        <v/>
      </c>
      <c r="H1214" s="14">
        <f>'Empleo Censo'!L1214</f>
        <v/>
      </c>
      <c r="I1214" s="14">
        <f>'Empleo Censo'!M1214</f>
        <v/>
      </c>
      <c r="J1214" s="14">
        <f>SUM('Empleo Censo'!N1214:AA1214)</f>
        <v/>
      </c>
      <c r="K1214" s="14">
        <f>SUM(C1214:J1214)</f>
        <v/>
      </c>
      <c r="L1214" s="15">
        <f>SUMPRODUCT(C1214:J1214,Factores!$B$3:$I$3)</f>
        <v/>
      </c>
      <c r="M1214" s="16">
        <f>'Empleo Censo'!E1214</f>
        <v/>
      </c>
      <c r="N1214" s="17">
        <f>IF(M1214&gt;0,L1214,Factores!$B$7)</f>
        <v/>
      </c>
      <c r="O1214">
        <f>IF(M1214&gt;0,"OK","sin PEA -&gt; peor")</f>
        <v/>
      </c>
    </row>
    <row r="1215">
      <c r="A1215" t="inlineStr">
        <is>
          <t>030415</t>
        </is>
      </c>
      <c r="B1215" t="inlineStr">
        <is>
          <t>TINTAY</t>
        </is>
      </c>
      <c r="C1215" s="14">
        <f>'Empleo Censo'!G1215-'Empleo Censo'!F1215</f>
        <v/>
      </c>
      <c r="D1215" s="14">
        <f>'Empleo Censo'!F1215</f>
        <v/>
      </c>
      <c r="E1215" s="14">
        <f>'Empleo Censo'!H1215</f>
        <v/>
      </c>
      <c r="F1215" s="14">
        <f>'Empleo Censo'!I1215</f>
        <v/>
      </c>
      <c r="G1215" s="14">
        <f>'Empleo Censo'!J1215+'Empleo Censo'!K1215</f>
        <v/>
      </c>
      <c r="H1215" s="14">
        <f>'Empleo Censo'!L1215</f>
        <v/>
      </c>
      <c r="I1215" s="14">
        <f>'Empleo Censo'!M1215</f>
        <v/>
      </c>
      <c r="J1215" s="14">
        <f>SUM('Empleo Censo'!N1215:AA1215)</f>
        <v/>
      </c>
      <c r="K1215" s="14">
        <f>SUM(C1215:J1215)</f>
        <v/>
      </c>
      <c r="L1215" s="15">
        <f>SUMPRODUCT(C1215:J1215,Factores!$B$3:$I$3)</f>
        <v/>
      </c>
      <c r="M1215" s="16">
        <f>'Empleo Censo'!E1215</f>
        <v/>
      </c>
      <c r="N1215" s="17">
        <f>IF(M1215&gt;0,L1215,Factores!$B$7)</f>
        <v/>
      </c>
      <c r="O1215">
        <f>IF(M1215&gt;0,"OK","sin PEA -&gt; peor")</f>
        <v/>
      </c>
    </row>
    <row r="1216">
      <c r="A1216" t="inlineStr">
        <is>
          <t>030607</t>
        </is>
      </c>
      <c r="B1216" t="inlineStr">
        <is>
          <t>URANMARCA</t>
        </is>
      </c>
      <c r="C1216" s="14">
        <f>'Empleo Censo'!G1216-'Empleo Censo'!F1216</f>
        <v/>
      </c>
      <c r="D1216" s="14">
        <f>'Empleo Censo'!F1216</f>
        <v/>
      </c>
      <c r="E1216" s="14">
        <f>'Empleo Censo'!H1216</f>
        <v/>
      </c>
      <c r="F1216" s="14">
        <f>'Empleo Censo'!I1216</f>
        <v/>
      </c>
      <c r="G1216" s="14">
        <f>'Empleo Censo'!J1216+'Empleo Censo'!K1216</f>
        <v/>
      </c>
      <c r="H1216" s="14">
        <f>'Empleo Censo'!L1216</f>
        <v/>
      </c>
      <c r="I1216" s="14">
        <f>'Empleo Censo'!M1216</f>
        <v/>
      </c>
      <c r="J1216" s="14">
        <f>SUM('Empleo Censo'!N1216:AA1216)</f>
        <v/>
      </c>
      <c r="K1216" s="14">
        <f>SUM(C1216:J1216)</f>
        <v/>
      </c>
      <c r="L1216" s="15">
        <f>SUMPRODUCT(C1216:J1216,Factores!$B$3:$I$3)</f>
        <v/>
      </c>
      <c r="M1216" s="16">
        <f>'Empleo Censo'!E1216</f>
        <v/>
      </c>
      <c r="N1216" s="17">
        <f>IF(M1216&gt;0,L1216,Factores!$B$7)</f>
        <v/>
      </c>
      <c r="O1216">
        <f>IF(M1216&gt;0,"OK","sin PEA -&gt; peor")</f>
        <v/>
      </c>
    </row>
    <row r="1217">
      <c r="A1217" t="inlineStr">
        <is>
          <t>040811</t>
        </is>
      </c>
      <c r="B1217" t="inlineStr">
        <is>
          <t>TORO</t>
        </is>
      </c>
      <c r="C1217" s="14">
        <f>'Empleo Censo'!G1217-'Empleo Censo'!F1217</f>
        <v/>
      </c>
      <c r="D1217" s="14">
        <f>'Empleo Censo'!F1217</f>
        <v/>
      </c>
      <c r="E1217" s="14">
        <f>'Empleo Censo'!H1217</f>
        <v/>
      </c>
      <c r="F1217" s="14">
        <f>'Empleo Censo'!I1217</f>
        <v/>
      </c>
      <c r="G1217" s="14">
        <f>'Empleo Censo'!J1217+'Empleo Censo'!K1217</f>
        <v/>
      </c>
      <c r="H1217" s="14">
        <f>'Empleo Censo'!L1217</f>
        <v/>
      </c>
      <c r="I1217" s="14">
        <f>'Empleo Censo'!M1217</f>
        <v/>
      </c>
      <c r="J1217" s="14">
        <f>SUM('Empleo Censo'!N1217:AA1217)</f>
        <v/>
      </c>
      <c r="K1217" s="14">
        <f>SUM(C1217:J1217)</f>
        <v/>
      </c>
      <c r="L1217" s="15">
        <f>SUMPRODUCT(C1217:J1217,Factores!$B$3:$I$3)</f>
        <v/>
      </c>
      <c r="M1217" s="16">
        <f>'Empleo Censo'!E1217</f>
        <v/>
      </c>
      <c r="N1217" s="17">
        <f>IF(M1217&gt;0,L1217,Factores!$B$7)</f>
        <v/>
      </c>
      <c r="O1217">
        <f>IF(M1217&gt;0,"OK","sin PEA -&gt; peor")</f>
        <v/>
      </c>
    </row>
    <row r="1218">
      <c r="A1218" t="inlineStr">
        <is>
          <t>022003</t>
        </is>
      </c>
      <c r="B1218" t="inlineStr">
        <is>
          <t>MANCOS</t>
        </is>
      </c>
      <c r="C1218" s="14">
        <f>'Empleo Censo'!G1218-'Empleo Censo'!F1218</f>
        <v/>
      </c>
      <c r="D1218" s="14">
        <f>'Empleo Censo'!F1218</f>
        <v/>
      </c>
      <c r="E1218" s="14">
        <f>'Empleo Censo'!H1218</f>
        <v/>
      </c>
      <c r="F1218" s="14">
        <f>'Empleo Censo'!I1218</f>
        <v/>
      </c>
      <c r="G1218" s="14">
        <f>'Empleo Censo'!J1218+'Empleo Censo'!K1218</f>
        <v/>
      </c>
      <c r="H1218" s="14">
        <f>'Empleo Censo'!L1218</f>
        <v/>
      </c>
      <c r="I1218" s="14">
        <f>'Empleo Censo'!M1218</f>
        <v/>
      </c>
      <c r="J1218" s="14">
        <f>SUM('Empleo Censo'!N1218:AA1218)</f>
        <v/>
      </c>
      <c r="K1218" s="14">
        <f>SUM(C1218:J1218)</f>
        <v/>
      </c>
      <c r="L1218" s="15">
        <f>SUMPRODUCT(C1218:J1218,Factores!$B$3:$I$3)</f>
        <v/>
      </c>
      <c r="M1218" s="16">
        <f>'Empleo Censo'!E1218</f>
        <v/>
      </c>
      <c r="N1218" s="17">
        <f>IF(M1218&gt;0,L1218,Factores!$B$7)</f>
        <v/>
      </c>
      <c r="O1218">
        <f>IF(M1218&gt;0,"OK","sin PEA -&gt; peor")</f>
        <v/>
      </c>
    </row>
    <row r="1219">
      <c r="A1219" t="inlineStr">
        <is>
          <t>030602</t>
        </is>
      </c>
      <c r="B1219" t="inlineStr">
        <is>
          <t>ANCO-HUALLO</t>
        </is>
      </c>
      <c r="C1219" s="14">
        <f>'Empleo Censo'!G1219-'Empleo Censo'!F1219</f>
        <v/>
      </c>
      <c r="D1219" s="14">
        <f>'Empleo Censo'!F1219</f>
        <v/>
      </c>
      <c r="E1219" s="14">
        <f>'Empleo Censo'!H1219</f>
        <v/>
      </c>
      <c r="F1219" s="14">
        <f>'Empleo Censo'!I1219</f>
        <v/>
      </c>
      <c r="G1219" s="14">
        <f>'Empleo Censo'!J1219+'Empleo Censo'!K1219</f>
        <v/>
      </c>
      <c r="H1219" s="14">
        <f>'Empleo Censo'!L1219</f>
        <v/>
      </c>
      <c r="I1219" s="14">
        <f>'Empleo Censo'!M1219</f>
        <v/>
      </c>
      <c r="J1219" s="14">
        <f>SUM('Empleo Censo'!N1219:AA1219)</f>
        <v/>
      </c>
      <c r="K1219" s="14">
        <f>SUM(C1219:J1219)</f>
        <v/>
      </c>
      <c r="L1219" s="15">
        <f>SUMPRODUCT(C1219:J1219,Factores!$B$3:$I$3)</f>
        <v/>
      </c>
      <c r="M1219" s="16">
        <f>'Empleo Censo'!E1219</f>
        <v/>
      </c>
      <c r="N1219" s="17">
        <f>IF(M1219&gt;0,L1219,Factores!$B$7)</f>
        <v/>
      </c>
      <c r="O1219">
        <f>IF(M1219&gt;0,"OK","sin PEA -&gt; peor")</f>
        <v/>
      </c>
    </row>
    <row r="1220">
      <c r="A1220" t="inlineStr">
        <is>
          <t>060611</t>
        </is>
      </c>
      <c r="B1220" t="inlineStr">
        <is>
          <t>SANTA CRUZ</t>
        </is>
      </c>
      <c r="C1220" s="14">
        <f>'Empleo Censo'!G1220-'Empleo Censo'!F1220</f>
        <v/>
      </c>
      <c r="D1220" s="14">
        <f>'Empleo Censo'!F1220</f>
        <v/>
      </c>
      <c r="E1220" s="14">
        <f>'Empleo Censo'!H1220</f>
        <v/>
      </c>
      <c r="F1220" s="14">
        <f>'Empleo Censo'!I1220</f>
        <v/>
      </c>
      <c r="G1220" s="14">
        <f>'Empleo Censo'!J1220+'Empleo Censo'!K1220</f>
        <v/>
      </c>
      <c r="H1220" s="14">
        <f>'Empleo Censo'!L1220</f>
        <v/>
      </c>
      <c r="I1220" s="14">
        <f>'Empleo Censo'!M1220</f>
        <v/>
      </c>
      <c r="J1220" s="14">
        <f>SUM('Empleo Censo'!N1220:AA1220)</f>
        <v/>
      </c>
      <c r="K1220" s="14">
        <f>SUM(C1220:J1220)</f>
        <v/>
      </c>
      <c r="L1220" s="15">
        <f>SUMPRODUCT(C1220:J1220,Factores!$B$3:$I$3)</f>
        <v/>
      </c>
      <c r="M1220" s="16">
        <f>'Empleo Censo'!E1220</f>
        <v/>
      </c>
      <c r="N1220" s="17">
        <f>IF(M1220&gt;0,L1220,Factores!$B$7)</f>
        <v/>
      </c>
      <c r="O1220">
        <f>IF(M1220&gt;0,"OK","sin PEA -&gt; peor")</f>
        <v/>
      </c>
    </row>
    <row r="1221">
      <c r="A1221" t="inlineStr">
        <is>
          <t>050606</t>
        </is>
      </c>
      <c r="B1221" t="inlineStr">
        <is>
          <t>CHIPAO</t>
        </is>
      </c>
      <c r="C1221" s="14">
        <f>'Empleo Censo'!G1221-'Empleo Censo'!F1221</f>
        <v/>
      </c>
      <c r="D1221" s="14">
        <f>'Empleo Censo'!F1221</f>
        <v/>
      </c>
      <c r="E1221" s="14">
        <f>'Empleo Censo'!H1221</f>
        <v/>
      </c>
      <c r="F1221" s="14">
        <f>'Empleo Censo'!I1221</f>
        <v/>
      </c>
      <c r="G1221" s="14">
        <f>'Empleo Censo'!J1221+'Empleo Censo'!K1221</f>
        <v/>
      </c>
      <c r="H1221" s="14">
        <f>'Empleo Censo'!L1221</f>
        <v/>
      </c>
      <c r="I1221" s="14">
        <f>'Empleo Censo'!M1221</f>
        <v/>
      </c>
      <c r="J1221" s="14">
        <f>SUM('Empleo Censo'!N1221:AA1221)</f>
        <v/>
      </c>
      <c r="K1221" s="14">
        <f>SUM(C1221:J1221)</f>
        <v/>
      </c>
      <c r="L1221" s="15">
        <f>SUMPRODUCT(C1221:J1221,Factores!$B$3:$I$3)</f>
        <v/>
      </c>
      <c r="M1221" s="16">
        <f>'Empleo Censo'!E1221</f>
        <v/>
      </c>
      <c r="N1221" s="17">
        <f>IF(M1221&gt;0,L1221,Factores!$B$7)</f>
        <v/>
      </c>
      <c r="O1221">
        <f>IF(M1221&gt;0,"OK","sin PEA -&gt; peor")</f>
        <v/>
      </c>
    </row>
    <row r="1222">
      <c r="A1222" t="inlineStr">
        <is>
          <t>081103</t>
        </is>
      </c>
      <c r="B1222" t="inlineStr">
        <is>
          <t>CHALLABAMBA</t>
        </is>
      </c>
      <c r="C1222" s="14">
        <f>'Empleo Censo'!G1222-'Empleo Censo'!F1222</f>
        <v/>
      </c>
      <c r="D1222" s="14">
        <f>'Empleo Censo'!F1222</f>
        <v/>
      </c>
      <c r="E1222" s="14">
        <f>'Empleo Censo'!H1222</f>
        <v/>
      </c>
      <c r="F1222" s="14">
        <f>'Empleo Censo'!I1222</f>
        <v/>
      </c>
      <c r="G1222" s="14">
        <f>'Empleo Censo'!J1222+'Empleo Censo'!K1222</f>
        <v/>
      </c>
      <c r="H1222" s="14">
        <f>'Empleo Censo'!L1222</f>
        <v/>
      </c>
      <c r="I1222" s="14">
        <f>'Empleo Censo'!M1222</f>
        <v/>
      </c>
      <c r="J1222" s="14">
        <f>SUM('Empleo Censo'!N1222:AA1222)</f>
        <v/>
      </c>
      <c r="K1222" s="14">
        <f>SUM(C1222:J1222)</f>
        <v/>
      </c>
      <c r="L1222" s="15">
        <f>SUMPRODUCT(C1222:J1222,Factores!$B$3:$I$3)</f>
        <v/>
      </c>
      <c r="M1222" s="16">
        <f>'Empleo Censo'!E1222</f>
        <v/>
      </c>
      <c r="N1222" s="17">
        <f>IF(M1222&gt;0,L1222,Factores!$B$7)</f>
        <v/>
      </c>
      <c r="O1222">
        <f>IF(M1222&gt;0,"OK","sin PEA -&gt; peor")</f>
        <v/>
      </c>
    </row>
    <row r="1223">
      <c r="A1223" t="inlineStr">
        <is>
          <t>090703</t>
        </is>
      </c>
      <c r="B1223" t="inlineStr">
        <is>
          <t>ACRAQUIA</t>
        </is>
      </c>
      <c r="C1223" s="14">
        <f>'Empleo Censo'!G1223-'Empleo Censo'!F1223</f>
        <v/>
      </c>
      <c r="D1223" s="14">
        <f>'Empleo Censo'!F1223</f>
        <v/>
      </c>
      <c r="E1223" s="14">
        <f>'Empleo Censo'!H1223</f>
        <v/>
      </c>
      <c r="F1223" s="14">
        <f>'Empleo Censo'!I1223</f>
        <v/>
      </c>
      <c r="G1223" s="14">
        <f>'Empleo Censo'!J1223+'Empleo Censo'!K1223</f>
        <v/>
      </c>
      <c r="H1223" s="14">
        <f>'Empleo Censo'!L1223</f>
        <v/>
      </c>
      <c r="I1223" s="14">
        <f>'Empleo Censo'!M1223</f>
        <v/>
      </c>
      <c r="J1223" s="14">
        <f>SUM('Empleo Censo'!N1223:AA1223)</f>
        <v/>
      </c>
      <c r="K1223" s="14">
        <f>SUM(C1223:J1223)</f>
        <v/>
      </c>
      <c r="L1223" s="15">
        <f>SUMPRODUCT(C1223:J1223,Factores!$B$3:$I$3)</f>
        <v/>
      </c>
      <c r="M1223" s="16">
        <f>'Empleo Censo'!E1223</f>
        <v/>
      </c>
      <c r="N1223" s="17">
        <f>IF(M1223&gt;0,L1223,Factores!$B$7)</f>
        <v/>
      </c>
      <c r="O1223">
        <f>IF(M1223&gt;0,"OK","sin PEA -&gt; peor")</f>
        <v/>
      </c>
    </row>
    <row r="1224">
      <c r="A1224" t="inlineStr">
        <is>
          <t>090702</t>
        </is>
      </c>
      <c r="B1224" t="inlineStr">
        <is>
          <t>ACOSTAMBO</t>
        </is>
      </c>
      <c r="C1224" s="14">
        <f>'Empleo Censo'!G1224-'Empleo Censo'!F1224</f>
        <v/>
      </c>
      <c r="D1224" s="14">
        <f>'Empleo Censo'!F1224</f>
        <v/>
      </c>
      <c r="E1224" s="14">
        <f>'Empleo Censo'!H1224</f>
        <v/>
      </c>
      <c r="F1224" s="14">
        <f>'Empleo Censo'!I1224</f>
        <v/>
      </c>
      <c r="G1224" s="14">
        <f>'Empleo Censo'!J1224+'Empleo Censo'!K1224</f>
        <v/>
      </c>
      <c r="H1224" s="14">
        <f>'Empleo Censo'!L1224</f>
        <v/>
      </c>
      <c r="I1224" s="14">
        <f>'Empleo Censo'!M1224</f>
        <v/>
      </c>
      <c r="J1224" s="14">
        <f>SUM('Empleo Censo'!N1224:AA1224)</f>
        <v/>
      </c>
      <c r="K1224" s="14">
        <f>SUM(C1224:J1224)</f>
        <v/>
      </c>
      <c r="L1224" s="15">
        <f>SUMPRODUCT(C1224:J1224,Factores!$B$3:$I$3)</f>
        <v/>
      </c>
      <c r="M1224" s="16">
        <f>'Empleo Censo'!E1224</f>
        <v/>
      </c>
      <c r="N1224" s="17">
        <f>IF(M1224&gt;0,L1224,Factores!$B$7)</f>
        <v/>
      </c>
      <c r="O1224">
        <f>IF(M1224&gt;0,"OK","sin PEA -&gt; peor")</f>
        <v/>
      </c>
    </row>
    <row r="1225">
      <c r="A1225" t="inlineStr">
        <is>
          <t>060106</t>
        </is>
      </c>
      <c r="B1225" t="inlineStr">
        <is>
          <t>JESUS</t>
        </is>
      </c>
      <c r="C1225" s="14">
        <f>'Empleo Censo'!G1225-'Empleo Censo'!F1225</f>
        <v/>
      </c>
      <c r="D1225" s="14">
        <f>'Empleo Censo'!F1225</f>
        <v/>
      </c>
      <c r="E1225" s="14">
        <f>'Empleo Censo'!H1225</f>
        <v/>
      </c>
      <c r="F1225" s="14">
        <f>'Empleo Censo'!I1225</f>
        <v/>
      </c>
      <c r="G1225" s="14">
        <f>'Empleo Censo'!J1225+'Empleo Censo'!K1225</f>
        <v/>
      </c>
      <c r="H1225" s="14">
        <f>'Empleo Censo'!L1225</f>
        <v/>
      </c>
      <c r="I1225" s="14">
        <f>'Empleo Censo'!M1225</f>
        <v/>
      </c>
      <c r="J1225" s="14">
        <f>SUM('Empleo Censo'!N1225:AA1225)</f>
        <v/>
      </c>
      <c r="K1225" s="14">
        <f>SUM(C1225:J1225)</f>
        <v/>
      </c>
      <c r="L1225" s="15">
        <f>SUMPRODUCT(C1225:J1225,Factores!$B$3:$I$3)</f>
        <v/>
      </c>
      <c r="M1225" s="16">
        <f>'Empleo Censo'!E1225</f>
        <v/>
      </c>
      <c r="N1225" s="17">
        <f>IF(M1225&gt;0,L1225,Factores!$B$7)</f>
        <v/>
      </c>
      <c r="O1225">
        <f>IF(M1225&gt;0,"OK","sin PEA -&gt; peor")</f>
        <v/>
      </c>
    </row>
    <row r="1226">
      <c r="A1226" t="inlineStr">
        <is>
          <t>050805</t>
        </is>
      </c>
      <c r="B1226" t="inlineStr">
        <is>
          <t>MARCABAMBA</t>
        </is>
      </c>
      <c r="C1226" s="14">
        <f>'Empleo Censo'!G1226-'Empleo Censo'!F1226</f>
        <v/>
      </c>
      <c r="D1226" s="14">
        <f>'Empleo Censo'!F1226</f>
        <v/>
      </c>
      <c r="E1226" s="14">
        <f>'Empleo Censo'!H1226</f>
        <v/>
      </c>
      <c r="F1226" s="14">
        <f>'Empleo Censo'!I1226</f>
        <v/>
      </c>
      <c r="G1226" s="14">
        <f>'Empleo Censo'!J1226+'Empleo Censo'!K1226</f>
        <v/>
      </c>
      <c r="H1226" s="14">
        <f>'Empleo Censo'!L1226</f>
        <v/>
      </c>
      <c r="I1226" s="14">
        <f>'Empleo Censo'!M1226</f>
        <v/>
      </c>
      <c r="J1226" s="14">
        <f>SUM('Empleo Censo'!N1226:AA1226)</f>
        <v/>
      </c>
      <c r="K1226" s="14">
        <f>SUM(C1226:J1226)</f>
        <v/>
      </c>
      <c r="L1226" s="15">
        <f>SUMPRODUCT(C1226:J1226,Factores!$B$3:$I$3)</f>
        <v/>
      </c>
      <c r="M1226" s="16">
        <f>'Empleo Censo'!E1226</f>
        <v/>
      </c>
      <c r="N1226" s="17">
        <f>IF(M1226&gt;0,L1226,Factores!$B$7)</f>
        <v/>
      </c>
      <c r="O1226">
        <f>IF(M1226&gt;0,"OK","sin PEA -&gt; peor")</f>
        <v/>
      </c>
    </row>
    <row r="1227">
      <c r="A1227" t="inlineStr">
        <is>
          <t>021011</t>
        </is>
      </c>
      <c r="B1227" t="inlineStr">
        <is>
          <t>PONTO</t>
        </is>
      </c>
      <c r="C1227" s="14">
        <f>'Empleo Censo'!G1227-'Empleo Censo'!F1227</f>
        <v/>
      </c>
      <c r="D1227" s="14">
        <f>'Empleo Censo'!F1227</f>
        <v/>
      </c>
      <c r="E1227" s="14">
        <f>'Empleo Censo'!H1227</f>
        <v/>
      </c>
      <c r="F1227" s="14">
        <f>'Empleo Censo'!I1227</f>
        <v/>
      </c>
      <c r="G1227" s="14">
        <f>'Empleo Censo'!J1227+'Empleo Censo'!K1227</f>
        <v/>
      </c>
      <c r="H1227" s="14">
        <f>'Empleo Censo'!L1227</f>
        <v/>
      </c>
      <c r="I1227" s="14">
        <f>'Empleo Censo'!M1227</f>
        <v/>
      </c>
      <c r="J1227" s="14">
        <f>SUM('Empleo Censo'!N1227:AA1227)</f>
        <v/>
      </c>
      <c r="K1227" s="14">
        <f>SUM(C1227:J1227)</f>
        <v/>
      </c>
      <c r="L1227" s="15">
        <f>SUMPRODUCT(C1227:J1227,Factores!$B$3:$I$3)</f>
        <v/>
      </c>
      <c r="M1227" s="16">
        <f>'Empleo Censo'!E1227</f>
        <v/>
      </c>
      <c r="N1227" s="17">
        <f>IF(M1227&gt;0,L1227,Factores!$B$7)</f>
        <v/>
      </c>
      <c r="O1227">
        <f>IF(M1227&gt;0,"OK","sin PEA -&gt; peor")</f>
        <v/>
      </c>
    </row>
    <row r="1228">
      <c r="A1228" t="inlineStr">
        <is>
          <t>050405</t>
        </is>
      </c>
      <c r="B1228" t="inlineStr">
        <is>
          <t>LURICOCHA</t>
        </is>
      </c>
      <c r="C1228" s="14">
        <f>'Empleo Censo'!G1228-'Empleo Censo'!F1228</f>
        <v/>
      </c>
      <c r="D1228" s="14">
        <f>'Empleo Censo'!F1228</f>
        <v/>
      </c>
      <c r="E1228" s="14">
        <f>'Empleo Censo'!H1228</f>
        <v/>
      </c>
      <c r="F1228" s="14">
        <f>'Empleo Censo'!I1228</f>
        <v/>
      </c>
      <c r="G1228" s="14">
        <f>'Empleo Censo'!J1228+'Empleo Censo'!K1228</f>
        <v/>
      </c>
      <c r="H1228" s="14">
        <f>'Empleo Censo'!L1228</f>
        <v/>
      </c>
      <c r="I1228" s="14">
        <f>'Empleo Censo'!M1228</f>
        <v/>
      </c>
      <c r="J1228" s="14">
        <f>SUM('Empleo Censo'!N1228:AA1228)</f>
        <v/>
      </c>
      <c r="K1228" s="14">
        <f>SUM(C1228:J1228)</f>
        <v/>
      </c>
      <c r="L1228" s="15">
        <f>SUMPRODUCT(C1228:J1228,Factores!$B$3:$I$3)</f>
        <v/>
      </c>
      <c r="M1228" s="16">
        <f>'Empleo Censo'!E1228</f>
        <v/>
      </c>
      <c r="N1228" s="17">
        <f>IF(M1228&gt;0,L1228,Factores!$B$7)</f>
        <v/>
      </c>
      <c r="O1228">
        <f>IF(M1228&gt;0,"OK","sin PEA -&gt; peor")</f>
        <v/>
      </c>
    </row>
    <row r="1229">
      <c r="A1229" t="inlineStr">
        <is>
          <t>060312</t>
        </is>
      </c>
      <c r="B1229" t="inlineStr">
        <is>
          <t>LA LIBERTAD DE PALLAN</t>
        </is>
      </c>
      <c r="C1229" s="14">
        <f>'Empleo Censo'!G1229-'Empleo Censo'!F1229</f>
        <v/>
      </c>
      <c r="D1229" s="14">
        <f>'Empleo Censo'!F1229</f>
        <v/>
      </c>
      <c r="E1229" s="14">
        <f>'Empleo Censo'!H1229</f>
        <v/>
      </c>
      <c r="F1229" s="14">
        <f>'Empleo Censo'!I1229</f>
        <v/>
      </c>
      <c r="G1229" s="14">
        <f>'Empleo Censo'!J1229+'Empleo Censo'!K1229</f>
        <v/>
      </c>
      <c r="H1229" s="14">
        <f>'Empleo Censo'!L1229</f>
        <v/>
      </c>
      <c r="I1229" s="14">
        <f>'Empleo Censo'!M1229</f>
        <v/>
      </c>
      <c r="J1229" s="14">
        <f>SUM('Empleo Censo'!N1229:AA1229)</f>
        <v/>
      </c>
      <c r="K1229" s="14">
        <f>SUM(C1229:J1229)</f>
        <v/>
      </c>
      <c r="L1229" s="15">
        <f>SUMPRODUCT(C1229:J1229,Factores!$B$3:$I$3)</f>
        <v/>
      </c>
      <c r="M1229" s="16">
        <f>'Empleo Censo'!E1229</f>
        <v/>
      </c>
      <c r="N1229" s="17">
        <f>IF(M1229&gt;0,L1229,Factores!$B$7)</f>
        <v/>
      </c>
      <c r="O1229">
        <f>IF(M1229&gt;0,"OK","sin PEA -&gt; peor")</f>
        <v/>
      </c>
    </row>
    <row r="1230">
      <c r="A1230" t="inlineStr">
        <is>
          <t>020111</t>
        </is>
      </c>
      <c r="B1230" t="inlineStr">
        <is>
          <t>PIRA</t>
        </is>
      </c>
      <c r="C1230" s="14">
        <f>'Empleo Censo'!G1230-'Empleo Censo'!F1230</f>
        <v/>
      </c>
      <c r="D1230" s="14">
        <f>'Empleo Censo'!F1230</f>
        <v/>
      </c>
      <c r="E1230" s="14">
        <f>'Empleo Censo'!H1230</f>
        <v/>
      </c>
      <c r="F1230" s="14">
        <f>'Empleo Censo'!I1230</f>
        <v/>
      </c>
      <c r="G1230" s="14">
        <f>'Empleo Censo'!J1230+'Empleo Censo'!K1230</f>
        <v/>
      </c>
      <c r="H1230" s="14">
        <f>'Empleo Censo'!L1230</f>
        <v/>
      </c>
      <c r="I1230" s="14">
        <f>'Empleo Censo'!M1230</f>
        <v/>
      </c>
      <c r="J1230" s="14">
        <f>SUM('Empleo Censo'!N1230:AA1230)</f>
        <v/>
      </c>
      <c r="K1230" s="14">
        <f>SUM(C1230:J1230)</f>
        <v/>
      </c>
      <c r="L1230" s="15">
        <f>SUMPRODUCT(C1230:J1230,Factores!$B$3:$I$3)</f>
        <v/>
      </c>
      <c r="M1230" s="16">
        <f>'Empleo Censo'!E1230</f>
        <v/>
      </c>
      <c r="N1230" s="17">
        <f>IF(M1230&gt;0,L1230,Factores!$B$7)</f>
        <v/>
      </c>
      <c r="O1230">
        <f>IF(M1230&gt;0,"OK","sin PEA -&gt; peor")</f>
        <v/>
      </c>
    </row>
    <row r="1231">
      <c r="A1231" t="inlineStr">
        <is>
          <t>090305</t>
        </is>
      </c>
      <c r="B1231" t="inlineStr">
        <is>
          <t>CHINCHO</t>
        </is>
      </c>
      <c r="C1231" s="14">
        <f>'Empleo Censo'!G1231-'Empleo Censo'!F1231</f>
        <v/>
      </c>
      <c r="D1231" s="14">
        <f>'Empleo Censo'!F1231</f>
        <v/>
      </c>
      <c r="E1231" s="14">
        <f>'Empleo Censo'!H1231</f>
        <v/>
      </c>
      <c r="F1231" s="14">
        <f>'Empleo Censo'!I1231</f>
        <v/>
      </c>
      <c r="G1231" s="14">
        <f>'Empleo Censo'!J1231+'Empleo Censo'!K1231</f>
        <v/>
      </c>
      <c r="H1231" s="14">
        <f>'Empleo Censo'!L1231</f>
        <v/>
      </c>
      <c r="I1231" s="14">
        <f>'Empleo Censo'!M1231</f>
        <v/>
      </c>
      <c r="J1231" s="14">
        <f>SUM('Empleo Censo'!N1231:AA1231)</f>
        <v/>
      </c>
      <c r="K1231" s="14">
        <f>SUM(C1231:J1231)</f>
        <v/>
      </c>
      <c r="L1231" s="15">
        <f>SUMPRODUCT(C1231:J1231,Factores!$B$3:$I$3)</f>
        <v/>
      </c>
      <c r="M1231" s="16">
        <f>'Empleo Censo'!E1231</f>
        <v/>
      </c>
      <c r="N1231" s="17">
        <f>IF(M1231&gt;0,L1231,Factores!$B$7)</f>
        <v/>
      </c>
      <c r="O1231">
        <f>IF(M1231&gt;0,"OK","sin PEA -&gt; peor")</f>
        <v/>
      </c>
    </row>
    <row r="1232">
      <c r="A1232" t="inlineStr">
        <is>
          <t>050601</t>
        </is>
      </c>
      <c r="B1232" t="inlineStr">
        <is>
          <t>PUQUIO</t>
        </is>
      </c>
      <c r="C1232" s="14">
        <f>'Empleo Censo'!G1232-'Empleo Censo'!F1232</f>
        <v/>
      </c>
      <c r="D1232" s="14">
        <f>'Empleo Censo'!F1232</f>
        <v/>
      </c>
      <c r="E1232" s="14">
        <f>'Empleo Censo'!H1232</f>
        <v/>
      </c>
      <c r="F1232" s="14">
        <f>'Empleo Censo'!I1232</f>
        <v/>
      </c>
      <c r="G1232" s="14">
        <f>'Empleo Censo'!J1232+'Empleo Censo'!K1232</f>
        <v/>
      </c>
      <c r="H1232" s="14">
        <f>'Empleo Censo'!L1232</f>
        <v/>
      </c>
      <c r="I1232" s="14">
        <f>'Empleo Censo'!M1232</f>
        <v/>
      </c>
      <c r="J1232" s="14">
        <f>SUM('Empleo Censo'!N1232:AA1232)</f>
        <v/>
      </c>
      <c r="K1232" s="14">
        <f>SUM(C1232:J1232)</f>
        <v/>
      </c>
      <c r="L1232" s="15">
        <f>SUMPRODUCT(C1232:J1232,Factores!$B$3:$I$3)</f>
        <v/>
      </c>
      <c r="M1232" s="16">
        <f>'Empleo Censo'!E1232</f>
        <v/>
      </c>
      <c r="N1232" s="17">
        <f>IF(M1232&gt;0,L1232,Factores!$B$7)</f>
        <v/>
      </c>
      <c r="O1232">
        <f>IF(M1232&gt;0,"OK","sin PEA -&gt; peor")</f>
        <v/>
      </c>
    </row>
    <row r="1233">
      <c r="A1233" t="inlineStr">
        <is>
          <t>050605</t>
        </is>
      </c>
      <c r="B1233" t="inlineStr">
        <is>
          <t>CHAVIÑA</t>
        </is>
      </c>
      <c r="C1233" s="14">
        <f>'Empleo Censo'!G1233-'Empleo Censo'!F1233</f>
        <v/>
      </c>
      <c r="D1233" s="14">
        <f>'Empleo Censo'!F1233</f>
        <v/>
      </c>
      <c r="E1233" s="14">
        <f>'Empleo Censo'!H1233</f>
        <v/>
      </c>
      <c r="F1233" s="14">
        <f>'Empleo Censo'!I1233</f>
        <v/>
      </c>
      <c r="G1233" s="14">
        <f>'Empleo Censo'!J1233+'Empleo Censo'!K1233</f>
        <v/>
      </c>
      <c r="H1233" s="14">
        <f>'Empleo Censo'!L1233</f>
        <v/>
      </c>
      <c r="I1233" s="14">
        <f>'Empleo Censo'!M1233</f>
        <v/>
      </c>
      <c r="J1233" s="14">
        <f>SUM('Empleo Censo'!N1233:AA1233)</f>
        <v/>
      </c>
      <c r="K1233" s="14">
        <f>SUM(C1233:J1233)</f>
        <v/>
      </c>
      <c r="L1233" s="15">
        <f>SUMPRODUCT(C1233:J1233,Factores!$B$3:$I$3)</f>
        <v/>
      </c>
      <c r="M1233" s="16">
        <f>'Empleo Censo'!E1233</f>
        <v/>
      </c>
      <c r="N1233" s="17">
        <f>IF(M1233&gt;0,L1233,Factores!$B$7)</f>
        <v/>
      </c>
      <c r="O1233">
        <f>IF(M1233&gt;0,"OK","sin PEA -&gt; peor")</f>
        <v/>
      </c>
    </row>
    <row r="1234">
      <c r="A1234" t="inlineStr">
        <is>
          <t>030212</t>
        </is>
      </c>
      <c r="B1234" t="inlineStr">
        <is>
          <t>SAN ANTONIO DE CACHI</t>
        </is>
      </c>
      <c r="C1234" s="14">
        <f>'Empleo Censo'!G1234-'Empleo Censo'!F1234</f>
        <v/>
      </c>
      <c r="D1234" s="14">
        <f>'Empleo Censo'!F1234</f>
        <v/>
      </c>
      <c r="E1234" s="14">
        <f>'Empleo Censo'!H1234</f>
        <v/>
      </c>
      <c r="F1234" s="14">
        <f>'Empleo Censo'!I1234</f>
        <v/>
      </c>
      <c r="G1234" s="14">
        <f>'Empleo Censo'!J1234+'Empleo Censo'!K1234</f>
        <v/>
      </c>
      <c r="H1234" s="14">
        <f>'Empleo Censo'!L1234</f>
        <v/>
      </c>
      <c r="I1234" s="14">
        <f>'Empleo Censo'!M1234</f>
        <v/>
      </c>
      <c r="J1234" s="14">
        <f>SUM('Empleo Censo'!N1234:AA1234)</f>
        <v/>
      </c>
      <c r="K1234" s="14">
        <f>SUM(C1234:J1234)</f>
        <v/>
      </c>
      <c r="L1234" s="15">
        <f>SUMPRODUCT(C1234:J1234,Factores!$B$3:$I$3)</f>
        <v/>
      </c>
      <c r="M1234" s="16">
        <f>'Empleo Censo'!E1234</f>
        <v/>
      </c>
      <c r="N1234" s="17">
        <f>IF(M1234&gt;0,L1234,Factores!$B$7)</f>
        <v/>
      </c>
      <c r="O1234">
        <f>IF(M1234&gt;0,"OK","sin PEA -&gt; peor")</f>
        <v/>
      </c>
    </row>
    <row r="1235">
      <c r="A1235" t="inlineStr">
        <is>
          <t>090504</t>
        </is>
      </c>
      <c r="B1235" t="inlineStr">
        <is>
          <t>EL CARMEN</t>
        </is>
      </c>
      <c r="C1235" s="14">
        <f>'Empleo Censo'!G1235-'Empleo Censo'!F1235</f>
        <v/>
      </c>
      <c r="D1235" s="14">
        <f>'Empleo Censo'!F1235</f>
        <v/>
      </c>
      <c r="E1235" s="14">
        <f>'Empleo Censo'!H1235</f>
        <v/>
      </c>
      <c r="F1235" s="14">
        <f>'Empleo Censo'!I1235</f>
        <v/>
      </c>
      <c r="G1235" s="14">
        <f>'Empleo Censo'!J1235+'Empleo Censo'!K1235</f>
        <v/>
      </c>
      <c r="H1235" s="14">
        <f>'Empleo Censo'!L1235</f>
        <v/>
      </c>
      <c r="I1235" s="14">
        <f>'Empleo Censo'!M1235</f>
        <v/>
      </c>
      <c r="J1235" s="14">
        <f>SUM('Empleo Censo'!N1235:AA1235)</f>
        <v/>
      </c>
      <c r="K1235" s="14">
        <f>SUM(C1235:J1235)</f>
        <v/>
      </c>
      <c r="L1235" s="15">
        <f>SUMPRODUCT(C1235:J1235,Factores!$B$3:$I$3)</f>
        <v/>
      </c>
      <c r="M1235" s="16">
        <f>'Empleo Censo'!E1235</f>
        <v/>
      </c>
      <c r="N1235" s="17">
        <f>IF(M1235&gt;0,L1235,Factores!$B$7)</f>
        <v/>
      </c>
      <c r="O1235">
        <f>IF(M1235&gt;0,"OK","sin PEA -&gt; peor")</f>
        <v/>
      </c>
    </row>
    <row r="1236">
      <c r="A1236" t="inlineStr">
        <is>
          <t>020702</t>
        </is>
      </c>
      <c r="B1236" t="inlineStr">
        <is>
          <t>SAN NICOLAS</t>
        </is>
      </c>
      <c r="C1236" s="14">
        <f>'Empleo Censo'!G1236-'Empleo Censo'!F1236</f>
        <v/>
      </c>
      <c r="D1236" s="14">
        <f>'Empleo Censo'!F1236</f>
        <v/>
      </c>
      <c r="E1236" s="14">
        <f>'Empleo Censo'!H1236</f>
        <v/>
      </c>
      <c r="F1236" s="14">
        <f>'Empleo Censo'!I1236</f>
        <v/>
      </c>
      <c r="G1236" s="14">
        <f>'Empleo Censo'!J1236+'Empleo Censo'!K1236</f>
        <v/>
      </c>
      <c r="H1236" s="14">
        <f>'Empleo Censo'!L1236</f>
        <v/>
      </c>
      <c r="I1236" s="14">
        <f>'Empleo Censo'!M1236</f>
        <v/>
      </c>
      <c r="J1236" s="14">
        <f>SUM('Empleo Censo'!N1236:AA1236)</f>
        <v/>
      </c>
      <c r="K1236" s="14">
        <f>SUM(C1236:J1236)</f>
        <v/>
      </c>
      <c r="L1236" s="15">
        <f>SUMPRODUCT(C1236:J1236,Factores!$B$3:$I$3)</f>
        <v/>
      </c>
      <c r="M1236" s="16">
        <f>'Empleo Censo'!E1236</f>
        <v/>
      </c>
      <c r="N1236" s="17">
        <f>IF(M1236&gt;0,L1236,Factores!$B$7)</f>
        <v/>
      </c>
      <c r="O1236">
        <f>IF(M1236&gt;0,"OK","sin PEA -&gt; peor")</f>
        <v/>
      </c>
    </row>
    <row r="1237">
      <c r="A1237" t="inlineStr">
        <is>
          <t>010402</t>
        </is>
      </c>
      <c r="B1237" t="inlineStr">
        <is>
          <t>EL CENEPA</t>
        </is>
      </c>
      <c r="C1237" s="14">
        <f>'Empleo Censo'!G1237-'Empleo Censo'!F1237</f>
        <v/>
      </c>
      <c r="D1237" s="14">
        <f>'Empleo Censo'!F1237</f>
        <v/>
      </c>
      <c r="E1237" s="14">
        <f>'Empleo Censo'!H1237</f>
        <v/>
      </c>
      <c r="F1237" s="14">
        <f>'Empleo Censo'!I1237</f>
        <v/>
      </c>
      <c r="G1237" s="14">
        <f>'Empleo Censo'!J1237+'Empleo Censo'!K1237</f>
        <v/>
      </c>
      <c r="H1237" s="14">
        <f>'Empleo Censo'!L1237</f>
        <v/>
      </c>
      <c r="I1237" s="14">
        <f>'Empleo Censo'!M1237</f>
        <v/>
      </c>
      <c r="J1237" s="14">
        <f>SUM('Empleo Censo'!N1237:AA1237)</f>
        <v/>
      </c>
      <c r="K1237" s="14">
        <f>SUM(C1237:J1237)</f>
        <v/>
      </c>
      <c r="L1237" s="15">
        <f>SUMPRODUCT(C1237:J1237,Factores!$B$3:$I$3)</f>
        <v/>
      </c>
      <c r="M1237" s="16">
        <f>'Empleo Censo'!E1237</f>
        <v/>
      </c>
      <c r="N1237" s="17">
        <f>IF(M1237&gt;0,L1237,Factores!$B$7)</f>
        <v/>
      </c>
      <c r="O1237">
        <f>IF(M1237&gt;0,"OK","sin PEA -&gt; peor")</f>
        <v/>
      </c>
    </row>
    <row r="1238">
      <c r="A1238" t="inlineStr">
        <is>
          <t>090402</t>
        </is>
      </c>
      <c r="B1238" t="inlineStr">
        <is>
          <t>ARMA</t>
        </is>
      </c>
      <c r="C1238" s="14">
        <f>'Empleo Censo'!G1238-'Empleo Censo'!F1238</f>
        <v/>
      </c>
      <c r="D1238" s="14">
        <f>'Empleo Censo'!F1238</f>
        <v/>
      </c>
      <c r="E1238" s="14">
        <f>'Empleo Censo'!H1238</f>
        <v/>
      </c>
      <c r="F1238" s="14">
        <f>'Empleo Censo'!I1238</f>
        <v/>
      </c>
      <c r="G1238" s="14">
        <f>'Empleo Censo'!J1238+'Empleo Censo'!K1238</f>
        <v/>
      </c>
      <c r="H1238" s="14">
        <f>'Empleo Censo'!L1238</f>
        <v/>
      </c>
      <c r="I1238" s="14">
        <f>'Empleo Censo'!M1238</f>
        <v/>
      </c>
      <c r="J1238" s="14">
        <f>SUM('Empleo Censo'!N1238:AA1238)</f>
        <v/>
      </c>
      <c r="K1238" s="14">
        <f>SUM(C1238:J1238)</f>
        <v/>
      </c>
      <c r="L1238" s="15">
        <f>SUMPRODUCT(C1238:J1238,Factores!$B$3:$I$3)</f>
        <v/>
      </c>
      <c r="M1238" s="16">
        <f>'Empleo Censo'!E1238</f>
        <v/>
      </c>
      <c r="N1238" s="17">
        <f>IF(M1238&gt;0,L1238,Factores!$B$7)</f>
        <v/>
      </c>
      <c r="O1238">
        <f>IF(M1238&gt;0,"OK","sin PEA -&gt; peor")</f>
        <v/>
      </c>
    </row>
    <row r="1239">
      <c r="A1239" t="inlineStr">
        <is>
          <t>060502</t>
        </is>
      </c>
      <c r="B1239" t="inlineStr">
        <is>
          <t>CHILETE</t>
        </is>
      </c>
      <c r="C1239" s="14">
        <f>'Empleo Censo'!G1239-'Empleo Censo'!F1239</f>
        <v/>
      </c>
      <c r="D1239" s="14">
        <f>'Empleo Censo'!F1239</f>
        <v/>
      </c>
      <c r="E1239" s="14">
        <f>'Empleo Censo'!H1239</f>
        <v/>
      </c>
      <c r="F1239" s="14">
        <f>'Empleo Censo'!I1239</f>
        <v/>
      </c>
      <c r="G1239" s="14">
        <f>'Empleo Censo'!J1239+'Empleo Censo'!K1239</f>
        <v/>
      </c>
      <c r="H1239" s="14">
        <f>'Empleo Censo'!L1239</f>
        <v/>
      </c>
      <c r="I1239" s="14">
        <f>'Empleo Censo'!M1239</f>
        <v/>
      </c>
      <c r="J1239" s="14">
        <f>SUM('Empleo Censo'!N1239:AA1239)</f>
        <v/>
      </c>
      <c r="K1239" s="14">
        <f>SUM(C1239:J1239)</f>
        <v/>
      </c>
      <c r="L1239" s="15">
        <f>SUMPRODUCT(C1239:J1239,Factores!$B$3:$I$3)</f>
        <v/>
      </c>
      <c r="M1239" s="16">
        <f>'Empleo Censo'!E1239</f>
        <v/>
      </c>
      <c r="N1239" s="17">
        <f>IF(M1239&gt;0,L1239,Factores!$B$7)</f>
        <v/>
      </c>
      <c r="O1239">
        <f>IF(M1239&gt;0,"OK","sin PEA -&gt; peor")</f>
        <v/>
      </c>
    </row>
    <row r="1240">
      <c r="A1240" t="inlineStr">
        <is>
          <t>050609</t>
        </is>
      </c>
      <c r="B1240" t="inlineStr">
        <is>
          <t>LEONCIO PRADO</t>
        </is>
      </c>
      <c r="C1240" s="14">
        <f>'Empleo Censo'!G1240-'Empleo Censo'!F1240</f>
        <v/>
      </c>
      <c r="D1240" s="14">
        <f>'Empleo Censo'!F1240</f>
        <v/>
      </c>
      <c r="E1240" s="14">
        <f>'Empleo Censo'!H1240</f>
        <v/>
      </c>
      <c r="F1240" s="14">
        <f>'Empleo Censo'!I1240</f>
        <v/>
      </c>
      <c r="G1240" s="14">
        <f>'Empleo Censo'!J1240+'Empleo Censo'!K1240</f>
        <v/>
      </c>
      <c r="H1240" s="14">
        <f>'Empleo Censo'!L1240</f>
        <v/>
      </c>
      <c r="I1240" s="14">
        <f>'Empleo Censo'!M1240</f>
        <v/>
      </c>
      <c r="J1240" s="14">
        <f>SUM('Empleo Censo'!N1240:AA1240)</f>
        <v/>
      </c>
      <c r="K1240" s="14">
        <f>SUM(C1240:J1240)</f>
        <v/>
      </c>
      <c r="L1240" s="15">
        <f>SUMPRODUCT(C1240:J1240,Factores!$B$3:$I$3)</f>
        <v/>
      </c>
      <c r="M1240" s="16">
        <f>'Empleo Censo'!E1240</f>
        <v/>
      </c>
      <c r="N1240" s="17">
        <f>IF(M1240&gt;0,L1240,Factores!$B$7)</f>
        <v/>
      </c>
      <c r="O1240">
        <f>IF(M1240&gt;0,"OK","sin PEA -&gt; peor")</f>
        <v/>
      </c>
    </row>
    <row r="1241">
      <c r="A1241" t="inlineStr">
        <is>
          <t>050603</t>
        </is>
      </c>
      <c r="B1241" t="inlineStr">
        <is>
          <t>CABANA</t>
        </is>
      </c>
      <c r="C1241" s="14">
        <f>'Empleo Censo'!G1241-'Empleo Censo'!F1241</f>
        <v/>
      </c>
      <c r="D1241" s="14">
        <f>'Empleo Censo'!F1241</f>
        <v/>
      </c>
      <c r="E1241" s="14">
        <f>'Empleo Censo'!H1241</f>
        <v/>
      </c>
      <c r="F1241" s="14">
        <f>'Empleo Censo'!I1241</f>
        <v/>
      </c>
      <c r="G1241" s="14">
        <f>'Empleo Censo'!J1241+'Empleo Censo'!K1241</f>
        <v/>
      </c>
      <c r="H1241" s="14">
        <f>'Empleo Censo'!L1241</f>
        <v/>
      </c>
      <c r="I1241" s="14">
        <f>'Empleo Censo'!M1241</f>
        <v/>
      </c>
      <c r="J1241" s="14">
        <f>SUM('Empleo Censo'!N1241:AA1241)</f>
        <v/>
      </c>
      <c r="K1241" s="14">
        <f>SUM(C1241:J1241)</f>
        <v/>
      </c>
      <c r="L1241" s="15">
        <f>SUMPRODUCT(C1241:J1241,Factores!$B$3:$I$3)</f>
        <v/>
      </c>
      <c r="M1241" s="16">
        <f>'Empleo Censo'!E1241</f>
        <v/>
      </c>
      <c r="N1241" s="17">
        <f>IF(M1241&gt;0,L1241,Factores!$B$7)</f>
        <v/>
      </c>
      <c r="O1241">
        <f>IF(M1241&gt;0,"OK","sin PEA -&gt; peor")</f>
        <v/>
      </c>
    </row>
    <row r="1242">
      <c r="A1242" t="inlineStr">
        <is>
          <t>081105</t>
        </is>
      </c>
      <c r="B1242" t="inlineStr">
        <is>
          <t>HUANCARANI</t>
        </is>
      </c>
      <c r="C1242" s="14">
        <f>'Empleo Censo'!G1242-'Empleo Censo'!F1242</f>
        <v/>
      </c>
      <c r="D1242" s="14">
        <f>'Empleo Censo'!F1242</f>
        <v/>
      </c>
      <c r="E1242" s="14">
        <f>'Empleo Censo'!H1242</f>
        <v/>
      </c>
      <c r="F1242" s="14">
        <f>'Empleo Censo'!I1242</f>
        <v/>
      </c>
      <c r="G1242" s="14">
        <f>'Empleo Censo'!J1242+'Empleo Censo'!K1242</f>
        <v/>
      </c>
      <c r="H1242" s="14">
        <f>'Empleo Censo'!L1242</f>
        <v/>
      </c>
      <c r="I1242" s="14">
        <f>'Empleo Censo'!M1242</f>
        <v/>
      </c>
      <c r="J1242" s="14">
        <f>SUM('Empleo Censo'!N1242:AA1242)</f>
        <v/>
      </c>
      <c r="K1242" s="14">
        <f>SUM(C1242:J1242)</f>
        <v/>
      </c>
      <c r="L1242" s="15">
        <f>SUMPRODUCT(C1242:J1242,Factores!$B$3:$I$3)</f>
        <v/>
      </c>
      <c r="M1242" s="16">
        <f>'Empleo Censo'!E1242</f>
        <v/>
      </c>
      <c r="N1242" s="17">
        <f>IF(M1242&gt;0,L1242,Factores!$B$7)</f>
        <v/>
      </c>
      <c r="O1242">
        <f>IF(M1242&gt;0,"OK","sin PEA -&gt; peor")</f>
        <v/>
      </c>
    </row>
    <row r="1243">
      <c r="A1243" t="inlineStr">
        <is>
          <t>090725</t>
        </is>
      </c>
      <c r="B1243" t="inlineStr">
        <is>
          <t>COCHABAMBA</t>
        </is>
      </c>
      <c r="C1243" s="14">
        <f>'Empleo Censo'!G1243-'Empleo Censo'!F1243</f>
        <v/>
      </c>
      <c r="D1243" s="14">
        <f>'Empleo Censo'!F1243</f>
        <v/>
      </c>
      <c r="E1243" s="14">
        <f>'Empleo Censo'!H1243</f>
        <v/>
      </c>
      <c r="F1243" s="14">
        <f>'Empleo Censo'!I1243</f>
        <v/>
      </c>
      <c r="G1243" s="14">
        <f>'Empleo Censo'!J1243+'Empleo Censo'!K1243</f>
        <v/>
      </c>
      <c r="H1243" s="14">
        <f>'Empleo Censo'!L1243</f>
        <v/>
      </c>
      <c r="I1243" s="14">
        <f>'Empleo Censo'!M1243</f>
        <v/>
      </c>
      <c r="J1243" s="14">
        <f>SUM('Empleo Censo'!N1243:AA1243)</f>
        <v/>
      </c>
      <c r="K1243" s="14">
        <f>SUM(C1243:J1243)</f>
        <v/>
      </c>
      <c r="L1243" s="15">
        <f>SUMPRODUCT(C1243:J1243,Factores!$B$3:$I$3)</f>
        <v/>
      </c>
      <c r="M1243" s="16">
        <f>'Empleo Censo'!E1243</f>
        <v/>
      </c>
      <c r="N1243" s="17">
        <f>IF(M1243&gt;0,L1243,Factores!$B$7)</f>
        <v/>
      </c>
      <c r="O1243">
        <f>IF(M1243&gt;0,"OK","sin PEA -&gt; peor")</f>
        <v/>
      </c>
    </row>
    <row r="1244">
      <c r="A1244" t="inlineStr">
        <is>
          <t>021602</t>
        </is>
      </c>
      <c r="B1244" t="inlineStr">
        <is>
          <t>HUAYLLAN</t>
        </is>
      </c>
      <c r="C1244" s="14">
        <f>'Empleo Censo'!G1244-'Empleo Censo'!F1244</f>
        <v/>
      </c>
      <c r="D1244" s="14">
        <f>'Empleo Censo'!F1244</f>
        <v/>
      </c>
      <c r="E1244" s="14">
        <f>'Empleo Censo'!H1244</f>
        <v/>
      </c>
      <c r="F1244" s="14">
        <f>'Empleo Censo'!I1244</f>
        <v/>
      </c>
      <c r="G1244" s="14">
        <f>'Empleo Censo'!J1244+'Empleo Censo'!K1244</f>
        <v/>
      </c>
      <c r="H1244" s="14">
        <f>'Empleo Censo'!L1244</f>
        <v/>
      </c>
      <c r="I1244" s="14">
        <f>'Empleo Censo'!M1244</f>
        <v/>
      </c>
      <c r="J1244" s="14">
        <f>SUM('Empleo Censo'!N1244:AA1244)</f>
        <v/>
      </c>
      <c r="K1244" s="14">
        <f>SUM(C1244:J1244)</f>
        <v/>
      </c>
      <c r="L1244" s="15">
        <f>SUMPRODUCT(C1244:J1244,Factores!$B$3:$I$3)</f>
        <v/>
      </c>
      <c r="M1244" s="16">
        <f>'Empleo Censo'!E1244</f>
        <v/>
      </c>
      <c r="N1244" s="17">
        <f>IF(M1244&gt;0,L1244,Factores!$B$7)</f>
        <v/>
      </c>
      <c r="O1244">
        <f>IF(M1244&gt;0,"OK","sin PEA -&gt; peor")</f>
        <v/>
      </c>
    </row>
    <row r="1245">
      <c r="A1245" t="inlineStr">
        <is>
          <t>060504</t>
        </is>
      </c>
      <c r="B1245" t="inlineStr">
        <is>
          <t>GUZMANGO</t>
        </is>
      </c>
      <c r="C1245" s="14">
        <f>'Empleo Censo'!G1245-'Empleo Censo'!F1245</f>
        <v/>
      </c>
      <c r="D1245" s="14">
        <f>'Empleo Censo'!F1245</f>
        <v/>
      </c>
      <c r="E1245" s="14">
        <f>'Empleo Censo'!H1245</f>
        <v/>
      </c>
      <c r="F1245" s="14">
        <f>'Empleo Censo'!I1245</f>
        <v/>
      </c>
      <c r="G1245" s="14">
        <f>'Empleo Censo'!J1245+'Empleo Censo'!K1245</f>
        <v/>
      </c>
      <c r="H1245" s="14">
        <f>'Empleo Censo'!L1245</f>
        <v/>
      </c>
      <c r="I1245" s="14">
        <f>'Empleo Censo'!M1245</f>
        <v/>
      </c>
      <c r="J1245" s="14">
        <f>SUM('Empleo Censo'!N1245:AA1245)</f>
        <v/>
      </c>
      <c r="K1245" s="14">
        <f>SUM(C1245:J1245)</f>
        <v/>
      </c>
      <c r="L1245" s="15">
        <f>SUMPRODUCT(C1245:J1245,Factores!$B$3:$I$3)</f>
        <v/>
      </c>
      <c r="M1245" s="16">
        <f>'Empleo Censo'!E1245</f>
        <v/>
      </c>
      <c r="N1245" s="17">
        <f>IF(M1245&gt;0,L1245,Factores!$B$7)</f>
        <v/>
      </c>
      <c r="O1245">
        <f>IF(M1245&gt;0,"OK","sin PEA -&gt; peor")</f>
        <v/>
      </c>
    </row>
    <row r="1246">
      <c r="A1246" t="inlineStr">
        <is>
          <t>050619</t>
        </is>
      </c>
      <c r="B1246" t="inlineStr">
        <is>
          <t>SANCOS</t>
        </is>
      </c>
      <c r="C1246" s="14">
        <f>'Empleo Censo'!G1246-'Empleo Censo'!F1246</f>
        <v/>
      </c>
      <c r="D1246" s="14">
        <f>'Empleo Censo'!F1246</f>
        <v/>
      </c>
      <c r="E1246" s="14">
        <f>'Empleo Censo'!H1246</f>
        <v/>
      </c>
      <c r="F1246" s="14">
        <f>'Empleo Censo'!I1246</f>
        <v/>
      </c>
      <c r="G1246" s="14">
        <f>'Empleo Censo'!J1246+'Empleo Censo'!K1246</f>
        <v/>
      </c>
      <c r="H1246" s="14">
        <f>'Empleo Censo'!L1246</f>
        <v/>
      </c>
      <c r="I1246" s="14">
        <f>'Empleo Censo'!M1246</f>
        <v/>
      </c>
      <c r="J1246" s="14">
        <f>SUM('Empleo Censo'!N1246:AA1246)</f>
        <v/>
      </c>
      <c r="K1246" s="14">
        <f>SUM(C1246:J1246)</f>
        <v/>
      </c>
      <c r="L1246" s="15">
        <f>SUMPRODUCT(C1246:J1246,Factores!$B$3:$I$3)</f>
        <v/>
      </c>
      <c r="M1246" s="16">
        <f>'Empleo Censo'!E1246</f>
        <v/>
      </c>
      <c r="N1246" s="17">
        <f>IF(M1246&gt;0,L1246,Factores!$B$7)</f>
        <v/>
      </c>
      <c r="O1246">
        <f>IF(M1246&gt;0,"OK","sin PEA -&gt; peor")</f>
        <v/>
      </c>
    </row>
    <row r="1247">
      <c r="A1247" t="inlineStr">
        <is>
          <t>030608</t>
        </is>
      </c>
      <c r="B1247" t="inlineStr">
        <is>
          <t>RANRACANCHA</t>
        </is>
      </c>
      <c r="C1247" s="14">
        <f>'Empleo Censo'!G1247-'Empleo Censo'!F1247</f>
        <v/>
      </c>
      <c r="D1247" s="14">
        <f>'Empleo Censo'!F1247</f>
        <v/>
      </c>
      <c r="E1247" s="14">
        <f>'Empleo Censo'!H1247</f>
        <v/>
      </c>
      <c r="F1247" s="14">
        <f>'Empleo Censo'!I1247</f>
        <v/>
      </c>
      <c r="G1247" s="14">
        <f>'Empleo Censo'!J1247+'Empleo Censo'!K1247</f>
        <v/>
      </c>
      <c r="H1247" s="14">
        <f>'Empleo Censo'!L1247</f>
        <v/>
      </c>
      <c r="I1247" s="14">
        <f>'Empleo Censo'!M1247</f>
        <v/>
      </c>
      <c r="J1247" s="14">
        <f>SUM('Empleo Censo'!N1247:AA1247)</f>
        <v/>
      </c>
      <c r="K1247" s="14">
        <f>SUM(C1247:J1247)</f>
        <v/>
      </c>
      <c r="L1247" s="15">
        <f>SUMPRODUCT(C1247:J1247,Factores!$B$3:$I$3)</f>
        <v/>
      </c>
      <c r="M1247" s="16">
        <f>'Empleo Censo'!E1247</f>
        <v/>
      </c>
      <c r="N1247" s="17">
        <f>IF(M1247&gt;0,L1247,Factores!$B$7)</f>
        <v/>
      </c>
      <c r="O1247">
        <f>IF(M1247&gt;0,"OK","sin PEA -&gt; peor")</f>
        <v/>
      </c>
    </row>
    <row r="1248">
      <c r="A1248" t="inlineStr">
        <is>
          <t>030409</t>
        </is>
      </c>
      <c r="B1248" t="inlineStr">
        <is>
          <t>LUCRE</t>
        </is>
      </c>
      <c r="C1248" s="14">
        <f>'Empleo Censo'!G1248-'Empleo Censo'!F1248</f>
        <v/>
      </c>
      <c r="D1248" s="14">
        <f>'Empleo Censo'!F1248</f>
        <v/>
      </c>
      <c r="E1248" s="14">
        <f>'Empleo Censo'!H1248</f>
        <v/>
      </c>
      <c r="F1248" s="14">
        <f>'Empleo Censo'!I1248</f>
        <v/>
      </c>
      <c r="G1248" s="14">
        <f>'Empleo Censo'!J1248+'Empleo Censo'!K1248</f>
        <v/>
      </c>
      <c r="H1248" s="14">
        <f>'Empleo Censo'!L1248</f>
        <v/>
      </c>
      <c r="I1248" s="14">
        <f>'Empleo Censo'!M1248</f>
        <v/>
      </c>
      <c r="J1248" s="14">
        <f>SUM('Empleo Censo'!N1248:AA1248)</f>
        <v/>
      </c>
      <c r="K1248" s="14">
        <f>SUM(C1248:J1248)</f>
        <v/>
      </c>
      <c r="L1248" s="15">
        <f>SUMPRODUCT(C1248:J1248,Factores!$B$3:$I$3)</f>
        <v/>
      </c>
      <c r="M1248" s="16">
        <f>'Empleo Censo'!E1248</f>
        <v/>
      </c>
      <c r="N1248" s="17">
        <f>IF(M1248&gt;0,L1248,Factores!$B$7)</f>
        <v/>
      </c>
      <c r="O1248">
        <f>IF(M1248&gt;0,"OK","sin PEA -&gt; peor")</f>
        <v/>
      </c>
    </row>
    <row r="1249">
      <c r="A1249" t="inlineStr">
        <is>
          <t>030401</t>
        </is>
      </c>
      <c r="B1249" t="inlineStr">
        <is>
          <t>CHALHUANCA</t>
        </is>
      </c>
      <c r="C1249" s="14">
        <f>'Empleo Censo'!G1249-'Empleo Censo'!F1249</f>
        <v/>
      </c>
      <c r="D1249" s="14">
        <f>'Empleo Censo'!F1249</f>
        <v/>
      </c>
      <c r="E1249" s="14">
        <f>'Empleo Censo'!H1249</f>
        <v/>
      </c>
      <c r="F1249" s="14">
        <f>'Empleo Censo'!I1249</f>
        <v/>
      </c>
      <c r="G1249" s="14">
        <f>'Empleo Censo'!J1249+'Empleo Censo'!K1249</f>
        <v/>
      </c>
      <c r="H1249" s="14">
        <f>'Empleo Censo'!L1249</f>
        <v/>
      </c>
      <c r="I1249" s="14">
        <f>'Empleo Censo'!M1249</f>
        <v/>
      </c>
      <c r="J1249" s="14">
        <f>SUM('Empleo Censo'!N1249:AA1249)</f>
        <v/>
      </c>
      <c r="K1249" s="14">
        <f>SUM(C1249:J1249)</f>
        <v/>
      </c>
      <c r="L1249" s="15">
        <f>SUMPRODUCT(C1249:J1249,Factores!$B$3:$I$3)</f>
        <v/>
      </c>
      <c r="M1249" s="16">
        <f>'Empleo Censo'!E1249</f>
        <v/>
      </c>
      <c r="N1249" s="17">
        <f>IF(M1249&gt;0,L1249,Factores!$B$7)</f>
        <v/>
      </c>
      <c r="O1249">
        <f>IF(M1249&gt;0,"OK","sin PEA -&gt; peor")</f>
        <v/>
      </c>
    </row>
    <row r="1250">
      <c r="A1250" t="inlineStr">
        <is>
          <t>040608</t>
        </is>
      </c>
      <c r="B1250" t="inlineStr">
        <is>
          <t>YANAQUIHUA</t>
        </is>
      </c>
      <c r="C1250" s="14">
        <f>'Empleo Censo'!G1250-'Empleo Censo'!F1250</f>
        <v/>
      </c>
      <c r="D1250" s="14">
        <f>'Empleo Censo'!F1250</f>
        <v/>
      </c>
      <c r="E1250" s="14">
        <f>'Empleo Censo'!H1250</f>
        <v/>
      </c>
      <c r="F1250" s="14">
        <f>'Empleo Censo'!I1250</f>
        <v/>
      </c>
      <c r="G1250" s="14">
        <f>'Empleo Censo'!J1250+'Empleo Censo'!K1250</f>
        <v/>
      </c>
      <c r="H1250" s="14">
        <f>'Empleo Censo'!L1250</f>
        <v/>
      </c>
      <c r="I1250" s="14">
        <f>'Empleo Censo'!M1250</f>
        <v/>
      </c>
      <c r="J1250" s="14">
        <f>SUM('Empleo Censo'!N1250:AA1250)</f>
        <v/>
      </c>
      <c r="K1250" s="14">
        <f>SUM(C1250:J1250)</f>
        <v/>
      </c>
      <c r="L1250" s="15">
        <f>SUMPRODUCT(C1250:J1250,Factores!$B$3:$I$3)</f>
        <v/>
      </c>
      <c r="M1250" s="16">
        <f>'Empleo Censo'!E1250</f>
        <v/>
      </c>
      <c r="N1250" s="17">
        <f>IF(M1250&gt;0,L1250,Factores!$B$7)</f>
        <v/>
      </c>
      <c r="O1250">
        <f>IF(M1250&gt;0,"OK","sin PEA -&gt; peor")</f>
        <v/>
      </c>
    </row>
    <row r="1251">
      <c r="A1251" t="inlineStr">
        <is>
          <t>090310</t>
        </is>
      </c>
      <c r="B1251" t="inlineStr">
        <is>
          <t>SAN ANTONIO DE ANTAPARCO</t>
        </is>
      </c>
      <c r="C1251" s="14">
        <f>'Empleo Censo'!G1251-'Empleo Censo'!F1251</f>
        <v/>
      </c>
      <c r="D1251" s="14">
        <f>'Empleo Censo'!F1251</f>
        <v/>
      </c>
      <c r="E1251" s="14">
        <f>'Empleo Censo'!H1251</f>
        <v/>
      </c>
      <c r="F1251" s="14">
        <f>'Empleo Censo'!I1251</f>
        <v/>
      </c>
      <c r="G1251" s="14">
        <f>'Empleo Censo'!J1251+'Empleo Censo'!K1251</f>
        <v/>
      </c>
      <c r="H1251" s="14">
        <f>'Empleo Censo'!L1251</f>
        <v/>
      </c>
      <c r="I1251" s="14">
        <f>'Empleo Censo'!M1251</f>
        <v/>
      </c>
      <c r="J1251" s="14">
        <f>SUM('Empleo Censo'!N1251:AA1251)</f>
        <v/>
      </c>
      <c r="K1251" s="14">
        <f>SUM(C1251:J1251)</f>
        <v/>
      </c>
      <c r="L1251" s="15">
        <f>SUMPRODUCT(C1251:J1251,Factores!$B$3:$I$3)</f>
        <v/>
      </c>
      <c r="M1251" s="16">
        <f>'Empleo Censo'!E1251</f>
        <v/>
      </c>
      <c r="N1251" s="17">
        <f>IF(M1251&gt;0,L1251,Factores!$B$7)</f>
        <v/>
      </c>
      <c r="O1251">
        <f>IF(M1251&gt;0,"OK","sin PEA -&gt; peor")</f>
        <v/>
      </c>
    </row>
    <row r="1252">
      <c r="A1252" t="inlineStr">
        <is>
          <t>090404</t>
        </is>
      </c>
      <c r="B1252" t="inlineStr">
        <is>
          <t>CAPILLAS</t>
        </is>
      </c>
      <c r="C1252" s="14">
        <f>'Empleo Censo'!G1252-'Empleo Censo'!F1252</f>
        <v/>
      </c>
      <c r="D1252" s="14">
        <f>'Empleo Censo'!F1252</f>
        <v/>
      </c>
      <c r="E1252" s="14">
        <f>'Empleo Censo'!H1252</f>
        <v/>
      </c>
      <c r="F1252" s="14">
        <f>'Empleo Censo'!I1252</f>
        <v/>
      </c>
      <c r="G1252" s="14">
        <f>'Empleo Censo'!J1252+'Empleo Censo'!K1252</f>
        <v/>
      </c>
      <c r="H1252" s="14">
        <f>'Empleo Censo'!L1252</f>
        <v/>
      </c>
      <c r="I1252" s="14">
        <f>'Empleo Censo'!M1252</f>
        <v/>
      </c>
      <c r="J1252" s="14">
        <f>SUM('Empleo Censo'!N1252:AA1252)</f>
        <v/>
      </c>
      <c r="K1252" s="14">
        <f>SUM(C1252:J1252)</f>
        <v/>
      </c>
      <c r="L1252" s="15">
        <f>SUMPRODUCT(C1252:J1252,Factores!$B$3:$I$3)</f>
        <v/>
      </c>
      <c r="M1252" s="16">
        <f>'Empleo Censo'!E1252</f>
        <v/>
      </c>
      <c r="N1252" s="17">
        <f>IF(M1252&gt;0,L1252,Factores!$B$7)</f>
        <v/>
      </c>
      <c r="O1252">
        <f>IF(M1252&gt;0,"OK","sin PEA -&gt; peor")</f>
        <v/>
      </c>
    </row>
    <row r="1253">
      <c r="A1253" t="inlineStr">
        <is>
          <t>090615</t>
        </is>
      </c>
      <c r="B1253" t="inlineStr">
        <is>
          <t>SANTO DOMINGO DE CAPILLAS</t>
        </is>
      </c>
      <c r="C1253" s="14">
        <f>'Empleo Censo'!G1253-'Empleo Censo'!F1253</f>
        <v/>
      </c>
      <c r="D1253" s="14">
        <f>'Empleo Censo'!F1253</f>
        <v/>
      </c>
      <c r="E1253" s="14">
        <f>'Empleo Censo'!H1253</f>
        <v/>
      </c>
      <c r="F1253" s="14">
        <f>'Empleo Censo'!I1253</f>
        <v/>
      </c>
      <c r="G1253" s="14">
        <f>'Empleo Censo'!J1253+'Empleo Censo'!K1253</f>
        <v/>
      </c>
      <c r="H1253" s="14">
        <f>'Empleo Censo'!L1253</f>
        <v/>
      </c>
      <c r="I1253" s="14">
        <f>'Empleo Censo'!M1253</f>
        <v/>
      </c>
      <c r="J1253" s="14">
        <f>SUM('Empleo Censo'!N1253:AA1253)</f>
        <v/>
      </c>
      <c r="K1253" s="14">
        <f>SUM(C1253:J1253)</f>
        <v/>
      </c>
      <c r="L1253" s="15">
        <f>SUMPRODUCT(C1253:J1253,Factores!$B$3:$I$3)</f>
        <v/>
      </c>
      <c r="M1253" s="16">
        <f>'Empleo Censo'!E1253</f>
        <v/>
      </c>
      <c r="N1253" s="17">
        <f>IF(M1253&gt;0,L1253,Factores!$B$7)</f>
        <v/>
      </c>
      <c r="O1253">
        <f>IF(M1253&gt;0,"OK","sin PEA -&gt; peor")</f>
        <v/>
      </c>
    </row>
    <row r="1254">
      <c r="A1254" t="inlineStr">
        <is>
          <t>030307</t>
        </is>
      </c>
      <c r="B1254" t="inlineStr">
        <is>
          <t>SABAINO</t>
        </is>
      </c>
      <c r="C1254" s="14">
        <f>'Empleo Censo'!G1254-'Empleo Censo'!F1254</f>
        <v/>
      </c>
      <c r="D1254" s="14">
        <f>'Empleo Censo'!F1254</f>
        <v/>
      </c>
      <c r="E1254" s="14">
        <f>'Empleo Censo'!H1254</f>
        <v/>
      </c>
      <c r="F1254" s="14">
        <f>'Empleo Censo'!I1254</f>
        <v/>
      </c>
      <c r="G1254" s="14">
        <f>'Empleo Censo'!J1254+'Empleo Censo'!K1254</f>
        <v/>
      </c>
      <c r="H1254" s="14">
        <f>'Empleo Censo'!L1254</f>
        <v/>
      </c>
      <c r="I1254" s="14">
        <f>'Empleo Censo'!M1254</f>
        <v/>
      </c>
      <c r="J1254" s="14">
        <f>SUM('Empleo Censo'!N1254:AA1254)</f>
        <v/>
      </c>
      <c r="K1254" s="14">
        <f>SUM(C1254:J1254)</f>
        <v/>
      </c>
      <c r="L1254" s="15">
        <f>SUMPRODUCT(C1254:J1254,Factores!$B$3:$I$3)</f>
        <v/>
      </c>
      <c r="M1254" s="16">
        <f>'Empleo Censo'!E1254</f>
        <v/>
      </c>
      <c r="N1254" s="17">
        <f>IF(M1254&gt;0,L1254,Factores!$B$7)</f>
        <v/>
      </c>
      <c r="O1254">
        <f>IF(M1254&gt;0,"OK","sin PEA -&gt; peor")</f>
        <v/>
      </c>
    </row>
    <row r="1255">
      <c r="A1255" t="inlineStr">
        <is>
          <t>081005</t>
        </is>
      </c>
      <c r="B1255" t="inlineStr">
        <is>
          <t>HUANOQUITE</t>
        </is>
      </c>
      <c r="C1255" s="14">
        <f>'Empleo Censo'!G1255-'Empleo Censo'!F1255</f>
        <v/>
      </c>
      <c r="D1255" s="14">
        <f>'Empleo Censo'!F1255</f>
        <v/>
      </c>
      <c r="E1255" s="14">
        <f>'Empleo Censo'!H1255</f>
        <v/>
      </c>
      <c r="F1255" s="14">
        <f>'Empleo Censo'!I1255</f>
        <v/>
      </c>
      <c r="G1255" s="14">
        <f>'Empleo Censo'!J1255+'Empleo Censo'!K1255</f>
        <v/>
      </c>
      <c r="H1255" s="14">
        <f>'Empleo Censo'!L1255</f>
        <v/>
      </c>
      <c r="I1255" s="14">
        <f>'Empleo Censo'!M1255</f>
        <v/>
      </c>
      <c r="J1255" s="14">
        <f>SUM('Empleo Censo'!N1255:AA1255)</f>
        <v/>
      </c>
      <c r="K1255" s="14">
        <f>SUM(C1255:J1255)</f>
        <v/>
      </c>
      <c r="L1255" s="15">
        <f>SUMPRODUCT(C1255:J1255,Factores!$B$3:$I$3)</f>
        <v/>
      </c>
      <c r="M1255" s="16">
        <f>'Empleo Censo'!E1255</f>
        <v/>
      </c>
      <c r="N1255" s="17">
        <f>IF(M1255&gt;0,L1255,Factores!$B$7)</f>
        <v/>
      </c>
      <c r="O1255">
        <f>IF(M1255&gt;0,"OK","sin PEA -&gt; peor")</f>
        <v/>
      </c>
    </row>
    <row r="1256">
      <c r="A1256" t="inlineStr">
        <is>
          <t>080917</t>
        </is>
      </c>
      <c r="B1256" t="inlineStr">
        <is>
          <t>MANITEA</t>
        </is>
      </c>
      <c r="C1256" s="14">
        <f>'Empleo Censo'!G1256-'Empleo Censo'!F1256</f>
        <v/>
      </c>
      <c r="D1256" s="14">
        <f>'Empleo Censo'!F1256</f>
        <v/>
      </c>
      <c r="E1256" s="14">
        <f>'Empleo Censo'!H1256</f>
        <v/>
      </c>
      <c r="F1256" s="14">
        <f>'Empleo Censo'!I1256</f>
        <v/>
      </c>
      <c r="G1256" s="14">
        <f>'Empleo Censo'!J1256+'Empleo Censo'!K1256</f>
        <v/>
      </c>
      <c r="H1256" s="14">
        <f>'Empleo Censo'!L1256</f>
        <v/>
      </c>
      <c r="I1256" s="14">
        <f>'Empleo Censo'!M1256</f>
        <v/>
      </c>
      <c r="J1256" s="14">
        <f>SUM('Empleo Censo'!N1256:AA1256)</f>
        <v/>
      </c>
      <c r="K1256" s="14">
        <f>SUM(C1256:J1256)</f>
        <v/>
      </c>
      <c r="L1256" s="15">
        <f>SUMPRODUCT(C1256:J1256,Factores!$B$3:$I$3)</f>
        <v/>
      </c>
      <c r="M1256" s="16">
        <f>'Empleo Censo'!E1256</f>
        <v/>
      </c>
      <c r="N1256" s="17">
        <f>IF(M1256&gt;0,L1256,Factores!$B$7)</f>
        <v/>
      </c>
      <c r="O1256">
        <f>IF(M1256&gt;0,"OK","sin PEA -&gt; peor")</f>
        <v/>
      </c>
    </row>
    <row r="1257">
      <c r="A1257" t="inlineStr">
        <is>
          <t>060403</t>
        </is>
      </c>
      <c r="B1257" t="inlineStr">
        <is>
          <t>CHADIN</t>
        </is>
      </c>
      <c r="C1257" s="14">
        <f>'Empleo Censo'!G1257-'Empleo Censo'!F1257</f>
        <v/>
      </c>
      <c r="D1257" s="14">
        <f>'Empleo Censo'!F1257</f>
        <v/>
      </c>
      <c r="E1257" s="14">
        <f>'Empleo Censo'!H1257</f>
        <v/>
      </c>
      <c r="F1257" s="14">
        <f>'Empleo Censo'!I1257</f>
        <v/>
      </c>
      <c r="G1257" s="14">
        <f>'Empleo Censo'!J1257+'Empleo Censo'!K1257</f>
        <v/>
      </c>
      <c r="H1257" s="14">
        <f>'Empleo Censo'!L1257</f>
        <v/>
      </c>
      <c r="I1257" s="14">
        <f>'Empleo Censo'!M1257</f>
        <v/>
      </c>
      <c r="J1257" s="14">
        <f>SUM('Empleo Censo'!N1257:AA1257)</f>
        <v/>
      </c>
      <c r="K1257" s="14">
        <f>SUM(C1257:J1257)</f>
        <v/>
      </c>
      <c r="L1257" s="15">
        <f>SUMPRODUCT(C1257:J1257,Factores!$B$3:$I$3)</f>
        <v/>
      </c>
      <c r="M1257" s="16">
        <f>'Empleo Censo'!E1257</f>
        <v/>
      </c>
      <c r="N1257" s="17">
        <f>IF(M1257&gt;0,L1257,Factores!$B$7)</f>
        <v/>
      </c>
      <c r="O1257">
        <f>IF(M1257&gt;0,"OK","sin PEA -&gt; peor")</f>
        <v/>
      </c>
    </row>
    <row r="1258">
      <c r="A1258" t="inlineStr">
        <is>
          <t>021207</t>
        </is>
      </c>
      <c r="B1258" t="inlineStr">
        <is>
          <t>PUEBLO LIBRE</t>
        </is>
      </c>
      <c r="C1258" s="14">
        <f>'Empleo Censo'!G1258-'Empleo Censo'!F1258</f>
        <v/>
      </c>
      <c r="D1258" s="14">
        <f>'Empleo Censo'!F1258</f>
        <v/>
      </c>
      <c r="E1258" s="14">
        <f>'Empleo Censo'!H1258</f>
        <v/>
      </c>
      <c r="F1258" s="14">
        <f>'Empleo Censo'!I1258</f>
        <v/>
      </c>
      <c r="G1258" s="14">
        <f>'Empleo Censo'!J1258+'Empleo Censo'!K1258</f>
        <v/>
      </c>
      <c r="H1258" s="14">
        <f>'Empleo Censo'!L1258</f>
        <v/>
      </c>
      <c r="I1258" s="14">
        <f>'Empleo Censo'!M1258</f>
        <v/>
      </c>
      <c r="J1258" s="14">
        <f>SUM('Empleo Censo'!N1258:AA1258)</f>
        <v/>
      </c>
      <c r="K1258" s="14">
        <f>SUM(C1258:J1258)</f>
        <v/>
      </c>
      <c r="L1258" s="15">
        <f>SUMPRODUCT(C1258:J1258,Factores!$B$3:$I$3)</f>
        <v/>
      </c>
      <c r="M1258" s="16">
        <f>'Empleo Censo'!E1258</f>
        <v/>
      </c>
      <c r="N1258" s="17">
        <f>IF(M1258&gt;0,L1258,Factores!$B$7)</f>
        <v/>
      </c>
      <c r="O1258">
        <f>IF(M1258&gt;0,"OK","sin PEA -&gt; peor")</f>
        <v/>
      </c>
    </row>
    <row r="1259">
      <c r="A1259" t="inlineStr">
        <is>
          <t>090203</t>
        </is>
      </c>
      <c r="B1259" t="inlineStr">
        <is>
          <t>ANTA</t>
        </is>
      </c>
      <c r="C1259" s="14">
        <f>'Empleo Censo'!G1259-'Empleo Censo'!F1259</f>
        <v/>
      </c>
      <c r="D1259" s="14">
        <f>'Empleo Censo'!F1259</f>
        <v/>
      </c>
      <c r="E1259" s="14">
        <f>'Empleo Censo'!H1259</f>
        <v/>
      </c>
      <c r="F1259" s="14">
        <f>'Empleo Censo'!I1259</f>
        <v/>
      </c>
      <c r="G1259" s="14">
        <f>'Empleo Censo'!J1259+'Empleo Censo'!K1259</f>
        <v/>
      </c>
      <c r="H1259" s="14">
        <f>'Empleo Censo'!L1259</f>
        <v/>
      </c>
      <c r="I1259" s="14">
        <f>'Empleo Censo'!M1259</f>
        <v/>
      </c>
      <c r="J1259" s="14">
        <f>SUM('Empleo Censo'!N1259:AA1259)</f>
        <v/>
      </c>
      <c r="K1259" s="14">
        <f>SUM(C1259:J1259)</f>
        <v/>
      </c>
      <c r="L1259" s="15">
        <f>SUMPRODUCT(C1259:J1259,Factores!$B$3:$I$3)</f>
        <v/>
      </c>
      <c r="M1259" s="16">
        <f>'Empleo Censo'!E1259</f>
        <v/>
      </c>
      <c r="N1259" s="17">
        <f>IF(M1259&gt;0,L1259,Factores!$B$7)</f>
        <v/>
      </c>
      <c r="O1259">
        <f>IF(M1259&gt;0,"OK","sin PEA -&gt; peor")</f>
        <v/>
      </c>
    </row>
    <row r="1260">
      <c r="A1260" t="inlineStr">
        <is>
          <t>050810</t>
        </is>
      </c>
      <c r="B1260" t="inlineStr">
        <is>
          <t>SARA SARA</t>
        </is>
      </c>
      <c r="C1260" s="14">
        <f>'Empleo Censo'!G1260-'Empleo Censo'!F1260</f>
        <v/>
      </c>
      <c r="D1260" s="14">
        <f>'Empleo Censo'!F1260</f>
        <v/>
      </c>
      <c r="E1260" s="14">
        <f>'Empleo Censo'!H1260</f>
        <v/>
      </c>
      <c r="F1260" s="14">
        <f>'Empleo Censo'!I1260</f>
        <v/>
      </c>
      <c r="G1260" s="14">
        <f>'Empleo Censo'!J1260+'Empleo Censo'!K1260</f>
        <v/>
      </c>
      <c r="H1260" s="14">
        <f>'Empleo Censo'!L1260</f>
        <v/>
      </c>
      <c r="I1260" s="14">
        <f>'Empleo Censo'!M1260</f>
        <v/>
      </c>
      <c r="J1260" s="14">
        <f>SUM('Empleo Censo'!N1260:AA1260)</f>
        <v/>
      </c>
      <c r="K1260" s="14">
        <f>SUM(C1260:J1260)</f>
        <v/>
      </c>
      <c r="L1260" s="15">
        <f>SUMPRODUCT(C1260:J1260,Factores!$B$3:$I$3)</f>
        <v/>
      </c>
      <c r="M1260" s="16">
        <f>'Empleo Censo'!E1260</f>
        <v/>
      </c>
      <c r="N1260" s="17">
        <f>IF(M1260&gt;0,L1260,Factores!$B$7)</f>
        <v/>
      </c>
      <c r="O1260">
        <f>IF(M1260&gt;0,"OK","sin PEA -&gt; peor")</f>
        <v/>
      </c>
    </row>
    <row r="1261">
      <c r="A1261" t="inlineStr">
        <is>
          <t>061202</t>
        </is>
      </c>
      <c r="B1261" t="inlineStr">
        <is>
          <t>SAN BERNARDINO</t>
        </is>
      </c>
      <c r="C1261" s="14">
        <f>'Empleo Censo'!G1261-'Empleo Censo'!F1261</f>
        <v/>
      </c>
      <c r="D1261" s="14">
        <f>'Empleo Censo'!F1261</f>
        <v/>
      </c>
      <c r="E1261" s="14">
        <f>'Empleo Censo'!H1261</f>
        <v/>
      </c>
      <c r="F1261" s="14">
        <f>'Empleo Censo'!I1261</f>
        <v/>
      </c>
      <c r="G1261" s="14">
        <f>'Empleo Censo'!J1261+'Empleo Censo'!K1261</f>
        <v/>
      </c>
      <c r="H1261" s="14">
        <f>'Empleo Censo'!L1261</f>
        <v/>
      </c>
      <c r="I1261" s="14">
        <f>'Empleo Censo'!M1261</f>
        <v/>
      </c>
      <c r="J1261" s="14">
        <f>SUM('Empleo Censo'!N1261:AA1261)</f>
        <v/>
      </c>
      <c r="K1261" s="14">
        <f>SUM(C1261:J1261)</f>
        <v/>
      </c>
      <c r="L1261" s="15">
        <f>SUMPRODUCT(C1261:J1261,Factores!$B$3:$I$3)</f>
        <v/>
      </c>
      <c r="M1261" s="16">
        <f>'Empleo Censo'!E1261</f>
        <v/>
      </c>
      <c r="N1261" s="17">
        <f>IF(M1261&gt;0,L1261,Factores!$B$7)</f>
        <v/>
      </c>
      <c r="O1261">
        <f>IF(M1261&gt;0,"OK","sin PEA -&gt; peor")</f>
        <v/>
      </c>
    </row>
    <row r="1262">
      <c r="A1262" t="inlineStr">
        <is>
          <t>080503</t>
        </is>
      </c>
      <c r="B1262" t="inlineStr">
        <is>
          <t>KUNTURKANKI</t>
        </is>
      </c>
      <c r="C1262" s="14">
        <f>'Empleo Censo'!G1262-'Empleo Censo'!F1262</f>
        <v/>
      </c>
      <c r="D1262" s="14">
        <f>'Empleo Censo'!F1262</f>
        <v/>
      </c>
      <c r="E1262" s="14">
        <f>'Empleo Censo'!H1262</f>
        <v/>
      </c>
      <c r="F1262" s="14">
        <f>'Empleo Censo'!I1262</f>
        <v/>
      </c>
      <c r="G1262" s="14">
        <f>'Empleo Censo'!J1262+'Empleo Censo'!K1262</f>
        <v/>
      </c>
      <c r="H1262" s="14">
        <f>'Empleo Censo'!L1262</f>
        <v/>
      </c>
      <c r="I1262" s="14">
        <f>'Empleo Censo'!M1262</f>
        <v/>
      </c>
      <c r="J1262" s="14">
        <f>SUM('Empleo Censo'!N1262:AA1262)</f>
        <v/>
      </c>
      <c r="K1262" s="14">
        <f>SUM(C1262:J1262)</f>
        <v/>
      </c>
      <c r="L1262" s="15">
        <f>SUMPRODUCT(C1262:J1262,Factores!$B$3:$I$3)</f>
        <v/>
      </c>
      <c r="M1262" s="16">
        <f>'Empleo Censo'!E1262</f>
        <v/>
      </c>
      <c r="N1262" s="17">
        <f>IF(M1262&gt;0,L1262,Factores!$B$7)</f>
        <v/>
      </c>
      <c r="O1262">
        <f>IF(M1262&gt;0,"OK","sin PEA -&gt; peor")</f>
        <v/>
      </c>
    </row>
    <row r="1263">
      <c r="A1263" t="inlineStr">
        <is>
          <t>050412</t>
        </is>
      </c>
      <c r="B1263" t="inlineStr">
        <is>
          <t>CHACA</t>
        </is>
      </c>
      <c r="C1263" s="14">
        <f>'Empleo Censo'!G1263-'Empleo Censo'!F1263</f>
        <v/>
      </c>
      <c r="D1263" s="14">
        <f>'Empleo Censo'!F1263</f>
        <v/>
      </c>
      <c r="E1263" s="14">
        <f>'Empleo Censo'!H1263</f>
        <v/>
      </c>
      <c r="F1263" s="14">
        <f>'Empleo Censo'!I1263</f>
        <v/>
      </c>
      <c r="G1263" s="14">
        <f>'Empleo Censo'!J1263+'Empleo Censo'!K1263</f>
        <v/>
      </c>
      <c r="H1263" s="14">
        <f>'Empleo Censo'!L1263</f>
        <v/>
      </c>
      <c r="I1263" s="14">
        <f>'Empleo Censo'!M1263</f>
        <v/>
      </c>
      <c r="J1263" s="14">
        <f>SUM('Empleo Censo'!N1263:AA1263)</f>
        <v/>
      </c>
      <c r="K1263" s="14">
        <f>SUM(C1263:J1263)</f>
        <v/>
      </c>
      <c r="L1263" s="15">
        <f>SUMPRODUCT(C1263:J1263,Factores!$B$3:$I$3)</f>
        <v/>
      </c>
      <c r="M1263" s="16">
        <f>'Empleo Censo'!E1263</f>
        <v/>
      </c>
      <c r="N1263" s="17">
        <f>IF(M1263&gt;0,L1263,Factores!$B$7)</f>
        <v/>
      </c>
      <c r="O1263">
        <f>IF(M1263&gt;0,"OK","sin PEA -&gt; peor")</f>
        <v/>
      </c>
    </row>
    <row r="1264">
      <c r="A1264" t="inlineStr">
        <is>
          <t>061201</t>
        </is>
      </c>
      <c r="B1264" t="inlineStr">
        <is>
          <t>SAN PABLO</t>
        </is>
      </c>
      <c r="C1264" s="14">
        <f>'Empleo Censo'!G1264-'Empleo Censo'!F1264</f>
        <v/>
      </c>
      <c r="D1264" s="14">
        <f>'Empleo Censo'!F1264</f>
        <v/>
      </c>
      <c r="E1264" s="14">
        <f>'Empleo Censo'!H1264</f>
        <v/>
      </c>
      <c r="F1264" s="14">
        <f>'Empleo Censo'!I1264</f>
        <v/>
      </c>
      <c r="G1264" s="14">
        <f>'Empleo Censo'!J1264+'Empleo Censo'!K1264</f>
        <v/>
      </c>
      <c r="H1264" s="14">
        <f>'Empleo Censo'!L1264</f>
        <v/>
      </c>
      <c r="I1264" s="14">
        <f>'Empleo Censo'!M1264</f>
        <v/>
      </c>
      <c r="J1264" s="14">
        <f>SUM('Empleo Censo'!N1264:AA1264)</f>
        <v/>
      </c>
      <c r="K1264" s="14">
        <f>SUM(C1264:J1264)</f>
        <v/>
      </c>
      <c r="L1264" s="15">
        <f>SUMPRODUCT(C1264:J1264,Factores!$B$3:$I$3)</f>
        <v/>
      </c>
      <c r="M1264" s="16">
        <f>'Empleo Censo'!E1264</f>
        <v/>
      </c>
      <c r="N1264" s="17">
        <f>IF(M1264&gt;0,L1264,Factores!$B$7)</f>
        <v/>
      </c>
      <c r="O1264">
        <f>IF(M1264&gt;0,"OK","sin PEA -&gt; peor")</f>
        <v/>
      </c>
    </row>
    <row r="1265">
      <c r="A1265" t="inlineStr">
        <is>
          <t>030215</t>
        </is>
      </c>
      <c r="B1265" t="inlineStr">
        <is>
          <t>SANTA MARIA DE CHICMO</t>
        </is>
      </c>
      <c r="C1265" s="14">
        <f>'Empleo Censo'!G1265-'Empleo Censo'!F1265</f>
        <v/>
      </c>
      <c r="D1265" s="14">
        <f>'Empleo Censo'!F1265</f>
        <v/>
      </c>
      <c r="E1265" s="14">
        <f>'Empleo Censo'!H1265</f>
        <v/>
      </c>
      <c r="F1265" s="14">
        <f>'Empleo Censo'!I1265</f>
        <v/>
      </c>
      <c r="G1265" s="14">
        <f>'Empleo Censo'!J1265+'Empleo Censo'!K1265</f>
        <v/>
      </c>
      <c r="H1265" s="14">
        <f>'Empleo Censo'!L1265</f>
        <v/>
      </c>
      <c r="I1265" s="14">
        <f>'Empleo Censo'!M1265</f>
        <v/>
      </c>
      <c r="J1265" s="14">
        <f>SUM('Empleo Censo'!N1265:AA1265)</f>
        <v/>
      </c>
      <c r="K1265" s="14">
        <f>SUM(C1265:J1265)</f>
        <v/>
      </c>
      <c r="L1265" s="15">
        <f>SUMPRODUCT(C1265:J1265,Factores!$B$3:$I$3)</f>
        <v/>
      </c>
      <c r="M1265" s="16">
        <f>'Empleo Censo'!E1265</f>
        <v/>
      </c>
      <c r="N1265" s="17">
        <f>IF(M1265&gt;0,L1265,Factores!$B$7)</f>
        <v/>
      </c>
      <c r="O1265">
        <f>IF(M1265&gt;0,"OK","sin PEA -&gt; peor")</f>
        <v/>
      </c>
    </row>
    <row r="1266">
      <c r="A1266" t="inlineStr">
        <is>
          <t>081003</t>
        </is>
      </c>
      <c r="B1266" t="inlineStr">
        <is>
          <t>CCAPI</t>
        </is>
      </c>
      <c r="C1266" s="14">
        <f>'Empleo Censo'!G1266-'Empleo Censo'!F1266</f>
        <v/>
      </c>
      <c r="D1266" s="14">
        <f>'Empleo Censo'!F1266</f>
        <v/>
      </c>
      <c r="E1266" s="14">
        <f>'Empleo Censo'!H1266</f>
        <v/>
      </c>
      <c r="F1266" s="14">
        <f>'Empleo Censo'!I1266</f>
        <v/>
      </c>
      <c r="G1266" s="14">
        <f>'Empleo Censo'!J1266+'Empleo Censo'!K1266</f>
        <v/>
      </c>
      <c r="H1266" s="14">
        <f>'Empleo Censo'!L1266</f>
        <v/>
      </c>
      <c r="I1266" s="14">
        <f>'Empleo Censo'!M1266</f>
        <v/>
      </c>
      <c r="J1266" s="14">
        <f>SUM('Empleo Censo'!N1266:AA1266)</f>
        <v/>
      </c>
      <c r="K1266" s="14">
        <f>SUM(C1266:J1266)</f>
        <v/>
      </c>
      <c r="L1266" s="15">
        <f>SUMPRODUCT(C1266:J1266,Factores!$B$3:$I$3)</f>
        <v/>
      </c>
      <c r="M1266" s="16">
        <f>'Empleo Censo'!E1266</f>
        <v/>
      </c>
      <c r="N1266" s="17">
        <f>IF(M1266&gt;0,L1266,Factores!$B$7)</f>
        <v/>
      </c>
      <c r="O1266">
        <f>IF(M1266&gt;0,"OK","sin PEA -&gt; peor")</f>
        <v/>
      </c>
    </row>
    <row r="1267">
      <c r="A1267" t="inlineStr">
        <is>
          <t>060603</t>
        </is>
      </c>
      <c r="B1267" t="inlineStr">
        <is>
          <t>CHOROS</t>
        </is>
      </c>
      <c r="C1267" s="14">
        <f>'Empleo Censo'!G1267-'Empleo Censo'!F1267</f>
        <v/>
      </c>
      <c r="D1267" s="14">
        <f>'Empleo Censo'!F1267</f>
        <v/>
      </c>
      <c r="E1267" s="14">
        <f>'Empleo Censo'!H1267</f>
        <v/>
      </c>
      <c r="F1267" s="14">
        <f>'Empleo Censo'!I1267</f>
        <v/>
      </c>
      <c r="G1267" s="14">
        <f>'Empleo Censo'!J1267+'Empleo Censo'!K1267</f>
        <v/>
      </c>
      <c r="H1267" s="14">
        <f>'Empleo Censo'!L1267</f>
        <v/>
      </c>
      <c r="I1267" s="14">
        <f>'Empleo Censo'!M1267</f>
        <v/>
      </c>
      <c r="J1267" s="14">
        <f>SUM('Empleo Censo'!N1267:AA1267)</f>
        <v/>
      </c>
      <c r="K1267" s="14">
        <f>SUM(C1267:J1267)</f>
        <v/>
      </c>
      <c r="L1267" s="15">
        <f>SUMPRODUCT(C1267:J1267,Factores!$B$3:$I$3)</f>
        <v/>
      </c>
      <c r="M1267" s="16">
        <f>'Empleo Censo'!E1267</f>
        <v/>
      </c>
      <c r="N1267" s="17">
        <f>IF(M1267&gt;0,L1267,Factores!$B$7)</f>
        <v/>
      </c>
      <c r="O1267">
        <f>IF(M1267&gt;0,"OK","sin PEA -&gt; peor")</f>
        <v/>
      </c>
    </row>
    <row r="1268">
      <c r="A1268" t="inlineStr">
        <is>
          <t>060507</t>
        </is>
      </c>
      <c r="B1268" t="inlineStr">
        <is>
          <t>TANTARICA</t>
        </is>
      </c>
      <c r="C1268" s="14">
        <f>'Empleo Censo'!G1268-'Empleo Censo'!F1268</f>
        <v/>
      </c>
      <c r="D1268" s="14">
        <f>'Empleo Censo'!F1268</f>
        <v/>
      </c>
      <c r="E1268" s="14">
        <f>'Empleo Censo'!H1268</f>
        <v/>
      </c>
      <c r="F1268" s="14">
        <f>'Empleo Censo'!I1268</f>
        <v/>
      </c>
      <c r="G1268" s="14">
        <f>'Empleo Censo'!J1268+'Empleo Censo'!K1268</f>
        <v/>
      </c>
      <c r="H1268" s="14">
        <f>'Empleo Censo'!L1268</f>
        <v/>
      </c>
      <c r="I1268" s="14">
        <f>'Empleo Censo'!M1268</f>
        <v/>
      </c>
      <c r="J1268" s="14">
        <f>SUM('Empleo Censo'!N1268:AA1268)</f>
        <v/>
      </c>
      <c r="K1268" s="14">
        <f>SUM(C1268:J1268)</f>
        <v/>
      </c>
      <c r="L1268" s="15">
        <f>SUMPRODUCT(C1268:J1268,Factores!$B$3:$I$3)</f>
        <v/>
      </c>
      <c r="M1268" s="16">
        <f>'Empleo Censo'!E1268</f>
        <v/>
      </c>
      <c r="N1268" s="17">
        <f>IF(M1268&gt;0,L1268,Factores!$B$7)</f>
        <v/>
      </c>
      <c r="O1268">
        <f>IF(M1268&gt;0,"OK","sin PEA -&gt; peor")</f>
        <v/>
      </c>
    </row>
    <row r="1269">
      <c r="A1269" t="inlineStr">
        <is>
          <t>060505</t>
        </is>
      </c>
      <c r="B1269" t="inlineStr">
        <is>
          <t>SAN BENITO</t>
        </is>
      </c>
      <c r="C1269" s="14">
        <f>'Empleo Censo'!G1269-'Empleo Censo'!F1269</f>
        <v/>
      </c>
      <c r="D1269" s="14">
        <f>'Empleo Censo'!F1269</f>
        <v/>
      </c>
      <c r="E1269" s="14">
        <f>'Empleo Censo'!H1269</f>
        <v/>
      </c>
      <c r="F1269" s="14">
        <f>'Empleo Censo'!I1269</f>
        <v/>
      </c>
      <c r="G1269" s="14">
        <f>'Empleo Censo'!J1269+'Empleo Censo'!K1269</f>
        <v/>
      </c>
      <c r="H1269" s="14">
        <f>'Empleo Censo'!L1269</f>
        <v/>
      </c>
      <c r="I1269" s="14">
        <f>'Empleo Censo'!M1269</f>
        <v/>
      </c>
      <c r="J1269" s="14">
        <f>SUM('Empleo Censo'!N1269:AA1269)</f>
        <v/>
      </c>
      <c r="K1269" s="14">
        <f>SUM(C1269:J1269)</f>
        <v/>
      </c>
      <c r="L1269" s="15">
        <f>SUMPRODUCT(C1269:J1269,Factores!$B$3:$I$3)</f>
        <v/>
      </c>
      <c r="M1269" s="16">
        <f>'Empleo Censo'!E1269</f>
        <v/>
      </c>
      <c r="N1269" s="17">
        <f>IF(M1269&gt;0,L1269,Factores!$B$7)</f>
        <v/>
      </c>
      <c r="O1269">
        <f>IF(M1269&gt;0,"OK","sin PEA -&gt; peor")</f>
        <v/>
      </c>
    </row>
    <row r="1270">
      <c r="A1270" t="inlineStr">
        <is>
          <t>081210</t>
        </is>
      </c>
      <c r="B1270" t="inlineStr">
        <is>
          <t>OCONGATE</t>
        </is>
      </c>
      <c r="C1270" s="14">
        <f>'Empleo Censo'!G1270-'Empleo Censo'!F1270</f>
        <v/>
      </c>
      <c r="D1270" s="14">
        <f>'Empleo Censo'!F1270</f>
        <v/>
      </c>
      <c r="E1270" s="14">
        <f>'Empleo Censo'!H1270</f>
        <v/>
      </c>
      <c r="F1270" s="14">
        <f>'Empleo Censo'!I1270</f>
        <v/>
      </c>
      <c r="G1270" s="14">
        <f>'Empleo Censo'!J1270+'Empleo Censo'!K1270</f>
        <v/>
      </c>
      <c r="H1270" s="14">
        <f>'Empleo Censo'!L1270</f>
        <v/>
      </c>
      <c r="I1270" s="14">
        <f>'Empleo Censo'!M1270</f>
        <v/>
      </c>
      <c r="J1270" s="14">
        <f>SUM('Empleo Censo'!N1270:AA1270)</f>
        <v/>
      </c>
      <c r="K1270" s="14">
        <f>SUM(C1270:J1270)</f>
        <v/>
      </c>
      <c r="L1270" s="15">
        <f>SUMPRODUCT(C1270:J1270,Factores!$B$3:$I$3)</f>
        <v/>
      </c>
      <c r="M1270" s="16">
        <f>'Empleo Censo'!E1270</f>
        <v/>
      </c>
      <c r="N1270" s="17">
        <f>IF(M1270&gt;0,L1270,Factores!$B$7)</f>
        <v/>
      </c>
      <c r="O1270">
        <f>IF(M1270&gt;0,"OK","sin PEA -&gt; peor")</f>
        <v/>
      </c>
    </row>
    <row r="1271">
      <c r="A1271" t="inlineStr">
        <is>
          <t>051010</t>
        </is>
      </c>
      <c r="B1271" t="inlineStr">
        <is>
          <t>HUAYA</t>
        </is>
      </c>
      <c r="C1271" s="14">
        <f>'Empleo Censo'!G1271-'Empleo Censo'!F1271</f>
        <v/>
      </c>
      <c r="D1271" s="14">
        <f>'Empleo Censo'!F1271</f>
        <v/>
      </c>
      <c r="E1271" s="14">
        <f>'Empleo Censo'!H1271</f>
        <v/>
      </c>
      <c r="F1271" s="14">
        <f>'Empleo Censo'!I1271</f>
        <v/>
      </c>
      <c r="G1271" s="14">
        <f>'Empleo Censo'!J1271+'Empleo Censo'!K1271</f>
        <v/>
      </c>
      <c r="H1271" s="14">
        <f>'Empleo Censo'!L1271</f>
        <v/>
      </c>
      <c r="I1271" s="14">
        <f>'Empleo Censo'!M1271</f>
        <v/>
      </c>
      <c r="J1271" s="14">
        <f>SUM('Empleo Censo'!N1271:AA1271)</f>
        <v/>
      </c>
      <c r="K1271" s="14">
        <f>SUM(C1271:J1271)</f>
        <v/>
      </c>
      <c r="L1271" s="15">
        <f>SUMPRODUCT(C1271:J1271,Factores!$B$3:$I$3)</f>
        <v/>
      </c>
      <c r="M1271" s="16">
        <f>'Empleo Censo'!E1271</f>
        <v/>
      </c>
      <c r="N1271" s="17">
        <f>IF(M1271&gt;0,L1271,Factores!$B$7)</f>
        <v/>
      </c>
      <c r="O1271">
        <f>IF(M1271&gt;0,"OK","sin PEA -&gt; peor")</f>
        <v/>
      </c>
    </row>
    <row r="1272">
      <c r="A1272" t="inlineStr">
        <is>
          <t>051102</t>
        </is>
      </c>
      <c r="B1272" t="inlineStr">
        <is>
          <t>ACCOMARCA</t>
        </is>
      </c>
      <c r="C1272" s="14">
        <f>'Empleo Censo'!G1272-'Empleo Censo'!F1272</f>
        <v/>
      </c>
      <c r="D1272" s="14">
        <f>'Empleo Censo'!F1272</f>
        <v/>
      </c>
      <c r="E1272" s="14">
        <f>'Empleo Censo'!H1272</f>
        <v/>
      </c>
      <c r="F1272" s="14">
        <f>'Empleo Censo'!I1272</f>
        <v/>
      </c>
      <c r="G1272" s="14">
        <f>'Empleo Censo'!J1272+'Empleo Censo'!K1272</f>
        <v/>
      </c>
      <c r="H1272" s="14">
        <f>'Empleo Censo'!L1272</f>
        <v/>
      </c>
      <c r="I1272" s="14">
        <f>'Empleo Censo'!M1272</f>
        <v/>
      </c>
      <c r="J1272" s="14">
        <f>SUM('Empleo Censo'!N1272:AA1272)</f>
        <v/>
      </c>
      <c r="K1272" s="14">
        <f>SUM(C1272:J1272)</f>
        <v/>
      </c>
      <c r="L1272" s="15">
        <f>SUMPRODUCT(C1272:J1272,Factores!$B$3:$I$3)</f>
        <v/>
      </c>
      <c r="M1272" s="16">
        <f>'Empleo Censo'!E1272</f>
        <v/>
      </c>
      <c r="N1272" s="17">
        <f>IF(M1272&gt;0,L1272,Factores!$B$7)</f>
        <v/>
      </c>
      <c r="O1272">
        <f>IF(M1272&gt;0,"OK","sin PEA -&gt; peor")</f>
        <v/>
      </c>
    </row>
    <row r="1273">
      <c r="A1273" t="inlineStr">
        <is>
          <t>020508</t>
        </is>
      </c>
      <c r="B1273" t="inlineStr">
        <is>
          <t>HUALLANCA</t>
        </is>
      </c>
      <c r="C1273" s="14">
        <f>'Empleo Censo'!G1273-'Empleo Censo'!F1273</f>
        <v/>
      </c>
      <c r="D1273" s="14">
        <f>'Empleo Censo'!F1273</f>
        <v/>
      </c>
      <c r="E1273" s="14">
        <f>'Empleo Censo'!H1273</f>
        <v/>
      </c>
      <c r="F1273" s="14">
        <f>'Empleo Censo'!I1273</f>
        <v/>
      </c>
      <c r="G1273" s="14">
        <f>'Empleo Censo'!J1273+'Empleo Censo'!K1273</f>
        <v/>
      </c>
      <c r="H1273" s="14">
        <f>'Empleo Censo'!L1273</f>
        <v/>
      </c>
      <c r="I1273" s="14">
        <f>'Empleo Censo'!M1273</f>
        <v/>
      </c>
      <c r="J1273" s="14">
        <f>SUM('Empleo Censo'!N1273:AA1273)</f>
        <v/>
      </c>
      <c r="K1273" s="14">
        <f>SUM(C1273:J1273)</f>
        <v/>
      </c>
      <c r="L1273" s="15">
        <f>SUMPRODUCT(C1273:J1273,Factores!$B$3:$I$3)</f>
        <v/>
      </c>
      <c r="M1273" s="16">
        <f>'Empleo Censo'!E1273</f>
        <v/>
      </c>
      <c r="N1273" s="17">
        <f>IF(M1273&gt;0,L1273,Factores!$B$7)</f>
        <v/>
      </c>
      <c r="O1273">
        <f>IF(M1273&gt;0,"OK","sin PEA -&gt; peor")</f>
        <v/>
      </c>
    </row>
    <row r="1274">
      <c r="A1274" t="inlineStr">
        <is>
          <t>040206</t>
        </is>
      </c>
      <c r="B1274" t="inlineStr">
        <is>
          <t>OCOÑA</t>
        </is>
      </c>
      <c r="C1274" s="14">
        <f>'Empleo Censo'!G1274-'Empleo Censo'!F1274</f>
        <v/>
      </c>
      <c r="D1274" s="14">
        <f>'Empleo Censo'!F1274</f>
        <v/>
      </c>
      <c r="E1274" s="14">
        <f>'Empleo Censo'!H1274</f>
        <v/>
      </c>
      <c r="F1274" s="14">
        <f>'Empleo Censo'!I1274</f>
        <v/>
      </c>
      <c r="G1274" s="14">
        <f>'Empleo Censo'!J1274+'Empleo Censo'!K1274</f>
        <v/>
      </c>
      <c r="H1274" s="14">
        <f>'Empleo Censo'!L1274</f>
        <v/>
      </c>
      <c r="I1274" s="14">
        <f>'Empleo Censo'!M1274</f>
        <v/>
      </c>
      <c r="J1274" s="14">
        <f>SUM('Empleo Censo'!N1274:AA1274)</f>
        <v/>
      </c>
      <c r="K1274" s="14">
        <f>SUM(C1274:J1274)</f>
        <v/>
      </c>
      <c r="L1274" s="15">
        <f>SUMPRODUCT(C1274:J1274,Factores!$B$3:$I$3)</f>
        <v/>
      </c>
      <c r="M1274" s="16">
        <f>'Empleo Censo'!E1274</f>
        <v/>
      </c>
      <c r="N1274" s="17">
        <f>IF(M1274&gt;0,L1274,Factores!$B$7)</f>
        <v/>
      </c>
      <c r="O1274">
        <f>IF(M1274&gt;0,"OK","sin PEA -&gt; peor")</f>
        <v/>
      </c>
    </row>
    <row r="1275">
      <c r="A1275" t="inlineStr">
        <is>
          <t>050108</t>
        </is>
      </c>
      <c r="B1275" t="inlineStr">
        <is>
          <t>QUINUA</t>
        </is>
      </c>
      <c r="C1275" s="14">
        <f>'Empleo Censo'!G1275-'Empleo Censo'!F1275</f>
        <v/>
      </c>
      <c r="D1275" s="14">
        <f>'Empleo Censo'!F1275</f>
        <v/>
      </c>
      <c r="E1275" s="14">
        <f>'Empleo Censo'!H1275</f>
        <v/>
      </c>
      <c r="F1275" s="14">
        <f>'Empleo Censo'!I1275</f>
        <v/>
      </c>
      <c r="G1275" s="14">
        <f>'Empleo Censo'!J1275+'Empleo Censo'!K1275</f>
        <v/>
      </c>
      <c r="H1275" s="14">
        <f>'Empleo Censo'!L1275</f>
        <v/>
      </c>
      <c r="I1275" s="14">
        <f>'Empleo Censo'!M1275</f>
        <v/>
      </c>
      <c r="J1275" s="14">
        <f>SUM('Empleo Censo'!N1275:AA1275)</f>
        <v/>
      </c>
      <c r="K1275" s="14">
        <f>SUM(C1275:J1275)</f>
        <v/>
      </c>
      <c r="L1275" s="15">
        <f>SUMPRODUCT(C1275:J1275,Factores!$B$3:$I$3)</f>
        <v/>
      </c>
      <c r="M1275" s="16">
        <f>'Empleo Censo'!E1275</f>
        <v/>
      </c>
      <c r="N1275" s="17">
        <f>IF(M1275&gt;0,L1275,Factores!$B$7)</f>
        <v/>
      </c>
      <c r="O1275">
        <f>IF(M1275&gt;0,"OK","sin PEA -&gt; peor")</f>
        <v/>
      </c>
    </row>
    <row r="1276">
      <c r="A1276" t="inlineStr">
        <is>
          <t>010707</t>
        </is>
      </c>
      <c r="B1276" t="inlineStr">
        <is>
          <t>YAMON</t>
        </is>
      </c>
      <c r="C1276" s="14">
        <f>'Empleo Censo'!G1276-'Empleo Censo'!F1276</f>
        <v/>
      </c>
      <c r="D1276" s="14">
        <f>'Empleo Censo'!F1276</f>
        <v/>
      </c>
      <c r="E1276" s="14">
        <f>'Empleo Censo'!H1276</f>
        <v/>
      </c>
      <c r="F1276" s="14">
        <f>'Empleo Censo'!I1276</f>
        <v/>
      </c>
      <c r="G1276" s="14">
        <f>'Empleo Censo'!J1276+'Empleo Censo'!K1276</f>
        <v/>
      </c>
      <c r="H1276" s="14">
        <f>'Empleo Censo'!L1276</f>
        <v/>
      </c>
      <c r="I1276" s="14">
        <f>'Empleo Censo'!M1276</f>
        <v/>
      </c>
      <c r="J1276" s="14">
        <f>SUM('Empleo Censo'!N1276:AA1276)</f>
        <v/>
      </c>
      <c r="K1276" s="14">
        <f>SUM(C1276:J1276)</f>
        <v/>
      </c>
      <c r="L1276" s="15">
        <f>SUMPRODUCT(C1276:J1276,Factores!$B$3:$I$3)</f>
        <v/>
      </c>
      <c r="M1276" s="16">
        <f>'Empleo Censo'!E1276</f>
        <v/>
      </c>
      <c r="N1276" s="17">
        <f>IF(M1276&gt;0,L1276,Factores!$B$7)</f>
        <v/>
      </c>
      <c r="O1276">
        <f>IF(M1276&gt;0,"OK","sin PEA -&gt; peor")</f>
        <v/>
      </c>
    </row>
    <row r="1277">
      <c r="A1277" t="inlineStr">
        <is>
          <t>050608</t>
        </is>
      </c>
      <c r="B1277" t="inlineStr">
        <is>
          <t>LARAMATE</t>
        </is>
      </c>
      <c r="C1277" s="14">
        <f>'Empleo Censo'!G1277-'Empleo Censo'!F1277</f>
        <v/>
      </c>
      <c r="D1277" s="14">
        <f>'Empleo Censo'!F1277</f>
        <v/>
      </c>
      <c r="E1277" s="14">
        <f>'Empleo Censo'!H1277</f>
        <v/>
      </c>
      <c r="F1277" s="14">
        <f>'Empleo Censo'!I1277</f>
        <v/>
      </c>
      <c r="G1277" s="14">
        <f>'Empleo Censo'!J1277+'Empleo Censo'!K1277</f>
        <v/>
      </c>
      <c r="H1277" s="14">
        <f>'Empleo Censo'!L1277</f>
        <v/>
      </c>
      <c r="I1277" s="14">
        <f>'Empleo Censo'!M1277</f>
        <v/>
      </c>
      <c r="J1277" s="14">
        <f>SUM('Empleo Censo'!N1277:AA1277)</f>
        <v/>
      </c>
      <c r="K1277" s="14">
        <f>SUM(C1277:J1277)</f>
        <v/>
      </c>
      <c r="L1277" s="15">
        <f>SUMPRODUCT(C1277:J1277,Factores!$B$3:$I$3)</f>
        <v/>
      </c>
      <c r="M1277" s="16">
        <f>'Empleo Censo'!E1277</f>
        <v/>
      </c>
      <c r="N1277" s="17">
        <f>IF(M1277&gt;0,L1277,Factores!$B$7)</f>
        <v/>
      </c>
      <c r="O1277">
        <f>IF(M1277&gt;0,"OK","sin PEA -&gt; peor")</f>
        <v/>
      </c>
    </row>
    <row r="1278">
      <c r="A1278" t="inlineStr">
        <is>
          <t>050613</t>
        </is>
      </c>
      <c r="B1278" t="inlineStr">
        <is>
          <t>OTOCA</t>
        </is>
      </c>
      <c r="C1278" s="14">
        <f>'Empleo Censo'!G1278-'Empleo Censo'!F1278</f>
        <v/>
      </c>
      <c r="D1278" s="14">
        <f>'Empleo Censo'!F1278</f>
        <v/>
      </c>
      <c r="E1278" s="14">
        <f>'Empleo Censo'!H1278</f>
        <v/>
      </c>
      <c r="F1278" s="14">
        <f>'Empleo Censo'!I1278</f>
        <v/>
      </c>
      <c r="G1278" s="14">
        <f>'Empleo Censo'!J1278+'Empleo Censo'!K1278</f>
        <v/>
      </c>
      <c r="H1278" s="14">
        <f>'Empleo Censo'!L1278</f>
        <v/>
      </c>
      <c r="I1278" s="14">
        <f>'Empleo Censo'!M1278</f>
        <v/>
      </c>
      <c r="J1278" s="14">
        <f>SUM('Empleo Censo'!N1278:AA1278)</f>
        <v/>
      </c>
      <c r="K1278" s="14">
        <f>SUM(C1278:J1278)</f>
        <v/>
      </c>
      <c r="L1278" s="15">
        <f>SUMPRODUCT(C1278:J1278,Factores!$B$3:$I$3)</f>
        <v/>
      </c>
      <c r="M1278" s="16">
        <f>'Empleo Censo'!E1278</f>
        <v/>
      </c>
      <c r="N1278" s="17">
        <f>IF(M1278&gt;0,L1278,Factores!$B$7)</f>
        <v/>
      </c>
      <c r="O1278">
        <f>IF(M1278&gt;0,"OK","sin PEA -&gt; peor")</f>
        <v/>
      </c>
    </row>
    <row r="1279">
      <c r="A1279" t="inlineStr">
        <is>
          <t>090611</t>
        </is>
      </c>
      <c r="B1279" t="inlineStr">
        <is>
          <t>SAN FRANCISCO DE SANGAYAICO</t>
        </is>
      </c>
      <c r="C1279" s="14">
        <f>'Empleo Censo'!G1279-'Empleo Censo'!F1279</f>
        <v/>
      </c>
      <c r="D1279" s="14">
        <f>'Empleo Censo'!F1279</f>
        <v/>
      </c>
      <c r="E1279" s="14">
        <f>'Empleo Censo'!H1279</f>
        <v/>
      </c>
      <c r="F1279" s="14">
        <f>'Empleo Censo'!I1279</f>
        <v/>
      </c>
      <c r="G1279" s="14">
        <f>'Empleo Censo'!J1279+'Empleo Censo'!K1279</f>
        <v/>
      </c>
      <c r="H1279" s="14">
        <f>'Empleo Censo'!L1279</f>
        <v/>
      </c>
      <c r="I1279" s="14">
        <f>'Empleo Censo'!M1279</f>
        <v/>
      </c>
      <c r="J1279" s="14">
        <f>SUM('Empleo Censo'!N1279:AA1279)</f>
        <v/>
      </c>
      <c r="K1279" s="14">
        <f>SUM(C1279:J1279)</f>
        <v/>
      </c>
      <c r="L1279" s="15">
        <f>SUMPRODUCT(C1279:J1279,Factores!$B$3:$I$3)</f>
        <v/>
      </c>
      <c r="M1279" s="16">
        <f>'Empleo Censo'!E1279</f>
        <v/>
      </c>
      <c r="N1279" s="17">
        <f>IF(M1279&gt;0,L1279,Factores!$B$7)</f>
        <v/>
      </c>
      <c r="O1279">
        <f>IF(M1279&gt;0,"OK","sin PEA -&gt; peor")</f>
        <v/>
      </c>
    </row>
    <row r="1280">
      <c r="A1280" t="inlineStr">
        <is>
          <t>080705</t>
        </is>
      </c>
      <c r="B1280" t="inlineStr">
        <is>
          <t>LIVITACA</t>
        </is>
      </c>
      <c r="C1280" s="14">
        <f>'Empleo Censo'!G1280-'Empleo Censo'!F1280</f>
        <v/>
      </c>
      <c r="D1280" s="14">
        <f>'Empleo Censo'!F1280</f>
        <v/>
      </c>
      <c r="E1280" s="14">
        <f>'Empleo Censo'!H1280</f>
        <v/>
      </c>
      <c r="F1280" s="14">
        <f>'Empleo Censo'!I1280</f>
        <v/>
      </c>
      <c r="G1280" s="14">
        <f>'Empleo Censo'!J1280+'Empleo Censo'!K1280</f>
        <v/>
      </c>
      <c r="H1280" s="14">
        <f>'Empleo Censo'!L1280</f>
        <v/>
      </c>
      <c r="I1280" s="14">
        <f>'Empleo Censo'!M1280</f>
        <v/>
      </c>
      <c r="J1280" s="14">
        <f>SUM('Empleo Censo'!N1280:AA1280)</f>
        <v/>
      </c>
      <c r="K1280" s="14">
        <f>SUM(C1280:J1280)</f>
        <v/>
      </c>
      <c r="L1280" s="15">
        <f>SUMPRODUCT(C1280:J1280,Factores!$B$3:$I$3)</f>
        <v/>
      </c>
      <c r="M1280" s="16">
        <f>'Empleo Censo'!E1280</f>
        <v/>
      </c>
      <c r="N1280" s="17">
        <f>IF(M1280&gt;0,L1280,Factores!$B$7)</f>
        <v/>
      </c>
      <c r="O1280">
        <f>IF(M1280&gt;0,"OK","sin PEA -&gt; peor")</f>
        <v/>
      </c>
    </row>
    <row r="1281">
      <c r="A1281" t="inlineStr">
        <is>
          <t>090505</t>
        </is>
      </c>
      <c r="B1281" t="inlineStr">
        <is>
          <t>LA MERCED</t>
        </is>
      </c>
      <c r="C1281" s="14">
        <f>'Empleo Censo'!G1281-'Empleo Censo'!F1281</f>
        <v/>
      </c>
      <c r="D1281" s="14">
        <f>'Empleo Censo'!F1281</f>
        <v/>
      </c>
      <c r="E1281" s="14">
        <f>'Empleo Censo'!H1281</f>
        <v/>
      </c>
      <c r="F1281" s="14">
        <f>'Empleo Censo'!I1281</f>
        <v/>
      </c>
      <c r="G1281" s="14">
        <f>'Empleo Censo'!J1281+'Empleo Censo'!K1281</f>
        <v/>
      </c>
      <c r="H1281" s="14">
        <f>'Empleo Censo'!L1281</f>
        <v/>
      </c>
      <c r="I1281" s="14">
        <f>'Empleo Censo'!M1281</f>
        <v/>
      </c>
      <c r="J1281" s="14">
        <f>SUM('Empleo Censo'!N1281:AA1281)</f>
        <v/>
      </c>
      <c r="K1281" s="14">
        <f>SUM(C1281:J1281)</f>
        <v/>
      </c>
      <c r="L1281" s="15">
        <f>SUMPRODUCT(C1281:J1281,Factores!$B$3:$I$3)</f>
        <v/>
      </c>
      <c r="M1281" s="16">
        <f>'Empleo Censo'!E1281</f>
        <v/>
      </c>
      <c r="N1281" s="17">
        <f>IF(M1281&gt;0,L1281,Factores!$B$7)</f>
        <v/>
      </c>
      <c r="O1281">
        <f>IF(M1281&gt;0,"OK","sin PEA -&gt; peor")</f>
        <v/>
      </c>
    </row>
    <row r="1282">
      <c r="A1282" t="inlineStr">
        <is>
          <t>040402</t>
        </is>
      </c>
      <c r="B1282" t="inlineStr">
        <is>
          <t>ANDAGUA</t>
        </is>
      </c>
      <c r="C1282" s="14">
        <f>'Empleo Censo'!G1282-'Empleo Censo'!F1282</f>
        <v/>
      </c>
      <c r="D1282" s="14">
        <f>'Empleo Censo'!F1282</f>
        <v/>
      </c>
      <c r="E1282" s="14">
        <f>'Empleo Censo'!H1282</f>
        <v/>
      </c>
      <c r="F1282" s="14">
        <f>'Empleo Censo'!I1282</f>
        <v/>
      </c>
      <c r="G1282" s="14">
        <f>'Empleo Censo'!J1282+'Empleo Censo'!K1282</f>
        <v/>
      </c>
      <c r="H1282" s="14">
        <f>'Empleo Censo'!L1282</f>
        <v/>
      </c>
      <c r="I1282" s="14">
        <f>'Empleo Censo'!M1282</f>
        <v/>
      </c>
      <c r="J1282" s="14">
        <f>SUM('Empleo Censo'!N1282:AA1282)</f>
        <v/>
      </c>
      <c r="K1282" s="14">
        <f>SUM(C1282:J1282)</f>
        <v/>
      </c>
      <c r="L1282" s="15">
        <f>SUMPRODUCT(C1282:J1282,Factores!$B$3:$I$3)</f>
        <v/>
      </c>
      <c r="M1282" s="16">
        <f>'Empleo Censo'!E1282</f>
        <v/>
      </c>
      <c r="N1282" s="17">
        <f>IF(M1282&gt;0,L1282,Factores!$B$7)</f>
        <v/>
      </c>
      <c r="O1282">
        <f>IF(M1282&gt;0,"OK","sin PEA -&gt; peor")</f>
        <v/>
      </c>
    </row>
    <row r="1283">
      <c r="A1283" t="inlineStr">
        <is>
          <t>050112</t>
        </is>
      </c>
      <c r="B1283" t="inlineStr">
        <is>
          <t>SOCOS</t>
        </is>
      </c>
      <c r="C1283" s="14">
        <f>'Empleo Censo'!G1283-'Empleo Censo'!F1283</f>
        <v/>
      </c>
      <c r="D1283" s="14">
        <f>'Empleo Censo'!F1283</f>
        <v/>
      </c>
      <c r="E1283" s="14">
        <f>'Empleo Censo'!H1283</f>
        <v/>
      </c>
      <c r="F1283" s="14">
        <f>'Empleo Censo'!I1283</f>
        <v/>
      </c>
      <c r="G1283" s="14">
        <f>'Empleo Censo'!J1283+'Empleo Censo'!K1283</f>
        <v/>
      </c>
      <c r="H1283" s="14">
        <f>'Empleo Censo'!L1283</f>
        <v/>
      </c>
      <c r="I1283" s="14">
        <f>'Empleo Censo'!M1283</f>
        <v/>
      </c>
      <c r="J1283" s="14">
        <f>SUM('Empleo Censo'!N1283:AA1283)</f>
        <v/>
      </c>
      <c r="K1283" s="14">
        <f>SUM(C1283:J1283)</f>
        <v/>
      </c>
      <c r="L1283" s="15">
        <f>SUMPRODUCT(C1283:J1283,Factores!$B$3:$I$3)</f>
        <v/>
      </c>
      <c r="M1283" s="16">
        <f>'Empleo Censo'!E1283</f>
        <v/>
      </c>
      <c r="N1283" s="17">
        <f>IF(M1283&gt;0,L1283,Factores!$B$7)</f>
        <v/>
      </c>
      <c r="O1283">
        <f>IF(M1283&gt;0,"OK","sin PEA -&gt; peor")</f>
        <v/>
      </c>
    </row>
    <row r="1284">
      <c r="A1284" t="inlineStr">
        <is>
          <t>050707</t>
        </is>
      </c>
      <c r="B1284" t="inlineStr">
        <is>
          <t>SAN FRANCISCO DE RAVACAYCO</t>
        </is>
      </c>
      <c r="C1284" s="14">
        <f>'Empleo Censo'!G1284-'Empleo Censo'!F1284</f>
        <v/>
      </c>
      <c r="D1284" s="14">
        <f>'Empleo Censo'!F1284</f>
        <v/>
      </c>
      <c r="E1284" s="14">
        <f>'Empleo Censo'!H1284</f>
        <v/>
      </c>
      <c r="F1284" s="14">
        <f>'Empleo Censo'!I1284</f>
        <v/>
      </c>
      <c r="G1284" s="14">
        <f>'Empleo Censo'!J1284+'Empleo Censo'!K1284</f>
        <v/>
      </c>
      <c r="H1284" s="14">
        <f>'Empleo Censo'!L1284</f>
        <v/>
      </c>
      <c r="I1284" s="14">
        <f>'Empleo Censo'!M1284</f>
        <v/>
      </c>
      <c r="J1284" s="14">
        <f>SUM('Empleo Censo'!N1284:AA1284)</f>
        <v/>
      </c>
      <c r="K1284" s="14">
        <f>SUM(C1284:J1284)</f>
        <v/>
      </c>
      <c r="L1284" s="15">
        <f>SUMPRODUCT(C1284:J1284,Factores!$B$3:$I$3)</f>
        <v/>
      </c>
      <c r="M1284" s="16">
        <f>'Empleo Censo'!E1284</f>
        <v/>
      </c>
      <c r="N1284" s="17">
        <f>IF(M1284&gt;0,L1284,Factores!$B$7)</f>
        <v/>
      </c>
      <c r="O1284">
        <f>IF(M1284&gt;0,"OK","sin PEA -&gt; peor")</f>
        <v/>
      </c>
    </row>
    <row r="1285">
      <c r="A1285" t="inlineStr">
        <is>
          <t>010505</t>
        </is>
      </c>
      <c r="B1285" t="inlineStr">
        <is>
          <t>CONILA</t>
        </is>
      </c>
      <c r="C1285" s="14">
        <f>'Empleo Censo'!G1285-'Empleo Censo'!F1285</f>
        <v/>
      </c>
      <c r="D1285" s="14">
        <f>'Empleo Censo'!F1285</f>
        <v/>
      </c>
      <c r="E1285" s="14">
        <f>'Empleo Censo'!H1285</f>
        <v/>
      </c>
      <c r="F1285" s="14">
        <f>'Empleo Censo'!I1285</f>
        <v/>
      </c>
      <c r="G1285" s="14">
        <f>'Empleo Censo'!J1285+'Empleo Censo'!K1285</f>
        <v/>
      </c>
      <c r="H1285" s="14">
        <f>'Empleo Censo'!L1285</f>
        <v/>
      </c>
      <c r="I1285" s="14">
        <f>'Empleo Censo'!M1285</f>
        <v/>
      </c>
      <c r="J1285" s="14">
        <f>SUM('Empleo Censo'!N1285:AA1285)</f>
        <v/>
      </c>
      <c r="K1285" s="14">
        <f>SUM(C1285:J1285)</f>
        <v/>
      </c>
      <c r="L1285" s="15">
        <f>SUMPRODUCT(C1285:J1285,Factores!$B$3:$I$3)</f>
        <v/>
      </c>
      <c r="M1285" s="16">
        <f>'Empleo Censo'!E1285</f>
        <v/>
      </c>
      <c r="N1285" s="17">
        <f>IF(M1285&gt;0,L1285,Factores!$B$7)</f>
        <v/>
      </c>
      <c r="O1285">
        <f>IF(M1285&gt;0,"OK","sin PEA -&gt; peor")</f>
        <v/>
      </c>
    </row>
    <row r="1286">
      <c r="A1286" t="inlineStr">
        <is>
          <t>030503</t>
        </is>
      </c>
      <c r="B1286" t="inlineStr">
        <is>
          <t>COYLLURQUI</t>
        </is>
      </c>
      <c r="C1286" s="14">
        <f>'Empleo Censo'!G1286-'Empleo Censo'!F1286</f>
        <v/>
      </c>
      <c r="D1286" s="14">
        <f>'Empleo Censo'!F1286</f>
        <v/>
      </c>
      <c r="E1286" s="14">
        <f>'Empleo Censo'!H1286</f>
        <v/>
      </c>
      <c r="F1286" s="14">
        <f>'Empleo Censo'!I1286</f>
        <v/>
      </c>
      <c r="G1286" s="14">
        <f>'Empleo Censo'!J1286+'Empleo Censo'!K1286</f>
        <v/>
      </c>
      <c r="H1286" s="14">
        <f>'Empleo Censo'!L1286</f>
        <v/>
      </c>
      <c r="I1286" s="14">
        <f>'Empleo Censo'!M1286</f>
        <v/>
      </c>
      <c r="J1286" s="14">
        <f>SUM('Empleo Censo'!N1286:AA1286)</f>
        <v/>
      </c>
      <c r="K1286" s="14">
        <f>SUM(C1286:J1286)</f>
        <v/>
      </c>
      <c r="L1286" s="15">
        <f>SUMPRODUCT(C1286:J1286,Factores!$B$3:$I$3)</f>
        <v/>
      </c>
      <c r="M1286" s="16">
        <f>'Empleo Censo'!E1286</f>
        <v/>
      </c>
      <c r="N1286" s="17">
        <f>IF(M1286&gt;0,L1286,Factores!$B$7)</f>
        <v/>
      </c>
      <c r="O1286">
        <f>IF(M1286&gt;0,"OK","sin PEA -&gt; peor")</f>
        <v/>
      </c>
    </row>
    <row r="1287">
      <c r="A1287" t="inlineStr">
        <is>
          <t>021604</t>
        </is>
      </c>
      <c r="B1287" t="inlineStr">
        <is>
          <t>QUINUABAMBA</t>
        </is>
      </c>
      <c r="C1287" s="14">
        <f>'Empleo Censo'!G1287-'Empleo Censo'!F1287</f>
        <v/>
      </c>
      <c r="D1287" s="14">
        <f>'Empleo Censo'!F1287</f>
        <v/>
      </c>
      <c r="E1287" s="14">
        <f>'Empleo Censo'!H1287</f>
        <v/>
      </c>
      <c r="F1287" s="14">
        <f>'Empleo Censo'!I1287</f>
        <v/>
      </c>
      <c r="G1287" s="14">
        <f>'Empleo Censo'!J1287+'Empleo Censo'!K1287</f>
        <v/>
      </c>
      <c r="H1287" s="14">
        <f>'Empleo Censo'!L1287</f>
        <v/>
      </c>
      <c r="I1287" s="14">
        <f>'Empleo Censo'!M1287</f>
        <v/>
      </c>
      <c r="J1287" s="14">
        <f>SUM('Empleo Censo'!N1287:AA1287)</f>
        <v/>
      </c>
      <c r="K1287" s="14">
        <f>SUM(C1287:J1287)</f>
        <v/>
      </c>
      <c r="L1287" s="15">
        <f>SUMPRODUCT(C1287:J1287,Factores!$B$3:$I$3)</f>
        <v/>
      </c>
      <c r="M1287" s="16">
        <f>'Empleo Censo'!E1287</f>
        <v/>
      </c>
      <c r="N1287" s="17">
        <f>IF(M1287&gt;0,L1287,Factores!$B$7)</f>
        <v/>
      </c>
      <c r="O1287">
        <f>IF(M1287&gt;0,"OK","sin PEA -&gt; peor")</f>
        <v/>
      </c>
    </row>
    <row r="1288">
      <c r="A1288" t="inlineStr">
        <is>
          <t>010203</t>
        </is>
      </c>
      <c r="B1288" t="inlineStr">
        <is>
          <t>COPALLIN</t>
        </is>
      </c>
      <c r="C1288" s="14">
        <f>'Empleo Censo'!G1288-'Empleo Censo'!F1288</f>
        <v/>
      </c>
      <c r="D1288" s="14">
        <f>'Empleo Censo'!F1288</f>
        <v/>
      </c>
      <c r="E1288" s="14">
        <f>'Empleo Censo'!H1288</f>
        <v/>
      </c>
      <c r="F1288" s="14">
        <f>'Empleo Censo'!I1288</f>
        <v/>
      </c>
      <c r="G1288" s="14">
        <f>'Empleo Censo'!J1288+'Empleo Censo'!K1288</f>
        <v/>
      </c>
      <c r="H1288" s="14">
        <f>'Empleo Censo'!L1288</f>
        <v/>
      </c>
      <c r="I1288" s="14">
        <f>'Empleo Censo'!M1288</f>
        <v/>
      </c>
      <c r="J1288" s="14">
        <f>SUM('Empleo Censo'!N1288:AA1288)</f>
        <v/>
      </c>
      <c r="K1288" s="14">
        <f>SUM(C1288:J1288)</f>
        <v/>
      </c>
      <c r="L1288" s="15">
        <f>SUMPRODUCT(C1288:J1288,Factores!$B$3:$I$3)</f>
        <v/>
      </c>
      <c r="M1288" s="16">
        <f>'Empleo Censo'!E1288</f>
        <v/>
      </c>
      <c r="N1288" s="17">
        <f>IF(M1288&gt;0,L1288,Factores!$B$7)</f>
        <v/>
      </c>
      <c r="O1288">
        <f>IF(M1288&gt;0,"OK","sin PEA -&gt; peor")</f>
        <v/>
      </c>
    </row>
    <row r="1289">
      <c r="A1289" t="inlineStr">
        <is>
          <t>060104</t>
        </is>
      </c>
      <c r="B1289" t="inlineStr">
        <is>
          <t>COSPAN</t>
        </is>
      </c>
      <c r="C1289" s="14">
        <f>'Empleo Censo'!G1289-'Empleo Censo'!F1289</f>
        <v/>
      </c>
      <c r="D1289" s="14">
        <f>'Empleo Censo'!F1289</f>
        <v/>
      </c>
      <c r="E1289" s="14">
        <f>'Empleo Censo'!H1289</f>
        <v/>
      </c>
      <c r="F1289" s="14">
        <f>'Empleo Censo'!I1289</f>
        <v/>
      </c>
      <c r="G1289" s="14">
        <f>'Empleo Censo'!J1289+'Empleo Censo'!K1289</f>
        <v/>
      </c>
      <c r="H1289" s="14">
        <f>'Empleo Censo'!L1289</f>
        <v/>
      </c>
      <c r="I1289" s="14">
        <f>'Empleo Censo'!M1289</f>
        <v/>
      </c>
      <c r="J1289" s="14">
        <f>SUM('Empleo Censo'!N1289:AA1289)</f>
        <v/>
      </c>
      <c r="K1289" s="14">
        <f>SUM(C1289:J1289)</f>
        <v/>
      </c>
      <c r="L1289" s="15">
        <f>SUMPRODUCT(C1289:J1289,Factores!$B$3:$I$3)</f>
        <v/>
      </c>
      <c r="M1289" s="16">
        <f>'Empleo Censo'!E1289</f>
        <v/>
      </c>
      <c r="N1289" s="17">
        <f>IF(M1289&gt;0,L1289,Factores!$B$7)</f>
        <v/>
      </c>
      <c r="O1289">
        <f>IF(M1289&gt;0,"OK","sin PEA -&gt; peor")</f>
        <v/>
      </c>
    </row>
    <row r="1290">
      <c r="A1290" t="inlineStr">
        <is>
          <t>030304</t>
        </is>
      </c>
      <c r="B1290" t="inlineStr">
        <is>
          <t>JUAN ESPINOZA MEDRANO</t>
        </is>
      </c>
      <c r="C1290" s="14">
        <f>'Empleo Censo'!G1290-'Empleo Censo'!F1290</f>
        <v/>
      </c>
      <c r="D1290" s="14">
        <f>'Empleo Censo'!F1290</f>
        <v/>
      </c>
      <c r="E1290" s="14">
        <f>'Empleo Censo'!H1290</f>
        <v/>
      </c>
      <c r="F1290" s="14">
        <f>'Empleo Censo'!I1290</f>
        <v/>
      </c>
      <c r="G1290" s="14">
        <f>'Empleo Censo'!J1290+'Empleo Censo'!K1290</f>
        <v/>
      </c>
      <c r="H1290" s="14">
        <f>'Empleo Censo'!L1290</f>
        <v/>
      </c>
      <c r="I1290" s="14">
        <f>'Empleo Censo'!M1290</f>
        <v/>
      </c>
      <c r="J1290" s="14">
        <f>SUM('Empleo Censo'!N1290:AA1290)</f>
        <v/>
      </c>
      <c r="K1290" s="14">
        <f>SUM(C1290:J1290)</f>
        <v/>
      </c>
      <c r="L1290" s="15">
        <f>SUMPRODUCT(C1290:J1290,Factores!$B$3:$I$3)</f>
        <v/>
      </c>
      <c r="M1290" s="16">
        <f>'Empleo Censo'!E1290</f>
        <v/>
      </c>
      <c r="N1290" s="17">
        <f>IF(M1290&gt;0,L1290,Factores!$B$7)</f>
        <v/>
      </c>
      <c r="O1290">
        <f>IF(M1290&gt;0,"OK","sin PEA -&gt; peor")</f>
        <v/>
      </c>
    </row>
    <row r="1291">
      <c r="A1291" t="inlineStr">
        <is>
          <t>040802</t>
        </is>
      </c>
      <c r="B1291" t="inlineStr">
        <is>
          <t>ALCA</t>
        </is>
      </c>
      <c r="C1291" s="14">
        <f>'Empleo Censo'!G1291-'Empleo Censo'!F1291</f>
        <v/>
      </c>
      <c r="D1291" s="14">
        <f>'Empleo Censo'!F1291</f>
        <v/>
      </c>
      <c r="E1291" s="14">
        <f>'Empleo Censo'!H1291</f>
        <v/>
      </c>
      <c r="F1291" s="14">
        <f>'Empleo Censo'!I1291</f>
        <v/>
      </c>
      <c r="G1291" s="14">
        <f>'Empleo Censo'!J1291+'Empleo Censo'!K1291</f>
        <v/>
      </c>
      <c r="H1291" s="14">
        <f>'Empleo Censo'!L1291</f>
        <v/>
      </c>
      <c r="I1291" s="14">
        <f>'Empleo Censo'!M1291</f>
        <v/>
      </c>
      <c r="J1291" s="14">
        <f>SUM('Empleo Censo'!N1291:AA1291)</f>
        <v/>
      </c>
      <c r="K1291" s="14">
        <f>SUM(C1291:J1291)</f>
        <v/>
      </c>
      <c r="L1291" s="15">
        <f>SUMPRODUCT(C1291:J1291,Factores!$B$3:$I$3)</f>
        <v/>
      </c>
      <c r="M1291" s="16">
        <f>'Empleo Censo'!E1291</f>
        <v/>
      </c>
      <c r="N1291" s="17">
        <f>IF(M1291&gt;0,L1291,Factores!$B$7)</f>
        <v/>
      </c>
      <c r="O1291">
        <f>IF(M1291&gt;0,"OK","sin PEA -&gt; peor")</f>
        <v/>
      </c>
    </row>
    <row r="1292">
      <c r="A1292" t="inlineStr">
        <is>
          <t>050617</t>
        </is>
      </c>
      <c r="B1292" t="inlineStr">
        <is>
          <t>SAN PEDRO</t>
        </is>
      </c>
      <c r="C1292" s="14">
        <f>'Empleo Censo'!G1292-'Empleo Censo'!F1292</f>
        <v/>
      </c>
      <c r="D1292" s="14">
        <f>'Empleo Censo'!F1292</f>
        <v/>
      </c>
      <c r="E1292" s="14">
        <f>'Empleo Censo'!H1292</f>
        <v/>
      </c>
      <c r="F1292" s="14">
        <f>'Empleo Censo'!I1292</f>
        <v/>
      </c>
      <c r="G1292" s="14">
        <f>'Empleo Censo'!J1292+'Empleo Censo'!K1292</f>
        <v/>
      </c>
      <c r="H1292" s="14">
        <f>'Empleo Censo'!L1292</f>
        <v/>
      </c>
      <c r="I1292" s="14">
        <f>'Empleo Censo'!M1292</f>
        <v/>
      </c>
      <c r="J1292" s="14">
        <f>SUM('Empleo Censo'!N1292:AA1292)</f>
        <v/>
      </c>
      <c r="K1292" s="14">
        <f>SUM(C1292:J1292)</f>
        <v/>
      </c>
      <c r="L1292" s="15">
        <f>SUMPRODUCT(C1292:J1292,Factores!$B$3:$I$3)</f>
        <v/>
      </c>
      <c r="M1292" s="16">
        <f>'Empleo Censo'!E1292</f>
        <v/>
      </c>
      <c r="N1292" s="17">
        <f>IF(M1292&gt;0,L1292,Factores!$B$7)</f>
        <v/>
      </c>
      <c r="O1292">
        <f>IF(M1292&gt;0,"OK","sin PEA -&gt; peor")</f>
        <v/>
      </c>
    </row>
    <row r="1293">
      <c r="A1293" t="inlineStr">
        <is>
          <t>080801</t>
        </is>
      </c>
      <c r="B1293" t="inlineStr">
        <is>
          <t>ESPINAR</t>
        </is>
      </c>
      <c r="C1293" s="14">
        <f>'Empleo Censo'!G1293-'Empleo Censo'!F1293</f>
        <v/>
      </c>
      <c r="D1293" s="14">
        <f>'Empleo Censo'!F1293</f>
        <v/>
      </c>
      <c r="E1293" s="14">
        <f>'Empleo Censo'!H1293</f>
        <v/>
      </c>
      <c r="F1293" s="14">
        <f>'Empleo Censo'!I1293</f>
        <v/>
      </c>
      <c r="G1293" s="14">
        <f>'Empleo Censo'!J1293+'Empleo Censo'!K1293</f>
        <v/>
      </c>
      <c r="H1293" s="14">
        <f>'Empleo Censo'!L1293</f>
        <v/>
      </c>
      <c r="I1293" s="14">
        <f>'Empleo Censo'!M1293</f>
        <v/>
      </c>
      <c r="J1293" s="14">
        <f>SUM('Empleo Censo'!N1293:AA1293)</f>
        <v/>
      </c>
      <c r="K1293" s="14">
        <f>SUM(C1293:J1293)</f>
        <v/>
      </c>
      <c r="L1293" s="15">
        <f>SUMPRODUCT(C1293:J1293,Factores!$B$3:$I$3)</f>
        <v/>
      </c>
      <c r="M1293" s="16">
        <f>'Empleo Censo'!E1293</f>
        <v/>
      </c>
      <c r="N1293" s="17">
        <f>IF(M1293&gt;0,L1293,Factores!$B$7)</f>
        <v/>
      </c>
      <c r="O1293">
        <f>IF(M1293&gt;0,"OK","sin PEA -&gt; peor")</f>
        <v/>
      </c>
    </row>
    <row r="1294">
      <c r="A1294" t="inlineStr">
        <is>
          <t>010518</t>
        </is>
      </c>
      <c r="B1294" t="inlineStr">
        <is>
          <t>SAN JERONIMO</t>
        </is>
      </c>
      <c r="C1294" s="14">
        <f>'Empleo Censo'!G1294-'Empleo Censo'!F1294</f>
        <v/>
      </c>
      <c r="D1294" s="14">
        <f>'Empleo Censo'!F1294</f>
        <v/>
      </c>
      <c r="E1294" s="14">
        <f>'Empleo Censo'!H1294</f>
        <v/>
      </c>
      <c r="F1294" s="14">
        <f>'Empleo Censo'!I1294</f>
        <v/>
      </c>
      <c r="G1294" s="14">
        <f>'Empleo Censo'!J1294+'Empleo Censo'!K1294</f>
        <v/>
      </c>
      <c r="H1294" s="14">
        <f>'Empleo Censo'!L1294</f>
        <v/>
      </c>
      <c r="I1294" s="14">
        <f>'Empleo Censo'!M1294</f>
        <v/>
      </c>
      <c r="J1294" s="14">
        <f>SUM('Empleo Censo'!N1294:AA1294)</f>
        <v/>
      </c>
      <c r="K1294" s="14">
        <f>SUM(C1294:J1294)</f>
        <v/>
      </c>
      <c r="L1294" s="15">
        <f>SUMPRODUCT(C1294:J1294,Factores!$B$3:$I$3)</f>
        <v/>
      </c>
      <c r="M1294" s="16">
        <f>'Empleo Censo'!E1294</f>
        <v/>
      </c>
      <c r="N1294" s="17">
        <f>IF(M1294&gt;0,L1294,Factores!$B$7)</f>
        <v/>
      </c>
      <c r="O1294">
        <f>IF(M1294&gt;0,"OK","sin PEA -&gt; peor")</f>
        <v/>
      </c>
    </row>
    <row r="1295">
      <c r="A1295" t="inlineStr">
        <is>
          <t>020301</t>
        </is>
      </c>
      <c r="B1295" t="inlineStr">
        <is>
          <t>LLAMELLIN</t>
        </is>
      </c>
      <c r="C1295" s="14">
        <f>'Empleo Censo'!G1295-'Empleo Censo'!F1295</f>
        <v/>
      </c>
      <c r="D1295" s="14">
        <f>'Empleo Censo'!F1295</f>
        <v/>
      </c>
      <c r="E1295" s="14">
        <f>'Empleo Censo'!H1295</f>
        <v/>
      </c>
      <c r="F1295" s="14">
        <f>'Empleo Censo'!I1295</f>
        <v/>
      </c>
      <c r="G1295" s="14">
        <f>'Empleo Censo'!J1295+'Empleo Censo'!K1295</f>
        <v/>
      </c>
      <c r="H1295" s="14">
        <f>'Empleo Censo'!L1295</f>
        <v/>
      </c>
      <c r="I1295" s="14">
        <f>'Empleo Censo'!M1295</f>
        <v/>
      </c>
      <c r="J1295" s="14">
        <f>SUM('Empleo Censo'!N1295:AA1295)</f>
        <v/>
      </c>
      <c r="K1295" s="14">
        <f>SUM(C1295:J1295)</f>
        <v/>
      </c>
      <c r="L1295" s="15">
        <f>SUMPRODUCT(C1295:J1295,Factores!$B$3:$I$3)</f>
        <v/>
      </c>
      <c r="M1295" s="16">
        <f>'Empleo Censo'!E1295</f>
        <v/>
      </c>
      <c r="N1295" s="17">
        <f>IF(M1295&gt;0,L1295,Factores!$B$7)</f>
        <v/>
      </c>
      <c r="O1295">
        <f>IF(M1295&gt;0,"OK","sin PEA -&gt; peor")</f>
        <v/>
      </c>
    </row>
    <row r="1296">
      <c r="A1296" t="inlineStr">
        <is>
          <t>090405</t>
        </is>
      </c>
      <c r="B1296" t="inlineStr">
        <is>
          <t>CHUPAMARCA</t>
        </is>
      </c>
      <c r="C1296" s="14">
        <f>'Empleo Censo'!G1296-'Empleo Censo'!F1296</f>
        <v/>
      </c>
      <c r="D1296" s="14">
        <f>'Empleo Censo'!F1296</f>
        <v/>
      </c>
      <c r="E1296" s="14">
        <f>'Empleo Censo'!H1296</f>
        <v/>
      </c>
      <c r="F1296" s="14">
        <f>'Empleo Censo'!I1296</f>
        <v/>
      </c>
      <c r="G1296" s="14">
        <f>'Empleo Censo'!J1296+'Empleo Censo'!K1296</f>
        <v/>
      </c>
      <c r="H1296" s="14">
        <f>'Empleo Censo'!L1296</f>
        <v/>
      </c>
      <c r="I1296" s="14">
        <f>'Empleo Censo'!M1296</f>
        <v/>
      </c>
      <c r="J1296" s="14">
        <f>SUM('Empleo Censo'!N1296:AA1296)</f>
        <v/>
      </c>
      <c r="K1296" s="14">
        <f>SUM(C1296:J1296)</f>
        <v/>
      </c>
      <c r="L1296" s="15">
        <f>SUMPRODUCT(C1296:J1296,Factores!$B$3:$I$3)</f>
        <v/>
      </c>
      <c r="M1296" s="16">
        <f>'Empleo Censo'!E1296</f>
        <v/>
      </c>
      <c r="N1296" s="17">
        <f>IF(M1296&gt;0,L1296,Factores!$B$7)</f>
        <v/>
      </c>
      <c r="O1296">
        <f>IF(M1296&gt;0,"OK","sin PEA -&gt; peor")</f>
        <v/>
      </c>
    </row>
    <row r="1297">
      <c r="A1297" t="inlineStr">
        <is>
          <t>030207</t>
        </is>
      </c>
      <c r="B1297" t="inlineStr">
        <is>
          <t>KISHUARA</t>
        </is>
      </c>
      <c r="C1297" s="14">
        <f>'Empleo Censo'!G1297-'Empleo Censo'!F1297</f>
        <v/>
      </c>
      <c r="D1297" s="14">
        <f>'Empleo Censo'!F1297</f>
        <v/>
      </c>
      <c r="E1297" s="14">
        <f>'Empleo Censo'!H1297</f>
        <v/>
      </c>
      <c r="F1297" s="14">
        <f>'Empleo Censo'!I1297</f>
        <v/>
      </c>
      <c r="G1297" s="14">
        <f>'Empleo Censo'!J1297+'Empleo Censo'!K1297</f>
        <v/>
      </c>
      <c r="H1297" s="14">
        <f>'Empleo Censo'!L1297</f>
        <v/>
      </c>
      <c r="I1297" s="14">
        <f>'Empleo Censo'!M1297</f>
        <v/>
      </c>
      <c r="J1297" s="14">
        <f>SUM('Empleo Censo'!N1297:AA1297)</f>
        <v/>
      </c>
      <c r="K1297" s="14">
        <f>SUM(C1297:J1297)</f>
        <v/>
      </c>
      <c r="L1297" s="15">
        <f>SUMPRODUCT(C1297:J1297,Factores!$B$3:$I$3)</f>
        <v/>
      </c>
      <c r="M1297" s="16">
        <f>'Empleo Censo'!E1297</f>
        <v/>
      </c>
      <c r="N1297" s="17">
        <f>IF(M1297&gt;0,L1297,Factores!$B$7)</f>
        <v/>
      </c>
      <c r="O1297">
        <f>IF(M1297&gt;0,"OK","sin PEA -&gt; peor")</f>
        <v/>
      </c>
    </row>
    <row r="1298">
      <c r="A1298" t="inlineStr">
        <is>
          <t>080101</t>
        </is>
      </c>
      <c r="B1298" t="inlineStr">
        <is>
          <t>CUSCO</t>
        </is>
      </c>
      <c r="C1298" s="14">
        <f>'Empleo Censo'!G1298-'Empleo Censo'!F1298</f>
        <v/>
      </c>
      <c r="D1298" s="14">
        <f>'Empleo Censo'!F1298</f>
        <v/>
      </c>
      <c r="E1298" s="14">
        <f>'Empleo Censo'!H1298</f>
        <v/>
      </c>
      <c r="F1298" s="14">
        <f>'Empleo Censo'!I1298</f>
        <v/>
      </c>
      <c r="G1298" s="14">
        <f>'Empleo Censo'!J1298+'Empleo Censo'!K1298</f>
        <v/>
      </c>
      <c r="H1298" s="14">
        <f>'Empleo Censo'!L1298</f>
        <v/>
      </c>
      <c r="I1298" s="14">
        <f>'Empleo Censo'!M1298</f>
        <v/>
      </c>
      <c r="J1298" s="14">
        <f>SUM('Empleo Censo'!N1298:AA1298)</f>
        <v/>
      </c>
      <c r="K1298" s="14">
        <f>SUM(C1298:J1298)</f>
        <v/>
      </c>
      <c r="L1298" s="15">
        <f>SUMPRODUCT(C1298:J1298,Factores!$B$3:$I$3)</f>
        <v/>
      </c>
      <c r="M1298" s="16">
        <f>'Empleo Censo'!E1298</f>
        <v/>
      </c>
      <c r="N1298" s="17">
        <f>IF(M1298&gt;0,L1298,Factores!$B$7)</f>
        <v/>
      </c>
      <c r="O1298">
        <f>IF(M1298&gt;0,"OK","sin PEA -&gt; peor")</f>
        <v/>
      </c>
    </row>
    <row r="1299">
      <c r="A1299" t="inlineStr">
        <is>
          <t>090113</t>
        </is>
      </c>
      <c r="B1299" t="inlineStr">
        <is>
          <t>NUEVO OCCORO</t>
        </is>
      </c>
      <c r="C1299" s="14">
        <f>'Empleo Censo'!G1299-'Empleo Censo'!F1299</f>
        <v/>
      </c>
      <c r="D1299" s="14">
        <f>'Empleo Censo'!F1299</f>
        <v/>
      </c>
      <c r="E1299" s="14">
        <f>'Empleo Censo'!H1299</f>
        <v/>
      </c>
      <c r="F1299" s="14">
        <f>'Empleo Censo'!I1299</f>
        <v/>
      </c>
      <c r="G1299" s="14">
        <f>'Empleo Censo'!J1299+'Empleo Censo'!K1299</f>
        <v/>
      </c>
      <c r="H1299" s="14">
        <f>'Empleo Censo'!L1299</f>
        <v/>
      </c>
      <c r="I1299" s="14">
        <f>'Empleo Censo'!M1299</f>
        <v/>
      </c>
      <c r="J1299" s="14">
        <f>SUM('Empleo Censo'!N1299:AA1299)</f>
        <v/>
      </c>
      <c r="K1299" s="14">
        <f>SUM(C1299:J1299)</f>
        <v/>
      </c>
      <c r="L1299" s="15">
        <f>SUMPRODUCT(C1299:J1299,Factores!$B$3:$I$3)</f>
        <v/>
      </c>
      <c r="M1299" s="16">
        <f>'Empleo Censo'!E1299</f>
        <v/>
      </c>
      <c r="N1299" s="17">
        <f>IF(M1299&gt;0,L1299,Factores!$B$7)</f>
        <v/>
      </c>
      <c r="O1299">
        <f>IF(M1299&gt;0,"OK","sin PEA -&gt; peor")</f>
        <v/>
      </c>
    </row>
    <row r="1300">
      <c r="A1300" t="inlineStr">
        <is>
          <t>030209</t>
        </is>
      </c>
      <c r="B1300" t="inlineStr">
        <is>
          <t>PACUCHA</t>
        </is>
      </c>
      <c r="C1300" s="14">
        <f>'Empleo Censo'!G1300-'Empleo Censo'!F1300</f>
        <v/>
      </c>
      <c r="D1300" s="14">
        <f>'Empleo Censo'!F1300</f>
        <v/>
      </c>
      <c r="E1300" s="14">
        <f>'Empleo Censo'!H1300</f>
        <v/>
      </c>
      <c r="F1300" s="14">
        <f>'Empleo Censo'!I1300</f>
        <v/>
      </c>
      <c r="G1300" s="14">
        <f>'Empleo Censo'!J1300+'Empleo Censo'!K1300</f>
        <v/>
      </c>
      <c r="H1300" s="14">
        <f>'Empleo Censo'!L1300</f>
        <v/>
      </c>
      <c r="I1300" s="14">
        <f>'Empleo Censo'!M1300</f>
        <v/>
      </c>
      <c r="J1300" s="14">
        <f>SUM('Empleo Censo'!N1300:AA1300)</f>
        <v/>
      </c>
      <c r="K1300" s="14">
        <f>SUM(C1300:J1300)</f>
        <v/>
      </c>
      <c r="L1300" s="15">
        <f>SUMPRODUCT(C1300:J1300,Factores!$B$3:$I$3)</f>
        <v/>
      </c>
      <c r="M1300" s="16">
        <f>'Empleo Censo'!E1300</f>
        <v/>
      </c>
      <c r="N1300" s="17">
        <f>IF(M1300&gt;0,L1300,Factores!$B$7)</f>
        <v/>
      </c>
      <c r="O1300">
        <f>IF(M1300&gt;0,"OK","sin PEA -&gt; peor")</f>
        <v/>
      </c>
    </row>
    <row r="1301">
      <c r="A1301" t="inlineStr">
        <is>
          <t>040807</t>
        </is>
      </c>
      <c r="B1301" t="inlineStr">
        <is>
          <t>QUECHUALLA</t>
        </is>
      </c>
      <c r="C1301" s="14">
        <f>'Empleo Censo'!G1301-'Empleo Censo'!F1301</f>
        <v/>
      </c>
      <c r="D1301" s="14">
        <f>'Empleo Censo'!F1301</f>
        <v/>
      </c>
      <c r="E1301" s="14">
        <f>'Empleo Censo'!H1301</f>
        <v/>
      </c>
      <c r="F1301" s="14">
        <f>'Empleo Censo'!I1301</f>
        <v/>
      </c>
      <c r="G1301" s="14">
        <f>'Empleo Censo'!J1301+'Empleo Censo'!K1301</f>
        <v/>
      </c>
      <c r="H1301" s="14">
        <f>'Empleo Censo'!L1301</f>
        <v/>
      </c>
      <c r="I1301" s="14">
        <f>'Empleo Censo'!M1301</f>
        <v/>
      </c>
      <c r="J1301" s="14">
        <f>SUM('Empleo Censo'!N1301:AA1301)</f>
        <v/>
      </c>
      <c r="K1301" s="14">
        <f>SUM(C1301:J1301)</f>
        <v/>
      </c>
      <c r="L1301" s="15">
        <f>SUMPRODUCT(C1301:J1301,Factores!$B$3:$I$3)</f>
        <v/>
      </c>
      <c r="M1301" s="16">
        <f>'Empleo Censo'!E1301</f>
        <v/>
      </c>
      <c r="N1301" s="17">
        <f>IF(M1301&gt;0,L1301,Factores!$B$7)</f>
        <v/>
      </c>
      <c r="O1301">
        <f>IF(M1301&gt;0,"OK","sin PEA -&gt; peor")</f>
        <v/>
      </c>
    </row>
    <row r="1302">
      <c r="A1302" t="inlineStr">
        <is>
          <t>010120</t>
        </is>
      </c>
      <c r="B1302" t="inlineStr">
        <is>
          <t>SOLOCO</t>
        </is>
      </c>
      <c r="C1302" s="14">
        <f>'Empleo Censo'!G1302-'Empleo Censo'!F1302</f>
        <v/>
      </c>
      <c r="D1302" s="14">
        <f>'Empleo Censo'!F1302</f>
        <v/>
      </c>
      <c r="E1302" s="14">
        <f>'Empleo Censo'!H1302</f>
        <v/>
      </c>
      <c r="F1302" s="14">
        <f>'Empleo Censo'!I1302</f>
        <v/>
      </c>
      <c r="G1302" s="14">
        <f>'Empleo Censo'!J1302+'Empleo Censo'!K1302</f>
        <v/>
      </c>
      <c r="H1302" s="14">
        <f>'Empleo Censo'!L1302</f>
        <v/>
      </c>
      <c r="I1302" s="14">
        <f>'Empleo Censo'!M1302</f>
        <v/>
      </c>
      <c r="J1302" s="14">
        <f>SUM('Empleo Censo'!N1302:AA1302)</f>
        <v/>
      </c>
      <c r="K1302" s="14">
        <f>SUM(C1302:J1302)</f>
        <v/>
      </c>
      <c r="L1302" s="15">
        <f>SUMPRODUCT(C1302:J1302,Factores!$B$3:$I$3)</f>
        <v/>
      </c>
      <c r="M1302" s="16">
        <f>'Empleo Censo'!E1302</f>
        <v/>
      </c>
      <c r="N1302" s="17">
        <f>IF(M1302&gt;0,L1302,Factores!$B$7)</f>
        <v/>
      </c>
      <c r="O1302">
        <f>IF(M1302&gt;0,"OK","sin PEA -&gt; peor")</f>
        <v/>
      </c>
    </row>
    <row r="1303">
      <c r="A1303" t="inlineStr">
        <is>
          <t>010520</t>
        </is>
      </c>
      <c r="B1303" t="inlineStr">
        <is>
          <t>SANTA CATALINA</t>
        </is>
      </c>
      <c r="C1303" s="14">
        <f>'Empleo Censo'!G1303-'Empleo Censo'!F1303</f>
        <v/>
      </c>
      <c r="D1303" s="14">
        <f>'Empleo Censo'!F1303</f>
        <v/>
      </c>
      <c r="E1303" s="14">
        <f>'Empleo Censo'!H1303</f>
        <v/>
      </c>
      <c r="F1303" s="14">
        <f>'Empleo Censo'!I1303</f>
        <v/>
      </c>
      <c r="G1303" s="14">
        <f>'Empleo Censo'!J1303+'Empleo Censo'!K1303</f>
        <v/>
      </c>
      <c r="H1303" s="14">
        <f>'Empleo Censo'!L1303</f>
        <v/>
      </c>
      <c r="I1303" s="14">
        <f>'Empleo Censo'!M1303</f>
        <v/>
      </c>
      <c r="J1303" s="14">
        <f>SUM('Empleo Censo'!N1303:AA1303)</f>
        <v/>
      </c>
      <c r="K1303" s="14">
        <f>SUM(C1303:J1303)</f>
        <v/>
      </c>
      <c r="L1303" s="15">
        <f>SUMPRODUCT(C1303:J1303,Factores!$B$3:$I$3)</f>
        <v/>
      </c>
      <c r="M1303" s="16">
        <f>'Empleo Censo'!E1303</f>
        <v/>
      </c>
      <c r="N1303" s="17">
        <f>IF(M1303&gt;0,L1303,Factores!$B$7)</f>
        <v/>
      </c>
      <c r="O1303">
        <f>IF(M1303&gt;0,"OK","sin PEA -&gt; peor")</f>
        <v/>
      </c>
    </row>
    <row r="1304">
      <c r="A1304" t="inlineStr">
        <is>
          <t>050111</t>
        </is>
      </c>
      <c r="B1304" t="inlineStr">
        <is>
          <t>SANTIAGO DE PISCHA</t>
        </is>
      </c>
      <c r="C1304" s="14">
        <f>'Empleo Censo'!G1304-'Empleo Censo'!F1304</f>
        <v/>
      </c>
      <c r="D1304" s="14">
        <f>'Empleo Censo'!F1304</f>
        <v/>
      </c>
      <c r="E1304" s="14">
        <f>'Empleo Censo'!H1304</f>
        <v/>
      </c>
      <c r="F1304" s="14">
        <f>'Empleo Censo'!I1304</f>
        <v/>
      </c>
      <c r="G1304" s="14">
        <f>'Empleo Censo'!J1304+'Empleo Censo'!K1304</f>
        <v/>
      </c>
      <c r="H1304" s="14">
        <f>'Empleo Censo'!L1304</f>
        <v/>
      </c>
      <c r="I1304" s="14">
        <f>'Empleo Censo'!M1304</f>
        <v/>
      </c>
      <c r="J1304" s="14">
        <f>SUM('Empleo Censo'!N1304:AA1304)</f>
        <v/>
      </c>
      <c r="K1304" s="14">
        <f>SUM(C1304:J1304)</f>
        <v/>
      </c>
      <c r="L1304" s="15">
        <f>SUMPRODUCT(C1304:J1304,Factores!$B$3:$I$3)</f>
        <v/>
      </c>
      <c r="M1304" s="16">
        <f>'Empleo Censo'!E1304</f>
        <v/>
      </c>
      <c r="N1304" s="17">
        <f>IF(M1304&gt;0,L1304,Factores!$B$7)</f>
        <v/>
      </c>
      <c r="O1304">
        <f>IF(M1304&gt;0,"OK","sin PEA -&gt; peor")</f>
        <v/>
      </c>
    </row>
    <row r="1305">
      <c r="A1305" t="inlineStr">
        <is>
          <t>030704</t>
        </is>
      </c>
      <c r="B1305" t="inlineStr">
        <is>
          <t>HUAYLLATI</t>
        </is>
      </c>
      <c r="C1305" s="14">
        <f>'Empleo Censo'!G1305-'Empleo Censo'!F1305</f>
        <v/>
      </c>
      <c r="D1305" s="14">
        <f>'Empleo Censo'!F1305</f>
        <v/>
      </c>
      <c r="E1305" s="14">
        <f>'Empleo Censo'!H1305</f>
        <v/>
      </c>
      <c r="F1305" s="14">
        <f>'Empleo Censo'!I1305</f>
        <v/>
      </c>
      <c r="G1305" s="14">
        <f>'Empleo Censo'!J1305+'Empleo Censo'!K1305</f>
        <v/>
      </c>
      <c r="H1305" s="14">
        <f>'Empleo Censo'!L1305</f>
        <v/>
      </c>
      <c r="I1305" s="14">
        <f>'Empleo Censo'!M1305</f>
        <v/>
      </c>
      <c r="J1305" s="14">
        <f>SUM('Empleo Censo'!N1305:AA1305)</f>
        <v/>
      </c>
      <c r="K1305" s="14">
        <f>SUM(C1305:J1305)</f>
        <v/>
      </c>
      <c r="L1305" s="15">
        <f>SUMPRODUCT(C1305:J1305,Factores!$B$3:$I$3)</f>
        <v/>
      </c>
      <c r="M1305" s="16">
        <f>'Empleo Censo'!E1305</f>
        <v/>
      </c>
      <c r="N1305" s="17">
        <f>IF(M1305&gt;0,L1305,Factores!$B$7)</f>
        <v/>
      </c>
      <c r="O1305">
        <f>IF(M1305&gt;0,"OK","sin PEA -&gt; peor")</f>
        <v/>
      </c>
    </row>
    <row r="1306">
      <c r="A1306" t="inlineStr">
        <is>
          <t>021302</t>
        </is>
      </c>
      <c r="B1306" t="inlineStr">
        <is>
          <t>CASCA</t>
        </is>
      </c>
      <c r="C1306" s="14">
        <f>'Empleo Censo'!G1306-'Empleo Censo'!F1306</f>
        <v/>
      </c>
      <c r="D1306" s="14">
        <f>'Empleo Censo'!F1306</f>
        <v/>
      </c>
      <c r="E1306" s="14">
        <f>'Empleo Censo'!H1306</f>
        <v/>
      </c>
      <c r="F1306" s="14">
        <f>'Empleo Censo'!I1306</f>
        <v/>
      </c>
      <c r="G1306" s="14">
        <f>'Empleo Censo'!J1306+'Empleo Censo'!K1306</f>
        <v/>
      </c>
      <c r="H1306" s="14">
        <f>'Empleo Censo'!L1306</f>
        <v/>
      </c>
      <c r="I1306" s="14">
        <f>'Empleo Censo'!M1306</f>
        <v/>
      </c>
      <c r="J1306" s="14">
        <f>SUM('Empleo Censo'!N1306:AA1306)</f>
        <v/>
      </c>
      <c r="K1306" s="14">
        <f>SUM(C1306:J1306)</f>
        <v/>
      </c>
      <c r="L1306" s="15">
        <f>SUMPRODUCT(C1306:J1306,Factores!$B$3:$I$3)</f>
        <v/>
      </c>
      <c r="M1306" s="16">
        <f>'Empleo Censo'!E1306</f>
        <v/>
      </c>
      <c r="N1306" s="17">
        <f>IF(M1306&gt;0,L1306,Factores!$B$7)</f>
        <v/>
      </c>
      <c r="O1306">
        <f>IF(M1306&gt;0,"OK","sin PEA -&gt; peor")</f>
        <v/>
      </c>
    </row>
    <row r="1307">
      <c r="A1307" t="inlineStr">
        <is>
          <t>010703</t>
        </is>
      </c>
      <c r="B1307" t="inlineStr">
        <is>
          <t>CUMBA</t>
        </is>
      </c>
      <c r="C1307" s="14">
        <f>'Empleo Censo'!G1307-'Empleo Censo'!F1307</f>
        <v/>
      </c>
      <c r="D1307" s="14">
        <f>'Empleo Censo'!F1307</f>
        <v/>
      </c>
      <c r="E1307" s="14">
        <f>'Empleo Censo'!H1307</f>
        <v/>
      </c>
      <c r="F1307" s="14">
        <f>'Empleo Censo'!I1307</f>
        <v/>
      </c>
      <c r="G1307" s="14">
        <f>'Empleo Censo'!J1307+'Empleo Censo'!K1307</f>
        <v/>
      </c>
      <c r="H1307" s="14">
        <f>'Empleo Censo'!L1307</f>
        <v/>
      </c>
      <c r="I1307" s="14">
        <f>'Empleo Censo'!M1307</f>
        <v/>
      </c>
      <c r="J1307" s="14">
        <f>SUM('Empleo Censo'!N1307:AA1307)</f>
        <v/>
      </c>
      <c r="K1307" s="14">
        <f>SUM(C1307:J1307)</f>
        <v/>
      </c>
      <c r="L1307" s="15">
        <f>SUMPRODUCT(C1307:J1307,Factores!$B$3:$I$3)</f>
        <v/>
      </c>
      <c r="M1307" s="16">
        <f>'Empleo Censo'!E1307</f>
        <v/>
      </c>
      <c r="N1307" s="17">
        <f>IF(M1307&gt;0,L1307,Factores!$B$7)</f>
        <v/>
      </c>
      <c r="O1307">
        <f>IF(M1307&gt;0,"OK","sin PEA -&gt; peor")</f>
        <v/>
      </c>
    </row>
    <row r="1308">
      <c r="A1308" t="inlineStr">
        <is>
          <t>050403</t>
        </is>
      </c>
      <c r="B1308" t="inlineStr">
        <is>
          <t>HUAMANGUILLA</t>
        </is>
      </c>
      <c r="C1308" s="14">
        <f>'Empleo Censo'!G1308-'Empleo Censo'!F1308</f>
        <v/>
      </c>
      <c r="D1308" s="14">
        <f>'Empleo Censo'!F1308</f>
        <v/>
      </c>
      <c r="E1308" s="14">
        <f>'Empleo Censo'!H1308</f>
        <v/>
      </c>
      <c r="F1308" s="14">
        <f>'Empleo Censo'!I1308</f>
        <v/>
      </c>
      <c r="G1308" s="14">
        <f>'Empleo Censo'!J1308+'Empleo Censo'!K1308</f>
        <v/>
      </c>
      <c r="H1308" s="14">
        <f>'Empleo Censo'!L1308</f>
        <v/>
      </c>
      <c r="I1308" s="14">
        <f>'Empleo Censo'!M1308</f>
        <v/>
      </c>
      <c r="J1308" s="14">
        <f>SUM('Empleo Censo'!N1308:AA1308)</f>
        <v/>
      </c>
      <c r="K1308" s="14">
        <f>SUM(C1308:J1308)</f>
        <v/>
      </c>
      <c r="L1308" s="15">
        <f>SUMPRODUCT(C1308:J1308,Factores!$B$3:$I$3)</f>
        <v/>
      </c>
      <c r="M1308" s="16">
        <f>'Empleo Censo'!E1308</f>
        <v/>
      </c>
      <c r="N1308" s="17">
        <f>IF(M1308&gt;0,L1308,Factores!$B$7)</f>
        <v/>
      </c>
      <c r="O1308">
        <f>IF(M1308&gt;0,"OK","sin PEA -&gt; peor")</f>
        <v/>
      </c>
    </row>
    <row r="1309">
      <c r="A1309" t="inlineStr">
        <is>
          <t>051107</t>
        </is>
      </c>
      <c r="B1309" t="inlineStr">
        <is>
          <t>SAURAMA</t>
        </is>
      </c>
      <c r="C1309" s="14">
        <f>'Empleo Censo'!G1309-'Empleo Censo'!F1309</f>
        <v/>
      </c>
      <c r="D1309" s="14">
        <f>'Empleo Censo'!F1309</f>
        <v/>
      </c>
      <c r="E1309" s="14">
        <f>'Empleo Censo'!H1309</f>
        <v/>
      </c>
      <c r="F1309" s="14">
        <f>'Empleo Censo'!I1309</f>
        <v/>
      </c>
      <c r="G1309" s="14">
        <f>'Empleo Censo'!J1309+'Empleo Censo'!K1309</f>
        <v/>
      </c>
      <c r="H1309" s="14">
        <f>'Empleo Censo'!L1309</f>
        <v/>
      </c>
      <c r="I1309" s="14">
        <f>'Empleo Censo'!M1309</f>
        <v/>
      </c>
      <c r="J1309" s="14">
        <f>SUM('Empleo Censo'!N1309:AA1309)</f>
        <v/>
      </c>
      <c r="K1309" s="14">
        <f>SUM(C1309:J1309)</f>
        <v/>
      </c>
      <c r="L1309" s="15">
        <f>SUMPRODUCT(C1309:J1309,Factores!$B$3:$I$3)</f>
        <v/>
      </c>
      <c r="M1309" s="16">
        <f>'Empleo Censo'!E1309</f>
        <v/>
      </c>
      <c r="N1309" s="17">
        <f>IF(M1309&gt;0,L1309,Factores!$B$7)</f>
        <v/>
      </c>
      <c r="O1309">
        <f>IF(M1309&gt;0,"OK","sin PEA -&gt; peor")</f>
        <v/>
      </c>
    </row>
    <row r="1310">
      <c r="A1310" t="inlineStr">
        <is>
          <t>020504</t>
        </is>
      </c>
      <c r="B1310" t="inlineStr">
        <is>
          <t>AQUIA</t>
        </is>
      </c>
      <c r="C1310" s="14">
        <f>'Empleo Censo'!G1310-'Empleo Censo'!F1310</f>
        <v/>
      </c>
      <c r="D1310" s="14">
        <f>'Empleo Censo'!F1310</f>
        <v/>
      </c>
      <c r="E1310" s="14">
        <f>'Empleo Censo'!H1310</f>
        <v/>
      </c>
      <c r="F1310" s="14">
        <f>'Empleo Censo'!I1310</f>
        <v/>
      </c>
      <c r="G1310" s="14">
        <f>'Empleo Censo'!J1310+'Empleo Censo'!K1310</f>
        <v/>
      </c>
      <c r="H1310" s="14">
        <f>'Empleo Censo'!L1310</f>
        <v/>
      </c>
      <c r="I1310" s="14">
        <f>'Empleo Censo'!M1310</f>
        <v/>
      </c>
      <c r="J1310" s="14">
        <f>SUM('Empleo Censo'!N1310:AA1310)</f>
        <v/>
      </c>
      <c r="K1310" s="14">
        <f>SUM(C1310:J1310)</f>
        <v/>
      </c>
      <c r="L1310" s="15">
        <f>SUMPRODUCT(C1310:J1310,Factores!$B$3:$I$3)</f>
        <v/>
      </c>
      <c r="M1310" s="16">
        <f>'Empleo Censo'!E1310</f>
        <v/>
      </c>
      <c r="N1310" s="17">
        <f>IF(M1310&gt;0,L1310,Factores!$B$7)</f>
        <v/>
      </c>
      <c r="O1310">
        <f>IF(M1310&gt;0,"OK","sin PEA -&gt; peor")</f>
        <v/>
      </c>
    </row>
    <row r="1311">
      <c r="A1311" t="inlineStr">
        <is>
          <t>090410</t>
        </is>
      </c>
      <c r="B1311" t="inlineStr">
        <is>
          <t>SAN JUAN</t>
        </is>
      </c>
      <c r="C1311" s="14">
        <f>'Empleo Censo'!G1311-'Empleo Censo'!F1311</f>
        <v/>
      </c>
      <c r="D1311" s="14">
        <f>'Empleo Censo'!F1311</f>
        <v/>
      </c>
      <c r="E1311" s="14">
        <f>'Empleo Censo'!H1311</f>
        <v/>
      </c>
      <c r="F1311" s="14">
        <f>'Empleo Censo'!I1311</f>
        <v/>
      </c>
      <c r="G1311" s="14">
        <f>'Empleo Censo'!J1311+'Empleo Censo'!K1311</f>
        <v/>
      </c>
      <c r="H1311" s="14">
        <f>'Empleo Censo'!L1311</f>
        <v/>
      </c>
      <c r="I1311" s="14">
        <f>'Empleo Censo'!M1311</f>
        <v/>
      </c>
      <c r="J1311" s="14">
        <f>SUM('Empleo Censo'!N1311:AA1311)</f>
        <v/>
      </c>
      <c r="K1311" s="14">
        <f>SUM(C1311:J1311)</f>
        <v/>
      </c>
      <c r="L1311" s="15">
        <f>SUMPRODUCT(C1311:J1311,Factores!$B$3:$I$3)</f>
        <v/>
      </c>
      <c r="M1311" s="16">
        <f>'Empleo Censo'!E1311</f>
        <v/>
      </c>
      <c r="N1311" s="17">
        <f>IF(M1311&gt;0,L1311,Factores!$B$7)</f>
        <v/>
      </c>
      <c r="O1311">
        <f>IF(M1311&gt;0,"OK","sin PEA -&gt; peor")</f>
        <v/>
      </c>
    </row>
    <row r="1312">
      <c r="A1312" t="inlineStr">
        <is>
          <t>080306</t>
        </is>
      </c>
      <c r="B1312" t="inlineStr">
        <is>
          <t>LIMATAMBO</t>
        </is>
      </c>
      <c r="C1312" s="14">
        <f>'Empleo Censo'!G1312-'Empleo Censo'!F1312</f>
        <v/>
      </c>
      <c r="D1312" s="14">
        <f>'Empleo Censo'!F1312</f>
        <v/>
      </c>
      <c r="E1312" s="14">
        <f>'Empleo Censo'!H1312</f>
        <v/>
      </c>
      <c r="F1312" s="14">
        <f>'Empleo Censo'!I1312</f>
        <v/>
      </c>
      <c r="G1312" s="14">
        <f>'Empleo Censo'!J1312+'Empleo Censo'!K1312</f>
        <v/>
      </c>
      <c r="H1312" s="14">
        <f>'Empleo Censo'!L1312</f>
        <v/>
      </c>
      <c r="I1312" s="14">
        <f>'Empleo Censo'!M1312</f>
        <v/>
      </c>
      <c r="J1312" s="14">
        <f>SUM('Empleo Censo'!N1312:AA1312)</f>
        <v/>
      </c>
      <c r="K1312" s="14">
        <f>SUM(C1312:J1312)</f>
        <v/>
      </c>
      <c r="L1312" s="15">
        <f>SUMPRODUCT(C1312:J1312,Factores!$B$3:$I$3)</f>
        <v/>
      </c>
      <c r="M1312" s="16">
        <f>'Empleo Censo'!E1312</f>
        <v/>
      </c>
      <c r="N1312" s="17">
        <f>IF(M1312&gt;0,L1312,Factores!$B$7)</f>
        <v/>
      </c>
      <c r="O1312">
        <f>IF(M1312&gt;0,"OK","sin PEA -&gt; peor")</f>
        <v/>
      </c>
    </row>
    <row r="1313">
      <c r="A1313" t="inlineStr">
        <is>
          <t>050303</t>
        </is>
      </c>
      <c r="B1313" t="inlineStr">
        <is>
          <t>SACSAMARCA</t>
        </is>
      </c>
      <c r="C1313" s="14">
        <f>'Empleo Censo'!G1313-'Empleo Censo'!F1313</f>
        <v/>
      </c>
      <c r="D1313" s="14">
        <f>'Empleo Censo'!F1313</f>
        <v/>
      </c>
      <c r="E1313" s="14">
        <f>'Empleo Censo'!H1313</f>
        <v/>
      </c>
      <c r="F1313" s="14">
        <f>'Empleo Censo'!I1313</f>
        <v/>
      </c>
      <c r="G1313" s="14">
        <f>'Empleo Censo'!J1313+'Empleo Censo'!K1313</f>
        <v/>
      </c>
      <c r="H1313" s="14">
        <f>'Empleo Censo'!L1313</f>
        <v/>
      </c>
      <c r="I1313" s="14">
        <f>'Empleo Censo'!M1313</f>
        <v/>
      </c>
      <c r="J1313" s="14">
        <f>SUM('Empleo Censo'!N1313:AA1313)</f>
        <v/>
      </c>
      <c r="K1313" s="14">
        <f>SUM(C1313:J1313)</f>
        <v/>
      </c>
      <c r="L1313" s="15">
        <f>SUMPRODUCT(C1313:J1313,Factores!$B$3:$I$3)</f>
        <v/>
      </c>
      <c r="M1313" s="16">
        <f>'Empleo Censo'!E1313</f>
        <v/>
      </c>
      <c r="N1313" s="17">
        <f>IF(M1313&gt;0,L1313,Factores!$B$7)</f>
        <v/>
      </c>
      <c r="O1313">
        <f>IF(M1313&gt;0,"OK","sin PEA -&gt; peor")</f>
        <v/>
      </c>
    </row>
    <row r="1314">
      <c r="A1314" t="inlineStr">
        <is>
          <t>050618</t>
        </is>
      </c>
      <c r="B1314" t="inlineStr">
        <is>
          <t>SAN PEDRO DE PALCO</t>
        </is>
      </c>
      <c r="C1314" s="14">
        <f>'Empleo Censo'!G1314-'Empleo Censo'!F1314</f>
        <v/>
      </c>
      <c r="D1314" s="14">
        <f>'Empleo Censo'!F1314</f>
        <v/>
      </c>
      <c r="E1314" s="14">
        <f>'Empleo Censo'!H1314</f>
        <v/>
      </c>
      <c r="F1314" s="14">
        <f>'Empleo Censo'!I1314</f>
        <v/>
      </c>
      <c r="G1314" s="14">
        <f>'Empleo Censo'!J1314+'Empleo Censo'!K1314</f>
        <v/>
      </c>
      <c r="H1314" s="14">
        <f>'Empleo Censo'!L1314</f>
        <v/>
      </c>
      <c r="I1314" s="14">
        <f>'Empleo Censo'!M1314</f>
        <v/>
      </c>
      <c r="J1314" s="14">
        <f>SUM('Empleo Censo'!N1314:AA1314)</f>
        <v/>
      </c>
      <c r="K1314" s="14">
        <f>SUM(C1314:J1314)</f>
        <v/>
      </c>
      <c r="L1314" s="15">
        <f>SUMPRODUCT(C1314:J1314,Factores!$B$3:$I$3)</f>
        <v/>
      </c>
      <c r="M1314" s="16">
        <f>'Empleo Censo'!E1314</f>
        <v/>
      </c>
      <c r="N1314" s="17">
        <f>IF(M1314&gt;0,L1314,Factores!$B$7)</f>
        <v/>
      </c>
      <c r="O1314">
        <f>IF(M1314&gt;0,"OK","sin PEA -&gt; peor")</f>
        <v/>
      </c>
    </row>
    <row r="1315">
      <c r="A1315" t="inlineStr">
        <is>
          <t>060612</t>
        </is>
      </c>
      <c r="B1315" t="inlineStr">
        <is>
          <t>SANTO DOMINGO DE LA CAPILLA</t>
        </is>
      </c>
      <c r="C1315" s="14">
        <f>'Empleo Censo'!G1315-'Empleo Censo'!F1315</f>
        <v/>
      </c>
      <c r="D1315" s="14">
        <f>'Empleo Censo'!F1315</f>
        <v/>
      </c>
      <c r="E1315" s="14">
        <f>'Empleo Censo'!H1315</f>
        <v/>
      </c>
      <c r="F1315" s="14">
        <f>'Empleo Censo'!I1315</f>
        <v/>
      </c>
      <c r="G1315" s="14">
        <f>'Empleo Censo'!J1315+'Empleo Censo'!K1315</f>
        <v/>
      </c>
      <c r="H1315" s="14">
        <f>'Empleo Censo'!L1315</f>
        <v/>
      </c>
      <c r="I1315" s="14">
        <f>'Empleo Censo'!M1315</f>
        <v/>
      </c>
      <c r="J1315" s="14">
        <f>SUM('Empleo Censo'!N1315:AA1315)</f>
        <v/>
      </c>
      <c r="K1315" s="14">
        <f>SUM(C1315:J1315)</f>
        <v/>
      </c>
      <c r="L1315" s="15">
        <f>SUMPRODUCT(C1315:J1315,Factores!$B$3:$I$3)</f>
        <v/>
      </c>
      <c r="M1315" s="16">
        <f>'Empleo Censo'!E1315</f>
        <v/>
      </c>
      <c r="N1315" s="17">
        <f>IF(M1315&gt;0,L1315,Factores!$B$7)</f>
        <v/>
      </c>
      <c r="O1315">
        <f>IF(M1315&gt;0,"OK","sin PEA -&gt; peor")</f>
        <v/>
      </c>
    </row>
    <row r="1316">
      <c r="A1316" t="inlineStr">
        <is>
          <t>081006</t>
        </is>
      </c>
      <c r="B1316" t="inlineStr">
        <is>
          <t>OMACHA</t>
        </is>
      </c>
      <c r="C1316" s="14">
        <f>'Empleo Censo'!G1316-'Empleo Censo'!F1316</f>
        <v/>
      </c>
      <c r="D1316" s="14">
        <f>'Empleo Censo'!F1316</f>
        <v/>
      </c>
      <c r="E1316" s="14">
        <f>'Empleo Censo'!H1316</f>
        <v/>
      </c>
      <c r="F1316" s="14">
        <f>'Empleo Censo'!I1316</f>
        <v/>
      </c>
      <c r="G1316" s="14">
        <f>'Empleo Censo'!J1316+'Empleo Censo'!K1316</f>
        <v/>
      </c>
      <c r="H1316" s="14">
        <f>'Empleo Censo'!L1316</f>
        <v/>
      </c>
      <c r="I1316" s="14">
        <f>'Empleo Censo'!M1316</f>
        <v/>
      </c>
      <c r="J1316" s="14">
        <f>SUM('Empleo Censo'!N1316:AA1316)</f>
        <v/>
      </c>
      <c r="K1316" s="14">
        <f>SUM(C1316:J1316)</f>
        <v/>
      </c>
      <c r="L1316" s="15">
        <f>SUMPRODUCT(C1316:J1316,Factores!$B$3:$I$3)</f>
        <v/>
      </c>
      <c r="M1316" s="16">
        <f>'Empleo Censo'!E1316</f>
        <v/>
      </c>
      <c r="N1316" s="17">
        <f>IF(M1316&gt;0,L1316,Factores!$B$7)</f>
        <v/>
      </c>
      <c r="O1316">
        <f>IF(M1316&gt;0,"OK","sin PEA -&gt; peor")</f>
        <v/>
      </c>
    </row>
    <row r="1317">
      <c r="A1317" t="inlineStr">
        <is>
          <t>080912</t>
        </is>
      </c>
      <c r="B1317" t="inlineStr">
        <is>
          <t>VILLA VIRGEN</t>
        </is>
      </c>
      <c r="C1317" s="14">
        <f>'Empleo Censo'!G1317-'Empleo Censo'!F1317</f>
        <v/>
      </c>
      <c r="D1317" s="14">
        <f>'Empleo Censo'!F1317</f>
        <v/>
      </c>
      <c r="E1317" s="14">
        <f>'Empleo Censo'!H1317</f>
        <v/>
      </c>
      <c r="F1317" s="14">
        <f>'Empleo Censo'!I1317</f>
        <v/>
      </c>
      <c r="G1317" s="14">
        <f>'Empleo Censo'!J1317+'Empleo Censo'!K1317</f>
        <v/>
      </c>
      <c r="H1317" s="14">
        <f>'Empleo Censo'!L1317</f>
        <v/>
      </c>
      <c r="I1317" s="14">
        <f>'Empleo Censo'!M1317</f>
        <v/>
      </c>
      <c r="J1317" s="14">
        <f>SUM('Empleo Censo'!N1317:AA1317)</f>
        <v/>
      </c>
      <c r="K1317" s="14">
        <f>SUM(C1317:J1317)</f>
        <v/>
      </c>
      <c r="L1317" s="15">
        <f>SUMPRODUCT(C1317:J1317,Factores!$B$3:$I$3)</f>
        <v/>
      </c>
      <c r="M1317" s="16">
        <f>'Empleo Censo'!E1317</f>
        <v/>
      </c>
      <c r="N1317" s="17">
        <f>IF(M1317&gt;0,L1317,Factores!$B$7)</f>
        <v/>
      </c>
      <c r="O1317">
        <f>IF(M1317&gt;0,"OK","sin PEA -&gt; peor")</f>
        <v/>
      </c>
    </row>
    <row r="1318">
      <c r="A1318" t="inlineStr">
        <is>
          <t>030502</t>
        </is>
      </c>
      <c r="B1318" t="inlineStr">
        <is>
          <t>COTABAMBAS</t>
        </is>
      </c>
      <c r="C1318" s="14">
        <f>'Empleo Censo'!G1318-'Empleo Censo'!F1318</f>
        <v/>
      </c>
      <c r="D1318" s="14">
        <f>'Empleo Censo'!F1318</f>
        <v/>
      </c>
      <c r="E1318" s="14">
        <f>'Empleo Censo'!H1318</f>
        <v/>
      </c>
      <c r="F1318" s="14">
        <f>'Empleo Censo'!I1318</f>
        <v/>
      </c>
      <c r="G1318" s="14">
        <f>'Empleo Censo'!J1318+'Empleo Censo'!K1318</f>
        <v/>
      </c>
      <c r="H1318" s="14">
        <f>'Empleo Censo'!L1318</f>
        <v/>
      </c>
      <c r="I1318" s="14">
        <f>'Empleo Censo'!M1318</f>
        <v/>
      </c>
      <c r="J1318" s="14">
        <f>SUM('Empleo Censo'!N1318:AA1318)</f>
        <v/>
      </c>
      <c r="K1318" s="14">
        <f>SUM(C1318:J1318)</f>
        <v/>
      </c>
      <c r="L1318" s="15">
        <f>SUMPRODUCT(C1318:J1318,Factores!$B$3:$I$3)</f>
        <v/>
      </c>
      <c r="M1318" s="16">
        <f>'Empleo Censo'!E1318</f>
        <v/>
      </c>
      <c r="N1318" s="17">
        <f>IF(M1318&gt;0,L1318,Factores!$B$7)</f>
        <v/>
      </c>
      <c r="O1318">
        <f>IF(M1318&gt;0,"OK","sin PEA -&gt; peor")</f>
        <v/>
      </c>
    </row>
    <row r="1319">
      <c r="A1319" t="inlineStr">
        <is>
          <t>090603</t>
        </is>
      </c>
      <c r="B1319" t="inlineStr">
        <is>
          <t>CORDOVA</t>
        </is>
      </c>
      <c r="C1319" s="14">
        <f>'Empleo Censo'!G1319-'Empleo Censo'!F1319</f>
        <v/>
      </c>
      <c r="D1319" s="14">
        <f>'Empleo Censo'!F1319</f>
        <v/>
      </c>
      <c r="E1319" s="14">
        <f>'Empleo Censo'!H1319</f>
        <v/>
      </c>
      <c r="F1319" s="14">
        <f>'Empleo Censo'!I1319</f>
        <v/>
      </c>
      <c r="G1319" s="14">
        <f>'Empleo Censo'!J1319+'Empleo Censo'!K1319</f>
        <v/>
      </c>
      <c r="H1319" s="14">
        <f>'Empleo Censo'!L1319</f>
        <v/>
      </c>
      <c r="I1319" s="14">
        <f>'Empleo Censo'!M1319</f>
        <v/>
      </c>
      <c r="J1319" s="14">
        <f>SUM('Empleo Censo'!N1319:AA1319)</f>
        <v/>
      </c>
      <c r="K1319" s="14">
        <f>SUM(C1319:J1319)</f>
        <v/>
      </c>
      <c r="L1319" s="15">
        <f>SUMPRODUCT(C1319:J1319,Factores!$B$3:$I$3)</f>
        <v/>
      </c>
      <c r="M1319" s="16">
        <f>'Empleo Censo'!E1319</f>
        <v/>
      </c>
      <c r="N1319" s="17">
        <f>IF(M1319&gt;0,L1319,Factores!$B$7)</f>
        <v/>
      </c>
      <c r="O1319">
        <f>IF(M1319&gt;0,"OK","sin PEA -&gt; peor")</f>
        <v/>
      </c>
    </row>
    <row r="1320">
      <c r="A1320" t="inlineStr">
        <is>
          <t>060405</t>
        </is>
      </c>
      <c r="B1320" t="inlineStr">
        <is>
          <t>CHIMBAN</t>
        </is>
      </c>
      <c r="C1320" s="14">
        <f>'Empleo Censo'!G1320-'Empleo Censo'!F1320</f>
        <v/>
      </c>
      <c r="D1320" s="14">
        <f>'Empleo Censo'!F1320</f>
        <v/>
      </c>
      <c r="E1320" s="14">
        <f>'Empleo Censo'!H1320</f>
        <v/>
      </c>
      <c r="F1320" s="14">
        <f>'Empleo Censo'!I1320</f>
        <v/>
      </c>
      <c r="G1320" s="14">
        <f>'Empleo Censo'!J1320+'Empleo Censo'!K1320</f>
        <v/>
      </c>
      <c r="H1320" s="14">
        <f>'Empleo Censo'!L1320</f>
        <v/>
      </c>
      <c r="I1320" s="14">
        <f>'Empleo Censo'!M1320</f>
        <v/>
      </c>
      <c r="J1320" s="14">
        <f>SUM('Empleo Censo'!N1320:AA1320)</f>
        <v/>
      </c>
      <c r="K1320" s="14">
        <f>SUM(C1320:J1320)</f>
        <v/>
      </c>
      <c r="L1320" s="15">
        <f>SUMPRODUCT(C1320:J1320,Factores!$B$3:$I$3)</f>
        <v/>
      </c>
      <c r="M1320" s="16">
        <f>'Empleo Censo'!E1320</f>
        <v/>
      </c>
      <c r="N1320" s="17">
        <f>IF(M1320&gt;0,L1320,Factores!$B$7)</f>
        <v/>
      </c>
      <c r="O1320">
        <f>IF(M1320&gt;0,"OK","sin PEA -&gt; peor")</f>
        <v/>
      </c>
    </row>
    <row r="1321">
      <c r="A1321" t="inlineStr">
        <is>
          <t>080904</t>
        </is>
      </c>
      <c r="B1321" t="inlineStr">
        <is>
          <t>MARANURA</t>
        </is>
      </c>
      <c r="C1321" s="14">
        <f>'Empleo Censo'!G1321-'Empleo Censo'!F1321</f>
        <v/>
      </c>
      <c r="D1321" s="14">
        <f>'Empleo Censo'!F1321</f>
        <v/>
      </c>
      <c r="E1321" s="14">
        <f>'Empleo Censo'!H1321</f>
        <v/>
      </c>
      <c r="F1321" s="14">
        <f>'Empleo Censo'!I1321</f>
        <v/>
      </c>
      <c r="G1321" s="14">
        <f>'Empleo Censo'!J1321+'Empleo Censo'!K1321</f>
        <v/>
      </c>
      <c r="H1321" s="14">
        <f>'Empleo Censo'!L1321</f>
        <v/>
      </c>
      <c r="I1321" s="14">
        <f>'Empleo Censo'!M1321</f>
        <v/>
      </c>
      <c r="J1321" s="14">
        <f>SUM('Empleo Censo'!N1321:AA1321)</f>
        <v/>
      </c>
      <c r="K1321" s="14">
        <f>SUM(C1321:J1321)</f>
        <v/>
      </c>
      <c r="L1321" s="15">
        <f>SUMPRODUCT(C1321:J1321,Factores!$B$3:$I$3)</f>
        <v/>
      </c>
      <c r="M1321" s="16">
        <f>'Empleo Censo'!E1321</f>
        <v/>
      </c>
      <c r="N1321" s="17">
        <f>IF(M1321&gt;0,L1321,Factores!$B$7)</f>
        <v/>
      </c>
      <c r="O1321">
        <f>IF(M1321&gt;0,"OK","sin PEA -&gt; peor")</f>
        <v/>
      </c>
    </row>
    <row r="1322">
      <c r="A1322" t="inlineStr">
        <is>
          <t>081204</t>
        </is>
      </c>
      <c r="B1322" t="inlineStr">
        <is>
          <t>CCARHUAYO</t>
        </is>
      </c>
      <c r="C1322" s="14">
        <f>'Empleo Censo'!G1322-'Empleo Censo'!F1322</f>
        <v/>
      </c>
      <c r="D1322" s="14">
        <f>'Empleo Censo'!F1322</f>
        <v/>
      </c>
      <c r="E1322" s="14">
        <f>'Empleo Censo'!H1322</f>
        <v/>
      </c>
      <c r="F1322" s="14">
        <f>'Empleo Censo'!I1322</f>
        <v/>
      </c>
      <c r="G1322" s="14">
        <f>'Empleo Censo'!J1322+'Empleo Censo'!K1322</f>
        <v/>
      </c>
      <c r="H1322" s="14">
        <f>'Empleo Censo'!L1322</f>
        <v/>
      </c>
      <c r="I1322" s="14">
        <f>'Empleo Censo'!M1322</f>
        <v/>
      </c>
      <c r="J1322" s="14">
        <f>SUM('Empleo Censo'!N1322:AA1322)</f>
        <v/>
      </c>
      <c r="K1322" s="14">
        <f>SUM(C1322:J1322)</f>
        <v/>
      </c>
      <c r="L1322" s="15">
        <f>SUMPRODUCT(C1322:J1322,Factores!$B$3:$I$3)</f>
        <v/>
      </c>
      <c r="M1322" s="16">
        <f>'Empleo Censo'!E1322</f>
        <v/>
      </c>
      <c r="N1322" s="17">
        <f>IF(M1322&gt;0,L1322,Factores!$B$7)</f>
        <v/>
      </c>
      <c r="O1322">
        <f>IF(M1322&gt;0,"OK","sin PEA -&gt; peor")</f>
        <v/>
      </c>
    </row>
    <row r="1323">
      <c r="A1323" t="inlineStr">
        <is>
          <t>050906</t>
        </is>
      </c>
      <c r="B1323" t="inlineStr">
        <is>
          <t>MORCOLLA</t>
        </is>
      </c>
      <c r="C1323" s="14">
        <f>'Empleo Censo'!G1323-'Empleo Censo'!F1323</f>
        <v/>
      </c>
      <c r="D1323" s="14">
        <f>'Empleo Censo'!F1323</f>
        <v/>
      </c>
      <c r="E1323" s="14">
        <f>'Empleo Censo'!H1323</f>
        <v/>
      </c>
      <c r="F1323" s="14">
        <f>'Empleo Censo'!I1323</f>
        <v/>
      </c>
      <c r="G1323" s="14">
        <f>'Empleo Censo'!J1323+'Empleo Censo'!K1323</f>
        <v/>
      </c>
      <c r="H1323" s="14">
        <f>'Empleo Censo'!L1323</f>
        <v/>
      </c>
      <c r="I1323" s="14">
        <f>'Empleo Censo'!M1323</f>
        <v/>
      </c>
      <c r="J1323" s="14">
        <f>SUM('Empleo Censo'!N1323:AA1323)</f>
        <v/>
      </c>
      <c r="K1323" s="14">
        <f>SUM(C1323:J1323)</f>
        <v/>
      </c>
      <c r="L1323" s="15">
        <f>SUMPRODUCT(C1323:J1323,Factores!$B$3:$I$3)</f>
        <v/>
      </c>
      <c r="M1323" s="16">
        <f>'Empleo Censo'!E1323</f>
        <v/>
      </c>
      <c r="N1323" s="17">
        <f>IF(M1323&gt;0,L1323,Factores!$B$7)</f>
        <v/>
      </c>
      <c r="O1323">
        <f>IF(M1323&gt;0,"OK","sin PEA -&gt; peor")</f>
        <v/>
      </c>
    </row>
    <row r="1324">
      <c r="A1324" t="inlineStr">
        <is>
          <t>080706</t>
        </is>
      </c>
      <c r="B1324" t="inlineStr">
        <is>
          <t>LLUSCO</t>
        </is>
      </c>
      <c r="C1324" s="14">
        <f>'Empleo Censo'!G1324-'Empleo Censo'!F1324</f>
        <v/>
      </c>
      <c r="D1324" s="14">
        <f>'Empleo Censo'!F1324</f>
        <v/>
      </c>
      <c r="E1324" s="14">
        <f>'Empleo Censo'!H1324</f>
        <v/>
      </c>
      <c r="F1324" s="14">
        <f>'Empleo Censo'!I1324</f>
        <v/>
      </c>
      <c r="G1324" s="14">
        <f>'Empleo Censo'!J1324+'Empleo Censo'!K1324</f>
        <v/>
      </c>
      <c r="H1324" s="14">
        <f>'Empleo Censo'!L1324</f>
        <v/>
      </c>
      <c r="I1324" s="14">
        <f>'Empleo Censo'!M1324</f>
        <v/>
      </c>
      <c r="J1324" s="14">
        <f>SUM('Empleo Censo'!N1324:AA1324)</f>
        <v/>
      </c>
      <c r="K1324" s="14">
        <f>SUM(C1324:J1324)</f>
        <v/>
      </c>
      <c r="L1324" s="15">
        <f>SUMPRODUCT(C1324:J1324,Factores!$B$3:$I$3)</f>
        <v/>
      </c>
      <c r="M1324" s="16">
        <f>'Empleo Censo'!E1324</f>
        <v/>
      </c>
      <c r="N1324" s="17">
        <f>IF(M1324&gt;0,L1324,Factores!$B$7)</f>
        <v/>
      </c>
      <c r="O1324">
        <f>IF(M1324&gt;0,"OK","sin PEA -&gt; peor")</f>
        <v/>
      </c>
    </row>
    <row r="1325">
      <c r="A1325" t="inlineStr">
        <is>
          <t>080916</t>
        </is>
      </c>
      <c r="B1325" t="inlineStr">
        <is>
          <t>CIELO PUNCO</t>
        </is>
      </c>
      <c r="C1325" s="14">
        <f>'Empleo Censo'!G1325-'Empleo Censo'!F1325</f>
        <v/>
      </c>
      <c r="D1325" s="14">
        <f>'Empleo Censo'!F1325</f>
        <v/>
      </c>
      <c r="E1325" s="14">
        <f>'Empleo Censo'!H1325</f>
        <v/>
      </c>
      <c r="F1325" s="14">
        <f>'Empleo Censo'!I1325</f>
        <v/>
      </c>
      <c r="G1325" s="14">
        <f>'Empleo Censo'!J1325+'Empleo Censo'!K1325</f>
        <v/>
      </c>
      <c r="H1325" s="14">
        <f>'Empleo Censo'!L1325</f>
        <v/>
      </c>
      <c r="I1325" s="14">
        <f>'Empleo Censo'!M1325</f>
        <v/>
      </c>
      <c r="J1325" s="14">
        <f>SUM('Empleo Censo'!N1325:AA1325)</f>
        <v/>
      </c>
      <c r="K1325" s="14">
        <f>SUM(C1325:J1325)</f>
        <v/>
      </c>
      <c r="L1325" s="15">
        <f>SUMPRODUCT(C1325:J1325,Factores!$B$3:$I$3)</f>
        <v/>
      </c>
      <c r="M1325" s="16">
        <f>'Empleo Censo'!E1325</f>
        <v/>
      </c>
      <c r="N1325" s="17">
        <f>IF(M1325&gt;0,L1325,Factores!$B$7)</f>
        <v/>
      </c>
      <c r="O1325">
        <f>IF(M1325&gt;0,"OK","sin PEA -&gt; peor")</f>
        <v/>
      </c>
    </row>
    <row r="1326">
      <c r="A1326" t="inlineStr">
        <is>
          <t>010204</t>
        </is>
      </c>
      <c r="B1326" t="inlineStr">
        <is>
          <t>EL PARCO</t>
        </is>
      </c>
      <c r="C1326" s="14">
        <f>'Empleo Censo'!G1326-'Empleo Censo'!F1326</f>
        <v/>
      </c>
      <c r="D1326" s="14">
        <f>'Empleo Censo'!F1326</f>
        <v/>
      </c>
      <c r="E1326" s="14">
        <f>'Empleo Censo'!H1326</f>
        <v/>
      </c>
      <c r="F1326" s="14">
        <f>'Empleo Censo'!I1326</f>
        <v/>
      </c>
      <c r="G1326" s="14">
        <f>'Empleo Censo'!J1326+'Empleo Censo'!K1326</f>
        <v/>
      </c>
      <c r="H1326" s="14">
        <f>'Empleo Censo'!L1326</f>
        <v/>
      </c>
      <c r="I1326" s="14">
        <f>'Empleo Censo'!M1326</f>
        <v/>
      </c>
      <c r="J1326" s="14">
        <f>SUM('Empleo Censo'!N1326:AA1326)</f>
        <v/>
      </c>
      <c r="K1326" s="14">
        <f>SUM(C1326:J1326)</f>
        <v/>
      </c>
      <c r="L1326" s="15">
        <f>SUMPRODUCT(C1326:J1326,Factores!$B$3:$I$3)</f>
        <v/>
      </c>
      <c r="M1326" s="16">
        <f>'Empleo Censo'!E1326</f>
        <v/>
      </c>
      <c r="N1326" s="17">
        <f>IF(M1326&gt;0,L1326,Factores!$B$7)</f>
        <v/>
      </c>
      <c r="O1326">
        <f>IF(M1326&gt;0,"OK","sin PEA -&gt; peor")</f>
        <v/>
      </c>
    </row>
    <row r="1327">
      <c r="A1327" t="inlineStr">
        <is>
          <t>020201</t>
        </is>
      </c>
      <c r="B1327" t="inlineStr">
        <is>
          <t>AIJA</t>
        </is>
      </c>
      <c r="C1327" s="14">
        <f>'Empleo Censo'!G1327-'Empleo Censo'!F1327</f>
        <v/>
      </c>
      <c r="D1327" s="14">
        <f>'Empleo Censo'!F1327</f>
        <v/>
      </c>
      <c r="E1327" s="14">
        <f>'Empleo Censo'!H1327</f>
        <v/>
      </c>
      <c r="F1327" s="14">
        <f>'Empleo Censo'!I1327</f>
        <v/>
      </c>
      <c r="G1327" s="14">
        <f>'Empleo Censo'!J1327+'Empleo Censo'!K1327</f>
        <v/>
      </c>
      <c r="H1327" s="14">
        <f>'Empleo Censo'!L1327</f>
        <v/>
      </c>
      <c r="I1327" s="14">
        <f>'Empleo Censo'!M1327</f>
        <v/>
      </c>
      <c r="J1327" s="14">
        <f>SUM('Empleo Censo'!N1327:AA1327)</f>
        <v/>
      </c>
      <c r="K1327" s="14">
        <f>SUM(C1327:J1327)</f>
        <v/>
      </c>
      <c r="L1327" s="15">
        <f>SUMPRODUCT(C1327:J1327,Factores!$B$3:$I$3)</f>
        <v/>
      </c>
      <c r="M1327" s="16">
        <f>'Empleo Censo'!E1327</f>
        <v/>
      </c>
      <c r="N1327" s="17">
        <f>IF(M1327&gt;0,L1327,Factores!$B$7)</f>
        <v/>
      </c>
      <c r="O1327">
        <f>IF(M1327&gt;0,"OK","sin PEA -&gt; peor")</f>
        <v/>
      </c>
    </row>
    <row r="1328">
      <c r="A1328" t="inlineStr">
        <is>
          <t>021202</t>
        </is>
      </c>
      <c r="B1328" t="inlineStr">
        <is>
          <t>HUALLANCA</t>
        </is>
      </c>
      <c r="C1328" s="14">
        <f>'Empleo Censo'!G1328-'Empleo Censo'!F1328</f>
        <v/>
      </c>
      <c r="D1328" s="14">
        <f>'Empleo Censo'!F1328</f>
        <v/>
      </c>
      <c r="E1328" s="14">
        <f>'Empleo Censo'!H1328</f>
        <v/>
      </c>
      <c r="F1328" s="14">
        <f>'Empleo Censo'!I1328</f>
        <v/>
      </c>
      <c r="G1328" s="14">
        <f>'Empleo Censo'!J1328+'Empleo Censo'!K1328</f>
        <v/>
      </c>
      <c r="H1328" s="14">
        <f>'Empleo Censo'!L1328</f>
        <v/>
      </c>
      <c r="I1328" s="14">
        <f>'Empleo Censo'!M1328</f>
        <v/>
      </c>
      <c r="J1328" s="14">
        <f>SUM('Empleo Censo'!N1328:AA1328)</f>
        <v/>
      </c>
      <c r="K1328" s="14">
        <f>SUM(C1328:J1328)</f>
        <v/>
      </c>
      <c r="L1328" s="15">
        <f>SUMPRODUCT(C1328:J1328,Factores!$B$3:$I$3)</f>
        <v/>
      </c>
      <c r="M1328" s="16">
        <f>'Empleo Censo'!E1328</f>
        <v/>
      </c>
      <c r="N1328" s="17">
        <f>IF(M1328&gt;0,L1328,Factores!$B$7)</f>
        <v/>
      </c>
      <c r="O1328">
        <f>IF(M1328&gt;0,"OK","sin PEA -&gt; peor")</f>
        <v/>
      </c>
    </row>
    <row r="1329">
      <c r="A1329" t="inlineStr">
        <is>
          <t>060614</t>
        </is>
      </c>
      <c r="B1329" t="inlineStr">
        <is>
          <t>SOCOTA</t>
        </is>
      </c>
      <c r="C1329" s="14">
        <f>'Empleo Censo'!G1329-'Empleo Censo'!F1329</f>
        <v/>
      </c>
      <c r="D1329" s="14">
        <f>'Empleo Censo'!F1329</f>
        <v/>
      </c>
      <c r="E1329" s="14">
        <f>'Empleo Censo'!H1329</f>
        <v/>
      </c>
      <c r="F1329" s="14">
        <f>'Empleo Censo'!I1329</f>
        <v/>
      </c>
      <c r="G1329" s="14">
        <f>'Empleo Censo'!J1329+'Empleo Censo'!K1329</f>
        <v/>
      </c>
      <c r="H1329" s="14">
        <f>'Empleo Censo'!L1329</f>
        <v/>
      </c>
      <c r="I1329" s="14">
        <f>'Empleo Censo'!M1329</f>
        <v/>
      </c>
      <c r="J1329" s="14">
        <f>SUM('Empleo Censo'!N1329:AA1329)</f>
        <v/>
      </c>
      <c r="K1329" s="14">
        <f>SUM(C1329:J1329)</f>
        <v/>
      </c>
      <c r="L1329" s="15">
        <f>SUMPRODUCT(C1329:J1329,Factores!$B$3:$I$3)</f>
        <v/>
      </c>
      <c r="M1329" s="16">
        <f>'Empleo Censo'!E1329</f>
        <v/>
      </c>
      <c r="N1329" s="17">
        <f>IF(M1329&gt;0,L1329,Factores!$B$7)</f>
        <v/>
      </c>
      <c r="O1329">
        <f>IF(M1329&gt;0,"OK","sin PEA -&gt; peor")</f>
        <v/>
      </c>
    </row>
    <row r="1330">
      <c r="A1330" t="inlineStr">
        <is>
          <t>010513</t>
        </is>
      </c>
      <c r="B1330" t="inlineStr">
        <is>
          <t>OCUMAL</t>
        </is>
      </c>
      <c r="C1330" s="14">
        <f>'Empleo Censo'!G1330-'Empleo Censo'!F1330</f>
        <v/>
      </c>
      <c r="D1330" s="14">
        <f>'Empleo Censo'!F1330</f>
        <v/>
      </c>
      <c r="E1330" s="14">
        <f>'Empleo Censo'!H1330</f>
        <v/>
      </c>
      <c r="F1330" s="14">
        <f>'Empleo Censo'!I1330</f>
        <v/>
      </c>
      <c r="G1330" s="14">
        <f>'Empleo Censo'!J1330+'Empleo Censo'!K1330</f>
        <v/>
      </c>
      <c r="H1330" s="14">
        <f>'Empleo Censo'!L1330</f>
        <v/>
      </c>
      <c r="I1330" s="14">
        <f>'Empleo Censo'!M1330</f>
        <v/>
      </c>
      <c r="J1330" s="14">
        <f>SUM('Empleo Censo'!N1330:AA1330)</f>
        <v/>
      </c>
      <c r="K1330" s="14">
        <f>SUM(C1330:J1330)</f>
        <v/>
      </c>
      <c r="L1330" s="15">
        <f>SUMPRODUCT(C1330:J1330,Factores!$B$3:$I$3)</f>
        <v/>
      </c>
      <c r="M1330" s="16">
        <f>'Empleo Censo'!E1330</f>
        <v/>
      </c>
      <c r="N1330" s="17">
        <f>IF(M1330&gt;0,L1330,Factores!$B$7)</f>
        <v/>
      </c>
      <c r="O1330">
        <f>IF(M1330&gt;0,"OK","sin PEA -&gt; peor")</f>
        <v/>
      </c>
    </row>
    <row r="1331">
      <c r="A1331" t="inlineStr">
        <is>
          <t>061107</t>
        </is>
      </c>
      <c r="B1331" t="inlineStr">
        <is>
          <t>LLAPA</t>
        </is>
      </c>
      <c r="C1331" s="14">
        <f>'Empleo Censo'!G1331-'Empleo Censo'!F1331</f>
        <v/>
      </c>
      <c r="D1331" s="14">
        <f>'Empleo Censo'!F1331</f>
        <v/>
      </c>
      <c r="E1331" s="14">
        <f>'Empleo Censo'!H1331</f>
        <v/>
      </c>
      <c r="F1331" s="14">
        <f>'Empleo Censo'!I1331</f>
        <v/>
      </c>
      <c r="G1331" s="14">
        <f>'Empleo Censo'!J1331+'Empleo Censo'!K1331</f>
        <v/>
      </c>
      <c r="H1331" s="14">
        <f>'Empleo Censo'!L1331</f>
        <v/>
      </c>
      <c r="I1331" s="14">
        <f>'Empleo Censo'!M1331</f>
        <v/>
      </c>
      <c r="J1331" s="14">
        <f>SUM('Empleo Censo'!N1331:AA1331)</f>
        <v/>
      </c>
      <c r="K1331" s="14">
        <f>SUM(C1331:J1331)</f>
        <v/>
      </c>
      <c r="L1331" s="15">
        <f>SUMPRODUCT(C1331:J1331,Factores!$B$3:$I$3)</f>
        <v/>
      </c>
      <c r="M1331" s="16">
        <f>'Empleo Censo'!E1331</f>
        <v/>
      </c>
      <c r="N1331" s="17">
        <f>IF(M1331&gt;0,L1331,Factores!$B$7)</f>
        <v/>
      </c>
      <c r="O1331">
        <f>IF(M1331&gt;0,"OK","sin PEA -&gt; peor")</f>
        <v/>
      </c>
    </row>
    <row r="1332">
      <c r="A1332" t="inlineStr">
        <is>
          <t>050804</t>
        </is>
      </c>
      <c r="B1332" t="inlineStr">
        <is>
          <t>LAMPA</t>
        </is>
      </c>
      <c r="C1332" s="14">
        <f>'Empleo Censo'!G1332-'Empleo Censo'!F1332</f>
        <v/>
      </c>
      <c r="D1332" s="14">
        <f>'Empleo Censo'!F1332</f>
        <v/>
      </c>
      <c r="E1332" s="14">
        <f>'Empleo Censo'!H1332</f>
        <v/>
      </c>
      <c r="F1332" s="14">
        <f>'Empleo Censo'!I1332</f>
        <v/>
      </c>
      <c r="G1332" s="14">
        <f>'Empleo Censo'!J1332+'Empleo Censo'!K1332</f>
        <v/>
      </c>
      <c r="H1332" s="14">
        <f>'Empleo Censo'!L1332</f>
        <v/>
      </c>
      <c r="I1332" s="14">
        <f>'Empleo Censo'!M1332</f>
        <v/>
      </c>
      <c r="J1332" s="14">
        <f>SUM('Empleo Censo'!N1332:AA1332)</f>
        <v/>
      </c>
      <c r="K1332" s="14">
        <f>SUM(C1332:J1332)</f>
        <v/>
      </c>
      <c r="L1332" s="15">
        <f>SUMPRODUCT(C1332:J1332,Factores!$B$3:$I$3)</f>
        <v/>
      </c>
      <c r="M1332" s="16">
        <f>'Empleo Censo'!E1332</f>
        <v/>
      </c>
      <c r="N1332" s="17">
        <f>IF(M1332&gt;0,L1332,Factores!$B$7)</f>
        <v/>
      </c>
      <c r="O1332">
        <f>IF(M1332&gt;0,"OK","sin PEA -&gt; peor")</f>
        <v/>
      </c>
    </row>
    <row r="1333">
      <c r="A1333" t="inlineStr">
        <is>
          <t>060108</t>
        </is>
      </c>
      <c r="B1333" t="inlineStr">
        <is>
          <t>LOS BAÑOS DEL INCA</t>
        </is>
      </c>
      <c r="C1333" s="14">
        <f>'Empleo Censo'!G1333-'Empleo Censo'!F1333</f>
        <v/>
      </c>
      <c r="D1333" s="14">
        <f>'Empleo Censo'!F1333</f>
        <v/>
      </c>
      <c r="E1333" s="14">
        <f>'Empleo Censo'!H1333</f>
        <v/>
      </c>
      <c r="F1333" s="14">
        <f>'Empleo Censo'!I1333</f>
        <v/>
      </c>
      <c r="G1333" s="14">
        <f>'Empleo Censo'!J1333+'Empleo Censo'!K1333</f>
        <v/>
      </c>
      <c r="H1333" s="14">
        <f>'Empleo Censo'!L1333</f>
        <v/>
      </c>
      <c r="I1333" s="14">
        <f>'Empleo Censo'!M1333</f>
        <v/>
      </c>
      <c r="J1333" s="14">
        <f>SUM('Empleo Censo'!N1333:AA1333)</f>
        <v/>
      </c>
      <c r="K1333" s="14">
        <f>SUM(C1333:J1333)</f>
        <v/>
      </c>
      <c r="L1333" s="15">
        <f>SUMPRODUCT(C1333:J1333,Factores!$B$3:$I$3)</f>
        <v/>
      </c>
      <c r="M1333" s="16">
        <f>'Empleo Censo'!E1333</f>
        <v/>
      </c>
      <c r="N1333" s="17">
        <f>IF(M1333&gt;0,L1333,Factores!$B$7)</f>
        <v/>
      </c>
      <c r="O1333">
        <f>IF(M1333&gt;0,"OK","sin PEA -&gt; peor")</f>
        <v/>
      </c>
    </row>
    <row r="1334">
      <c r="A1334" t="inlineStr">
        <is>
          <t>060508</t>
        </is>
      </c>
      <c r="B1334" t="inlineStr">
        <is>
          <t>YONAN</t>
        </is>
      </c>
      <c r="C1334" s="14">
        <f>'Empleo Censo'!G1334-'Empleo Censo'!F1334</f>
        <v/>
      </c>
      <c r="D1334" s="14">
        <f>'Empleo Censo'!F1334</f>
        <v/>
      </c>
      <c r="E1334" s="14">
        <f>'Empleo Censo'!H1334</f>
        <v/>
      </c>
      <c r="F1334" s="14">
        <f>'Empleo Censo'!I1334</f>
        <v/>
      </c>
      <c r="G1334" s="14">
        <f>'Empleo Censo'!J1334+'Empleo Censo'!K1334</f>
        <v/>
      </c>
      <c r="H1334" s="14">
        <f>'Empleo Censo'!L1334</f>
        <v/>
      </c>
      <c r="I1334" s="14">
        <f>'Empleo Censo'!M1334</f>
        <v/>
      </c>
      <c r="J1334" s="14">
        <f>SUM('Empleo Censo'!N1334:AA1334)</f>
        <v/>
      </c>
      <c r="K1334" s="14">
        <f>SUM(C1334:J1334)</f>
        <v/>
      </c>
      <c r="L1334" s="15">
        <f>SUMPRODUCT(C1334:J1334,Factores!$B$3:$I$3)</f>
        <v/>
      </c>
      <c r="M1334" s="16">
        <f>'Empleo Censo'!E1334</f>
        <v/>
      </c>
      <c r="N1334" s="17">
        <f>IF(M1334&gt;0,L1334,Factores!$B$7)</f>
        <v/>
      </c>
      <c r="O1334">
        <f>IF(M1334&gt;0,"OK","sin PEA -&gt; peor")</f>
        <v/>
      </c>
    </row>
    <row r="1335">
      <c r="A1335" t="inlineStr">
        <is>
          <t>021503</t>
        </is>
      </c>
      <c r="B1335" t="inlineStr">
        <is>
          <t>CONCHUCOS</t>
        </is>
      </c>
      <c r="C1335" s="14">
        <f>'Empleo Censo'!G1335-'Empleo Censo'!F1335</f>
        <v/>
      </c>
      <c r="D1335" s="14">
        <f>'Empleo Censo'!F1335</f>
        <v/>
      </c>
      <c r="E1335" s="14">
        <f>'Empleo Censo'!H1335</f>
        <v/>
      </c>
      <c r="F1335" s="14">
        <f>'Empleo Censo'!I1335</f>
        <v/>
      </c>
      <c r="G1335" s="14">
        <f>'Empleo Censo'!J1335+'Empleo Censo'!K1335</f>
        <v/>
      </c>
      <c r="H1335" s="14">
        <f>'Empleo Censo'!L1335</f>
        <v/>
      </c>
      <c r="I1335" s="14">
        <f>'Empleo Censo'!M1335</f>
        <v/>
      </c>
      <c r="J1335" s="14">
        <f>SUM('Empleo Censo'!N1335:AA1335)</f>
        <v/>
      </c>
      <c r="K1335" s="14">
        <f>SUM(C1335:J1335)</f>
        <v/>
      </c>
      <c r="L1335" s="15">
        <f>SUMPRODUCT(C1335:J1335,Factores!$B$3:$I$3)</f>
        <v/>
      </c>
      <c r="M1335" s="16">
        <f>'Empleo Censo'!E1335</f>
        <v/>
      </c>
      <c r="N1335" s="17">
        <f>IF(M1335&gt;0,L1335,Factores!$B$7)</f>
        <v/>
      </c>
      <c r="O1335">
        <f>IF(M1335&gt;0,"OK","sin PEA -&gt; peor")</f>
        <v/>
      </c>
    </row>
    <row r="1336">
      <c r="A1336" t="inlineStr">
        <is>
          <t>020515</t>
        </is>
      </c>
      <c r="B1336" t="inlineStr">
        <is>
          <t>TICLLOS</t>
        </is>
      </c>
      <c r="C1336" s="14">
        <f>'Empleo Censo'!G1336-'Empleo Censo'!F1336</f>
        <v/>
      </c>
      <c r="D1336" s="14">
        <f>'Empleo Censo'!F1336</f>
        <v/>
      </c>
      <c r="E1336" s="14">
        <f>'Empleo Censo'!H1336</f>
        <v/>
      </c>
      <c r="F1336" s="14">
        <f>'Empleo Censo'!I1336</f>
        <v/>
      </c>
      <c r="G1336" s="14">
        <f>'Empleo Censo'!J1336+'Empleo Censo'!K1336</f>
        <v/>
      </c>
      <c r="H1336" s="14">
        <f>'Empleo Censo'!L1336</f>
        <v/>
      </c>
      <c r="I1336" s="14">
        <f>'Empleo Censo'!M1336</f>
        <v/>
      </c>
      <c r="J1336" s="14">
        <f>SUM('Empleo Censo'!N1336:AA1336)</f>
        <v/>
      </c>
      <c r="K1336" s="14">
        <f>SUM(C1336:J1336)</f>
        <v/>
      </c>
      <c r="L1336" s="15">
        <f>SUMPRODUCT(C1336:J1336,Factores!$B$3:$I$3)</f>
        <v/>
      </c>
      <c r="M1336" s="16">
        <f>'Empleo Censo'!E1336</f>
        <v/>
      </c>
      <c r="N1336" s="17">
        <f>IF(M1336&gt;0,L1336,Factores!$B$7)</f>
        <v/>
      </c>
      <c r="O1336">
        <f>IF(M1336&gt;0,"OK","sin PEA -&gt; peor")</f>
        <v/>
      </c>
    </row>
    <row r="1337">
      <c r="A1337" t="inlineStr">
        <is>
          <t>050803</t>
        </is>
      </c>
      <c r="B1337" t="inlineStr">
        <is>
          <t>CORCULLA</t>
        </is>
      </c>
      <c r="C1337" s="14">
        <f>'Empleo Censo'!G1337-'Empleo Censo'!F1337</f>
        <v/>
      </c>
      <c r="D1337" s="14">
        <f>'Empleo Censo'!F1337</f>
        <v/>
      </c>
      <c r="E1337" s="14">
        <f>'Empleo Censo'!H1337</f>
        <v/>
      </c>
      <c r="F1337" s="14">
        <f>'Empleo Censo'!I1337</f>
        <v/>
      </c>
      <c r="G1337" s="14">
        <f>'Empleo Censo'!J1337+'Empleo Censo'!K1337</f>
        <v/>
      </c>
      <c r="H1337" s="14">
        <f>'Empleo Censo'!L1337</f>
        <v/>
      </c>
      <c r="I1337" s="14">
        <f>'Empleo Censo'!M1337</f>
        <v/>
      </c>
      <c r="J1337" s="14">
        <f>SUM('Empleo Censo'!N1337:AA1337)</f>
        <v/>
      </c>
      <c r="K1337" s="14">
        <f>SUM(C1337:J1337)</f>
        <v/>
      </c>
      <c r="L1337" s="15">
        <f>SUMPRODUCT(C1337:J1337,Factores!$B$3:$I$3)</f>
        <v/>
      </c>
      <c r="M1337" s="16">
        <f>'Empleo Censo'!E1337</f>
        <v/>
      </c>
      <c r="N1337" s="17">
        <f>IF(M1337&gt;0,L1337,Factores!$B$7)</f>
        <v/>
      </c>
      <c r="O1337">
        <f>IF(M1337&gt;0,"OK","sin PEA -&gt; peor")</f>
        <v/>
      </c>
    </row>
    <row r="1338">
      <c r="A1338" t="inlineStr">
        <is>
          <t>030305</t>
        </is>
      </c>
      <c r="B1338" t="inlineStr">
        <is>
          <t>OROPESA</t>
        </is>
      </c>
      <c r="C1338" s="14">
        <f>'Empleo Censo'!G1338-'Empleo Censo'!F1338</f>
        <v/>
      </c>
      <c r="D1338" s="14">
        <f>'Empleo Censo'!F1338</f>
        <v/>
      </c>
      <c r="E1338" s="14">
        <f>'Empleo Censo'!H1338</f>
        <v/>
      </c>
      <c r="F1338" s="14">
        <f>'Empleo Censo'!I1338</f>
        <v/>
      </c>
      <c r="G1338" s="14">
        <f>'Empleo Censo'!J1338+'Empleo Censo'!K1338</f>
        <v/>
      </c>
      <c r="H1338" s="14">
        <f>'Empleo Censo'!L1338</f>
        <v/>
      </c>
      <c r="I1338" s="14">
        <f>'Empleo Censo'!M1338</f>
        <v/>
      </c>
      <c r="J1338" s="14">
        <f>SUM('Empleo Censo'!N1338:AA1338)</f>
        <v/>
      </c>
      <c r="K1338" s="14">
        <f>SUM(C1338:J1338)</f>
        <v/>
      </c>
      <c r="L1338" s="15">
        <f>SUMPRODUCT(C1338:J1338,Factores!$B$3:$I$3)</f>
        <v/>
      </c>
      <c r="M1338" s="16">
        <f>'Empleo Censo'!E1338</f>
        <v/>
      </c>
      <c r="N1338" s="17">
        <f>IF(M1338&gt;0,L1338,Factores!$B$7)</f>
        <v/>
      </c>
      <c r="O1338">
        <f>IF(M1338&gt;0,"OK","sin PEA -&gt; peor")</f>
        <v/>
      </c>
    </row>
    <row r="1339">
      <c r="A1339" t="inlineStr">
        <is>
          <t>030609</t>
        </is>
      </c>
      <c r="B1339" t="inlineStr">
        <is>
          <t>ROCCHACC</t>
        </is>
      </c>
      <c r="C1339" s="14">
        <f>'Empleo Censo'!G1339-'Empleo Censo'!F1339</f>
        <v/>
      </c>
      <c r="D1339" s="14">
        <f>'Empleo Censo'!F1339</f>
        <v/>
      </c>
      <c r="E1339" s="14">
        <f>'Empleo Censo'!H1339</f>
        <v/>
      </c>
      <c r="F1339" s="14">
        <f>'Empleo Censo'!I1339</f>
        <v/>
      </c>
      <c r="G1339" s="14">
        <f>'Empleo Censo'!J1339+'Empleo Censo'!K1339</f>
        <v/>
      </c>
      <c r="H1339" s="14">
        <f>'Empleo Censo'!L1339</f>
        <v/>
      </c>
      <c r="I1339" s="14">
        <f>'Empleo Censo'!M1339</f>
        <v/>
      </c>
      <c r="J1339" s="14">
        <f>SUM('Empleo Censo'!N1339:AA1339)</f>
        <v/>
      </c>
      <c r="K1339" s="14">
        <f>SUM(C1339:J1339)</f>
        <v/>
      </c>
      <c r="L1339" s="15">
        <f>SUMPRODUCT(C1339:J1339,Factores!$B$3:$I$3)</f>
        <v/>
      </c>
      <c r="M1339" s="16">
        <f>'Empleo Censo'!E1339</f>
        <v/>
      </c>
      <c r="N1339" s="17">
        <f>IF(M1339&gt;0,L1339,Factores!$B$7)</f>
        <v/>
      </c>
      <c r="O1339">
        <f>IF(M1339&gt;0,"OK","sin PEA -&gt; peor")</f>
        <v/>
      </c>
    </row>
    <row r="1340">
      <c r="A1340" t="inlineStr">
        <is>
          <t>010110</t>
        </is>
      </c>
      <c r="B1340" t="inlineStr">
        <is>
          <t>LEIMEBAMBA</t>
        </is>
      </c>
      <c r="C1340" s="14">
        <f>'Empleo Censo'!G1340-'Empleo Censo'!F1340</f>
        <v/>
      </c>
      <c r="D1340" s="14">
        <f>'Empleo Censo'!F1340</f>
        <v/>
      </c>
      <c r="E1340" s="14">
        <f>'Empleo Censo'!H1340</f>
        <v/>
      </c>
      <c r="F1340" s="14">
        <f>'Empleo Censo'!I1340</f>
        <v/>
      </c>
      <c r="G1340" s="14">
        <f>'Empleo Censo'!J1340+'Empleo Censo'!K1340</f>
        <v/>
      </c>
      <c r="H1340" s="14">
        <f>'Empleo Censo'!L1340</f>
        <v/>
      </c>
      <c r="I1340" s="14">
        <f>'Empleo Censo'!M1340</f>
        <v/>
      </c>
      <c r="J1340" s="14">
        <f>SUM('Empleo Censo'!N1340:AA1340)</f>
        <v/>
      </c>
      <c r="K1340" s="14">
        <f>SUM(C1340:J1340)</f>
        <v/>
      </c>
      <c r="L1340" s="15">
        <f>SUMPRODUCT(C1340:J1340,Factores!$B$3:$I$3)</f>
        <v/>
      </c>
      <c r="M1340" s="16">
        <f>'Empleo Censo'!E1340</f>
        <v/>
      </c>
      <c r="N1340" s="17">
        <f>IF(M1340&gt;0,L1340,Factores!$B$7)</f>
        <v/>
      </c>
      <c r="O1340">
        <f>IF(M1340&gt;0,"OK","sin PEA -&gt; peor")</f>
        <v/>
      </c>
    </row>
    <row r="1341">
      <c r="A1341" t="inlineStr">
        <is>
          <t>050704</t>
        </is>
      </c>
      <c r="B1341" t="inlineStr">
        <is>
          <t>PACAPAUSA</t>
        </is>
      </c>
      <c r="C1341" s="14">
        <f>'Empleo Censo'!G1341-'Empleo Censo'!F1341</f>
        <v/>
      </c>
      <c r="D1341" s="14">
        <f>'Empleo Censo'!F1341</f>
        <v/>
      </c>
      <c r="E1341" s="14">
        <f>'Empleo Censo'!H1341</f>
        <v/>
      </c>
      <c r="F1341" s="14">
        <f>'Empleo Censo'!I1341</f>
        <v/>
      </c>
      <c r="G1341" s="14">
        <f>'Empleo Censo'!J1341+'Empleo Censo'!K1341</f>
        <v/>
      </c>
      <c r="H1341" s="14">
        <f>'Empleo Censo'!L1341</f>
        <v/>
      </c>
      <c r="I1341" s="14">
        <f>'Empleo Censo'!M1341</f>
        <v/>
      </c>
      <c r="J1341" s="14">
        <f>SUM('Empleo Censo'!N1341:AA1341)</f>
        <v/>
      </c>
      <c r="K1341" s="14">
        <f>SUM(C1341:J1341)</f>
        <v/>
      </c>
      <c r="L1341" s="15">
        <f>SUMPRODUCT(C1341:J1341,Factores!$B$3:$I$3)</f>
        <v/>
      </c>
      <c r="M1341" s="16">
        <f>'Empleo Censo'!E1341</f>
        <v/>
      </c>
      <c r="N1341" s="17">
        <f>IF(M1341&gt;0,L1341,Factores!$B$7)</f>
        <v/>
      </c>
      <c r="O1341">
        <f>IF(M1341&gt;0,"OK","sin PEA -&gt; peor")</f>
        <v/>
      </c>
    </row>
    <row r="1342">
      <c r="A1342" t="inlineStr">
        <is>
          <t>060610</t>
        </is>
      </c>
      <c r="B1342" t="inlineStr">
        <is>
          <t>SAN LUIS DE LUCMA</t>
        </is>
      </c>
      <c r="C1342" s="14">
        <f>'Empleo Censo'!G1342-'Empleo Censo'!F1342</f>
        <v/>
      </c>
      <c r="D1342" s="14">
        <f>'Empleo Censo'!F1342</f>
        <v/>
      </c>
      <c r="E1342" s="14">
        <f>'Empleo Censo'!H1342</f>
        <v/>
      </c>
      <c r="F1342" s="14">
        <f>'Empleo Censo'!I1342</f>
        <v/>
      </c>
      <c r="G1342" s="14">
        <f>'Empleo Censo'!J1342+'Empleo Censo'!K1342</f>
        <v/>
      </c>
      <c r="H1342" s="14">
        <f>'Empleo Censo'!L1342</f>
        <v/>
      </c>
      <c r="I1342" s="14">
        <f>'Empleo Censo'!M1342</f>
        <v/>
      </c>
      <c r="J1342" s="14">
        <f>SUM('Empleo Censo'!N1342:AA1342)</f>
        <v/>
      </c>
      <c r="K1342" s="14">
        <f>SUM(C1342:J1342)</f>
        <v/>
      </c>
      <c r="L1342" s="15">
        <f>SUMPRODUCT(C1342:J1342,Factores!$B$3:$I$3)</f>
        <v/>
      </c>
      <c r="M1342" s="16">
        <f>'Empleo Censo'!E1342</f>
        <v/>
      </c>
      <c r="N1342" s="17">
        <f>IF(M1342&gt;0,L1342,Factores!$B$7)</f>
        <v/>
      </c>
      <c r="O1342">
        <f>IF(M1342&gt;0,"OK","sin PEA -&gt; peor")</f>
        <v/>
      </c>
    </row>
    <row r="1343">
      <c r="A1343" t="inlineStr">
        <is>
          <t>010114</t>
        </is>
      </c>
      <c r="B1343" t="inlineStr">
        <is>
          <t>MOLINOPAMPA</t>
        </is>
      </c>
      <c r="C1343" s="14">
        <f>'Empleo Censo'!G1343-'Empleo Censo'!F1343</f>
        <v/>
      </c>
      <c r="D1343" s="14">
        <f>'Empleo Censo'!F1343</f>
        <v/>
      </c>
      <c r="E1343" s="14">
        <f>'Empleo Censo'!H1343</f>
        <v/>
      </c>
      <c r="F1343" s="14">
        <f>'Empleo Censo'!I1343</f>
        <v/>
      </c>
      <c r="G1343" s="14">
        <f>'Empleo Censo'!J1343+'Empleo Censo'!K1343</f>
        <v/>
      </c>
      <c r="H1343" s="14">
        <f>'Empleo Censo'!L1343</f>
        <v/>
      </c>
      <c r="I1343" s="14">
        <f>'Empleo Censo'!M1343</f>
        <v/>
      </c>
      <c r="J1343" s="14">
        <f>SUM('Empleo Censo'!N1343:AA1343)</f>
        <v/>
      </c>
      <c r="K1343" s="14">
        <f>SUM(C1343:J1343)</f>
        <v/>
      </c>
      <c r="L1343" s="15">
        <f>SUMPRODUCT(C1343:J1343,Factores!$B$3:$I$3)</f>
        <v/>
      </c>
      <c r="M1343" s="16">
        <f>'Empleo Censo'!E1343</f>
        <v/>
      </c>
      <c r="N1343" s="17">
        <f>IF(M1343&gt;0,L1343,Factores!$B$7)</f>
        <v/>
      </c>
      <c r="O1343">
        <f>IF(M1343&gt;0,"OK","sin PEA -&gt; peor")</f>
        <v/>
      </c>
    </row>
    <row r="1344">
      <c r="A1344" t="inlineStr">
        <is>
          <t>010508</t>
        </is>
      </c>
      <c r="B1344" t="inlineStr">
        <is>
          <t>LONYA CHICO</t>
        </is>
      </c>
      <c r="C1344" s="14">
        <f>'Empleo Censo'!G1344-'Empleo Censo'!F1344</f>
        <v/>
      </c>
      <c r="D1344" s="14">
        <f>'Empleo Censo'!F1344</f>
        <v/>
      </c>
      <c r="E1344" s="14">
        <f>'Empleo Censo'!H1344</f>
        <v/>
      </c>
      <c r="F1344" s="14">
        <f>'Empleo Censo'!I1344</f>
        <v/>
      </c>
      <c r="G1344" s="14">
        <f>'Empleo Censo'!J1344+'Empleo Censo'!K1344</f>
        <v/>
      </c>
      <c r="H1344" s="14">
        <f>'Empleo Censo'!L1344</f>
        <v/>
      </c>
      <c r="I1344" s="14">
        <f>'Empleo Censo'!M1344</f>
        <v/>
      </c>
      <c r="J1344" s="14">
        <f>SUM('Empleo Censo'!N1344:AA1344)</f>
        <v/>
      </c>
      <c r="K1344" s="14">
        <f>SUM(C1344:J1344)</f>
        <v/>
      </c>
      <c r="L1344" s="15">
        <f>SUMPRODUCT(C1344:J1344,Factores!$B$3:$I$3)</f>
        <v/>
      </c>
      <c r="M1344" s="16">
        <f>'Empleo Censo'!E1344</f>
        <v/>
      </c>
      <c r="N1344" s="17">
        <f>IF(M1344&gt;0,L1344,Factores!$B$7)</f>
        <v/>
      </c>
      <c r="O1344">
        <f>IF(M1344&gt;0,"OK","sin PEA -&gt; peor")</f>
        <v/>
      </c>
    </row>
    <row r="1345">
      <c r="A1345" t="inlineStr">
        <is>
          <t>060404</t>
        </is>
      </c>
      <c r="B1345" t="inlineStr">
        <is>
          <t>CHIGUIRIP</t>
        </is>
      </c>
      <c r="C1345" s="14">
        <f>'Empleo Censo'!G1345-'Empleo Censo'!F1345</f>
        <v/>
      </c>
      <c r="D1345" s="14">
        <f>'Empleo Censo'!F1345</f>
        <v/>
      </c>
      <c r="E1345" s="14">
        <f>'Empleo Censo'!H1345</f>
        <v/>
      </c>
      <c r="F1345" s="14">
        <f>'Empleo Censo'!I1345</f>
        <v/>
      </c>
      <c r="G1345" s="14">
        <f>'Empleo Censo'!J1345+'Empleo Censo'!K1345</f>
        <v/>
      </c>
      <c r="H1345" s="14">
        <f>'Empleo Censo'!L1345</f>
        <v/>
      </c>
      <c r="I1345" s="14">
        <f>'Empleo Censo'!M1345</f>
        <v/>
      </c>
      <c r="J1345" s="14">
        <f>SUM('Empleo Censo'!N1345:AA1345)</f>
        <v/>
      </c>
      <c r="K1345" s="14">
        <f>SUM(C1345:J1345)</f>
        <v/>
      </c>
      <c r="L1345" s="15">
        <f>SUMPRODUCT(C1345:J1345,Factores!$B$3:$I$3)</f>
        <v/>
      </c>
      <c r="M1345" s="16">
        <f>'Empleo Censo'!E1345</f>
        <v/>
      </c>
      <c r="N1345" s="17">
        <f>IF(M1345&gt;0,L1345,Factores!$B$7)</f>
        <v/>
      </c>
      <c r="O1345">
        <f>IF(M1345&gt;0,"OK","sin PEA -&gt; peor")</f>
        <v/>
      </c>
    </row>
    <row r="1346">
      <c r="A1346" t="inlineStr">
        <is>
          <t>050301</t>
        </is>
      </c>
      <c r="B1346" t="inlineStr">
        <is>
          <t>SANCOS</t>
        </is>
      </c>
      <c r="C1346" s="14">
        <f>'Empleo Censo'!G1346-'Empleo Censo'!F1346</f>
        <v/>
      </c>
      <c r="D1346" s="14">
        <f>'Empleo Censo'!F1346</f>
        <v/>
      </c>
      <c r="E1346" s="14">
        <f>'Empleo Censo'!H1346</f>
        <v/>
      </c>
      <c r="F1346" s="14">
        <f>'Empleo Censo'!I1346</f>
        <v/>
      </c>
      <c r="G1346" s="14">
        <f>'Empleo Censo'!J1346+'Empleo Censo'!K1346</f>
        <v/>
      </c>
      <c r="H1346" s="14">
        <f>'Empleo Censo'!L1346</f>
        <v/>
      </c>
      <c r="I1346" s="14">
        <f>'Empleo Censo'!M1346</f>
        <v/>
      </c>
      <c r="J1346" s="14">
        <f>SUM('Empleo Censo'!N1346:AA1346)</f>
        <v/>
      </c>
      <c r="K1346" s="14">
        <f>SUM(C1346:J1346)</f>
        <v/>
      </c>
      <c r="L1346" s="15">
        <f>SUMPRODUCT(C1346:J1346,Factores!$B$3:$I$3)</f>
        <v/>
      </c>
      <c r="M1346" s="16">
        <f>'Empleo Censo'!E1346</f>
        <v/>
      </c>
      <c r="N1346" s="17">
        <f>IF(M1346&gt;0,L1346,Factores!$B$7)</f>
        <v/>
      </c>
      <c r="O1346">
        <f>IF(M1346&gt;0,"OK","sin PEA -&gt; peor")</f>
        <v/>
      </c>
    </row>
    <row r="1347">
      <c r="A1347" t="inlineStr">
        <is>
          <t>050602</t>
        </is>
      </c>
      <c r="B1347" t="inlineStr">
        <is>
          <t>AUCARA</t>
        </is>
      </c>
      <c r="C1347" s="14">
        <f>'Empleo Censo'!G1347-'Empleo Censo'!F1347</f>
        <v/>
      </c>
      <c r="D1347" s="14">
        <f>'Empleo Censo'!F1347</f>
        <v/>
      </c>
      <c r="E1347" s="14">
        <f>'Empleo Censo'!H1347</f>
        <v/>
      </c>
      <c r="F1347" s="14">
        <f>'Empleo Censo'!I1347</f>
        <v/>
      </c>
      <c r="G1347" s="14">
        <f>'Empleo Censo'!J1347+'Empleo Censo'!K1347</f>
        <v/>
      </c>
      <c r="H1347" s="14">
        <f>'Empleo Censo'!L1347</f>
        <v/>
      </c>
      <c r="I1347" s="14">
        <f>'Empleo Censo'!M1347</f>
        <v/>
      </c>
      <c r="J1347" s="14">
        <f>SUM('Empleo Censo'!N1347:AA1347)</f>
        <v/>
      </c>
      <c r="K1347" s="14">
        <f>SUM(C1347:J1347)</f>
        <v/>
      </c>
      <c r="L1347" s="15">
        <f>SUMPRODUCT(C1347:J1347,Factores!$B$3:$I$3)</f>
        <v/>
      </c>
      <c r="M1347" s="16">
        <f>'Empleo Censo'!E1347</f>
        <v/>
      </c>
      <c r="N1347" s="17">
        <f>IF(M1347&gt;0,L1347,Factores!$B$7)</f>
        <v/>
      </c>
      <c r="O1347">
        <f>IF(M1347&gt;0,"OK","sin PEA -&gt; peor")</f>
        <v/>
      </c>
    </row>
    <row r="1348">
      <c r="A1348" t="inlineStr">
        <is>
          <t>030714</t>
        </is>
      </c>
      <c r="B1348" t="inlineStr">
        <is>
          <t>CURASCO</t>
        </is>
      </c>
      <c r="C1348" s="14">
        <f>'Empleo Censo'!G1348-'Empleo Censo'!F1348</f>
        <v/>
      </c>
      <c r="D1348" s="14">
        <f>'Empleo Censo'!F1348</f>
        <v/>
      </c>
      <c r="E1348" s="14">
        <f>'Empleo Censo'!H1348</f>
        <v/>
      </c>
      <c r="F1348" s="14">
        <f>'Empleo Censo'!I1348</f>
        <v/>
      </c>
      <c r="G1348" s="14">
        <f>'Empleo Censo'!J1348+'Empleo Censo'!K1348</f>
        <v/>
      </c>
      <c r="H1348" s="14">
        <f>'Empleo Censo'!L1348</f>
        <v/>
      </c>
      <c r="I1348" s="14">
        <f>'Empleo Censo'!M1348</f>
        <v/>
      </c>
      <c r="J1348" s="14">
        <f>SUM('Empleo Censo'!N1348:AA1348)</f>
        <v/>
      </c>
      <c r="K1348" s="14">
        <f>SUM(C1348:J1348)</f>
        <v/>
      </c>
      <c r="L1348" s="15">
        <f>SUMPRODUCT(C1348:J1348,Factores!$B$3:$I$3)</f>
        <v/>
      </c>
      <c r="M1348" s="16">
        <f>'Empleo Censo'!E1348</f>
        <v/>
      </c>
      <c r="N1348" s="17">
        <f>IF(M1348&gt;0,L1348,Factores!$B$7)</f>
        <v/>
      </c>
      <c r="O1348">
        <f>IF(M1348&gt;0,"OK","sin PEA -&gt; peor")</f>
        <v/>
      </c>
    </row>
    <row r="1349">
      <c r="A1349" t="inlineStr">
        <is>
          <t>061005</t>
        </is>
      </c>
      <c r="B1349" t="inlineStr">
        <is>
          <t>ICHOCAN</t>
        </is>
      </c>
      <c r="C1349" s="14">
        <f>'Empleo Censo'!G1349-'Empleo Censo'!F1349</f>
        <v/>
      </c>
      <c r="D1349" s="14">
        <f>'Empleo Censo'!F1349</f>
        <v/>
      </c>
      <c r="E1349" s="14">
        <f>'Empleo Censo'!H1349</f>
        <v/>
      </c>
      <c r="F1349" s="14">
        <f>'Empleo Censo'!I1349</f>
        <v/>
      </c>
      <c r="G1349" s="14">
        <f>'Empleo Censo'!J1349+'Empleo Censo'!K1349</f>
        <v/>
      </c>
      <c r="H1349" s="14">
        <f>'Empleo Censo'!L1349</f>
        <v/>
      </c>
      <c r="I1349" s="14">
        <f>'Empleo Censo'!M1349</f>
        <v/>
      </c>
      <c r="J1349" s="14">
        <f>SUM('Empleo Censo'!N1349:AA1349)</f>
        <v/>
      </c>
      <c r="K1349" s="14">
        <f>SUM(C1349:J1349)</f>
        <v/>
      </c>
      <c r="L1349" s="15">
        <f>SUMPRODUCT(C1349:J1349,Factores!$B$3:$I$3)</f>
        <v/>
      </c>
      <c r="M1349" s="16">
        <f>'Empleo Censo'!E1349</f>
        <v/>
      </c>
      <c r="N1349" s="17">
        <f>IF(M1349&gt;0,L1349,Factores!$B$7)</f>
        <v/>
      </c>
      <c r="O1349">
        <f>IF(M1349&gt;0,"OK","sin PEA -&gt; peor")</f>
        <v/>
      </c>
    </row>
    <row r="1350">
      <c r="A1350" t="inlineStr">
        <is>
          <t>060109</t>
        </is>
      </c>
      <c r="B1350" t="inlineStr">
        <is>
          <t>MAGDALENA</t>
        </is>
      </c>
      <c r="C1350" s="14">
        <f>'Empleo Censo'!G1350-'Empleo Censo'!F1350</f>
        <v/>
      </c>
      <c r="D1350" s="14">
        <f>'Empleo Censo'!F1350</f>
        <v/>
      </c>
      <c r="E1350" s="14">
        <f>'Empleo Censo'!H1350</f>
        <v/>
      </c>
      <c r="F1350" s="14">
        <f>'Empleo Censo'!I1350</f>
        <v/>
      </c>
      <c r="G1350" s="14">
        <f>'Empleo Censo'!J1350+'Empleo Censo'!K1350</f>
        <v/>
      </c>
      <c r="H1350" s="14">
        <f>'Empleo Censo'!L1350</f>
        <v/>
      </c>
      <c r="I1350" s="14">
        <f>'Empleo Censo'!M1350</f>
        <v/>
      </c>
      <c r="J1350" s="14">
        <f>SUM('Empleo Censo'!N1350:AA1350)</f>
        <v/>
      </c>
      <c r="K1350" s="14">
        <f>SUM(C1350:J1350)</f>
        <v/>
      </c>
      <c r="L1350" s="15">
        <f>SUMPRODUCT(C1350:J1350,Factores!$B$3:$I$3)</f>
        <v/>
      </c>
      <c r="M1350" s="16">
        <f>'Empleo Censo'!E1350</f>
        <v/>
      </c>
      <c r="N1350" s="17">
        <f>IF(M1350&gt;0,L1350,Factores!$B$7)</f>
        <v/>
      </c>
      <c r="O1350">
        <f>IF(M1350&gt;0,"OK","sin PEA -&gt; peor")</f>
        <v/>
      </c>
    </row>
    <row r="1351">
      <c r="A1351" t="inlineStr">
        <is>
          <t>090724</t>
        </is>
      </c>
      <c r="B1351" t="inlineStr">
        <is>
          <t>LAMBRAS</t>
        </is>
      </c>
      <c r="C1351" s="14">
        <f>'Empleo Censo'!G1351-'Empleo Censo'!F1351</f>
        <v/>
      </c>
      <c r="D1351" s="14">
        <f>'Empleo Censo'!F1351</f>
        <v/>
      </c>
      <c r="E1351" s="14">
        <f>'Empleo Censo'!H1351</f>
        <v/>
      </c>
      <c r="F1351" s="14">
        <f>'Empleo Censo'!I1351</f>
        <v/>
      </c>
      <c r="G1351" s="14">
        <f>'Empleo Censo'!J1351+'Empleo Censo'!K1351</f>
        <v/>
      </c>
      <c r="H1351" s="14">
        <f>'Empleo Censo'!L1351</f>
        <v/>
      </c>
      <c r="I1351" s="14">
        <f>'Empleo Censo'!M1351</f>
        <v/>
      </c>
      <c r="J1351" s="14">
        <f>SUM('Empleo Censo'!N1351:AA1351)</f>
        <v/>
      </c>
      <c r="K1351" s="14">
        <f>SUM(C1351:J1351)</f>
        <v/>
      </c>
      <c r="L1351" s="15">
        <f>SUMPRODUCT(C1351:J1351,Factores!$B$3:$I$3)</f>
        <v/>
      </c>
      <c r="M1351" s="16">
        <f>'Empleo Censo'!E1351</f>
        <v/>
      </c>
      <c r="N1351" s="17">
        <f>IF(M1351&gt;0,L1351,Factores!$B$7)</f>
        <v/>
      </c>
      <c r="O1351">
        <f>IF(M1351&gt;0,"OK","sin PEA -&gt; peor")</f>
        <v/>
      </c>
    </row>
    <row r="1352">
      <c r="A1352" t="inlineStr">
        <is>
          <t>061006</t>
        </is>
      </c>
      <c r="B1352" t="inlineStr">
        <is>
          <t>JOSE MANUEL QUIROZ</t>
        </is>
      </c>
      <c r="C1352" s="14">
        <f>'Empleo Censo'!G1352-'Empleo Censo'!F1352</f>
        <v/>
      </c>
      <c r="D1352" s="14">
        <f>'Empleo Censo'!F1352</f>
        <v/>
      </c>
      <c r="E1352" s="14">
        <f>'Empleo Censo'!H1352</f>
        <v/>
      </c>
      <c r="F1352" s="14">
        <f>'Empleo Censo'!I1352</f>
        <v/>
      </c>
      <c r="G1352" s="14">
        <f>'Empleo Censo'!J1352+'Empleo Censo'!K1352</f>
        <v/>
      </c>
      <c r="H1352" s="14">
        <f>'Empleo Censo'!L1352</f>
        <v/>
      </c>
      <c r="I1352" s="14">
        <f>'Empleo Censo'!M1352</f>
        <v/>
      </c>
      <c r="J1352" s="14">
        <f>SUM('Empleo Censo'!N1352:AA1352)</f>
        <v/>
      </c>
      <c r="K1352" s="14">
        <f>SUM(C1352:J1352)</f>
        <v/>
      </c>
      <c r="L1352" s="15">
        <f>SUMPRODUCT(C1352:J1352,Factores!$B$3:$I$3)</f>
        <v/>
      </c>
      <c r="M1352" s="16">
        <f>'Empleo Censo'!E1352</f>
        <v/>
      </c>
      <c r="N1352" s="17">
        <f>IF(M1352&gt;0,L1352,Factores!$B$7)</f>
        <v/>
      </c>
      <c r="O1352">
        <f>IF(M1352&gt;0,"OK","sin PEA -&gt; peor")</f>
        <v/>
      </c>
    </row>
    <row r="1353">
      <c r="A1353" t="inlineStr">
        <is>
          <t>021009</t>
        </is>
      </c>
      <c r="B1353" t="inlineStr">
        <is>
          <t>MASIN</t>
        </is>
      </c>
      <c r="C1353" s="14">
        <f>'Empleo Censo'!G1353-'Empleo Censo'!F1353</f>
        <v/>
      </c>
      <c r="D1353" s="14">
        <f>'Empleo Censo'!F1353</f>
        <v/>
      </c>
      <c r="E1353" s="14">
        <f>'Empleo Censo'!H1353</f>
        <v/>
      </c>
      <c r="F1353" s="14">
        <f>'Empleo Censo'!I1353</f>
        <v/>
      </c>
      <c r="G1353" s="14">
        <f>'Empleo Censo'!J1353+'Empleo Censo'!K1353</f>
        <v/>
      </c>
      <c r="H1353" s="14">
        <f>'Empleo Censo'!L1353</f>
        <v/>
      </c>
      <c r="I1353" s="14">
        <f>'Empleo Censo'!M1353</f>
        <v/>
      </c>
      <c r="J1353" s="14">
        <f>SUM('Empleo Censo'!N1353:AA1353)</f>
        <v/>
      </c>
      <c r="K1353" s="14">
        <f>SUM(C1353:J1353)</f>
        <v/>
      </c>
      <c r="L1353" s="15">
        <f>SUMPRODUCT(C1353:J1353,Factores!$B$3:$I$3)</f>
        <v/>
      </c>
      <c r="M1353" s="16">
        <f>'Empleo Censo'!E1353</f>
        <v/>
      </c>
      <c r="N1353" s="17">
        <f>IF(M1353&gt;0,L1353,Factores!$B$7)</f>
        <v/>
      </c>
      <c r="O1353">
        <f>IF(M1353&gt;0,"OK","sin PEA -&gt; peor")</f>
        <v/>
      </c>
    </row>
    <row r="1354">
      <c r="A1354" t="inlineStr">
        <is>
          <t>021702</t>
        </is>
      </c>
      <c r="B1354" t="inlineStr">
        <is>
          <t>CATAC</t>
        </is>
      </c>
      <c r="C1354" s="14">
        <f>'Empleo Censo'!G1354-'Empleo Censo'!F1354</f>
        <v/>
      </c>
      <c r="D1354" s="14">
        <f>'Empleo Censo'!F1354</f>
        <v/>
      </c>
      <c r="E1354" s="14">
        <f>'Empleo Censo'!H1354</f>
        <v/>
      </c>
      <c r="F1354" s="14">
        <f>'Empleo Censo'!I1354</f>
        <v/>
      </c>
      <c r="G1354" s="14">
        <f>'Empleo Censo'!J1354+'Empleo Censo'!K1354</f>
        <v/>
      </c>
      <c r="H1354" s="14">
        <f>'Empleo Censo'!L1354</f>
        <v/>
      </c>
      <c r="I1354" s="14">
        <f>'Empleo Censo'!M1354</f>
        <v/>
      </c>
      <c r="J1354" s="14">
        <f>SUM('Empleo Censo'!N1354:AA1354)</f>
        <v/>
      </c>
      <c r="K1354" s="14">
        <f>SUM(C1354:J1354)</f>
        <v/>
      </c>
      <c r="L1354" s="15">
        <f>SUMPRODUCT(C1354:J1354,Factores!$B$3:$I$3)</f>
        <v/>
      </c>
      <c r="M1354" s="16">
        <f>'Empleo Censo'!E1354</f>
        <v/>
      </c>
      <c r="N1354" s="17">
        <f>IF(M1354&gt;0,L1354,Factores!$B$7)</f>
        <v/>
      </c>
      <c r="O1354">
        <f>IF(M1354&gt;0,"OK","sin PEA -&gt; peor")</f>
        <v/>
      </c>
    </row>
    <row r="1355">
      <c r="A1355" t="inlineStr">
        <is>
          <t>010507</t>
        </is>
      </c>
      <c r="B1355" t="inlineStr">
        <is>
          <t>LONGUITA</t>
        </is>
      </c>
      <c r="C1355" s="14">
        <f>'Empleo Censo'!G1355-'Empleo Censo'!F1355</f>
        <v/>
      </c>
      <c r="D1355" s="14">
        <f>'Empleo Censo'!F1355</f>
        <v/>
      </c>
      <c r="E1355" s="14">
        <f>'Empleo Censo'!H1355</f>
        <v/>
      </c>
      <c r="F1355" s="14">
        <f>'Empleo Censo'!I1355</f>
        <v/>
      </c>
      <c r="G1355" s="14">
        <f>'Empleo Censo'!J1355+'Empleo Censo'!K1355</f>
        <v/>
      </c>
      <c r="H1355" s="14">
        <f>'Empleo Censo'!L1355</f>
        <v/>
      </c>
      <c r="I1355" s="14">
        <f>'Empleo Censo'!M1355</f>
        <v/>
      </c>
      <c r="J1355" s="14">
        <f>SUM('Empleo Censo'!N1355:AA1355)</f>
        <v/>
      </c>
      <c r="K1355" s="14">
        <f>SUM(C1355:J1355)</f>
        <v/>
      </c>
      <c r="L1355" s="15">
        <f>SUMPRODUCT(C1355:J1355,Factores!$B$3:$I$3)</f>
        <v/>
      </c>
      <c r="M1355" s="16">
        <f>'Empleo Censo'!E1355</f>
        <v/>
      </c>
      <c r="N1355" s="17">
        <f>IF(M1355&gt;0,L1355,Factores!$B$7)</f>
        <v/>
      </c>
      <c r="O1355">
        <f>IF(M1355&gt;0,"OK","sin PEA -&gt; peor")</f>
        <v/>
      </c>
    </row>
    <row r="1356">
      <c r="A1356" t="inlineStr">
        <is>
          <t>021308</t>
        </is>
      </c>
      <c r="B1356" t="inlineStr">
        <is>
          <t>MUSGA</t>
        </is>
      </c>
      <c r="C1356" s="14">
        <f>'Empleo Censo'!G1356-'Empleo Censo'!F1356</f>
        <v/>
      </c>
      <c r="D1356" s="14">
        <f>'Empleo Censo'!F1356</f>
        <v/>
      </c>
      <c r="E1356" s="14">
        <f>'Empleo Censo'!H1356</f>
        <v/>
      </c>
      <c r="F1356" s="14">
        <f>'Empleo Censo'!I1356</f>
        <v/>
      </c>
      <c r="G1356" s="14">
        <f>'Empleo Censo'!J1356+'Empleo Censo'!K1356</f>
        <v/>
      </c>
      <c r="H1356" s="14">
        <f>'Empleo Censo'!L1356</f>
        <v/>
      </c>
      <c r="I1356" s="14">
        <f>'Empleo Censo'!M1356</f>
        <v/>
      </c>
      <c r="J1356" s="14">
        <f>SUM('Empleo Censo'!N1356:AA1356)</f>
        <v/>
      </c>
      <c r="K1356" s="14">
        <f>SUM(C1356:J1356)</f>
        <v/>
      </c>
      <c r="L1356" s="15">
        <f>SUMPRODUCT(C1356:J1356,Factores!$B$3:$I$3)</f>
        <v/>
      </c>
      <c r="M1356" s="16">
        <f>'Empleo Censo'!E1356</f>
        <v/>
      </c>
      <c r="N1356" s="17">
        <f>IF(M1356&gt;0,L1356,Factores!$B$7)</f>
        <v/>
      </c>
      <c r="O1356">
        <f>IF(M1356&gt;0,"OK","sin PEA -&gt; peor")</f>
        <v/>
      </c>
    </row>
    <row r="1357">
      <c r="A1357" t="inlineStr">
        <is>
          <t>010401</t>
        </is>
      </c>
      <c r="B1357" t="inlineStr">
        <is>
          <t>NIEVA</t>
        </is>
      </c>
      <c r="C1357" s="14">
        <f>'Empleo Censo'!G1357-'Empleo Censo'!F1357</f>
        <v/>
      </c>
      <c r="D1357" s="14">
        <f>'Empleo Censo'!F1357</f>
        <v/>
      </c>
      <c r="E1357" s="14">
        <f>'Empleo Censo'!H1357</f>
        <v/>
      </c>
      <c r="F1357" s="14">
        <f>'Empleo Censo'!I1357</f>
        <v/>
      </c>
      <c r="G1357" s="14">
        <f>'Empleo Censo'!J1357+'Empleo Censo'!K1357</f>
        <v/>
      </c>
      <c r="H1357" s="14">
        <f>'Empleo Censo'!L1357</f>
        <v/>
      </c>
      <c r="I1357" s="14">
        <f>'Empleo Censo'!M1357</f>
        <v/>
      </c>
      <c r="J1357" s="14">
        <f>SUM('Empleo Censo'!N1357:AA1357)</f>
        <v/>
      </c>
      <c r="K1357" s="14">
        <f>SUM(C1357:J1357)</f>
        <v/>
      </c>
      <c r="L1357" s="15">
        <f>SUMPRODUCT(C1357:J1357,Factores!$B$3:$I$3)</f>
        <v/>
      </c>
      <c r="M1357" s="16">
        <f>'Empleo Censo'!E1357</f>
        <v/>
      </c>
      <c r="N1357" s="17">
        <f>IF(M1357&gt;0,L1357,Factores!$B$7)</f>
        <v/>
      </c>
      <c r="O1357">
        <f>IF(M1357&gt;0,"OK","sin PEA -&gt; peor")</f>
        <v/>
      </c>
    </row>
    <row r="1358">
      <c r="A1358" t="inlineStr">
        <is>
          <t>050607</t>
        </is>
      </c>
      <c r="B1358" t="inlineStr">
        <is>
          <t>HUAC-HUAS</t>
        </is>
      </c>
      <c r="C1358" s="14">
        <f>'Empleo Censo'!G1358-'Empleo Censo'!F1358</f>
        <v/>
      </c>
      <c r="D1358" s="14">
        <f>'Empleo Censo'!F1358</f>
        <v/>
      </c>
      <c r="E1358" s="14">
        <f>'Empleo Censo'!H1358</f>
        <v/>
      </c>
      <c r="F1358" s="14">
        <f>'Empleo Censo'!I1358</f>
        <v/>
      </c>
      <c r="G1358" s="14">
        <f>'Empleo Censo'!J1358+'Empleo Censo'!K1358</f>
        <v/>
      </c>
      <c r="H1358" s="14">
        <f>'Empleo Censo'!L1358</f>
        <v/>
      </c>
      <c r="I1358" s="14">
        <f>'Empleo Censo'!M1358</f>
        <v/>
      </c>
      <c r="J1358" s="14">
        <f>SUM('Empleo Censo'!N1358:AA1358)</f>
        <v/>
      </c>
      <c r="K1358" s="14">
        <f>SUM(C1358:J1358)</f>
        <v/>
      </c>
      <c r="L1358" s="15">
        <f>SUMPRODUCT(C1358:J1358,Factores!$B$3:$I$3)</f>
        <v/>
      </c>
      <c r="M1358" s="16">
        <f>'Empleo Censo'!E1358</f>
        <v/>
      </c>
      <c r="N1358" s="17">
        <f>IF(M1358&gt;0,L1358,Factores!$B$7)</f>
        <v/>
      </c>
      <c r="O1358">
        <f>IF(M1358&gt;0,"OK","sin PEA -&gt; peor")</f>
        <v/>
      </c>
    </row>
    <row r="1359">
      <c r="A1359" t="inlineStr">
        <is>
          <t>021506</t>
        </is>
      </c>
      <c r="B1359" t="inlineStr">
        <is>
          <t>LACABAMBA</t>
        </is>
      </c>
      <c r="C1359" s="14">
        <f>'Empleo Censo'!G1359-'Empleo Censo'!F1359</f>
        <v/>
      </c>
      <c r="D1359" s="14">
        <f>'Empleo Censo'!F1359</f>
        <v/>
      </c>
      <c r="E1359" s="14">
        <f>'Empleo Censo'!H1359</f>
        <v/>
      </c>
      <c r="F1359" s="14">
        <f>'Empleo Censo'!I1359</f>
        <v/>
      </c>
      <c r="G1359" s="14">
        <f>'Empleo Censo'!J1359+'Empleo Censo'!K1359</f>
        <v/>
      </c>
      <c r="H1359" s="14">
        <f>'Empleo Censo'!L1359</f>
        <v/>
      </c>
      <c r="I1359" s="14">
        <f>'Empleo Censo'!M1359</f>
        <v/>
      </c>
      <c r="J1359" s="14">
        <f>SUM('Empleo Censo'!N1359:AA1359)</f>
        <v/>
      </c>
      <c r="K1359" s="14">
        <f>SUM(C1359:J1359)</f>
        <v/>
      </c>
      <c r="L1359" s="15">
        <f>SUMPRODUCT(C1359:J1359,Factores!$B$3:$I$3)</f>
        <v/>
      </c>
      <c r="M1359" s="16">
        <f>'Empleo Censo'!E1359</f>
        <v/>
      </c>
      <c r="N1359" s="17">
        <f>IF(M1359&gt;0,L1359,Factores!$B$7)</f>
        <v/>
      </c>
      <c r="O1359">
        <f>IF(M1359&gt;0,"OK","sin PEA -&gt; peor")</f>
        <v/>
      </c>
    </row>
    <row r="1360">
      <c r="A1360" t="inlineStr">
        <is>
          <t>050104</t>
        </is>
      </c>
      <c r="B1360" t="inlineStr">
        <is>
          <t>CARMEN ALTO</t>
        </is>
      </c>
      <c r="C1360" s="14">
        <f>'Empleo Censo'!G1360-'Empleo Censo'!F1360</f>
        <v/>
      </c>
      <c r="D1360" s="14">
        <f>'Empleo Censo'!F1360</f>
        <v/>
      </c>
      <c r="E1360" s="14">
        <f>'Empleo Censo'!H1360</f>
        <v/>
      </c>
      <c r="F1360" s="14">
        <f>'Empleo Censo'!I1360</f>
        <v/>
      </c>
      <c r="G1360" s="14">
        <f>'Empleo Censo'!J1360+'Empleo Censo'!K1360</f>
        <v/>
      </c>
      <c r="H1360" s="14">
        <f>'Empleo Censo'!L1360</f>
        <v/>
      </c>
      <c r="I1360" s="14">
        <f>'Empleo Censo'!M1360</f>
        <v/>
      </c>
      <c r="J1360" s="14">
        <f>SUM('Empleo Censo'!N1360:AA1360)</f>
        <v/>
      </c>
      <c r="K1360" s="14">
        <f>SUM(C1360:J1360)</f>
        <v/>
      </c>
      <c r="L1360" s="15">
        <f>SUMPRODUCT(C1360:J1360,Factores!$B$3:$I$3)</f>
        <v/>
      </c>
      <c r="M1360" s="16">
        <f>'Empleo Censo'!E1360</f>
        <v/>
      </c>
      <c r="N1360" s="17">
        <f>IF(M1360&gt;0,L1360,Factores!$B$7)</f>
        <v/>
      </c>
      <c r="O1360">
        <f>IF(M1360&gt;0,"OK","sin PEA -&gt; peor")</f>
        <v/>
      </c>
    </row>
    <row r="1361">
      <c r="A1361" t="inlineStr">
        <is>
          <t>050808</t>
        </is>
      </c>
      <c r="B1361" t="inlineStr">
        <is>
          <t>SAN JAVIER DE ALPABAMBA</t>
        </is>
      </c>
      <c r="C1361" s="14">
        <f>'Empleo Censo'!G1361-'Empleo Censo'!F1361</f>
        <v/>
      </c>
      <c r="D1361" s="14">
        <f>'Empleo Censo'!F1361</f>
        <v/>
      </c>
      <c r="E1361" s="14">
        <f>'Empleo Censo'!H1361</f>
        <v/>
      </c>
      <c r="F1361" s="14">
        <f>'Empleo Censo'!I1361</f>
        <v/>
      </c>
      <c r="G1361" s="14">
        <f>'Empleo Censo'!J1361+'Empleo Censo'!K1361</f>
        <v/>
      </c>
      <c r="H1361" s="14">
        <f>'Empleo Censo'!L1361</f>
        <v/>
      </c>
      <c r="I1361" s="14">
        <f>'Empleo Censo'!M1361</f>
        <v/>
      </c>
      <c r="J1361" s="14">
        <f>SUM('Empleo Censo'!N1361:AA1361)</f>
        <v/>
      </c>
      <c r="K1361" s="14">
        <f>SUM(C1361:J1361)</f>
        <v/>
      </c>
      <c r="L1361" s="15">
        <f>SUMPRODUCT(C1361:J1361,Factores!$B$3:$I$3)</f>
        <v/>
      </c>
      <c r="M1361" s="16">
        <f>'Empleo Censo'!E1361</f>
        <v/>
      </c>
      <c r="N1361" s="17">
        <f>IF(M1361&gt;0,L1361,Factores!$B$7)</f>
        <v/>
      </c>
      <c r="O1361">
        <f>IF(M1361&gt;0,"OK","sin PEA -&gt; peor")</f>
        <v/>
      </c>
    </row>
    <row r="1362">
      <c r="A1362" t="inlineStr">
        <is>
          <t>020609</t>
        </is>
      </c>
      <c r="B1362" t="inlineStr">
        <is>
          <t>SHILLA</t>
        </is>
      </c>
      <c r="C1362" s="14">
        <f>'Empleo Censo'!G1362-'Empleo Censo'!F1362</f>
        <v/>
      </c>
      <c r="D1362" s="14">
        <f>'Empleo Censo'!F1362</f>
        <v/>
      </c>
      <c r="E1362" s="14">
        <f>'Empleo Censo'!H1362</f>
        <v/>
      </c>
      <c r="F1362" s="14">
        <f>'Empleo Censo'!I1362</f>
        <v/>
      </c>
      <c r="G1362" s="14">
        <f>'Empleo Censo'!J1362+'Empleo Censo'!K1362</f>
        <v/>
      </c>
      <c r="H1362" s="14">
        <f>'Empleo Censo'!L1362</f>
        <v/>
      </c>
      <c r="I1362" s="14">
        <f>'Empleo Censo'!M1362</f>
        <v/>
      </c>
      <c r="J1362" s="14">
        <f>SUM('Empleo Censo'!N1362:AA1362)</f>
        <v/>
      </c>
      <c r="K1362" s="14">
        <f>SUM(C1362:J1362)</f>
        <v/>
      </c>
      <c r="L1362" s="15">
        <f>SUMPRODUCT(C1362:J1362,Factores!$B$3:$I$3)</f>
        <v/>
      </c>
      <c r="M1362" s="16">
        <f>'Empleo Censo'!E1362</f>
        <v/>
      </c>
      <c r="N1362" s="17">
        <f>IF(M1362&gt;0,L1362,Factores!$B$7)</f>
        <v/>
      </c>
      <c r="O1362">
        <f>IF(M1362&gt;0,"OK","sin PEA -&gt; peor")</f>
        <v/>
      </c>
    </row>
    <row r="1363">
      <c r="A1363" t="inlineStr">
        <is>
          <t>081106</t>
        </is>
      </c>
      <c r="B1363" t="inlineStr">
        <is>
          <t>KOSÑIPATA</t>
        </is>
      </c>
      <c r="C1363" s="14">
        <f>'Empleo Censo'!G1363-'Empleo Censo'!F1363</f>
        <v/>
      </c>
      <c r="D1363" s="14">
        <f>'Empleo Censo'!F1363</f>
        <v/>
      </c>
      <c r="E1363" s="14">
        <f>'Empleo Censo'!H1363</f>
        <v/>
      </c>
      <c r="F1363" s="14">
        <f>'Empleo Censo'!I1363</f>
        <v/>
      </c>
      <c r="G1363" s="14">
        <f>'Empleo Censo'!J1363+'Empleo Censo'!K1363</f>
        <v/>
      </c>
      <c r="H1363" s="14">
        <f>'Empleo Censo'!L1363</f>
        <v/>
      </c>
      <c r="I1363" s="14">
        <f>'Empleo Censo'!M1363</f>
        <v/>
      </c>
      <c r="J1363" s="14">
        <f>SUM('Empleo Censo'!N1363:AA1363)</f>
        <v/>
      </c>
      <c r="K1363" s="14">
        <f>SUM(C1363:J1363)</f>
        <v/>
      </c>
      <c r="L1363" s="15">
        <f>SUMPRODUCT(C1363:J1363,Factores!$B$3:$I$3)</f>
        <v/>
      </c>
      <c r="M1363" s="16">
        <f>'Empleo Censo'!E1363</f>
        <v/>
      </c>
      <c r="N1363" s="17">
        <f>IF(M1363&gt;0,L1363,Factores!$B$7)</f>
        <v/>
      </c>
      <c r="O1363">
        <f>IF(M1363&gt;0,"OK","sin PEA -&gt; peor")</f>
        <v/>
      </c>
    </row>
    <row r="1364">
      <c r="A1364" t="inlineStr">
        <is>
          <t>030703</t>
        </is>
      </c>
      <c r="B1364" t="inlineStr">
        <is>
          <t>GAMARRA</t>
        </is>
      </c>
      <c r="C1364" s="14">
        <f>'Empleo Censo'!G1364-'Empleo Censo'!F1364</f>
        <v/>
      </c>
      <c r="D1364" s="14">
        <f>'Empleo Censo'!F1364</f>
        <v/>
      </c>
      <c r="E1364" s="14">
        <f>'Empleo Censo'!H1364</f>
        <v/>
      </c>
      <c r="F1364" s="14">
        <f>'Empleo Censo'!I1364</f>
        <v/>
      </c>
      <c r="G1364" s="14">
        <f>'Empleo Censo'!J1364+'Empleo Censo'!K1364</f>
        <v/>
      </c>
      <c r="H1364" s="14">
        <f>'Empleo Censo'!L1364</f>
        <v/>
      </c>
      <c r="I1364" s="14">
        <f>'Empleo Censo'!M1364</f>
        <v/>
      </c>
      <c r="J1364" s="14">
        <f>SUM('Empleo Censo'!N1364:AA1364)</f>
        <v/>
      </c>
      <c r="K1364" s="14">
        <f>SUM(C1364:J1364)</f>
        <v/>
      </c>
      <c r="L1364" s="15">
        <f>SUMPRODUCT(C1364:J1364,Factores!$B$3:$I$3)</f>
        <v/>
      </c>
      <c r="M1364" s="16">
        <f>'Empleo Censo'!E1364</f>
        <v/>
      </c>
      <c r="N1364" s="17">
        <f>IF(M1364&gt;0,L1364,Factores!$B$7)</f>
        <v/>
      </c>
      <c r="O1364">
        <f>IF(M1364&gt;0,"OK","sin PEA -&gt; peor")</f>
        <v/>
      </c>
    </row>
    <row r="1365">
      <c r="A1365" t="inlineStr">
        <is>
          <t>081304</t>
        </is>
      </c>
      <c r="B1365" t="inlineStr">
        <is>
          <t>MACHUPICCHU</t>
        </is>
      </c>
      <c r="C1365" s="14">
        <f>'Empleo Censo'!G1365-'Empleo Censo'!F1365</f>
        <v/>
      </c>
      <c r="D1365" s="14">
        <f>'Empleo Censo'!F1365</f>
        <v/>
      </c>
      <c r="E1365" s="14">
        <f>'Empleo Censo'!H1365</f>
        <v/>
      </c>
      <c r="F1365" s="14">
        <f>'Empleo Censo'!I1365</f>
        <v/>
      </c>
      <c r="G1365" s="14">
        <f>'Empleo Censo'!J1365+'Empleo Censo'!K1365</f>
        <v/>
      </c>
      <c r="H1365" s="14">
        <f>'Empleo Censo'!L1365</f>
        <v/>
      </c>
      <c r="I1365" s="14">
        <f>'Empleo Censo'!M1365</f>
        <v/>
      </c>
      <c r="J1365" s="14">
        <f>SUM('Empleo Censo'!N1365:AA1365)</f>
        <v/>
      </c>
      <c r="K1365" s="14">
        <f>SUM(C1365:J1365)</f>
        <v/>
      </c>
      <c r="L1365" s="15">
        <f>SUMPRODUCT(C1365:J1365,Factores!$B$3:$I$3)</f>
        <v/>
      </c>
      <c r="M1365" s="16">
        <f>'Empleo Censo'!E1365</f>
        <v/>
      </c>
      <c r="N1365" s="17">
        <f>IF(M1365&gt;0,L1365,Factores!$B$7)</f>
        <v/>
      </c>
      <c r="O1365">
        <f>IF(M1365&gt;0,"OK","sin PEA -&gt; peor")</f>
        <v/>
      </c>
    </row>
    <row r="1366">
      <c r="A1366" t="inlineStr">
        <is>
          <t>080707</t>
        </is>
      </c>
      <c r="B1366" t="inlineStr">
        <is>
          <t>QUIÑOTA</t>
        </is>
      </c>
      <c r="C1366" s="14">
        <f>'Empleo Censo'!G1366-'Empleo Censo'!F1366</f>
        <v/>
      </c>
      <c r="D1366" s="14">
        <f>'Empleo Censo'!F1366</f>
        <v/>
      </c>
      <c r="E1366" s="14">
        <f>'Empleo Censo'!H1366</f>
        <v/>
      </c>
      <c r="F1366" s="14">
        <f>'Empleo Censo'!I1366</f>
        <v/>
      </c>
      <c r="G1366" s="14">
        <f>'Empleo Censo'!J1366+'Empleo Censo'!K1366</f>
        <v/>
      </c>
      <c r="H1366" s="14">
        <f>'Empleo Censo'!L1366</f>
        <v/>
      </c>
      <c r="I1366" s="14">
        <f>'Empleo Censo'!M1366</f>
        <v/>
      </c>
      <c r="J1366" s="14">
        <f>SUM('Empleo Censo'!N1366:AA1366)</f>
        <v/>
      </c>
      <c r="K1366" s="14">
        <f>SUM(C1366:J1366)</f>
        <v/>
      </c>
      <c r="L1366" s="15">
        <f>SUMPRODUCT(C1366:J1366,Factores!$B$3:$I$3)</f>
        <v/>
      </c>
      <c r="M1366" s="16">
        <f>'Empleo Censo'!E1366</f>
        <v/>
      </c>
      <c r="N1366" s="17">
        <f>IF(M1366&gt;0,L1366,Factores!$B$7)</f>
        <v/>
      </c>
      <c r="O1366">
        <f>IF(M1366&gt;0,"OK","sin PEA -&gt; peor")</f>
        <v/>
      </c>
    </row>
    <row r="1367">
      <c r="A1367" t="inlineStr">
        <is>
          <t>021710</t>
        </is>
      </c>
      <c r="B1367" t="inlineStr">
        <is>
          <t>TICAPAMPA</t>
        </is>
      </c>
      <c r="C1367" s="14">
        <f>'Empleo Censo'!G1367-'Empleo Censo'!F1367</f>
        <v/>
      </c>
      <c r="D1367" s="14">
        <f>'Empleo Censo'!F1367</f>
        <v/>
      </c>
      <c r="E1367" s="14">
        <f>'Empleo Censo'!H1367</f>
        <v/>
      </c>
      <c r="F1367" s="14">
        <f>'Empleo Censo'!I1367</f>
        <v/>
      </c>
      <c r="G1367" s="14">
        <f>'Empleo Censo'!J1367+'Empleo Censo'!K1367</f>
        <v/>
      </c>
      <c r="H1367" s="14">
        <f>'Empleo Censo'!L1367</f>
        <v/>
      </c>
      <c r="I1367" s="14">
        <f>'Empleo Censo'!M1367</f>
        <v/>
      </c>
      <c r="J1367" s="14">
        <f>SUM('Empleo Censo'!N1367:AA1367)</f>
        <v/>
      </c>
      <c r="K1367" s="14">
        <f>SUM(C1367:J1367)</f>
        <v/>
      </c>
      <c r="L1367" s="15">
        <f>SUMPRODUCT(C1367:J1367,Factores!$B$3:$I$3)</f>
        <v/>
      </c>
      <c r="M1367" s="16">
        <f>'Empleo Censo'!E1367</f>
        <v/>
      </c>
      <c r="N1367" s="17">
        <f>IF(M1367&gt;0,L1367,Factores!$B$7)</f>
        <v/>
      </c>
      <c r="O1367">
        <f>IF(M1367&gt;0,"OK","sin PEA -&gt; peor")</f>
        <v/>
      </c>
    </row>
    <row r="1368">
      <c r="A1368" t="inlineStr">
        <is>
          <t>030204</t>
        </is>
      </c>
      <c r="B1368" t="inlineStr">
        <is>
          <t>HUANCARAMA</t>
        </is>
      </c>
      <c r="C1368" s="14">
        <f>'Empleo Censo'!G1368-'Empleo Censo'!F1368</f>
        <v/>
      </c>
      <c r="D1368" s="14">
        <f>'Empleo Censo'!F1368</f>
        <v/>
      </c>
      <c r="E1368" s="14">
        <f>'Empleo Censo'!H1368</f>
        <v/>
      </c>
      <c r="F1368" s="14">
        <f>'Empleo Censo'!I1368</f>
        <v/>
      </c>
      <c r="G1368" s="14">
        <f>'Empleo Censo'!J1368+'Empleo Censo'!K1368</f>
        <v/>
      </c>
      <c r="H1368" s="14">
        <f>'Empleo Censo'!L1368</f>
        <v/>
      </c>
      <c r="I1368" s="14">
        <f>'Empleo Censo'!M1368</f>
        <v/>
      </c>
      <c r="J1368" s="14">
        <f>SUM('Empleo Censo'!N1368:AA1368)</f>
        <v/>
      </c>
      <c r="K1368" s="14">
        <f>SUM(C1368:J1368)</f>
        <v/>
      </c>
      <c r="L1368" s="15">
        <f>SUMPRODUCT(C1368:J1368,Factores!$B$3:$I$3)</f>
        <v/>
      </c>
      <c r="M1368" s="16">
        <f>'Empleo Censo'!E1368</f>
        <v/>
      </c>
      <c r="N1368" s="17">
        <f>IF(M1368&gt;0,L1368,Factores!$B$7)</f>
        <v/>
      </c>
      <c r="O1368">
        <f>IF(M1368&gt;0,"OK","sin PEA -&gt; peor")</f>
        <v/>
      </c>
    </row>
    <row r="1369">
      <c r="A1369" t="inlineStr">
        <is>
          <t>021508</t>
        </is>
      </c>
      <c r="B1369" t="inlineStr">
        <is>
          <t>PALLASCA</t>
        </is>
      </c>
      <c r="C1369" s="14">
        <f>'Empleo Censo'!G1369-'Empleo Censo'!F1369</f>
        <v/>
      </c>
      <c r="D1369" s="14">
        <f>'Empleo Censo'!F1369</f>
        <v/>
      </c>
      <c r="E1369" s="14">
        <f>'Empleo Censo'!H1369</f>
        <v/>
      </c>
      <c r="F1369" s="14">
        <f>'Empleo Censo'!I1369</f>
        <v/>
      </c>
      <c r="G1369" s="14">
        <f>'Empleo Censo'!J1369+'Empleo Censo'!K1369</f>
        <v/>
      </c>
      <c r="H1369" s="14">
        <f>'Empleo Censo'!L1369</f>
        <v/>
      </c>
      <c r="I1369" s="14">
        <f>'Empleo Censo'!M1369</f>
        <v/>
      </c>
      <c r="J1369" s="14">
        <f>SUM('Empleo Censo'!N1369:AA1369)</f>
        <v/>
      </c>
      <c r="K1369" s="14">
        <f>SUM(C1369:J1369)</f>
        <v/>
      </c>
      <c r="L1369" s="15">
        <f>SUMPRODUCT(C1369:J1369,Factores!$B$3:$I$3)</f>
        <v/>
      </c>
      <c r="M1369" s="16">
        <f>'Empleo Censo'!E1369</f>
        <v/>
      </c>
      <c r="N1369" s="17">
        <f>IF(M1369&gt;0,L1369,Factores!$B$7)</f>
        <v/>
      </c>
      <c r="O1369">
        <f>IF(M1369&gt;0,"OK","sin PEA -&gt; peor")</f>
        <v/>
      </c>
    </row>
    <row r="1370">
      <c r="A1370" t="inlineStr">
        <is>
          <t>081001</t>
        </is>
      </c>
      <c r="B1370" t="inlineStr">
        <is>
          <t>PARURO</t>
        </is>
      </c>
      <c r="C1370" s="14">
        <f>'Empleo Censo'!G1370-'Empleo Censo'!F1370</f>
        <v/>
      </c>
      <c r="D1370" s="14">
        <f>'Empleo Censo'!F1370</f>
        <v/>
      </c>
      <c r="E1370" s="14">
        <f>'Empleo Censo'!H1370</f>
        <v/>
      </c>
      <c r="F1370" s="14">
        <f>'Empleo Censo'!I1370</f>
        <v/>
      </c>
      <c r="G1370" s="14">
        <f>'Empleo Censo'!J1370+'Empleo Censo'!K1370</f>
        <v/>
      </c>
      <c r="H1370" s="14">
        <f>'Empleo Censo'!L1370</f>
        <v/>
      </c>
      <c r="I1370" s="14">
        <f>'Empleo Censo'!M1370</f>
        <v/>
      </c>
      <c r="J1370" s="14">
        <f>SUM('Empleo Censo'!N1370:AA1370)</f>
        <v/>
      </c>
      <c r="K1370" s="14">
        <f>SUM(C1370:J1370)</f>
        <v/>
      </c>
      <c r="L1370" s="15">
        <f>SUMPRODUCT(C1370:J1370,Factores!$B$3:$I$3)</f>
        <v/>
      </c>
      <c r="M1370" s="16">
        <f>'Empleo Censo'!E1370</f>
        <v/>
      </c>
      <c r="N1370" s="17">
        <f>IF(M1370&gt;0,L1370,Factores!$B$7)</f>
        <v/>
      </c>
      <c r="O1370">
        <f>IF(M1370&gt;0,"OK","sin PEA -&gt; peor")</f>
        <v/>
      </c>
    </row>
    <row r="1371">
      <c r="A1371" t="inlineStr">
        <is>
          <t>021511</t>
        </is>
      </c>
      <c r="B1371" t="inlineStr">
        <is>
          <t>TAUCA</t>
        </is>
      </c>
      <c r="C1371" s="14">
        <f>'Empleo Censo'!G1371-'Empleo Censo'!F1371</f>
        <v/>
      </c>
      <c r="D1371" s="14">
        <f>'Empleo Censo'!F1371</f>
        <v/>
      </c>
      <c r="E1371" s="14">
        <f>'Empleo Censo'!H1371</f>
        <v/>
      </c>
      <c r="F1371" s="14">
        <f>'Empleo Censo'!I1371</f>
        <v/>
      </c>
      <c r="G1371" s="14">
        <f>'Empleo Censo'!J1371+'Empleo Censo'!K1371</f>
        <v/>
      </c>
      <c r="H1371" s="14">
        <f>'Empleo Censo'!L1371</f>
        <v/>
      </c>
      <c r="I1371" s="14">
        <f>'Empleo Censo'!M1371</f>
        <v/>
      </c>
      <c r="J1371" s="14">
        <f>SUM('Empleo Censo'!N1371:AA1371)</f>
        <v/>
      </c>
      <c r="K1371" s="14">
        <f>SUM(C1371:J1371)</f>
        <v/>
      </c>
      <c r="L1371" s="15">
        <f>SUMPRODUCT(C1371:J1371,Factores!$B$3:$I$3)</f>
        <v/>
      </c>
      <c r="M1371" s="16">
        <f>'Empleo Censo'!E1371</f>
        <v/>
      </c>
      <c r="N1371" s="17">
        <f>IF(M1371&gt;0,L1371,Factores!$B$7)</f>
        <v/>
      </c>
      <c r="O1371">
        <f>IF(M1371&gt;0,"OK","sin PEA -&gt; peor")</f>
        <v/>
      </c>
    </row>
    <row r="1372">
      <c r="A1372" t="inlineStr">
        <is>
          <t>090108</t>
        </is>
      </c>
      <c r="B1372" t="inlineStr">
        <is>
          <t>IZCUCHACA</t>
        </is>
      </c>
      <c r="C1372" s="14">
        <f>'Empleo Censo'!G1372-'Empleo Censo'!F1372</f>
        <v/>
      </c>
      <c r="D1372" s="14">
        <f>'Empleo Censo'!F1372</f>
        <v/>
      </c>
      <c r="E1372" s="14">
        <f>'Empleo Censo'!H1372</f>
        <v/>
      </c>
      <c r="F1372" s="14">
        <f>'Empleo Censo'!I1372</f>
        <v/>
      </c>
      <c r="G1372" s="14">
        <f>'Empleo Censo'!J1372+'Empleo Censo'!K1372</f>
        <v/>
      </c>
      <c r="H1372" s="14">
        <f>'Empleo Censo'!L1372</f>
        <v/>
      </c>
      <c r="I1372" s="14">
        <f>'Empleo Censo'!M1372</f>
        <v/>
      </c>
      <c r="J1372" s="14">
        <f>SUM('Empleo Censo'!N1372:AA1372)</f>
        <v/>
      </c>
      <c r="K1372" s="14">
        <f>SUM(C1372:J1372)</f>
        <v/>
      </c>
      <c r="L1372" s="15">
        <f>SUMPRODUCT(C1372:J1372,Factores!$B$3:$I$3)</f>
        <v/>
      </c>
      <c r="M1372" s="16">
        <f>'Empleo Censo'!E1372</f>
        <v/>
      </c>
      <c r="N1372" s="17">
        <f>IF(M1372&gt;0,L1372,Factores!$B$7)</f>
        <v/>
      </c>
      <c r="O1372">
        <f>IF(M1372&gt;0,"OK","sin PEA -&gt; peor")</f>
        <v/>
      </c>
    </row>
    <row r="1373">
      <c r="A1373" t="inlineStr">
        <is>
          <t>010514</t>
        </is>
      </c>
      <c r="B1373" t="inlineStr">
        <is>
          <t>PISUQUIA</t>
        </is>
      </c>
      <c r="C1373" s="14">
        <f>'Empleo Censo'!G1373-'Empleo Censo'!F1373</f>
        <v/>
      </c>
      <c r="D1373" s="14">
        <f>'Empleo Censo'!F1373</f>
        <v/>
      </c>
      <c r="E1373" s="14">
        <f>'Empleo Censo'!H1373</f>
        <v/>
      </c>
      <c r="F1373" s="14">
        <f>'Empleo Censo'!I1373</f>
        <v/>
      </c>
      <c r="G1373" s="14">
        <f>'Empleo Censo'!J1373+'Empleo Censo'!K1373</f>
        <v/>
      </c>
      <c r="H1373" s="14">
        <f>'Empleo Censo'!L1373</f>
        <v/>
      </c>
      <c r="I1373" s="14">
        <f>'Empleo Censo'!M1373</f>
        <v/>
      </c>
      <c r="J1373" s="14">
        <f>SUM('Empleo Censo'!N1373:AA1373)</f>
        <v/>
      </c>
      <c r="K1373" s="14">
        <f>SUM(C1373:J1373)</f>
        <v/>
      </c>
      <c r="L1373" s="15">
        <f>SUMPRODUCT(C1373:J1373,Factores!$B$3:$I$3)</f>
        <v/>
      </c>
      <c r="M1373" s="16">
        <f>'Empleo Censo'!E1373</f>
        <v/>
      </c>
      <c r="N1373" s="17">
        <f>IF(M1373&gt;0,L1373,Factores!$B$7)</f>
        <v/>
      </c>
      <c r="O1373">
        <f>IF(M1373&gt;0,"OK","sin PEA -&gt; peor")</f>
        <v/>
      </c>
    </row>
    <row r="1374">
      <c r="A1374" t="inlineStr">
        <is>
          <t>081101</t>
        </is>
      </c>
      <c r="B1374" t="inlineStr">
        <is>
          <t>PAUCARTAMBO</t>
        </is>
      </c>
      <c r="C1374" s="14">
        <f>'Empleo Censo'!G1374-'Empleo Censo'!F1374</f>
        <v/>
      </c>
      <c r="D1374" s="14">
        <f>'Empleo Censo'!F1374</f>
        <v/>
      </c>
      <c r="E1374" s="14">
        <f>'Empleo Censo'!H1374</f>
        <v/>
      </c>
      <c r="F1374" s="14">
        <f>'Empleo Censo'!I1374</f>
        <v/>
      </c>
      <c r="G1374" s="14">
        <f>'Empleo Censo'!J1374+'Empleo Censo'!K1374</f>
        <v/>
      </c>
      <c r="H1374" s="14">
        <f>'Empleo Censo'!L1374</f>
        <v/>
      </c>
      <c r="I1374" s="14">
        <f>'Empleo Censo'!M1374</f>
        <v/>
      </c>
      <c r="J1374" s="14">
        <f>SUM('Empleo Censo'!N1374:AA1374)</f>
        <v/>
      </c>
      <c r="K1374" s="14">
        <f>SUM(C1374:J1374)</f>
        <v/>
      </c>
      <c r="L1374" s="15">
        <f>SUMPRODUCT(C1374:J1374,Factores!$B$3:$I$3)</f>
        <v/>
      </c>
      <c r="M1374" s="16">
        <f>'Empleo Censo'!E1374</f>
        <v/>
      </c>
      <c r="N1374" s="17">
        <f>IF(M1374&gt;0,L1374,Factores!$B$7)</f>
        <v/>
      </c>
      <c r="O1374">
        <f>IF(M1374&gt;0,"OK","sin PEA -&gt; peor")</f>
        <v/>
      </c>
    </row>
    <row r="1375">
      <c r="A1375" t="inlineStr">
        <is>
          <t>021902</t>
        </is>
      </c>
      <c r="B1375" t="inlineStr">
        <is>
          <t>ACOBAMBA</t>
        </is>
      </c>
      <c r="C1375" s="14">
        <f>'Empleo Censo'!G1375-'Empleo Censo'!F1375</f>
        <v/>
      </c>
      <c r="D1375" s="14">
        <f>'Empleo Censo'!F1375</f>
        <v/>
      </c>
      <c r="E1375" s="14">
        <f>'Empleo Censo'!H1375</f>
        <v/>
      </c>
      <c r="F1375" s="14">
        <f>'Empleo Censo'!I1375</f>
        <v/>
      </c>
      <c r="G1375" s="14">
        <f>'Empleo Censo'!J1375+'Empleo Censo'!K1375</f>
        <v/>
      </c>
      <c r="H1375" s="14">
        <f>'Empleo Censo'!L1375</f>
        <v/>
      </c>
      <c r="I1375" s="14">
        <f>'Empleo Censo'!M1375</f>
        <v/>
      </c>
      <c r="J1375" s="14">
        <f>SUM('Empleo Censo'!N1375:AA1375)</f>
        <v/>
      </c>
      <c r="K1375" s="14">
        <f>SUM(C1375:J1375)</f>
        <v/>
      </c>
      <c r="L1375" s="15">
        <f>SUMPRODUCT(C1375:J1375,Factores!$B$3:$I$3)</f>
        <v/>
      </c>
      <c r="M1375" s="16">
        <f>'Empleo Censo'!E1375</f>
        <v/>
      </c>
      <c r="N1375" s="17">
        <f>IF(M1375&gt;0,L1375,Factores!$B$7)</f>
        <v/>
      </c>
      <c r="O1375">
        <f>IF(M1375&gt;0,"OK","sin PEA -&gt; peor")</f>
        <v/>
      </c>
    </row>
    <row r="1376">
      <c r="A1376" t="inlineStr">
        <is>
          <t>021012</t>
        </is>
      </c>
      <c r="B1376" t="inlineStr">
        <is>
          <t>RAHUAPAMPA</t>
        </is>
      </c>
      <c r="C1376" s="14">
        <f>'Empleo Censo'!G1376-'Empleo Censo'!F1376</f>
        <v/>
      </c>
      <c r="D1376" s="14">
        <f>'Empleo Censo'!F1376</f>
        <v/>
      </c>
      <c r="E1376" s="14">
        <f>'Empleo Censo'!H1376</f>
        <v/>
      </c>
      <c r="F1376" s="14">
        <f>'Empleo Censo'!I1376</f>
        <v/>
      </c>
      <c r="G1376" s="14">
        <f>'Empleo Censo'!J1376+'Empleo Censo'!K1376</f>
        <v/>
      </c>
      <c r="H1376" s="14">
        <f>'Empleo Censo'!L1376</f>
        <v/>
      </c>
      <c r="I1376" s="14">
        <f>'Empleo Censo'!M1376</f>
        <v/>
      </c>
      <c r="J1376" s="14">
        <f>SUM('Empleo Censo'!N1376:AA1376)</f>
        <v/>
      </c>
      <c r="K1376" s="14">
        <f>SUM(C1376:J1376)</f>
        <v/>
      </c>
      <c r="L1376" s="15">
        <f>SUMPRODUCT(C1376:J1376,Factores!$B$3:$I$3)</f>
        <v/>
      </c>
      <c r="M1376" s="16">
        <f>'Empleo Censo'!E1376</f>
        <v/>
      </c>
      <c r="N1376" s="17">
        <f>IF(M1376&gt;0,L1376,Factores!$B$7)</f>
        <v/>
      </c>
      <c r="O1376">
        <f>IF(M1376&gt;0,"OK","sin PEA -&gt; peor")</f>
        <v/>
      </c>
    </row>
    <row r="1377">
      <c r="A1377" t="inlineStr">
        <is>
          <t>040413</t>
        </is>
      </c>
      <c r="B1377" t="inlineStr">
        <is>
          <t>URACA</t>
        </is>
      </c>
      <c r="C1377" s="14">
        <f>'Empleo Censo'!G1377-'Empleo Censo'!F1377</f>
        <v/>
      </c>
      <c r="D1377" s="14">
        <f>'Empleo Censo'!F1377</f>
        <v/>
      </c>
      <c r="E1377" s="14">
        <f>'Empleo Censo'!H1377</f>
        <v/>
      </c>
      <c r="F1377" s="14">
        <f>'Empleo Censo'!I1377</f>
        <v/>
      </c>
      <c r="G1377" s="14">
        <f>'Empleo Censo'!J1377+'Empleo Censo'!K1377</f>
        <v/>
      </c>
      <c r="H1377" s="14">
        <f>'Empleo Censo'!L1377</f>
        <v/>
      </c>
      <c r="I1377" s="14">
        <f>'Empleo Censo'!M1377</f>
        <v/>
      </c>
      <c r="J1377" s="14">
        <f>SUM('Empleo Censo'!N1377:AA1377)</f>
        <v/>
      </c>
      <c r="K1377" s="14">
        <f>SUM(C1377:J1377)</f>
        <v/>
      </c>
      <c r="L1377" s="15">
        <f>SUMPRODUCT(C1377:J1377,Factores!$B$3:$I$3)</f>
        <v/>
      </c>
      <c r="M1377" s="16">
        <f>'Empleo Censo'!E1377</f>
        <v/>
      </c>
      <c r="N1377" s="17">
        <f>IF(M1377&gt;0,L1377,Factores!$B$7)</f>
        <v/>
      </c>
      <c r="O1377">
        <f>IF(M1377&gt;0,"OK","sin PEA -&gt; peor")</f>
        <v/>
      </c>
    </row>
    <row r="1378">
      <c r="A1378" t="inlineStr">
        <is>
          <t>090612</t>
        </is>
      </c>
      <c r="B1378" t="inlineStr">
        <is>
          <t>SAN ISIDRO</t>
        </is>
      </c>
      <c r="C1378" s="14">
        <f>'Empleo Censo'!G1378-'Empleo Censo'!F1378</f>
        <v/>
      </c>
      <c r="D1378" s="14">
        <f>'Empleo Censo'!F1378</f>
        <v/>
      </c>
      <c r="E1378" s="14">
        <f>'Empleo Censo'!H1378</f>
        <v/>
      </c>
      <c r="F1378" s="14">
        <f>'Empleo Censo'!I1378</f>
        <v/>
      </c>
      <c r="G1378" s="14">
        <f>'Empleo Censo'!J1378+'Empleo Censo'!K1378</f>
        <v/>
      </c>
      <c r="H1378" s="14">
        <f>'Empleo Censo'!L1378</f>
        <v/>
      </c>
      <c r="I1378" s="14">
        <f>'Empleo Censo'!M1378</f>
        <v/>
      </c>
      <c r="J1378" s="14">
        <f>SUM('Empleo Censo'!N1378:AA1378)</f>
        <v/>
      </c>
      <c r="K1378" s="14">
        <f>SUM(C1378:J1378)</f>
        <v/>
      </c>
      <c r="L1378" s="15">
        <f>SUMPRODUCT(C1378:J1378,Factores!$B$3:$I$3)</f>
        <v/>
      </c>
      <c r="M1378" s="16">
        <f>'Empleo Censo'!E1378</f>
        <v/>
      </c>
      <c r="N1378" s="17">
        <f>IF(M1378&gt;0,L1378,Factores!$B$7)</f>
        <v/>
      </c>
      <c r="O1378">
        <f>IF(M1378&gt;0,"OK","sin PEA -&gt; peor")</f>
        <v/>
      </c>
    </row>
    <row r="1379">
      <c r="A1379" t="inlineStr">
        <is>
          <t>050907</t>
        </is>
      </c>
      <c r="B1379" t="inlineStr">
        <is>
          <t>PAICO</t>
        </is>
      </c>
      <c r="C1379" s="14">
        <f>'Empleo Censo'!G1379-'Empleo Censo'!F1379</f>
        <v/>
      </c>
      <c r="D1379" s="14">
        <f>'Empleo Censo'!F1379</f>
        <v/>
      </c>
      <c r="E1379" s="14">
        <f>'Empleo Censo'!H1379</f>
        <v/>
      </c>
      <c r="F1379" s="14">
        <f>'Empleo Censo'!I1379</f>
        <v/>
      </c>
      <c r="G1379" s="14">
        <f>'Empleo Censo'!J1379+'Empleo Censo'!K1379</f>
        <v/>
      </c>
      <c r="H1379" s="14">
        <f>'Empleo Censo'!L1379</f>
        <v/>
      </c>
      <c r="I1379" s="14">
        <f>'Empleo Censo'!M1379</f>
        <v/>
      </c>
      <c r="J1379" s="14">
        <f>SUM('Empleo Censo'!N1379:AA1379)</f>
        <v/>
      </c>
      <c r="K1379" s="14">
        <f>SUM(C1379:J1379)</f>
        <v/>
      </c>
      <c r="L1379" s="15">
        <f>SUMPRODUCT(C1379:J1379,Factores!$B$3:$I$3)</f>
        <v/>
      </c>
      <c r="M1379" s="16">
        <f>'Empleo Censo'!E1379</f>
        <v/>
      </c>
      <c r="N1379" s="17">
        <f>IF(M1379&gt;0,L1379,Factores!$B$7)</f>
        <v/>
      </c>
      <c r="O1379">
        <f>IF(M1379&gt;0,"OK","sin PEA -&gt; peor")</f>
        <v/>
      </c>
    </row>
    <row r="1380">
      <c r="A1380" t="inlineStr">
        <is>
          <t>060406</t>
        </is>
      </c>
      <c r="B1380" t="inlineStr">
        <is>
          <t>CHOROPAMPA</t>
        </is>
      </c>
      <c r="C1380" s="14">
        <f>'Empleo Censo'!G1380-'Empleo Censo'!F1380</f>
        <v/>
      </c>
      <c r="D1380" s="14">
        <f>'Empleo Censo'!F1380</f>
        <v/>
      </c>
      <c r="E1380" s="14">
        <f>'Empleo Censo'!H1380</f>
        <v/>
      </c>
      <c r="F1380" s="14">
        <f>'Empleo Censo'!I1380</f>
        <v/>
      </c>
      <c r="G1380" s="14">
        <f>'Empleo Censo'!J1380+'Empleo Censo'!K1380</f>
        <v/>
      </c>
      <c r="H1380" s="14">
        <f>'Empleo Censo'!L1380</f>
        <v/>
      </c>
      <c r="I1380" s="14">
        <f>'Empleo Censo'!M1380</f>
        <v/>
      </c>
      <c r="J1380" s="14">
        <f>SUM('Empleo Censo'!N1380:AA1380)</f>
        <v/>
      </c>
      <c r="K1380" s="14">
        <f>SUM(C1380:J1380)</f>
        <v/>
      </c>
      <c r="L1380" s="15">
        <f>SUMPRODUCT(C1380:J1380,Factores!$B$3:$I$3)</f>
        <v/>
      </c>
      <c r="M1380" s="16">
        <f>'Empleo Censo'!E1380</f>
        <v/>
      </c>
      <c r="N1380" s="17">
        <f>IF(M1380&gt;0,L1380,Factores!$B$7)</f>
        <v/>
      </c>
      <c r="O1380">
        <f>IF(M1380&gt;0,"OK","sin PEA -&gt; peor")</f>
        <v/>
      </c>
    </row>
    <row r="1381">
      <c r="A1381" t="inlineStr">
        <is>
          <t>020106</t>
        </is>
      </c>
      <c r="B1381" t="inlineStr">
        <is>
          <t>JANGAS</t>
        </is>
      </c>
      <c r="C1381" s="14">
        <f>'Empleo Censo'!G1381-'Empleo Censo'!F1381</f>
        <v/>
      </c>
      <c r="D1381" s="14">
        <f>'Empleo Censo'!F1381</f>
        <v/>
      </c>
      <c r="E1381" s="14">
        <f>'Empleo Censo'!H1381</f>
        <v/>
      </c>
      <c r="F1381" s="14">
        <f>'Empleo Censo'!I1381</f>
        <v/>
      </c>
      <c r="G1381" s="14">
        <f>'Empleo Censo'!J1381+'Empleo Censo'!K1381</f>
        <v/>
      </c>
      <c r="H1381" s="14">
        <f>'Empleo Censo'!L1381</f>
        <v/>
      </c>
      <c r="I1381" s="14">
        <f>'Empleo Censo'!M1381</f>
        <v/>
      </c>
      <c r="J1381" s="14">
        <f>SUM('Empleo Censo'!N1381:AA1381)</f>
        <v/>
      </c>
      <c r="K1381" s="14">
        <f>SUM(C1381:J1381)</f>
        <v/>
      </c>
      <c r="L1381" s="15">
        <f>SUMPRODUCT(C1381:J1381,Factores!$B$3:$I$3)</f>
        <v/>
      </c>
      <c r="M1381" s="16">
        <f>'Empleo Censo'!E1381</f>
        <v/>
      </c>
      <c r="N1381" s="17">
        <f>IF(M1381&gt;0,L1381,Factores!$B$7)</f>
        <v/>
      </c>
      <c r="O1381">
        <f>IF(M1381&gt;0,"OK","sin PEA -&gt; peor")</f>
        <v/>
      </c>
    </row>
    <row r="1382">
      <c r="A1382" t="inlineStr">
        <is>
          <t>021907</t>
        </is>
      </c>
      <c r="B1382" t="inlineStr">
        <is>
          <t>QUICHES</t>
        </is>
      </c>
      <c r="C1382" s="14">
        <f>'Empleo Censo'!G1382-'Empleo Censo'!F1382</f>
        <v/>
      </c>
      <c r="D1382" s="14">
        <f>'Empleo Censo'!F1382</f>
        <v/>
      </c>
      <c r="E1382" s="14">
        <f>'Empleo Censo'!H1382</f>
        <v/>
      </c>
      <c r="F1382" s="14">
        <f>'Empleo Censo'!I1382</f>
        <v/>
      </c>
      <c r="G1382" s="14">
        <f>'Empleo Censo'!J1382+'Empleo Censo'!K1382</f>
        <v/>
      </c>
      <c r="H1382" s="14">
        <f>'Empleo Censo'!L1382</f>
        <v/>
      </c>
      <c r="I1382" s="14">
        <f>'Empleo Censo'!M1382</f>
        <v/>
      </c>
      <c r="J1382" s="14">
        <f>SUM('Empleo Censo'!N1382:AA1382)</f>
        <v/>
      </c>
      <c r="K1382" s="14">
        <f>SUM(C1382:J1382)</f>
        <v/>
      </c>
      <c r="L1382" s="15">
        <f>SUMPRODUCT(C1382:J1382,Factores!$B$3:$I$3)</f>
        <v/>
      </c>
      <c r="M1382" s="16">
        <f>'Empleo Censo'!E1382</f>
        <v/>
      </c>
      <c r="N1382" s="17">
        <f>IF(M1382&gt;0,L1382,Factores!$B$7)</f>
        <v/>
      </c>
      <c r="O1382">
        <f>IF(M1382&gt;0,"OK","sin PEA -&gt; peor")</f>
        <v/>
      </c>
    </row>
    <row r="1383">
      <c r="A1383" t="inlineStr">
        <is>
          <t>022005</t>
        </is>
      </c>
      <c r="B1383" t="inlineStr">
        <is>
          <t>QUILLO</t>
        </is>
      </c>
      <c r="C1383" s="14">
        <f>'Empleo Censo'!G1383-'Empleo Censo'!F1383</f>
        <v/>
      </c>
      <c r="D1383" s="14">
        <f>'Empleo Censo'!F1383</f>
        <v/>
      </c>
      <c r="E1383" s="14">
        <f>'Empleo Censo'!H1383</f>
        <v/>
      </c>
      <c r="F1383" s="14">
        <f>'Empleo Censo'!I1383</f>
        <v/>
      </c>
      <c r="G1383" s="14">
        <f>'Empleo Censo'!J1383+'Empleo Censo'!K1383</f>
        <v/>
      </c>
      <c r="H1383" s="14">
        <f>'Empleo Censo'!L1383</f>
        <v/>
      </c>
      <c r="I1383" s="14">
        <f>'Empleo Censo'!M1383</f>
        <v/>
      </c>
      <c r="J1383" s="14">
        <f>SUM('Empleo Censo'!N1383:AA1383)</f>
        <v/>
      </c>
      <c r="K1383" s="14">
        <f>SUM(C1383:J1383)</f>
        <v/>
      </c>
      <c r="L1383" s="15">
        <f>SUMPRODUCT(C1383:J1383,Factores!$B$3:$I$3)</f>
        <v/>
      </c>
      <c r="M1383" s="16">
        <f>'Empleo Censo'!E1383</f>
        <v/>
      </c>
      <c r="N1383" s="17">
        <f>IF(M1383&gt;0,L1383,Factores!$B$7)</f>
        <v/>
      </c>
      <c r="O1383">
        <f>IF(M1383&gt;0,"OK","sin PEA -&gt; peor")</f>
        <v/>
      </c>
    </row>
    <row r="1384">
      <c r="A1384" t="inlineStr">
        <is>
          <t>080604</t>
        </is>
      </c>
      <c r="B1384" t="inlineStr">
        <is>
          <t>MARANGANI</t>
        </is>
      </c>
      <c r="C1384" s="14">
        <f>'Empleo Censo'!G1384-'Empleo Censo'!F1384</f>
        <v/>
      </c>
      <c r="D1384" s="14">
        <f>'Empleo Censo'!F1384</f>
        <v/>
      </c>
      <c r="E1384" s="14">
        <f>'Empleo Censo'!H1384</f>
        <v/>
      </c>
      <c r="F1384" s="14">
        <f>'Empleo Censo'!I1384</f>
        <v/>
      </c>
      <c r="G1384" s="14">
        <f>'Empleo Censo'!J1384+'Empleo Censo'!K1384</f>
        <v/>
      </c>
      <c r="H1384" s="14">
        <f>'Empleo Censo'!L1384</f>
        <v/>
      </c>
      <c r="I1384" s="14">
        <f>'Empleo Censo'!M1384</f>
        <v/>
      </c>
      <c r="J1384" s="14">
        <f>SUM('Empleo Censo'!N1384:AA1384)</f>
        <v/>
      </c>
      <c r="K1384" s="14">
        <f>SUM(C1384:J1384)</f>
        <v/>
      </c>
      <c r="L1384" s="15">
        <f>SUMPRODUCT(C1384:J1384,Factores!$B$3:$I$3)</f>
        <v/>
      </c>
      <c r="M1384" s="16">
        <f>'Empleo Censo'!E1384</f>
        <v/>
      </c>
      <c r="N1384" s="17">
        <f>IF(M1384&gt;0,L1384,Factores!$B$7)</f>
        <v/>
      </c>
      <c r="O1384">
        <f>IF(M1384&gt;0,"OK","sin PEA -&gt; peor")</f>
        <v/>
      </c>
    </row>
    <row r="1385">
      <c r="A1385" t="inlineStr">
        <is>
          <t>020402</t>
        </is>
      </c>
      <c r="B1385" t="inlineStr">
        <is>
          <t>ACOCHACA</t>
        </is>
      </c>
      <c r="C1385" s="14">
        <f>'Empleo Censo'!G1385-'Empleo Censo'!F1385</f>
        <v/>
      </c>
      <c r="D1385" s="14">
        <f>'Empleo Censo'!F1385</f>
        <v/>
      </c>
      <c r="E1385" s="14">
        <f>'Empleo Censo'!H1385</f>
        <v/>
      </c>
      <c r="F1385" s="14">
        <f>'Empleo Censo'!I1385</f>
        <v/>
      </c>
      <c r="G1385" s="14">
        <f>'Empleo Censo'!J1385+'Empleo Censo'!K1385</f>
        <v/>
      </c>
      <c r="H1385" s="14">
        <f>'Empleo Censo'!L1385</f>
        <v/>
      </c>
      <c r="I1385" s="14">
        <f>'Empleo Censo'!M1385</f>
        <v/>
      </c>
      <c r="J1385" s="14">
        <f>SUM('Empleo Censo'!N1385:AA1385)</f>
        <v/>
      </c>
      <c r="K1385" s="14">
        <f>SUM(C1385:J1385)</f>
        <v/>
      </c>
      <c r="L1385" s="15">
        <f>SUMPRODUCT(C1385:J1385,Factores!$B$3:$I$3)</f>
        <v/>
      </c>
      <c r="M1385" s="16">
        <f>'Empleo Censo'!E1385</f>
        <v/>
      </c>
      <c r="N1385" s="17">
        <f>IF(M1385&gt;0,L1385,Factores!$B$7)</f>
        <v/>
      </c>
      <c r="O1385">
        <f>IF(M1385&gt;0,"OK","sin PEA -&gt; peor")</f>
        <v/>
      </c>
    </row>
    <row r="1386">
      <c r="A1386" t="inlineStr">
        <is>
          <t>021201</t>
        </is>
      </c>
      <c r="B1386" t="inlineStr">
        <is>
          <t>CARAZ</t>
        </is>
      </c>
      <c r="C1386" s="14">
        <f>'Empleo Censo'!G1386-'Empleo Censo'!F1386</f>
        <v/>
      </c>
      <c r="D1386" s="14">
        <f>'Empleo Censo'!F1386</f>
        <v/>
      </c>
      <c r="E1386" s="14">
        <f>'Empleo Censo'!H1386</f>
        <v/>
      </c>
      <c r="F1386" s="14">
        <f>'Empleo Censo'!I1386</f>
        <v/>
      </c>
      <c r="G1386" s="14">
        <f>'Empleo Censo'!J1386+'Empleo Censo'!K1386</f>
        <v/>
      </c>
      <c r="H1386" s="14">
        <f>'Empleo Censo'!L1386</f>
        <v/>
      </c>
      <c r="I1386" s="14">
        <f>'Empleo Censo'!M1386</f>
        <v/>
      </c>
      <c r="J1386" s="14">
        <f>SUM('Empleo Censo'!N1386:AA1386)</f>
        <v/>
      </c>
      <c r="K1386" s="14">
        <f>SUM(C1386:J1386)</f>
        <v/>
      </c>
      <c r="L1386" s="15">
        <f>SUMPRODUCT(C1386:J1386,Factores!$B$3:$I$3)</f>
        <v/>
      </c>
      <c r="M1386" s="16">
        <f>'Empleo Censo'!E1386</f>
        <v/>
      </c>
      <c r="N1386" s="17">
        <f>IF(M1386&gt;0,L1386,Factores!$B$7)</f>
        <v/>
      </c>
      <c r="O1386">
        <f>IF(M1386&gt;0,"OK","sin PEA -&gt; peor")</f>
        <v/>
      </c>
    </row>
    <row r="1387">
      <c r="A1387" t="inlineStr">
        <is>
          <t>040128</t>
        </is>
      </c>
      <c r="B1387" t="inlineStr">
        <is>
          <t>YURA</t>
        </is>
      </c>
      <c r="C1387" s="14">
        <f>'Empleo Censo'!G1387-'Empleo Censo'!F1387</f>
        <v/>
      </c>
      <c r="D1387" s="14">
        <f>'Empleo Censo'!F1387</f>
        <v/>
      </c>
      <c r="E1387" s="14">
        <f>'Empleo Censo'!H1387</f>
        <v/>
      </c>
      <c r="F1387" s="14">
        <f>'Empleo Censo'!I1387</f>
        <v/>
      </c>
      <c r="G1387" s="14">
        <f>'Empleo Censo'!J1387+'Empleo Censo'!K1387</f>
        <v/>
      </c>
      <c r="H1387" s="14">
        <f>'Empleo Censo'!L1387</f>
        <v/>
      </c>
      <c r="I1387" s="14">
        <f>'Empleo Censo'!M1387</f>
        <v/>
      </c>
      <c r="J1387" s="14">
        <f>SUM('Empleo Censo'!N1387:AA1387)</f>
        <v/>
      </c>
      <c r="K1387" s="14">
        <f>SUM(C1387:J1387)</f>
        <v/>
      </c>
      <c r="L1387" s="15">
        <f>SUMPRODUCT(C1387:J1387,Factores!$B$3:$I$3)</f>
        <v/>
      </c>
      <c r="M1387" s="16">
        <f>'Empleo Censo'!E1387</f>
        <v/>
      </c>
      <c r="N1387" s="17">
        <f>IF(M1387&gt;0,L1387,Factores!$B$7)</f>
        <v/>
      </c>
      <c r="O1387">
        <f>IF(M1387&gt;0,"OK","sin PEA -&gt; peor")</f>
        <v/>
      </c>
    </row>
    <row r="1388">
      <c r="A1388" t="inlineStr">
        <is>
          <t>020303</t>
        </is>
      </c>
      <c r="B1388" t="inlineStr">
        <is>
          <t>CHACCHO</t>
        </is>
      </c>
      <c r="C1388" s="14">
        <f>'Empleo Censo'!G1388-'Empleo Censo'!F1388</f>
        <v/>
      </c>
      <c r="D1388" s="14">
        <f>'Empleo Censo'!F1388</f>
        <v/>
      </c>
      <c r="E1388" s="14">
        <f>'Empleo Censo'!H1388</f>
        <v/>
      </c>
      <c r="F1388" s="14">
        <f>'Empleo Censo'!I1388</f>
        <v/>
      </c>
      <c r="G1388" s="14">
        <f>'Empleo Censo'!J1388+'Empleo Censo'!K1388</f>
        <v/>
      </c>
      <c r="H1388" s="14">
        <f>'Empleo Censo'!L1388</f>
        <v/>
      </c>
      <c r="I1388" s="14">
        <f>'Empleo Censo'!M1388</f>
        <v/>
      </c>
      <c r="J1388" s="14">
        <f>SUM('Empleo Censo'!N1388:AA1388)</f>
        <v/>
      </c>
      <c r="K1388" s="14">
        <f>SUM(C1388:J1388)</f>
        <v/>
      </c>
      <c r="L1388" s="15">
        <f>SUMPRODUCT(C1388:J1388,Factores!$B$3:$I$3)</f>
        <v/>
      </c>
      <c r="M1388" s="16">
        <f>'Empleo Censo'!E1388</f>
        <v/>
      </c>
      <c r="N1388" s="17">
        <f>IF(M1388&gt;0,L1388,Factores!$B$7)</f>
        <v/>
      </c>
      <c r="O1388">
        <f>IF(M1388&gt;0,"OK","sin PEA -&gt; peor")</f>
        <v/>
      </c>
    </row>
    <row r="1389">
      <c r="A1389" t="inlineStr">
        <is>
          <t>030102</t>
        </is>
      </c>
      <c r="B1389" t="inlineStr">
        <is>
          <t>CHACOCHE</t>
        </is>
      </c>
      <c r="C1389" s="14">
        <f>'Empleo Censo'!G1389-'Empleo Censo'!F1389</f>
        <v/>
      </c>
      <c r="D1389" s="14">
        <f>'Empleo Censo'!F1389</f>
        <v/>
      </c>
      <c r="E1389" s="14">
        <f>'Empleo Censo'!H1389</f>
        <v/>
      </c>
      <c r="F1389" s="14">
        <f>'Empleo Censo'!I1389</f>
        <v/>
      </c>
      <c r="G1389" s="14">
        <f>'Empleo Censo'!J1389+'Empleo Censo'!K1389</f>
        <v/>
      </c>
      <c r="H1389" s="14">
        <f>'Empleo Censo'!L1389</f>
        <v/>
      </c>
      <c r="I1389" s="14">
        <f>'Empleo Censo'!M1389</f>
        <v/>
      </c>
      <c r="J1389" s="14">
        <f>SUM('Empleo Censo'!N1389:AA1389)</f>
        <v/>
      </c>
      <c r="K1389" s="14">
        <f>SUM(C1389:J1389)</f>
        <v/>
      </c>
      <c r="L1389" s="15">
        <f>SUMPRODUCT(C1389:J1389,Factores!$B$3:$I$3)</f>
        <v/>
      </c>
      <c r="M1389" s="16">
        <f>'Empleo Censo'!E1389</f>
        <v/>
      </c>
      <c r="N1389" s="17">
        <f>IF(M1389&gt;0,L1389,Factores!$B$7)</f>
        <v/>
      </c>
      <c r="O1389">
        <f>IF(M1389&gt;0,"OK","sin PEA -&gt; peor")</f>
        <v/>
      </c>
    </row>
    <row r="1390">
      <c r="A1390" t="inlineStr">
        <is>
          <t>050903</t>
        </is>
      </c>
      <c r="B1390" t="inlineStr">
        <is>
          <t>CHALCOS</t>
        </is>
      </c>
      <c r="C1390" s="14">
        <f>'Empleo Censo'!G1390-'Empleo Censo'!F1390</f>
        <v/>
      </c>
      <c r="D1390" s="14">
        <f>'Empleo Censo'!F1390</f>
        <v/>
      </c>
      <c r="E1390" s="14">
        <f>'Empleo Censo'!H1390</f>
        <v/>
      </c>
      <c r="F1390" s="14">
        <f>'Empleo Censo'!I1390</f>
        <v/>
      </c>
      <c r="G1390" s="14">
        <f>'Empleo Censo'!J1390+'Empleo Censo'!K1390</f>
        <v/>
      </c>
      <c r="H1390" s="14">
        <f>'Empleo Censo'!L1390</f>
        <v/>
      </c>
      <c r="I1390" s="14">
        <f>'Empleo Censo'!M1390</f>
        <v/>
      </c>
      <c r="J1390" s="14">
        <f>SUM('Empleo Censo'!N1390:AA1390)</f>
        <v/>
      </c>
      <c r="K1390" s="14">
        <f>SUM(C1390:J1390)</f>
        <v/>
      </c>
      <c r="L1390" s="15">
        <f>SUMPRODUCT(C1390:J1390,Factores!$B$3:$I$3)</f>
        <v/>
      </c>
      <c r="M1390" s="16">
        <f>'Empleo Censo'!E1390</f>
        <v/>
      </c>
      <c r="N1390" s="17">
        <f>IF(M1390&gt;0,L1390,Factores!$B$7)</f>
        <v/>
      </c>
      <c r="O1390">
        <f>IF(M1390&gt;0,"OK","sin PEA -&gt; peor")</f>
        <v/>
      </c>
    </row>
    <row r="1391">
      <c r="A1391" t="inlineStr">
        <is>
          <t>090601</t>
        </is>
      </c>
      <c r="B1391" t="inlineStr">
        <is>
          <t>HUAYTARA</t>
        </is>
      </c>
      <c r="C1391" s="14">
        <f>'Empleo Censo'!G1391-'Empleo Censo'!F1391</f>
        <v/>
      </c>
      <c r="D1391" s="14">
        <f>'Empleo Censo'!F1391</f>
        <v/>
      </c>
      <c r="E1391" s="14">
        <f>'Empleo Censo'!H1391</f>
        <v/>
      </c>
      <c r="F1391" s="14">
        <f>'Empleo Censo'!I1391</f>
        <v/>
      </c>
      <c r="G1391" s="14">
        <f>'Empleo Censo'!J1391+'Empleo Censo'!K1391</f>
        <v/>
      </c>
      <c r="H1391" s="14">
        <f>'Empleo Censo'!L1391</f>
        <v/>
      </c>
      <c r="I1391" s="14">
        <f>'Empleo Censo'!M1391</f>
        <v/>
      </c>
      <c r="J1391" s="14">
        <f>SUM('Empleo Censo'!N1391:AA1391)</f>
        <v/>
      </c>
      <c r="K1391" s="14">
        <f>SUM(C1391:J1391)</f>
        <v/>
      </c>
      <c r="L1391" s="15">
        <f>SUMPRODUCT(C1391:J1391,Factores!$B$3:$I$3)</f>
        <v/>
      </c>
      <c r="M1391" s="16">
        <f>'Empleo Censo'!E1391</f>
        <v/>
      </c>
      <c r="N1391" s="17">
        <f>IF(M1391&gt;0,L1391,Factores!$B$7)</f>
        <v/>
      </c>
      <c r="O1391">
        <f>IF(M1391&gt;0,"OK","sin PEA -&gt; peor")</f>
        <v/>
      </c>
    </row>
    <row r="1392">
      <c r="A1392" t="inlineStr">
        <is>
          <t>080702</t>
        </is>
      </c>
      <c r="B1392" t="inlineStr">
        <is>
          <t>CAPACMARCA</t>
        </is>
      </c>
      <c r="C1392" s="14">
        <f>'Empleo Censo'!G1392-'Empleo Censo'!F1392</f>
        <v/>
      </c>
      <c r="D1392" s="14">
        <f>'Empleo Censo'!F1392</f>
        <v/>
      </c>
      <c r="E1392" s="14">
        <f>'Empleo Censo'!H1392</f>
        <v/>
      </c>
      <c r="F1392" s="14">
        <f>'Empleo Censo'!I1392</f>
        <v/>
      </c>
      <c r="G1392" s="14">
        <f>'Empleo Censo'!J1392+'Empleo Censo'!K1392</f>
        <v/>
      </c>
      <c r="H1392" s="14">
        <f>'Empleo Censo'!L1392</f>
        <v/>
      </c>
      <c r="I1392" s="14">
        <f>'Empleo Censo'!M1392</f>
        <v/>
      </c>
      <c r="J1392" s="14">
        <f>SUM('Empleo Censo'!N1392:AA1392)</f>
        <v/>
      </c>
      <c r="K1392" s="14">
        <f>SUM(C1392:J1392)</f>
        <v/>
      </c>
      <c r="L1392" s="15">
        <f>SUMPRODUCT(C1392:J1392,Factores!$B$3:$I$3)</f>
        <v/>
      </c>
      <c r="M1392" s="16">
        <f>'Empleo Censo'!E1392</f>
        <v/>
      </c>
      <c r="N1392" s="17">
        <f>IF(M1392&gt;0,L1392,Factores!$B$7)</f>
        <v/>
      </c>
      <c r="O1392">
        <f>IF(M1392&gt;0,"OK","sin PEA -&gt; peor")</f>
        <v/>
      </c>
    </row>
    <row r="1393">
      <c r="A1393" t="inlineStr">
        <is>
          <t>060609</t>
        </is>
      </c>
      <c r="B1393" t="inlineStr">
        <is>
          <t>SAN JUAN DE CUTERVO</t>
        </is>
      </c>
      <c r="C1393" s="14">
        <f>'Empleo Censo'!G1393-'Empleo Censo'!F1393</f>
        <v/>
      </c>
      <c r="D1393" s="14">
        <f>'Empleo Censo'!F1393</f>
        <v/>
      </c>
      <c r="E1393" s="14">
        <f>'Empleo Censo'!H1393</f>
        <v/>
      </c>
      <c r="F1393" s="14">
        <f>'Empleo Censo'!I1393</f>
        <v/>
      </c>
      <c r="G1393" s="14">
        <f>'Empleo Censo'!J1393+'Empleo Censo'!K1393</f>
        <v/>
      </c>
      <c r="H1393" s="14">
        <f>'Empleo Censo'!L1393</f>
        <v/>
      </c>
      <c r="I1393" s="14">
        <f>'Empleo Censo'!M1393</f>
        <v/>
      </c>
      <c r="J1393" s="14">
        <f>SUM('Empleo Censo'!N1393:AA1393)</f>
        <v/>
      </c>
      <c r="K1393" s="14">
        <f>SUM(C1393:J1393)</f>
        <v/>
      </c>
      <c r="L1393" s="15">
        <f>SUMPRODUCT(C1393:J1393,Factores!$B$3:$I$3)</f>
        <v/>
      </c>
      <c r="M1393" s="16">
        <f>'Empleo Censo'!E1393</f>
        <v/>
      </c>
      <c r="N1393" s="17">
        <f>IF(M1393&gt;0,L1393,Factores!$B$7)</f>
        <v/>
      </c>
      <c r="O1393">
        <f>IF(M1393&gt;0,"OK","sin PEA -&gt; peor")</f>
        <v/>
      </c>
    </row>
    <row r="1394">
      <c r="A1394" t="inlineStr">
        <is>
          <t>080301</t>
        </is>
      </c>
      <c r="B1394" t="inlineStr">
        <is>
          <t>ANTA</t>
        </is>
      </c>
      <c r="C1394" s="14">
        <f>'Empleo Censo'!G1394-'Empleo Censo'!F1394</f>
        <v/>
      </c>
      <c r="D1394" s="14">
        <f>'Empleo Censo'!F1394</f>
        <v/>
      </c>
      <c r="E1394" s="14">
        <f>'Empleo Censo'!H1394</f>
        <v/>
      </c>
      <c r="F1394" s="14">
        <f>'Empleo Censo'!I1394</f>
        <v/>
      </c>
      <c r="G1394" s="14">
        <f>'Empleo Censo'!J1394+'Empleo Censo'!K1394</f>
        <v/>
      </c>
      <c r="H1394" s="14">
        <f>'Empleo Censo'!L1394</f>
        <v/>
      </c>
      <c r="I1394" s="14">
        <f>'Empleo Censo'!M1394</f>
        <v/>
      </c>
      <c r="J1394" s="14">
        <f>SUM('Empleo Censo'!N1394:AA1394)</f>
        <v/>
      </c>
      <c r="K1394" s="14">
        <f>SUM(C1394:J1394)</f>
        <v/>
      </c>
      <c r="L1394" s="15">
        <f>SUMPRODUCT(C1394:J1394,Factores!$B$3:$I$3)</f>
        <v/>
      </c>
      <c r="M1394" s="16">
        <f>'Empleo Censo'!E1394</f>
        <v/>
      </c>
      <c r="N1394" s="17">
        <f>IF(M1394&gt;0,L1394,Factores!$B$7)</f>
        <v/>
      </c>
      <c r="O1394">
        <f>IF(M1394&gt;0,"OK","sin PEA -&gt; peor")</f>
        <v/>
      </c>
    </row>
    <row r="1395">
      <c r="A1395" t="inlineStr">
        <is>
          <t>051004</t>
        </is>
      </c>
      <c r="B1395" t="inlineStr">
        <is>
          <t>ASQUIPATA</t>
        </is>
      </c>
      <c r="C1395" s="14">
        <f>'Empleo Censo'!G1395-'Empleo Censo'!F1395</f>
        <v/>
      </c>
      <c r="D1395" s="14">
        <f>'Empleo Censo'!F1395</f>
        <v/>
      </c>
      <c r="E1395" s="14">
        <f>'Empleo Censo'!H1395</f>
        <v/>
      </c>
      <c r="F1395" s="14">
        <f>'Empleo Censo'!I1395</f>
        <v/>
      </c>
      <c r="G1395" s="14">
        <f>'Empleo Censo'!J1395+'Empleo Censo'!K1395</f>
        <v/>
      </c>
      <c r="H1395" s="14">
        <f>'Empleo Censo'!L1395</f>
        <v/>
      </c>
      <c r="I1395" s="14">
        <f>'Empleo Censo'!M1395</f>
        <v/>
      </c>
      <c r="J1395" s="14">
        <f>SUM('Empleo Censo'!N1395:AA1395)</f>
        <v/>
      </c>
      <c r="K1395" s="14">
        <f>SUM(C1395:J1395)</f>
        <v/>
      </c>
      <c r="L1395" s="15">
        <f>SUMPRODUCT(C1395:J1395,Factores!$B$3:$I$3)</f>
        <v/>
      </c>
      <c r="M1395" s="16">
        <f>'Empleo Censo'!E1395</f>
        <v/>
      </c>
      <c r="N1395" s="17">
        <f>IF(M1395&gt;0,L1395,Factores!$B$7)</f>
        <v/>
      </c>
      <c r="O1395">
        <f>IF(M1395&gt;0,"OK","sin PEA -&gt; peor")</f>
        <v/>
      </c>
    </row>
    <row r="1396">
      <c r="A1396" t="inlineStr">
        <is>
          <t>020703</t>
        </is>
      </c>
      <c r="B1396" t="inlineStr">
        <is>
          <t>YAUYA</t>
        </is>
      </c>
      <c r="C1396" s="14">
        <f>'Empleo Censo'!G1396-'Empleo Censo'!F1396</f>
        <v/>
      </c>
      <c r="D1396" s="14">
        <f>'Empleo Censo'!F1396</f>
        <v/>
      </c>
      <c r="E1396" s="14">
        <f>'Empleo Censo'!H1396</f>
        <v/>
      </c>
      <c r="F1396" s="14">
        <f>'Empleo Censo'!I1396</f>
        <v/>
      </c>
      <c r="G1396" s="14">
        <f>'Empleo Censo'!J1396+'Empleo Censo'!K1396</f>
        <v/>
      </c>
      <c r="H1396" s="14">
        <f>'Empleo Censo'!L1396</f>
        <v/>
      </c>
      <c r="I1396" s="14">
        <f>'Empleo Censo'!M1396</f>
        <v/>
      </c>
      <c r="J1396" s="14">
        <f>SUM('Empleo Censo'!N1396:AA1396)</f>
        <v/>
      </c>
      <c r="K1396" s="14">
        <f>SUM(C1396:J1396)</f>
        <v/>
      </c>
      <c r="L1396" s="15">
        <f>SUMPRODUCT(C1396:J1396,Factores!$B$3:$I$3)</f>
        <v/>
      </c>
      <c r="M1396" s="16">
        <f>'Empleo Censo'!E1396</f>
        <v/>
      </c>
      <c r="N1396" s="17">
        <f>IF(M1396&gt;0,L1396,Factores!$B$7)</f>
        <v/>
      </c>
      <c r="O1396">
        <f>IF(M1396&gt;0,"OK","sin PEA -&gt; peor")</f>
        <v/>
      </c>
    </row>
    <row r="1397">
      <c r="A1397" t="inlineStr">
        <is>
          <t>090115</t>
        </is>
      </c>
      <c r="B1397" t="inlineStr">
        <is>
          <t>PILCHACA</t>
        </is>
      </c>
      <c r="C1397" s="14">
        <f>'Empleo Censo'!G1397-'Empleo Censo'!F1397</f>
        <v/>
      </c>
      <c r="D1397" s="14">
        <f>'Empleo Censo'!F1397</f>
        <v/>
      </c>
      <c r="E1397" s="14">
        <f>'Empleo Censo'!H1397</f>
        <v/>
      </c>
      <c r="F1397" s="14">
        <f>'Empleo Censo'!I1397</f>
        <v/>
      </c>
      <c r="G1397" s="14">
        <f>'Empleo Censo'!J1397+'Empleo Censo'!K1397</f>
        <v/>
      </c>
      <c r="H1397" s="14">
        <f>'Empleo Censo'!L1397</f>
        <v/>
      </c>
      <c r="I1397" s="14">
        <f>'Empleo Censo'!M1397</f>
        <v/>
      </c>
      <c r="J1397" s="14">
        <f>SUM('Empleo Censo'!N1397:AA1397)</f>
        <v/>
      </c>
      <c r="K1397" s="14">
        <f>SUM(C1397:J1397)</f>
        <v/>
      </c>
      <c r="L1397" s="15">
        <f>SUMPRODUCT(C1397:J1397,Factores!$B$3:$I$3)</f>
        <v/>
      </c>
      <c r="M1397" s="16">
        <f>'Empleo Censo'!E1397</f>
        <v/>
      </c>
      <c r="N1397" s="17">
        <f>IF(M1397&gt;0,L1397,Factores!$B$7)</f>
        <v/>
      </c>
      <c r="O1397">
        <f>IF(M1397&gt;0,"OK","sin PEA -&gt; peor")</f>
        <v/>
      </c>
    </row>
    <row r="1398">
      <c r="A1398" t="inlineStr">
        <is>
          <t>022004</t>
        </is>
      </c>
      <c r="B1398" t="inlineStr">
        <is>
          <t>MATACOTO</t>
        </is>
      </c>
      <c r="C1398" s="14">
        <f>'Empleo Censo'!G1398-'Empleo Censo'!F1398</f>
        <v/>
      </c>
      <c r="D1398" s="14">
        <f>'Empleo Censo'!F1398</f>
        <v/>
      </c>
      <c r="E1398" s="14">
        <f>'Empleo Censo'!H1398</f>
        <v/>
      </c>
      <c r="F1398" s="14">
        <f>'Empleo Censo'!I1398</f>
        <v/>
      </c>
      <c r="G1398" s="14">
        <f>'Empleo Censo'!J1398+'Empleo Censo'!K1398</f>
        <v/>
      </c>
      <c r="H1398" s="14">
        <f>'Empleo Censo'!L1398</f>
        <v/>
      </c>
      <c r="I1398" s="14">
        <f>'Empleo Censo'!M1398</f>
        <v/>
      </c>
      <c r="J1398" s="14">
        <f>SUM('Empleo Censo'!N1398:AA1398)</f>
        <v/>
      </c>
      <c r="K1398" s="14">
        <f>SUM(C1398:J1398)</f>
        <v/>
      </c>
      <c r="L1398" s="15">
        <f>SUMPRODUCT(C1398:J1398,Factores!$B$3:$I$3)</f>
        <v/>
      </c>
      <c r="M1398" s="16">
        <f>'Empleo Censo'!E1398</f>
        <v/>
      </c>
      <c r="N1398" s="17">
        <f>IF(M1398&gt;0,L1398,Factores!$B$7)</f>
        <v/>
      </c>
      <c r="O1398">
        <f>IF(M1398&gt;0,"OK","sin PEA -&gt; peor")</f>
        <v/>
      </c>
    </row>
    <row r="1399">
      <c r="A1399" t="inlineStr">
        <is>
          <t>021304</t>
        </is>
      </c>
      <c r="B1399" t="inlineStr">
        <is>
          <t>FIDEL OLIVAS ESCUDERO</t>
        </is>
      </c>
      <c r="C1399" s="14">
        <f>'Empleo Censo'!G1399-'Empleo Censo'!F1399</f>
        <v/>
      </c>
      <c r="D1399" s="14">
        <f>'Empleo Censo'!F1399</f>
        <v/>
      </c>
      <c r="E1399" s="14">
        <f>'Empleo Censo'!H1399</f>
        <v/>
      </c>
      <c r="F1399" s="14">
        <f>'Empleo Censo'!I1399</f>
        <v/>
      </c>
      <c r="G1399" s="14">
        <f>'Empleo Censo'!J1399+'Empleo Censo'!K1399</f>
        <v/>
      </c>
      <c r="H1399" s="14">
        <f>'Empleo Censo'!L1399</f>
        <v/>
      </c>
      <c r="I1399" s="14">
        <f>'Empleo Censo'!M1399</f>
        <v/>
      </c>
      <c r="J1399" s="14">
        <f>SUM('Empleo Censo'!N1399:AA1399)</f>
        <v/>
      </c>
      <c r="K1399" s="14">
        <f>SUM(C1399:J1399)</f>
        <v/>
      </c>
      <c r="L1399" s="15">
        <f>SUMPRODUCT(C1399:J1399,Factores!$B$3:$I$3)</f>
        <v/>
      </c>
      <c r="M1399" s="16">
        <f>'Empleo Censo'!E1399</f>
        <v/>
      </c>
      <c r="N1399" s="17">
        <f>IF(M1399&gt;0,L1399,Factores!$B$7)</f>
        <v/>
      </c>
      <c r="O1399">
        <f>IF(M1399&gt;0,"OK","sin PEA -&gt; peor")</f>
        <v/>
      </c>
    </row>
    <row r="1400">
      <c r="A1400" t="inlineStr">
        <is>
          <t>080103</t>
        </is>
      </c>
      <c r="B1400" t="inlineStr">
        <is>
          <t>POROY</t>
        </is>
      </c>
      <c r="C1400" s="14">
        <f>'Empleo Censo'!G1400-'Empleo Censo'!F1400</f>
        <v/>
      </c>
      <c r="D1400" s="14">
        <f>'Empleo Censo'!F1400</f>
        <v/>
      </c>
      <c r="E1400" s="14">
        <f>'Empleo Censo'!H1400</f>
        <v/>
      </c>
      <c r="F1400" s="14">
        <f>'Empleo Censo'!I1400</f>
        <v/>
      </c>
      <c r="G1400" s="14">
        <f>'Empleo Censo'!J1400+'Empleo Censo'!K1400</f>
        <v/>
      </c>
      <c r="H1400" s="14">
        <f>'Empleo Censo'!L1400</f>
        <v/>
      </c>
      <c r="I1400" s="14">
        <f>'Empleo Censo'!M1400</f>
        <v/>
      </c>
      <c r="J1400" s="14">
        <f>SUM('Empleo Censo'!N1400:AA1400)</f>
        <v/>
      </c>
      <c r="K1400" s="14">
        <f>SUM(C1400:J1400)</f>
        <v/>
      </c>
      <c r="L1400" s="15">
        <f>SUMPRODUCT(C1400:J1400,Factores!$B$3:$I$3)</f>
        <v/>
      </c>
      <c r="M1400" s="16">
        <f>'Empleo Censo'!E1400</f>
        <v/>
      </c>
      <c r="N1400" s="17">
        <f>IF(M1400&gt;0,L1400,Factores!$B$7)</f>
        <v/>
      </c>
      <c r="O1400">
        <f>IF(M1400&gt;0,"OK","sin PEA -&gt; peor")</f>
        <v/>
      </c>
    </row>
    <row r="1401">
      <c r="A1401" t="inlineStr">
        <is>
          <t>090610</t>
        </is>
      </c>
      <c r="B1401" t="inlineStr">
        <is>
          <t>SAN ANTONIO DE CUSICANCHA</t>
        </is>
      </c>
      <c r="C1401" s="14">
        <f>'Empleo Censo'!G1401-'Empleo Censo'!F1401</f>
        <v/>
      </c>
      <c r="D1401" s="14">
        <f>'Empleo Censo'!F1401</f>
        <v/>
      </c>
      <c r="E1401" s="14">
        <f>'Empleo Censo'!H1401</f>
        <v/>
      </c>
      <c r="F1401" s="14">
        <f>'Empleo Censo'!I1401</f>
        <v/>
      </c>
      <c r="G1401" s="14">
        <f>'Empleo Censo'!J1401+'Empleo Censo'!K1401</f>
        <v/>
      </c>
      <c r="H1401" s="14">
        <f>'Empleo Censo'!L1401</f>
        <v/>
      </c>
      <c r="I1401" s="14">
        <f>'Empleo Censo'!M1401</f>
        <v/>
      </c>
      <c r="J1401" s="14">
        <f>SUM('Empleo Censo'!N1401:AA1401)</f>
        <v/>
      </c>
      <c r="K1401" s="14">
        <f>SUM(C1401:J1401)</f>
        <v/>
      </c>
      <c r="L1401" s="15">
        <f>SUMPRODUCT(C1401:J1401,Factores!$B$3:$I$3)</f>
        <v/>
      </c>
      <c r="M1401" s="16">
        <f>'Empleo Censo'!E1401</f>
        <v/>
      </c>
      <c r="N1401" s="17">
        <f>IF(M1401&gt;0,L1401,Factores!$B$7)</f>
        <v/>
      </c>
      <c r="O1401">
        <f>IF(M1401&gt;0,"OK","sin PEA -&gt; peor")</f>
        <v/>
      </c>
    </row>
    <row r="1402">
      <c r="A1402" t="inlineStr">
        <is>
          <t>060110</t>
        </is>
      </c>
      <c r="B1402" t="inlineStr">
        <is>
          <t>MATARA</t>
        </is>
      </c>
      <c r="C1402" s="14">
        <f>'Empleo Censo'!G1402-'Empleo Censo'!F1402</f>
        <v/>
      </c>
      <c r="D1402" s="14">
        <f>'Empleo Censo'!F1402</f>
        <v/>
      </c>
      <c r="E1402" s="14">
        <f>'Empleo Censo'!H1402</f>
        <v/>
      </c>
      <c r="F1402" s="14">
        <f>'Empleo Censo'!I1402</f>
        <v/>
      </c>
      <c r="G1402" s="14">
        <f>'Empleo Censo'!J1402+'Empleo Censo'!K1402</f>
        <v/>
      </c>
      <c r="H1402" s="14">
        <f>'Empleo Censo'!L1402</f>
        <v/>
      </c>
      <c r="I1402" s="14">
        <f>'Empleo Censo'!M1402</f>
        <v/>
      </c>
      <c r="J1402" s="14">
        <f>SUM('Empleo Censo'!N1402:AA1402)</f>
        <v/>
      </c>
      <c r="K1402" s="14">
        <f>SUM(C1402:J1402)</f>
        <v/>
      </c>
      <c r="L1402" s="15">
        <f>SUMPRODUCT(C1402:J1402,Factores!$B$3:$I$3)</f>
        <v/>
      </c>
      <c r="M1402" s="16">
        <f>'Empleo Censo'!E1402</f>
        <v/>
      </c>
      <c r="N1402" s="17">
        <f>IF(M1402&gt;0,L1402,Factores!$B$7)</f>
        <v/>
      </c>
      <c r="O1402">
        <f>IF(M1402&gt;0,"OK","sin PEA -&gt; peor")</f>
        <v/>
      </c>
    </row>
    <row r="1403">
      <c r="A1403" t="inlineStr">
        <is>
          <t>051008</t>
        </is>
      </c>
      <c r="B1403" t="inlineStr">
        <is>
          <t>HUAMANQUIQUIA</t>
        </is>
      </c>
      <c r="C1403" s="14">
        <f>'Empleo Censo'!G1403-'Empleo Censo'!F1403</f>
        <v/>
      </c>
      <c r="D1403" s="14">
        <f>'Empleo Censo'!F1403</f>
        <v/>
      </c>
      <c r="E1403" s="14">
        <f>'Empleo Censo'!H1403</f>
        <v/>
      </c>
      <c r="F1403" s="14">
        <f>'Empleo Censo'!I1403</f>
        <v/>
      </c>
      <c r="G1403" s="14">
        <f>'Empleo Censo'!J1403+'Empleo Censo'!K1403</f>
        <v/>
      </c>
      <c r="H1403" s="14">
        <f>'Empleo Censo'!L1403</f>
        <v/>
      </c>
      <c r="I1403" s="14">
        <f>'Empleo Censo'!M1403</f>
        <v/>
      </c>
      <c r="J1403" s="14">
        <f>SUM('Empleo Censo'!N1403:AA1403)</f>
        <v/>
      </c>
      <c r="K1403" s="14">
        <f>SUM(C1403:J1403)</f>
        <v/>
      </c>
      <c r="L1403" s="15">
        <f>SUMPRODUCT(C1403:J1403,Factores!$B$3:$I$3)</f>
        <v/>
      </c>
      <c r="M1403" s="16">
        <f>'Empleo Censo'!E1403</f>
        <v/>
      </c>
      <c r="N1403" s="17">
        <f>IF(M1403&gt;0,L1403,Factores!$B$7)</f>
        <v/>
      </c>
      <c r="O1403">
        <f>IF(M1403&gt;0,"OK","sin PEA -&gt; peor")</f>
        <v/>
      </c>
    </row>
    <row r="1404">
      <c r="A1404" t="inlineStr">
        <is>
          <t>040810</t>
        </is>
      </c>
      <c r="B1404" t="inlineStr">
        <is>
          <t>TOMEPAMPA</t>
        </is>
      </c>
      <c r="C1404" s="14">
        <f>'Empleo Censo'!G1404-'Empleo Censo'!F1404</f>
        <v/>
      </c>
      <c r="D1404" s="14">
        <f>'Empleo Censo'!F1404</f>
        <v/>
      </c>
      <c r="E1404" s="14">
        <f>'Empleo Censo'!H1404</f>
        <v/>
      </c>
      <c r="F1404" s="14">
        <f>'Empleo Censo'!I1404</f>
        <v/>
      </c>
      <c r="G1404" s="14">
        <f>'Empleo Censo'!J1404+'Empleo Censo'!K1404</f>
        <v/>
      </c>
      <c r="H1404" s="14">
        <f>'Empleo Censo'!L1404</f>
        <v/>
      </c>
      <c r="I1404" s="14">
        <f>'Empleo Censo'!M1404</f>
        <v/>
      </c>
      <c r="J1404" s="14">
        <f>SUM('Empleo Censo'!N1404:AA1404)</f>
        <v/>
      </c>
      <c r="K1404" s="14">
        <f>SUM(C1404:J1404)</f>
        <v/>
      </c>
      <c r="L1404" s="15">
        <f>SUMPRODUCT(C1404:J1404,Factores!$B$3:$I$3)</f>
        <v/>
      </c>
      <c r="M1404" s="16">
        <f>'Empleo Censo'!E1404</f>
        <v/>
      </c>
      <c r="N1404" s="17">
        <f>IF(M1404&gt;0,L1404,Factores!$B$7)</f>
        <v/>
      </c>
      <c r="O1404">
        <f>IF(M1404&gt;0,"OK","sin PEA -&gt; peor")</f>
        <v/>
      </c>
    </row>
    <row r="1405">
      <c r="A1405" t="inlineStr">
        <is>
          <t>050304</t>
        </is>
      </c>
      <c r="B1405" t="inlineStr">
        <is>
          <t>SANTIAGO DE LUCANAMARCA</t>
        </is>
      </c>
      <c r="C1405" s="14">
        <f>'Empleo Censo'!G1405-'Empleo Censo'!F1405</f>
        <v/>
      </c>
      <c r="D1405" s="14">
        <f>'Empleo Censo'!F1405</f>
        <v/>
      </c>
      <c r="E1405" s="14">
        <f>'Empleo Censo'!H1405</f>
        <v/>
      </c>
      <c r="F1405" s="14">
        <f>'Empleo Censo'!I1405</f>
        <v/>
      </c>
      <c r="G1405" s="14">
        <f>'Empleo Censo'!J1405+'Empleo Censo'!K1405</f>
        <v/>
      </c>
      <c r="H1405" s="14">
        <f>'Empleo Censo'!L1405</f>
        <v/>
      </c>
      <c r="I1405" s="14">
        <f>'Empleo Censo'!M1405</f>
        <v/>
      </c>
      <c r="J1405" s="14">
        <f>SUM('Empleo Censo'!N1405:AA1405)</f>
        <v/>
      </c>
      <c r="K1405" s="14">
        <f>SUM(C1405:J1405)</f>
        <v/>
      </c>
      <c r="L1405" s="15">
        <f>SUMPRODUCT(C1405:J1405,Factores!$B$3:$I$3)</f>
        <v/>
      </c>
      <c r="M1405" s="16">
        <f>'Empleo Censo'!E1405</f>
        <v/>
      </c>
      <c r="N1405" s="17">
        <f>IF(M1405&gt;0,L1405,Factores!$B$7)</f>
        <v/>
      </c>
      <c r="O1405">
        <f>IF(M1405&gt;0,"OK","sin PEA -&gt; peor")</f>
        <v/>
      </c>
    </row>
    <row r="1406">
      <c r="A1406" t="inlineStr">
        <is>
          <t>080803</t>
        </is>
      </c>
      <c r="B1406" t="inlineStr">
        <is>
          <t>COPORAQUE</t>
        </is>
      </c>
      <c r="C1406" s="14">
        <f>'Empleo Censo'!G1406-'Empleo Censo'!F1406</f>
        <v/>
      </c>
      <c r="D1406" s="14">
        <f>'Empleo Censo'!F1406</f>
        <v/>
      </c>
      <c r="E1406" s="14">
        <f>'Empleo Censo'!H1406</f>
        <v/>
      </c>
      <c r="F1406" s="14">
        <f>'Empleo Censo'!I1406</f>
        <v/>
      </c>
      <c r="G1406" s="14">
        <f>'Empleo Censo'!J1406+'Empleo Censo'!K1406</f>
        <v/>
      </c>
      <c r="H1406" s="14">
        <f>'Empleo Censo'!L1406</f>
        <v/>
      </c>
      <c r="I1406" s="14">
        <f>'Empleo Censo'!M1406</f>
        <v/>
      </c>
      <c r="J1406" s="14">
        <f>SUM('Empleo Censo'!N1406:AA1406)</f>
        <v/>
      </c>
      <c r="K1406" s="14">
        <f>SUM(C1406:J1406)</f>
        <v/>
      </c>
      <c r="L1406" s="15">
        <f>SUMPRODUCT(C1406:J1406,Factores!$B$3:$I$3)</f>
        <v/>
      </c>
      <c r="M1406" s="16">
        <f>'Empleo Censo'!E1406</f>
        <v/>
      </c>
      <c r="N1406" s="17">
        <f>IF(M1406&gt;0,L1406,Factores!$B$7)</f>
        <v/>
      </c>
      <c r="O1406">
        <f>IF(M1406&gt;0,"OK","sin PEA -&gt; peor")</f>
        <v/>
      </c>
    </row>
    <row r="1407">
      <c r="A1407" t="inlineStr">
        <is>
          <t>051009</t>
        </is>
      </c>
      <c r="B1407" t="inlineStr">
        <is>
          <t>HUANCARAYLLA</t>
        </is>
      </c>
      <c r="C1407" s="14">
        <f>'Empleo Censo'!G1407-'Empleo Censo'!F1407</f>
        <v/>
      </c>
      <c r="D1407" s="14">
        <f>'Empleo Censo'!F1407</f>
        <v/>
      </c>
      <c r="E1407" s="14">
        <f>'Empleo Censo'!H1407</f>
        <v/>
      </c>
      <c r="F1407" s="14">
        <f>'Empleo Censo'!I1407</f>
        <v/>
      </c>
      <c r="G1407" s="14">
        <f>'Empleo Censo'!J1407+'Empleo Censo'!K1407</f>
        <v/>
      </c>
      <c r="H1407" s="14">
        <f>'Empleo Censo'!L1407</f>
        <v/>
      </c>
      <c r="I1407" s="14">
        <f>'Empleo Censo'!M1407</f>
        <v/>
      </c>
      <c r="J1407" s="14">
        <f>SUM('Empleo Censo'!N1407:AA1407)</f>
        <v/>
      </c>
      <c r="K1407" s="14">
        <f>SUM(C1407:J1407)</f>
        <v/>
      </c>
      <c r="L1407" s="15">
        <f>SUMPRODUCT(C1407:J1407,Factores!$B$3:$I$3)</f>
        <v/>
      </c>
      <c r="M1407" s="16">
        <f>'Empleo Censo'!E1407</f>
        <v/>
      </c>
      <c r="N1407" s="17">
        <f>IF(M1407&gt;0,L1407,Factores!$B$7)</f>
        <v/>
      </c>
      <c r="O1407">
        <f>IF(M1407&gt;0,"OK","sin PEA -&gt; peor")</f>
        <v/>
      </c>
    </row>
    <row r="1408">
      <c r="A1408" t="inlineStr">
        <is>
          <t>050113</t>
        </is>
      </c>
      <c r="B1408" t="inlineStr">
        <is>
          <t>TAMBILLO</t>
        </is>
      </c>
      <c r="C1408" s="14">
        <f>'Empleo Censo'!G1408-'Empleo Censo'!F1408</f>
        <v/>
      </c>
      <c r="D1408" s="14">
        <f>'Empleo Censo'!F1408</f>
        <v/>
      </c>
      <c r="E1408" s="14">
        <f>'Empleo Censo'!H1408</f>
        <v/>
      </c>
      <c r="F1408" s="14">
        <f>'Empleo Censo'!I1408</f>
        <v/>
      </c>
      <c r="G1408" s="14">
        <f>'Empleo Censo'!J1408+'Empleo Censo'!K1408</f>
        <v/>
      </c>
      <c r="H1408" s="14">
        <f>'Empleo Censo'!L1408</f>
        <v/>
      </c>
      <c r="I1408" s="14">
        <f>'Empleo Censo'!M1408</f>
        <v/>
      </c>
      <c r="J1408" s="14">
        <f>SUM('Empleo Censo'!N1408:AA1408)</f>
        <v/>
      </c>
      <c r="K1408" s="14">
        <f>SUM(C1408:J1408)</f>
        <v/>
      </c>
      <c r="L1408" s="15">
        <f>SUMPRODUCT(C1408:J1408,Factores!$B$3:$I$3)</f>
        <v/>
      </c>
      <c r="M1408" s="16">
        <f>'Empleo Censo'!E1408</f>
        <v/>
      </c>
      <c r="N1408" s="17">
        <f>IF(M1408&gt;0,L1408,Factores!$B$7)</f>
        <v/>
      </c>
      <c r="O1408">
        <f>IF(M1408&gt;0,"OK","sin PEA -&gt; peor")</f>
        <v/>
      </c>
    </row>
    <row r="1409">
      <c r="A1409" t="inlineStr">
        <is>
          <t>061303</t>
        </is>
      </c>
      <c r="B1409" t="inlineStr">
        <is>
          <t>CATACHE</t>
        </is>
      </c>
      <c r="C1409" s="14">
        <f>'Empleo Censo'!G1409-'Empleo Censo'!F1409</f>
        <v/>
      </c>
      <c r="D1409" s="14">
        <f>'Empleo Censo'!F1409</f>
        <v/>
      </c>
      <c r="E1409" s="14">
        <f>'Empleo Censo'!H1409</f>
        <v/>
      </c>
      <c r="F1409" s="14">
        <f>'Empleo Censo'!I1409</f>
        <v/>
      </c>
      <c r="G1409" s="14">
        <f>'Empleo Censo'!J1409+'Empleo Censo'!K1409</f>
        <v/>
      </c>
      <c r="H1409" s="14">
        <f>'Empleo Censo'!L1409</f>
        <v/>
      </c>
      <c r="I1409" s="14">
        <f>'Empleo Censo'!M1409</f>
        <v/>
      </c>
      <c r="J1409" s="14">
        <f>SUM('Empleo Censo'!N1409:AA1409)</f>
        <v/>
      </c>
      <c r="K1409" s="14">
        <f>SUM(C1409:J1409)</f>
        <v/>
      </c>
      <c r="L1409" s="15">
        <f>SUMPRODUCT(C1409:J1409,Factores!$B$3:$I$3)</f>
        <v/>
      </c>
      <c r="M1409" s="16">
        <f>'Empleo Censo'!E1409</f>
        <v/>
      </c>
      <c r="N1409" s="17">
        <f>IF(M1409&gt;0,L1409,Factores!$B$7)</f>
        <v/>
      </c>
      <c r="O1409">
        <f>IF(M1409&gt;0,"OK","sin PEA -&gt; peor")</f>
        <v/>
      </c>
    </row>
    <row r="1410">
      <c r="A1410" t="inlineStr">
        <is>
          <t>050902</t>
        </is>
      </c>
      <c r="B1410" t="inlineStr">
        <is>
          <t>BELEN</t>
        </is>
      </c>
      <c r="C1410" s="14">
        <f>'Empleo Censo'!G1410-'Empleo Censo'!F1410</f>
        <v/>
      </c>
      <c r="D1410" s="14">
        <f>'Empleo Censo'!F1410</f>
        <v/>
      </c>
      <c r="E1410" s="14">
        <f>'Empleo Censo'!H1410</f>
        <v/>
      </c>
      <c r="F1410" s="14">
        <f>'Empleo Censo'!I1410</f>
        <v/>
      </c>
      <c r="G1410" s="14">
        <f>'Empleo Censo'!J1410+'Empleo Censo'!K1410</f>
        <v/>
      </c>
      <c r="H1410" s="14">
        <f>'Empleo Censo'!L1410</f>
        <v/>
      </c>
      <c r="I1410" s="14">
        <f>'Empleo Censo'!M1410</f>
        <v/>
      </c>
      <c r="J1410" s="14">
        <f>SUM('Empleo Censo'!N1410:AA1410)</f>
        <v/>
      </c>
      <c r="K1410" s="14">
        <f>SUM(C1410:J1410)</f>
        <v/>
      </c>
      <c r="L1410" s="15">
        <f>SUMPRODUCT(C1410:J1410,Factores!$B$3:$I$3)</f>
        <v/>
      </c>
      <c r="M1410" s="16">
        <f>'Empleo Censo'!E1410</f>
        <v/>
      </c>
      <c r="N1410" s="17">
        <f>IF(M1410&gt;0,L1410,Factores!$B$7)</f>
        <v/>
      </c>
      <c r="O1410">
        <f>IF(M1410&gt;0,"OK","sin PEA -&gt; peor")</f>
        <v/>
      </c>
    </row>
    <row r="1411">
      <c r="A1411" t="inlineStr">
        <is>
          <t>022008</t>
        </is>
      </c>
      <c r="B1411" t="inlineStr">
        <is>
          <t>YANAMA</t>
        </is>
      </c>
      <c r="C1411" s="14">
        <f>'Empleo Censo'!G1411-'Empleo Censo'!F1411</f>
        <v/>
      </c>
      <c r="D1411" s="14">
        <f>'Empleo Censo'!F1411</f>
        <v/>
      </c>
      <c r="E1411" s="14">
        <f>'Empleo Censo'!H1411</f>
        <v/>
      </c>
      <c r="F1411" s="14">
        <f>'Empleo Censo'!I1411</f>
        <v/>
      </c>
      <c r="G1411" s="14">
        <f>'Empleo Censo'!J1411+'Empleo Censo'!K1411</f>
        <v/>
      </c>
      <c r="H1411" s="14">
        <f>'Empleo Censo'!L1411</f>
        <v/>
      </c>
      <c r="I1411" s="14">
        <f>'Empleo Censo'!M1411</f>
        <v/>
      </c>
      <c r="J1411" s="14">
        <f>SUM('Empleo Censo'!N1411:AA1411)</f>
        <v/>
      </c>
      <c r="K1411" s="14">
        <f>SUM(C1411:J1411)</f>
        <v/>
      </c>
      <c r="L1411" s="15">
        <f>SUMPRODUCT(C1411:J1411,Factores!$B$3:$I$3)</f>
        <v/>
      </c>
      <c r="M1411" s="16">
        <f>'Empleo Censo'!E1411</f>
        <v/>
      </c>
      <c r="N1411" s="17">
        <f>IF(M1411&gt;0,L1411,Factores!$B$7)</f>
        <v/>
      </c>
      <c r="O1411">
        <f>IF(M1411&gt;0,"OK","sin PEA -&gt; peor")</f>
        <v/>
      </c>
    </row>
    <row r="1412">
      <c r="A1412" t="inlineStr">
        <is>
          <t>030702</t>
        </is>
      </c>
      <c r="B1412" t="inlineStr">
        <is>
          <t>CURPAHUASI</t>
        </is>
      </c>
      <c r="C1412" s="14">
        <f>'Empleo Censo'!G1412-'Empleo Censo'!F1412</f>
        <v/>
      </c>
      <c r="D1412" s="14">
        <f>'Empleo Censo'!F1412</f>
        <v/>
      </c>
      <c r="E1412" s="14">
        <f>'Empleo Censo'!H1412</f>
        <v/>
      </c>
      <c r="F1412" s="14">
        <f>'Empleo Censo'!I1412</f>
        <v/>
      </c>
      <c r="G1412" s="14">
        <f>'Empleo Censo'!J1412+'Empleo Censo'!K1412</f>
        <v/>
      </c>
      <c r="H1412" s="14">
        <f>'Empleo Censo'!L1412</f>
        <v/>
      </c>
      <c r="I1412" s="14">
        <f>'Empleo Censo'!M1412</f>
        <v/>
      </c>
      <c r="J1412" s="14">
        <f>SUM('Empleo Censo'!N1412:AA1412)</f>
        <v/>
      </c>
      <c r="K1412" s="14">
        <f>SUM(C1412:J1412)</f>
        <v/>
      </c>
      <c r="L1412" s="15">
        <f>SUMPRODUCT(C1412:J1412,Factores!$B$3:$I$3)</f>
        <v/>
      </c>
      <c r="M1412" s="16">
        <f>'Empleo Censo'!E1412</f>
        <v/>
      </c>
      <c r="N1412" s="17">
        <f>IF(M1412&gt;0,L1412,Factores!$B$7)</f>
        <v/>
      </c>
      <c r="O1412">
        <f>IF(M1412&gt;0,"OK","sin PEA -&gt; peor")</f>
        <v/>
      </c>
    </row>
    <row r="1413">
      <c r="A1413" t="inlineStr">
        <is>
          <t>040805</t>
        </is>
      </c>
      <c r="B1413" t="inlineStr">
        <is>
          <t>PAMPAMARCA</t>
        </is>
      </c>
      <c r="C1413" s="14">
        <f>'Empleo Censo'!G1413-'Empleo Censo'!F1413</f>
        <v/>
      </c>
      <c r="D1413" s="14">
        <f>'Empleo Censo'!F1413</f>
        <v/>
      </c>
      <c r="E1413" s="14">
        <f>'Empleo Censo'!H1413</f>
        <v/>
      </c>
      <c r="F1413" s="14">
        <f>'Empleo Censo'!I1413</f>
        <v/>
      </c>
      <c r="G1413" s="14">
        <f>'Empleo Censo'!J1413+'Empleo Censo'!K1413</f>
        <v/>
      </c>
      <c r="H1413" s="14">
        <f>'Empleo Censo'!L1413</f>
        <v/>
      </c>
      <c r="I1413" s="14">
        <f>'Empleo Censo'!M1413</f>
        <v/>
      </c>
      <c r="J1413" s="14">
        <f>SUM('Empleo Censo'!N1413:AA1413)</f>
        <v/>
      </c>
      <c r="K1413" s="14">
        <f>SUM(C1413:J1413)</f>
        <v/>
      </c>
      <c r="L1413" s="15">
        <f>SUMPRODUCT(C1413:J1413,Factores!$B$3:$I$3)</f>
        <v/>
      </c>
      <c r="M1413" s="16">
        <f>'Empleo Censo'!E1413</f>
        <v/>
      </c>
      <c r="N1413" s="17">
        <f>IF(M1413&gt;0,L1413,Factores!$B$7)</f>
        <v/>
      </c>
      <c r="O1413">
        <f>IF(M1413&gt;0,"OK","sin PEA -&gt; peor")</f>
        <v/>
      </c>
    </row>
    <row r="1414">
      <c r="A1414" t="inlineStr">
        <is>
          <t>080901</t>
        </is>
      </c>
      <c r="B1414" t="inlineStr">
        <is>
          <t>SANTA ANA</t>
        </is>
      </c>
      <c r="C1414" s="14">
        <f>'Empleo Censo'!G1414-'Empleo Censo'!F1414</f>
        <v/>
      </c>
      <c r="D1414" s="14">
        <f>'Empleo Censo'!F1414</f>
        <v/>
      </c>
      <c r="E1414" s="14">
        <f>'Empleo Censo'!H1414</f>
        <v/>
      </c>
      <c r="F1414" s="14">
        <f>'Empleo Censo'!I1414</f>
        <v/>
      </c>
      <c r="G1414" s="14">
        <f>'Empleo Censo'!J1414+'Empleo Censo'!K1414</f>
        <v/>
      </c>
      <c r="H1414" s="14">
        <f>'Empleo Censo'!L1414</f>
        <v/>
      </c>
      <c r="I1414" s="14">
        <f>'Empleo Censo'!M1414</f>
        <v/>
      </c>
      <c r="J1414" s="14">
        <f>SUM('Empleo Censo'!N1414:AA1414)</f>
        <v/>
      </c>
      <c r="K1414" s="14">
        <f>SUM(C1414:J1414)</f>
        <v/>
      </c>
      <c r="L1414" s="15">
        <f>SUMPRODUCT(C1414:J1414,Factores!$B$3:$I$3)</f>
        <v/>
      </c>
      <c r="M1414" s="16">
        <f>'Empleo Censo'!E1414</f>
        <v/>
      </c>
      <c r="N1414" s="17">
        <f>IF(M1414&gt;0,L1414,Factores!$B$7)</f>
        <v/>
      </c>
      <c r="O1414">
        <f>IF(M1414&gt;0,"OK","sin PEA -&gt; peor")</f>
        <v/>
      </c>
    </row>
    <row r="1415">
      <c r="A1415" t="inlineStr">
        <is>
          <t>010106</t>
        </is>
      </c>
      <c r="B1415" t="inlineStr">
        <is>
          <t>CHUQUIBAMBA</t>
        </is>
      </c>
      <c r="C1415" s="14">
        <f>'Empleo Censo'!G1415-'Empleo Censo'!F1415</f>
        <v/>
      </c>
      <c r="D1415" s="14">
        <f>'Empleo Censo'!F1415</f>
        <v/>
      </c>
      <c r="E1415" s="14">
        <f>'Empleo Censo'!H1415</f>
        <v/>
      </c>
      <c r="F1415" s="14">
        <f>'Empleo Censo'!I1415</f>
        <v/>
      </c>
      <c r="G1415" s="14">
        <f>'Empleo Censo'!J1415+'Empleo Censo'!K1415</f>
        <v/>
      </c>
      <c r="H1415" s="14">
        <f>'Empleo Censo'!L1415</f>
        <v/>
      </c>
      <c r="I1415" s="14">
        <f>'Empleo Censo'!M1415</f>
        <v/>
      </c>
      <c r="J1415" s="14">
        <f>SUM('Empleo Censo'!N1415:AA1415)</f>
        <v/>
      </c>
      <c r="K1415" s="14">
        <f>SUM(C1415:J1415)</f>
        <v/>
      </c>
      <c r="L1415" s="15">
        <f>SUMPRODUCT(C1415:J1415,Factores!$B$3:$I$3)</f>
        <v/>
      </c>
      <c r="M1415" s="16">
        <f>'Empleo Censo'!E1415</f>
        <v/>
      </c>
      <c r="N1415" s="17">
        <f>IF(M1415&gt;0,L1415,Factores!$B$7)</f>
        <v/>
      </c>
      <c r="O1415">
        <f>IF(M1415&gt;0,"OK","sin PEA -&gt; peor")</f>
        <v/>
      </c>
    </row>
    <row r="1416">
      <c r="A1416" t="inlineStr">
        <is>
          <t>050705</t>
        </is>
      </c>
      <c r="B1416" t="inlineStr">
        <is>
          <t>PULLO</t>
        </is>
      </c>
      <c r="C1416" s="14">
        <f>'Empleo Censo'!G1416-'Empleo Censo'!F1416</f>
        <v/>
      </c>
      <c r="D1416" s="14">
        <f>'Empleo Censo'!F1416</f>
        <v/>
      </c>
      <c r="E1416" s="14">
        <f>'Empleo Censo'!H1416</f>
        <v/>
      </c>
      <c r="F1416" s="14">
        <f>'Empleo Censo'!I1416</f>
        <v/>
      </c>
      <c r="G1416" s="14">
        <f>'Empleo Censo'!J1416+'Empleo Censo'!K1416</f>
        <v/>
      </c>
      <c r="H1416" s="14">
        <f>'Empleo Censo'!L1416</f>
        <v/>
      </c>
      <c r="I1416" s="14">
        <f>'Empleo Censo'!M1416</f>
        <v/>
      </c>
      <c r="J1416" s="14">
        <f>SUM('Empleo Censo'!N1416:AA1416)</f>
        <v/>
      </c>
      <c r="K1416" s="14">
        <f>SUM(C1416:J1416)</f>
        <v/>
      </c>
      <c r="L1416" s="15">
        <f>SUMPRODUCT(C1416:J1416,Factores!$B$3:$I$3)</f>
        <v/>
      </c>
      <c r="M1416" s="16">
        <f>'Empleo Censo'!E1416</f>
        <v/>
      </c>
      <c r="N1416" s="17">
        <f>IF(M1416&gt;0,L1416,Factores!$B$7)</f>
        <v/>
      </c>
      <c r="O1416">
        <f>IF(M1416&gt;0,"OK","sin PEA -&gt; peor")</f>
        <v/>
      </c>
    </row>
    <row r="1417">
      <c r="A1417" t="inlineStr">
        <is>
          <t>061203</t>
        </is>
      </c>
      <c r="B1417" t="inlineStr">
        <is>
          <t>SAN LUIS</t>
        </is>
      </c>
      <c r="C1417" s="14">
        <f>'Empleo Censo'!G1417-'Empleo Censo'!F1417</f>
        <v/>
      </c>
      <c r="D1417" s="14">
        <f>'Empleo Censo'!F1417</f>
        <v/>
      </c>
      <c r="E1417" s="14">
        <f>'Empleo Censo'!H1417</f>
        <v/>
      </c>
      <c r="F1417" s="14">
        <f>'Empleo Censo'!I1417</f>
        <v/>
      </c>
      <c r="G1417" s="14">
        <f>'Empleo Censo'!J1417+'Empleo Censo'!K1417</f>
        <v/>
      </c>
      <c r="H1417" s="14">
        <f>'Empleo Censo'!L1417</f>
        <v/>
      </c>
      <c r="I1417" s="14">
        <f>'Empleo Censo'!M1417</f>
        <v/>
      </c>
      <c r="J1417" s="14">
        <f>SUM('Empleo Censo'!N1417:AA1417)</f>
        <v/>
      </c>
      <c r="K1417" s="14">
        <f>SUM(C1417:J1417)</f>
        <v/>
      </c>
      <c r="L1417" s="15">
        <f>SUMPRODUCT(C1417:J1417,Factores!$B$3:$I$3)</f>
        <v/>
      </c>
      <c r="M1417" s="16">
        <f>'Empleo Censo'!E1417</f>
        <v/>
      </c>
      <c r="N1417" s="17">
        <f>IF(M1417&gt;0,L1417,Factores!$B$7)</f>
        <v/>
      </c>
      <c r="O1417">
        <f>IF(M1417&gt;0,"OK","sin PEA -&gt; peor")</f>
        <v/>
      </c>
    </row>
    <row r="1418">
      <c r="A1418" t="inlineStr">
        <is>
          <t>030416</t>
        </is>
      </c>
      <c r="B1418" t="inlineStr">
        <is>
          <t>TORAYA</t>
        </is>
      </c>
      <c r="C1418" s="14">
        <f>'Empleo Censo'!G1418-'Empleo Censo'!F1418</f>
        <v/>
      </c>
      <c r="D1418" s="14">
        <f>'Empleo Censo'!F1418</f>
        <v/>
      </c>
      <c r="E1418" s="14">
        <f>'Empleo Censo'!H1418</f>
        <v/>
      </c>
      <c r="F1418" s="14">
        <f>'Empleo Censo'!I1418</f>
        <v/>
      </c>
      <c r="G1418" s="14">
        <f>'Empleo Censo'!J1418+'Empleo Censo'!K1418</f>
        <v/>
      </c>
      <c r="H1418" s="14">
        <f>'Empleo Censo'!L1418</f>
        <v/>
      </c>
      <c r="I1418" s="14">
        <f>'Empleo Censo'!M1418</f>
        <v/>
      </c>
      <c r="J1418" s="14">
        <f>SUM('Empleo Censo'!N1418:AA1418)</f>
        <v/>
      </c>
      <c r="K1418" s="14">
        <f>SUM(C1418:J1418)</f>
        <v/>
      </c>
      <c r="L1418" s="15">
        <f>SUMPRODUCT(C1418:J1418,Factores!$B$3:$I$3)</f>
        <v/>
      </c>
      <c r="M1418" s="16">
        <f>'Empleo Censo'!E1418</f>
        <v/>
      </c>
      <c r="N1418" s="17">
        <f>IF(M1418&gt;0,L1418,Factores!$B$7)</f>
        <v/>
      </c>
      <c r="O1418">
        <f>IF(M1418&gt;0,"OK","sin PEA -&gt; peor")</f>
        <v/>
      </c>
    </row>
    <row r="1419">
      <c r="A1419" t="inlineStr">
        <is>
          <t>080703</t>
        </is>
      </c>
      <c r="B1419" t="inlineStr">
        <is>
          <t>CHAMACA</t>
        </is>
      </c>
      <c r="C1419" s="14">
        <f>'Empleo Censo'!G1419-'Empleo Censo'!F1419</f>
        <v/>
      </c>
      <c r="D1419" s="14">
        <f>'Empleo Censo'!F1419</f>
        <v/>
      </c>
      <c r="E1419" s="14">
        <f>'Empleo Censo'!H1419</f>
        <v/>
      </c>
      <c r="F1419" s="14">
        <f>'Empleo Censo'!I1419</f>
        <v/>
      </c>
      <c r="G1419" s="14">
        <f>'Empleo Censo'!J1419+'Empleo Censo'!K1419</f>
        <v/>
      </c>
      <c r="H1419" s="14">
        <f>'Empleo Censo'!L1419</f>
        <v/>
      </c>
      <c r="I1419" s="14">
        <f>'Empleo Censo'!M1419</f>
        <v/>
      </c>
      <c r="J1419" s="14">
        <f>SUM('Empleo Censo'!N1419:AA1419)</f>
        <v/>
      </c>
      <c r="K1419" s="14">
        <f>SUM(C1419:J1419)</f>
        <v/>
      </c>
      <c r="L1419" s="15">
        <f>SUMPRODUCT(C1419:J1419,Factores!$B$3:$I$3)</f>
        <v/>
      </c>
      <c r="M1419" s="16">
        <f>'Empleo Censo'!E1419</f>
        <v/>
      </c>
      <c r="N1419" s="17">
        <f>IF(M1419&gt;0,L1419,Factores!$B$7)</f>
        <v/>
      </c>
      <c r="O1419">
        <f>IF(M1419&gt;0,"OK","sin PEA -&gt; peor")</f>
        <v/>
      </c>
    </row>
    <row r="1420">
      <c r="A1420" t="inlineStr">
        <is>
          <t>020512</t>
        </is>
      </c>
      <c r="B1420" t="inlineStr">
        <is>
          <t>MANGAS</t>
        </is>
      </c>
      <c r="C1420" s="14">
        <f>'Empleo Censo'!G1420-'Empleo Censo'!F1420</f>
        <v/>
      </c>
      <c r="D1420" s="14">
        <f>'Empleo Censo'!F1420</f>
        <v/>
      </c>
      <c r="E1420" s="14">
        <f>'Empleo Censo'!H1420</f>
        <v/>
      </c>
      <c r="F1420" s="14">
        <f>'Empleo Censo'!I1420</f>
        <v/>
      </c>
      <c r="G1420" s="14">
        <f>'Empleo Censo'!J1420+'Empleo Censo'!K1420</f>
        <v/>
      </c>
      <c r="H1420" s="14">
        <f>'Empleo Censo'!L1420</f>
        <v/>
      </c>
      <c r="I1420" s="14">
        <f>'Empleo Censo'!M1420</f>
        <v/>
      </c>
      <c r="J1420" s="14">
        <f>SUM('Empleo Censo'!N1420:AA1420)</f>
        <v/>
      </c>
      <c r="K1420" s="14">
        <f>SUM(C1420:J1420)</f>
        <v/>
      </c>
      <c r="L1420" s="15">
        <f>SUMPRODUCT(C1420:J1420,Factores!$B$3:$I$3)</f>
        <v/>
      </c>
      <c r="M1420" s="16">
        <f>'Empleo Censo'!E1420</f>
        <v/>
      </c>
      <c r="N1420" s="17">
        <f>IF(M1420&gt;0,L1420,Factores!$B$7)</f>
        <v/>
      </c>
      <c r="O1420">
        <f>IF(M1420&gt;0,"OK","sin PEA -&gt; peor")</f>
        <v/>
      </c>
    </row>
    <row r="1421">
      <c r="A1421" t="inlineStr">
        <is>
          <t>030414</t>
        </is>
      </c>
      <c r="B1421" t="inlineStr">
        <is>
          <t>TAPAIRIHUA</t>
        </is>
      </c>
      <c r="C1421" s="14">
        <f>'Empleo Censo'!G1421-'Empleo Censo'!F1421</f>
        <v/>
      </c>
      <c r="D1421" s="14">
        <f>'Empleo Censo'!F1421</f>
        <v/>
      </c>
      <c r="E1421" s="14">
        <f>'Empleo Censo'!H1421</f>
        <v/>
      </c>
      <c r="F1421" s="14">
        <f>'Empleo Censo'!I1421</f>
        <v/>
      </c>
      <c r="G1421" s="14">
        <f>'Empleo Censo'!J1421+'Empleo Censo'!K1421</f>
        <v/>
      </c>
      <c r="H1421" s="14">
        <f>'Empleo Censo'!L1421</f>
        <v/>
      </c>
      <c r="I1421" s="14">
        <f>'Empleo Censo'!M1421</f>
        <v/>
      </c>
      <c r="J1421" s="14">
        <f>SUM('Empleo Censo'!N1421:AA1421)</f>
        <v/>
      </c>
      <c r="K1421" s="14">
        <f>SUM(C1421:J1421)</f>
        <v/>
      </c>
      <c r="L1421" s="15">
        <f>SUMPRODUCT(C1421:J1421,Factores!$B$3:$I$3)</f>
        <v/>
      </c>
      <c r="M1421" s="16">
        <f>'Empleo Censo'!E1421</f>
        <v/>
      </c>
      <c r="N1421" s="17">
        <f>IF(M1421&gt;0,L1421,Factores!$B$7)</f>
        <v/>
      </c>
      <c r="O1421">
        <f>IF(M1421&gt;0,"OK","sin PEA -&gt; peor")</f>
        <v/>
      </c>
    </row>
    <row r="1422">
      <c r="A1422" t="inlineStr">
        <is>
          <t>040803</t>
        </is>
      </c>
      <c r="B1422" t="inlineStr">
        <is>
          <t>CHARCANA</t>
        </is>
      </c>
      <c r="C1422" s="14">
        <f>'Empleo Censo'!G1422-'Empleo Censo'!F1422</f>
        <v/>
      </c>
      <c r="D1422" s="14">
        <f>'Empleo Censo'!F1422</f>
        <v/>
      </c>
      <c r="E1422" s="14">
        <f>'Empleo Censo'!H1422</f>
        <v/>
      </c>
      <c r="F1422" s="14">
        <f>'Empleo Censo'!I1422</f>
        <v/>
      </c>
      <c r="G1422" s="14">
        <f>'Empleo Censo'!J1422+'Empleo Censo'!K1422</f>
        <v/>
      </c>
      <c r="H1422" s="14">
        <f>'Empleo Censo'!L1422</f>
        <v/>
      </c>
      <c r="I1422" s="14">
        <f>'Empleo Censo'!M1422</f>
        <v/>
      </c>
      <c r="J1422" s="14">
        <f>SUM('Empleo Censo'!N1422:AA1422)</f>
        <v/>
      </c>
      <c r="K1422" s="14">
        <f>SUM(C1422:J1422)</f>
        <v/>
      </c>
      <c r="L1422" s="15">
        <f>SUMPRODUCT(C1422:J1422,Factores!$B$3:$I$3)</f>
        <v/>
      </c>
      <c r="M1422" s="16">
        <f>'Empleo Censo'!E1422</f>
        <v/>
      </c>
      <c r="N1422" s="17">
        <f>IF(M1422&gt;0,L1422,Factores!$B$7)</f>
        <v/>
      </c>
      <c r="O1422">
        <f>IF(M1422&gt;0,"OK","sin PEA -&gt; peor")</f>
        <v/>
      </c>
    </row>
    <row r="1423">
      <c r="A1423" t="inlineStr">
        <is>
          <t>050103</t>
        </is>
      </c>
      <c r="B1423" t="inlineStr">
        <is>
          <t>ACOS VINCHOS</t>
        </is>
      </c>
      <c r="C1423" s="14">
        <f>'Empleo Censo'!G1423-'Empleo Censo'!F1423</f>
        <v/>
      </c>
      <c r="D1423" s="14">
        <f>'Empleo Censo'!F1423</f>
        <v/>
      </c>
      <c r="E1423" s="14">
        <f>'Empleo Censo'!H1423</f>
        <v/>
      </c>
      <c r="F1423" s="14">
        <f>'Empleo Censo'!I1423</f>
        <v/>
      </c>
      <c r="G1423" s="14">
        <f>'Empleo Censo'!J1423+'Empleo Censo'!K1423</f>
        <v/>
      </c>
      <c r="H1423" s="14">
        <f>'Empleo Censo'!L1423</f>
        <v/>
      </c>
      <c r="I1423" s="14">
        <f>'Empleo Censo'!M1423</f>
        <v/>
      </c>
      <c r="J1423" s="14">
        <f>SUM('Empleo Censo'!N1423:AA1423)</f>
        <v/>
      </c>
      <c r="K1423" s="14">
        <f>SUM(C1423:J1423)</f>
        <v/>
      </c>
      <c r="L1423" s="15">
        <f>SUMPRODUCT(C1423:J1423,Factores!$B$3:$I$3)</f>
        <v/>
      </c>
      <c r="M1423" s="16">
        <f>'Empleo Censo'!E1423</f>
        <v/>
      </c>
      <c r="N1423" s="17">
        <f>IF(M1423&gt;0,L1423,Factores!$B$7)</f>
        <v/>
      </c>
      <c r="O1423">
        <f>IF(M1423&gt;0,"OK","sin PEA -&gt; peor")</f>
        <v/>
      </c>
    </row>
    <row r="1424">
      <c r="A1424" t="inlineStr">
        <is>
          <t>081002</t>
        </is>
      </c>
      <c r="B1424" t="inlineStr">
        <is>
          <t>ACCHA</t>
        </is>
      </c>
      <c r="C1424" s="14">
        <f>'Empleo Censo'!G1424-'Empleo Censo'!F1424</f>
        <v/>
      </c>
      <c r="D1424" s="14">
        <f>'Empleo Censo'!F1424</f>
        <v/>
      </c>
      <c r="E1424" s="14">
        <f>'Empleo Censo'!H1424</f>
        <v/>
      </c>
      <c r="F1424" s="14">
        <f>'Empleo Censo'!I1424</f>
        <v/>
      </c>
      <c r="G1424" s="14">
        <f>'Empleo Censo'!J1424+'Empleo Censo'!K1424</f>
        <v/>
      </c>
      <c r="H1424" s="14">
        <f>'Empleo Censo'!L1424</f>
        <v/>
      </c>
      <c r="I1424" s="14">
        <f>'Empleo Censo'!M1424</f>
        <v/>
      </c>
      <c r="J1424" s="14">
        <f>SUM('Empleo Censo'!N1424:AA1424)</f>
        <v/>
      </c>
      <c r="K1424" s="14">
        <f>SUM(C1424:J1424)</f>
        <v/>
      </c>
      <c r="L1424" s="15">
        <f>SUMPRODUCT(C1424:J1424,Factores!$B$3:$I$3)</f>
        <v/>
      </c>
      <c r="M1424" s="16">
        <f>'Empleo Censo'!E1424</f>
        <v/>
      </c>
      <c r="N1424" s="17">
        <f>IF(M1424&gt;0,L1424,Factores!$B$7)</f>
        <v/>
      </c>
      <c r="O1424">
        <f>IF(M1424&gt;0,"OK","sin PEA -&gt; peor")</f>
        <v/>
      </c>
    </row>
    <row r="1425">
      <c r="A1425" t="inlineStr">
        <is>
          <t>061311</t>
        </is>
      </c>
      <c r="B1425" t="inlineStr">
        <is>
          <t>YAUYUCAN</t>
        </is>
      </c>
      <c r="C1425" s="14">
        <f>'Empleo Censo'!G1425-'Empleo Censo'!F1425</f>
        <v/>
      </c>
      <c r="D1425" s="14">
        <f>'Empleo Censo'!F1425</f>
        <v/>
      </c>
      <c r="E1425" s="14">
        <f>'Empleo Censo'!H1425</f>
        <v/>
      </c>
      <c r="F1425" s="14">
        <f>'Empleo Censo'!I1425</f>
        <v/>
      </c>
      <c r="G1425" s="14">
        <f>'Empleo Censo'!J1425+'Empleo Censo'!K1425</f>
        <v/>
      </c>
      <c r="H1425" s="14">
        <f>'Empleo Censo'!L1425</f>
        <v/>
      </c>
      <c r="I1425" s="14">
        <f>'Empleo Censo'!M1425</f>
        <v/>
      </c>
      <c r="J1425" s="14">
        <f>SUM('Empleo Censo'!N1425:AA1425)</f>
        <v/>
      </c>
      <c r="K1425" s="14">
        <f>SUM(C1425:J1425)</f>
        <v/>
      </c>
      <c r="L1425" s="15">
        <f>SUMPRODUCT(C1425:J1425,Factores!$B$3:$I$3)</f>
        <v/>
      </c>
      <c r="M1425" s="16">
        <f>'Empleo Censo'!E1425</f>
        <v/>
      </c>
      <c r="N1425" s="17">
        <f>IF(M1425&gt;0,L1425,Factores!$B$7)</f>
        <v/>
      </c>
      <c r="O1425">
        <f>IF(M1425&gt;0,"OK","sin PEA -&gt; peor")</f>
        <v/>
      </c>
    </row>
    <row r="1426">
      <c r="A1426" t="inlineStr">
        <is>
          <t>080708</t>
        </is>
      </c>
      <c r="B1426" t="inlineStr">
        <is>
          <t>VELILLE</t>
        </is>
      </c>
      <c r="C1426" s="14">
        <f>'Empleo Censo'!G1426-'Empleo Censo'!F1426</f>
        <v/>
      </c>
      <c r="D1426" s="14">
        <f>'Empleo Censo'!F1426</f>
        <v/>
      </c>
      <c r="E1426" s="14">
        <f>'Empleo Censo'!H1426</f>
        <v/>
      </c>
      <c r="F1426" s="14">
        <f>'Empleo Censo'!I1426</f>
        <v/>
      </c>
      <c r="G1426" s="14">
        <f>'Empleo Censo'!J1426+'Empleo Censo'!K1426</f>
        <v/>
      </c>
      <c r="H1426" s="14">
        <f>'Empleo Censo'!L1426</f>
        <v/>
      </c>
      <c r="I1426" s="14">
        <f>'Empleo Censo'!M1426</f>
        <v/>
      </c>
      <c r="J1426" s="14">
        <f>SUM('Empleo Censo'!N1426:AA1426)</f>
        <v/>
      </c>
      <c r="K1426" s="14">
        <f>SUM(C1426:J1426)</f>
        <v/>
      </c>
      <c r="L1426" s="15">
        <f>SUMPRODUCT(C1426:J1426,Factores!$B$3:$I$3)</f>
        <v/>
      </c>
      <c r="M1426" s="16">
        <f>'Empleo Censo'!E1426</f>
        <v/>
      </c>
      <c r="N1426" s="17">
        <f>IF(M1426&gt;0,L1426,Factores!$B$7)</f>
        <v/>
      </c>
      <c r="O1426">
        <f>IF(M1426&gt;0,"OK","sin PEA -&gt; peor")</f>
        <v/>
      </c>
    </row>
    <row r="1427">
      <c r="A1427" t="inlineStr">
        <is>
          <t>080507</t>
        </is>
      </c>
      <c r="B1427" t="inlineStr">
        <is>
          <t>QUEHUE</t>
        </is>
      </c>
      <c r="C1427" s="14">
        <f>'Empleo Censo'!G1427-'Empleo Censo'!F1427</f>
        <v/>
      </c>
      <c r="D1427" s="14">
        <f>'Empleo Censo'!F1427</f>
        <v/>
      </c>
      <c r="E1427" s="14">
        <f>'Empleo Censo'!H1427</f>
        <v/>
      </c>
      <c r="F1427" s="14">
        <f>'Empleo Censo'!I1427</f>
        <v/>
      </c>
      <c r="G1427" s="14">
        <f>'Empleo Censo'!J1427+'Empleo Censo'!K1427</f>
        <v/>
      </c>
      <c r="H1427" s="14">
        <f>'Empleo Censo'!L1427</f>
        <v/>
      </c>
      <c r="I1427" s="14">
        <f>'Empleo Censo'!M1427</f>
        <v/>
      </c>
      <c r="J1427" s="14">
        <f>SUM('Empleo Censo'!N1427:AA1427)</f>
        <v/>
      </c>
      <c r="K1427" s="14">
        <f>SUM(C1427:J1427)</f>
        <v/>
      </c>
      <c r="L1427" s="15">
        <f>SUMPRODUCT(C1427:J1427,Factores!$B$3:$I$3)</f>
        <v/>
      </c>
      <c r="M1427" s="16">
        <f>'Empleo Censo'!E1427</f>
        <v/>
      </c>
      <c r="N1427" s="17">
        <f>IF(M1427&gt;0,L1427,Factores!$B$7)</f>
        <v/>
      </c>
      <c r="O1427">
        <f>IF(M1427&gt;0,"OK","sin PEA -&gt; peor")</f>
        <v/>
      </c>
    </row>
    <row r="1428">
      <c r="A1428" t="inlineStr">
        <is>
          <t>021003</t>
        </is>
      </c>
      <c r="B1428" t="inlineStr">
        <is>
          <t>CAJAY</t>
        </is>
      </c>
      <c r="C1428" s="14">
        <f>'Empleo Censo'!G1428-'Empleo Censo'!F1428</f>
        <v/>
      </c>
      <c r="D1428" s="14">
        <f>'Empleo Censo'!F1428</f>
        <v/>
      </c>
      <c r="E1428" s="14">
        <f>'Empleo Censo'!H1428</f>
        <v/>
      </c>
      <c r="F1428" s="14">
        <f>'Empleo Censo'!I1428</f>
        <v/>
      </c>
      <c r="G1428" s="14">
        <f>'Empleo Censo'!J1428+'Empleo Censo'!K1428</f>
        <v/>
      </c>
      <c r="H1428" s="14">
        <f>'Empleo Censo'!L1428</f>
        <v/>
      </c>
      <c r="I1428" s="14">
        <f>'Empleo Censo'!M1428</f>
        <v/>
      </c>
      <c r="J1428" s="14">
        <f>SUM('Empleo Censo'!N1428:AA1428)</f>
        <v/>
      </c>
      <c r="K1428" s="14">
        <f>SUM(C1428:J1428)</f>
        <v/>
      </c>
      <c r="L1428" s="15">
        <f>SUMPRODUCT(C1428:J1428,Factores!$B$3:$I$3)</f>
        <v/>
      </c>
      <c r="M1428" s="16">
        <f>'Empleo Censo'!E1428</f>
        <v/>
      </c>
      <c r="N1428" s="17">
        <f>IF(M1428&gt;0,L1428,Factores!$B$7)</f>
        <v/>
      </c>
      <c r="O1428">
        <f>IF(M1428&gt;0,"OK","sin PEA -&gt; peor")</f>
        <v/>
      </c>
    </row>
    <row r="1429">
      <c r="A1429" t="inlineStr">
        <is>
          <t>020509</t>
        </is>
      </c>
      <c r="B1429" t="inlineStr">
        <is>
          <t>HUASTA</t>
        </is>
      </c>
      <c r="C1429" s="14">
        <f>'Empleo Censo'!G1429-'Empleo Censo'!F1429</f>
        <v/>
      </c>
      <c r="D1429" s="14">
        <f>'Empleo Censo'!F1429</f>
        <v/>
      </c>
      <c r="E1429" s="14">
        <f>'Empleo Censo'!H1429</f>
        <v/>
      </c>
      <c r="F1429" s="14">
        <f>'Empleo Censo'!I1429</f>
        <v/>
      </c>
      <c r="G1429" s="14">
        <f>'Empleo Censo'!J1429+'Empleo Censo'!K1429</f>
        <v/>
      </c>
      <c r="H1429" s="14">
        <f>'Empleo Censo'!L1429</f>
        <v/>
      </c>
      <c r="I1429" s="14">
        <f>'Empleo Censo'!M1429</f>
        <v/>
      </c>
      <c r="J1429" s="14">
        <f>SUM('Empleo Censo'!N1429:AA1429)</f>
        <v/>
      </c>
      <c r="K1429" s="14">
        <f>SUM(C1429:J1429)</f>
        <v/>
      </c>
      <c r="L1429" s="15">
        <f>SUMPRODUCT(C1429:J1429,Factores!$B$3:$I$3)</f>
        <v/>
      </c>
      <c r="M1429" s="16">
        <f>'Empleo Censo'!E1429</f>
        <v/>
      </c>
      <c r="N1429" s="17">
        <f>IF(M1429&gt;0,L1429,Factores!$B$7)</f>
        <v/>
      </c>
      <c r="O1429">
        <f>IF(M1429&gt;0,"OK","sin PEA -&gt; peor")</f>
        <v/>
      </c>
    </row>
    <row r="1430">
      <c r="A1430" t="inlineStr">
        <is>
          <t>010118</t>
        </is>
      </c>
      <c r="B1430" t="inlineStr">
        <is>
          <t>SAN FRANCISCO DE DAGUAS</t>
        </is>
      </c>
      <c r="C1430" s="14">
        <f>'Empleo Censo'!G1430-'Empleo Censo'!F1430</f>
        <v/>
      </c>
      <c r="D1430" s="14">
        <f>'Empleo Censo'!F1430</f>
        <v/>
      </c>
      <c r="E1430" s="14">
        <f>'Empleo Censo'!H1430</f>
        <v/>
      </c>
      <c r="F1430" s="14">
        <f>'Empleo Censo'!I1430</f>
        <v/>
      </c>
      <c r="G1430" s="14">
        <f>'Empleo Censo'!J1430+'Empleo Censo'!K1430</f>
        <v/>
      </c>
      <c r="H1430" s="14">
        <f>'Empleo Censo'!L1430</f>
        <v/>
      </c>
      <c r="I1430" s="14">
        <f>'Empleo Censo'!M1430</f>
        <v/>
      </c>
      <c r="J1430" s="14">
        <f>SUM('Empleo Censo'!N1430:AA1430)</f>
        <v/>
      </c>
      <c r="K1430" s="14">
        <f>SUM(C1430:J1430)</f>
        <v/>
      </c>
      <c r="L1430" s="15">
        <f>SUMPRODUCT(C1430:J1430,Factores!$B$3:$I$3)</f>
        <v/>
      </c>
      <c r="M1430" s="16">
        <f>'Empleo Censo'!E1430</f>
        <v/>
      </c>
      <c r="N1430" s="17">
        <f>IF(M1430&gt;0,L1430,Factores!$B$7)</f>
        <v/>
      </c>
      <c r="O1430">
        <f>IF(M1430&gt;0,"OK","sin PEA -&gt; peor")</f>
        <v/>
      </c>
    </row>
    <row r="1431">
      <c r="A1431" t="inlineStr">
        <is>
          <t>040801</t>
        </is>
      </c>
      <c r="B1431" t="inlineStr">
        <is>
          <t>COTAHUASI</t>
        </is>
      </c>
      <c r="C1431" s="14">
        <f>'Empleo Censo'!G1431-'Empleo Censo'!F1431</f>
        <v/>
      </c>
      <c r="D1431" s="14">
        <f>'Empleo Censo'!F1431</f>
        <v/>
      </c>
      <c r="E1431" s="14">
        <f>'Empleo Censo'!H1431</f>
        <v/>
      </c>
      <c r="F1431" s="14">
        <f>'Empleo Censo'!I1431</f>
        <v/>
      </c>
      <c r="G1431" s="14">
        <f>'Empleo Censo'!J1431+'Empleo Censo'!K1431</f>
        <v/>
      </c>
      <c r="H1431" s="14">
        <f>'Empleo Censo'!L1431</f>
        <v/>
      </c>
      <c r="I1431" s="14">
        <f>'Empleo Censo'!M1431</f>
        <v/>
      </c>
      <c r="J1431" s="14">
        <f>SUM('Empleo Censo'!N1431:AA1431)</f>
        <v/>
      </c>
      <c r="K1431" s="14">
        <f>SUM(C1431:J1431)</f>
        <v/>
      </c>
      <c r="L1431" s="15">
        <f>SUMPRODUCT(C1431:J1431,Factores!$B$3:$I$3)</f>
        <v/>
      </c>
      <c r="M1431" s="16">
        <f>'Empleo Censo'!E1431</f>
        <v/>
      </c>
      <c r="N1431" s="17">
        <f>IF(M1431&gt;0,L1431,Factores!$B$7)</f>
        <v/>
      </c>
      <c r="O1431">
        <f>IF(M1431&gt;0,"OK","sin PEA -&gt; peor")</f>
        <v/>
      </c>
    </row>
    <row r="1432">
      <c r="A1432" t="inlineStr">
        <is>
          <t>090409</t>
        </is>
      </c>
      <c r="B1432" t="inlineStr">
        <is>
          <t>MOLLEPAMPA</t>
        </is>
      </c>
      <c r="C1432" s="14">
        <f>'Empleo Censo'!G1432-'Empleo Censo'!F1432</f>
        <v/>
      </c>
      <c r="D1432" s="14">
        <f>'Empleo Censo'!F1432</f>
        <v/>
      </c>
      <c r="E1432" s="14">
        <f>'Empleo Censo'!H1432</f>
        <v/>
      </c>
      <c r="F1432" s="14">
        <f>'Empleo Censo'!I1432</f>
        <v/>
      </c>
      <c r="G1432" s="14">
        <f>'Empleo Censo'!J1432+'Empleo Censo'!K1432</f>
        <v/>
      </c>
      <c r="H1432" s="14">
        <f>'Empleo Censo'!L1432</f>
        <v/>
      </c>
      <c r="I1432" s="14">
        <f>'Empleo Censo'!M1432</f>
        <v/>
      </c>
      <c r="J1432" s="14">
        <f>SUM('Empleo Censo'!N1432:AA1432)</f>
        <v/>
      </c>
      <c r="K1432" s="14">
        <f>SUM(C1432:J1432)</f>
        <v/>
      </c>
      <c r="L1432" s="15">
        <f>SUMPRODUCT(C1432:J1432,Factores!$B$3:$I$3)</f>
        <v/>
      </c>
      <c r="M1432" s="16">
        <f>'Empleo Censo'!E1432</f>
        <v/>
      </c>
      <c r="N1432" s="17">
        <f>IF(M1432&gt;0,L1432,Factores!$B$7)</f>
        <v/>
      </c>
      <c r="O1432">
        <f>IF(M1432&gt;0,"OK","sin PEA -&gt; peor")</f>
        <v/>
      </c>
    </row>
    <row r="1433">
      <c r="A1433" t="inlineStr">
        <is>
          <t>090412</t>
        </is>
      </c>
      <c r="B1433" t="inlineStr">
        <is>
          <t>TANTARA</t>
        </is>
      </c>
      <c r="C1433" s="14">
        <f>'Empleo Censo'!G1433-'Empleo Censo'!F1433</f>
        <v/>
      </c>
      <c r="D1433" s="14">
        <f>'Empleo Censo'!F1433</f>
        <v/>
      </c>
      <c r="E1433" s="14">
        <f>'Empleo Censo'!H1433</f>
        <v/>
      </c>
      <c r="F1433" s="14">
        <f>'Empleo Censo'!I1433</f>
        <v/>
      </c>
      <c r="G1433" s="14">
        <f>'Empleo Censo'!J1433+'Empleo Censo'!K1433</f>
        <v/>
      </c>
      <c r="H1433" s="14">
        <f>'Empleo Censo'!L1433</f>
        <v/>
      </c>
      <c r="I1433" s="14">
        <f>'Empleo Censo'!M1433</f>
        <v/>
      </c>
      <c r="J1433" s="14">
        <f>SUM('Empleo Censo'!N1433:AA1433)</f>
        <v/>
      </c>
      <c r="K1433" s="14">
        <f>SUM(C1433:J1433)</f>
        <v/>
      </c>
      <c r="L1433" s="15">
        <f>SUMPRODUCT(C1433:J1433,Factores!$B$3:$I$3)</f>
        <v/>
      </c>
      <c r="M1433" s="16">
        <f>'Empleo Censo'!E1433</f>
        <v/>
      </c>
      <c r="N1433" s="17">
        <f>IF(M1433&gt;0,L1433,Factores!$B$7)</f>
        <v/>
      </c>
      <c r="O1433">
        <f>IF(M1433&gt;0,"OK","sin PEA -&gt; peor")</f>
        <v/>
      </c>
    </row>
    <row r="1434">
      <c r="A1434" t="inlineStr">
        <is>
          <t>090207</t>
        </is>
      </c>
      <c r="B1434" t="inlineStr">
        <is>
          <t>POMACOCHA</t>
        </is>
      </c>
      <c r="C1434" s="14">
        <f>'Empleo Censo'!G1434-'Empleo Censo'!F1434</f>
        <v/>
      </c>
      <c r="D1434" s="14">
        <f>'Empleo Censo'!F1434</f>
        <v/>
      </c>
      <c r="E1434" s="14">
        <f>'Empleo Censo'!H1434</f>
        <v/>
      </c>
      <c r="F1434" s="14">
        <f>'Empleo Censo'!I1434</f>
        <v/>
      </c>
      <c r="G1434" s="14">
        <f>'Empleo Censo'!J1434+'Empleo Censo'!K1434</f>
        <v/>
      </c>
      <c r="H1434" s="14">
        <f>'Empleo Censo'!L1434</f>
        <v/>
      </c>
      <c r="I1434" s="14">
        <f>'Empleo Censo'!M1434</f>
        <v/>
      </c>
      <c r="J1434" s="14">
        <f>SUM('Empleo Censo'!N1434:AA1434)</f>
        <v/>
      </c>
      <c r="K1434" s="14">
        <f>SUM(C1434:J1434)</f>
        <v/>
      </c>
      <c r="L1434" s="15">
        <f>SUMPRODUCT(C1434:J1434,Factores!$B$3:$I$3)</f>
        <v/>
      </c>
      <c r="M1434" s="16">
        <f>'Empleo Censo'!E1434</f>
        <v/>
      </c>
      <c r="N1434" s="17">
        <f>IF(M1434&gt;0,L1434,Factores!$B$7)</f>
        <v/>
      </c>
      <c r="O1434">
        <f>IF(M1434&gt;0,"OK","sin PEA -&gt; peor")</f>
        <v/>
      </c>
    </row>
    <row r="1435">
      <c r="A1435" t="inlineStr">
        <is>
          <t>060419</t>
        </is>
      </c>
      <c r="B1435" t="inlineStr">
        <is>
          <t>CHALAMARCA</t>
        </is>
      </c>
      <c r="C1435" s="14">
        <f>'Empleo Censo'!G1435-'Empleo Censo'!F1435</f>
        <v/>
      </c>
      <c r="D1435" s="14">
        <f>'Empleo Censo'!F1435</f>
        <v/>
      </c>
      <c r="E1435" s="14">
        <f>'Empleo Censo'!H1435</f>
        <v/>
      </c>
      <c r="F1435" s="14">
        <f>'Empleo Censo'!I1435</f>
        <v/>
      </c>
      <c r="G1435" s="14">
        <f>'Empleo Censo'!J1435+'Empleo Censo'!K1435</f>
        <v/>
      </c>
      <c r="H1435" s="14">
        <f>'Empleo Censo'!L1435</f>
        <v/>
      </c>
      <c r="I1435" s="14">
        <f>'Empleo Censo'!M1435</f>
        <v/>
      </c>
      <c r="J1435" s="14">
        <f>SUM('Empleo Censo'!N1435:AA1435)</f>
        <v/>
      </c>
      <c r="K1435" s="14">
        <f>SUM(C1435:J1435)</f>
        <v/>
      </c>
      <c r="L1435" s="15">
        <f>SUMPRODUCT(C1435:J1435,Factores!$B$3:$I$3)</f>
        <v/>
      </c>
      <c r="M1435" s="16">
        <f>'Empleo Censo'!E1435</f>
        <v/>
      </c>
      <c r="N1435" s="17">
        <f>IF(M1435&gt;0,L1435,Factores!$B$7)</f>
        <v/>
      </c>
      <c r="O1435">
        <f>IF(M1435&gt;0,"OK","sin PEA -&gt; peor")</f>
        <v/>
      </c>
    </row>
    <row r="1436">
      <c r="A1436" t="inlineStr">
        <is>
          <t>050504</t>
        </is>
      </c>
      <c r="B1436" t="inlineStr">
        <is>
          <t>CHILCAS</t>
        </is>
      </c>
      <c r="C1436" s="14">
        <f>'Empleo Censo'!G1436-'Empleo Censo'!F1436</f>
        <v/>
      </c>
      <c r="D1436" s="14">
        <f>'Empleo Censo'!F1436</f>
        <v/>
      </c>
      <c r="E1436" s="14">
        <f>'Empleo Censo'!H1436</f>
        <v/>
      </c>
      <c r="F1436" s="14">
        <f>'Empleo Censo'!I1436</f>
        <v/>
      </c>
      <c r="G1436" s="14">
        <f>'Empleo Censo'!J1436+'Empleo Censo'!K1436</f>
        <v/>
      </c>
      <c r="H1436" s="14">
        <f>'Empleo Censo'!L1436</f>
        <v/>
      </c>
      <c r="I1436" s="14">
        <f>'Empleo Censo'!M1436</f>
        <v/>
      </c>
      <c r="J1436" s="14">
        <f>SUM('Empleo Censo'!N1436:AA1436)</f>
        <v/>
      </c>
      <c r="K1436" s="14">
        <f>SUM(C1436:J1436)</f>
        <v/>
      </c>
      <c r="L1436" s="15">
        <f>SUMPRODUCT(C1436:J1436,Factores!$B$3:$I$3)</f>
        <v/>
      </c>
      <c r="M1436" s="16">
        <f>'Empleo Censo'!E1436</f>
        <v/>
      </c>
      <c r="N1436" s="17">
        <f>IF(M1436&gt;0,L1436,Factores!$B$7)</f>
        <v/>
      </c>
      <c r="O1436">
        <f>IF(M1436&gt;0,"OK","sin PEA -&gt; peor")</f>
        <v/>
      </c>
    </row>
    <row r="1437">
      <c r="A1437" t="inlineStr">
        <is>
          <t>090602</t>
        </is>
      </c>
      <c r="B1437" t="inlineStr">
        <is>
          <t>AYAVI</t>
        </is>
      </c>
      <c r="C1437" s="14">
        <f>'Empleo Censo'!G1437-'Empleo Censo'!F1437</f>
        <v/>
      </c>
      <c r="D1437" s="14">
        <f>'Empleo Censo'!F1437</f>
        <v/>
      </c>
      <c r="E1437" s="14">
        <f>'Empleo Censo'!H1437</f>
        <v/>
      </c>
      <c r="F1437" s="14">
        <f>'Empleo Censo'!I1437</f>
        <v/>
      </c>
      <c r="G1437" s="14">
        <f>'Empleo Censo'!J1437+'Empleo Censo'!K1437</f>
        <v/>
      </c>
      <c r="H1437" s="14">
        <f>'Empleo Censo'!L1437</f>
        <v/>
      </c>
      <c r="I1437" s="14">
        <f>'Empleo Censo'!M1437</f>
        <v/>
      </c>
      <c r="J1437" s="14">
        <f>SUM('Empleo Censo'!N1437:AA1437)</f>
        <v/>
      </c>
      <c r="K1437" s="14">
        <f>SUM(C1437:J1437)</f>
        <v/>
      </c>
      <c r="L1437" s="15">
        <f>SUMPRODUCT(C1437:J1437,Factores!$B$3:$I$3)</f>
        <v/>
      </c>
      <c r="M1437" s="16">
        <f>'Empleo Censo'!E1437</f>
        <v/>
      </c>
      <c r="N1437" s="17">
        <f>IF(M1437&gt;0,L1437,Factores!$B$7)</f>
        <v/>
      </c>
      <c r="O1437">
        <f>IF(M1437&gt;0,"OK","sin PEA -&gt; peor")</f>
        <v/>
      </c>
    </row>
    <row r="1438">
      <c r="A1438" t="inlineStr">
        <is>
          <t>090604</t>
        </is>
      </c>
      <c r="B1438" t="inlineStr">
        <is>
          <t>HUAYACUNDO ARMA</t>
        </is>
      </c>
      <c r="C1438" s="14">
        <f>'Empleo Censo'!G1438-'Empleo Censo'!F1438</f>
        <v/>
      </c>
      <c r="D1438" s="14">
        <f>'Empleo Censo'!F1438</f>
        <v/>
      </c>
      <c r="E1438" s="14">
        <f>'Empleo Censo'!H1438</f>
        <v/>
      </c>
      <c r="F1438" s="14">
        <f>'Empleo Censo'!I1438</f>
        <v/>
      </c>
      <c r="G1438" s="14">
        <f>'Empleo Censo'!J1438+'Empleo Censo'!K1438</f>
        <v/>
      </c>
      <c r="H1438" s="14">
        <f>'Empleo Censo'!L1438</f>
        <v/>
      </c>
      <c r="I1438" s="14">
        <f>'Empleo Censo'!M1438</f>
        <v/>
      </c>
      <c r="J1438" s="14">
        <f>SUM('Empleo Censo'!N1438:AA1438)</f>
        <v/>
      </c>
      <c r="K1438" s="14">
        <f>SUM(C1438:J1438)</f>
        <v/>
      </c>
      <c r="L1438" s="15">
        <f>SUMPRODUCT(C1438:J1438,Factores!$B$3:$I$3)</f>
        <v/>
      </c>
      <c r="M1438" s="16">
        <f>'Empleo Censo'!E1438</f>
        <v/>
      </c>
      <c r="N1438" s="17">
        <f>IF(M1438&gt;0,L1438,Factores!$B$7)</f>
        <v/>
      </c>
      <c r="O1438">
        <f>IF(M1438&gt;0,"OK","sin PEA -&gt; peor")</f>
        <v/>
      </c>
    </row>
    <row r="1439">
      <c r="A1439" t="inlineStr">
        <is>
          <t>040804</t>
        </is>
      </c>
      <c r="B1439" t="inlineStr">
        <is>
          <t>HUAYNACOTAS</t>
        </is>
      </c>
      <c r="C1439" s="14">
        <f>'Empleo Censo'!G1439-'Empleo Censo'!F1439</f>
        <v/>
      </c>
      <c r="D1439" s="14">
        <f>'Empleo Censo'!F1439</f>
        <v/>
      </c>
      <c r="E1439" s="14">
        <f>'Empleo Censo'!H1439</f>
        <v/>
      </c>
      <c r="F1439" s="14">
        <f>'Empleo Censo'!I1439</f>
        <v/>
      </c>
      <c r="G1439" s="14">
        <f>'Empleo Censo'!J1439+'Empleo Censo'!K1439</f>
        <v/>
      </c>
      <c r="H1439" s="14">
        <f>'Empleo Censo'!L1439</f>
        <v/>
      </c>
      <c r="I1439" s="14">
        <f>'Empleo Censo'!M1439</f>
        <v/>
      </c>
      <c r="J1439" s="14">
        <f>SUM('Empleo Censo'!N1439:AA1439)</f>
        <v/>
      </c>
      <c r="K1439" s="14">
        <f>SUM(C1439:J1439)</f>
        <v/>
      </c>
      <c r="L1439" s="15">
        <f>SUMPRODUCT(C1439:J1439,Factores!$B$3:$I$3)</f>
        <v/>
      </c>
      <c r="M1439" s="16">
        <f>'Empleo Censo'!E1439</f>
        <v/>
      </c>
      <c r="N1439" s="17">
        <f>IF(M1439&gt;0,L1439,Factores!$B$7)</f>
        <v/>
      </c>
      <c r="O1439">
        <f>IF(M1439&gt;0,"OK","sin PEA -&gt; peor")</f>
        <v/>
      </c>
    </row>
    <row r="1440">
      <c r="A1440" t="inlineStr">
        <is>
          <t>040409</t>
        </is>
      </c>
      <c r="B1440" t="inlineStr">
        <is>
          <t>ORCOPAMPA</t>
        </is>
      </c>
      <c r="C1440" s="14">
        <f>'Empleo Censo'!G1440-'Empleo Censo'!F1440</f>
        <v/>
      </c>
      <c r="D1440" s="14">
        <f>'Empleo Censo'!F1440</f>
        <v/>
      </c>
      <c r="E1440" s="14">
        <f>'Empleo Censo'!H1440</f>
        <v/>
      </c>
      <c r="F1440" s="14">
        <f>'Empleo Censo'!I1440</f>
        <v/>
      </c>
      <c r="G1440" s="14">
        <f>'Empleo Censo'!J1440+'Empleo Censo'!K1440</f>
        <v/>
      </c>
      <c r="H1440" s="14">
        <f>'Empleo Censo'!L1440</f>
        <v/>
      </c>
      <c r="I1440" s="14">
        <f>'Empleo Censo'!M1440</f>
        <v/>
      </c>
      <c r="J1440" s="14">
        <f>SUM('Empleo Censo'!N1440:AA1440)</f>
        <v/>
      </c>
      <c r="K1440" s="14">
        <f>SUM(C1440:J1440)</f>
        <v/>
      </c>
      <c r="L1440" s="15">
        <f>SUMPRODUCT(C1440:J1440,Factores!$B$3:$I$3)</f>
        <v/>
      </c>
      <c r="M1440" s="16">
        <f>'Empleo Censo'!E1440</f>
        <v/>
      </c>
      <c r="N1440" s="17">
        <f>IF(M1440&gt;0,L1440,Factores!$B$7)</f>
        <v/>
      </c>
      <c r="O1440">
        <f>IF(M1440&gt;0,"OK","sin PEA -&gt; peor")</f>
        <v/>
      </c>
    </row>
    <row r="1441">
      <c r="A1441" t="inlineStr">
        <is>
          <t>040806</t>
        </is>
      </c>
      <c r="B1441" t="inlineStr">
        <is>
          <t>PUYCA</t>
        </is>
      </c>
      <c r="C1441" s="14">
        <f>'Empleo Censo'!G1441-'Empleo Censo'!F1441</f>
        <v/>
      </c>
      <c r="D1441" s="14">
        <f>'Empleo Censo'!F1441</f>
        <v/>
      </c>
      <c r="E1441" s="14">
        <f>'Empleo Censo'!H1441</f>
        <v/>
      </c>
      <c r="F1441" s="14">
        <f>'Empleo Censo'!I1441</f>
        <v/>
      </c>
      <c r="G1441" s="14">
        <f>'Empleo Censo'!J1441+'Empleo Censo'!K1441</f>
        <v/>
      </c>
      <c r="H1441" s="14">
        <f>'Empleo Censo'!L1441</f>
        <v/>
      </c>
      <c r="I1441" s="14">
        <f>'Empleo Censo'!M1441</f>
        <v/>
      </c>
      <c r="J1441" s="14">
        <f>SUM('Empleo Censo'!N1441:AA1441)</f>
        <v/>
      </c>
      <c r="K1441" s="14">
        <f>SUM(C1441:J1441)</f>
        <v/>
      </c>
      <c r="L1441" s="15">
        <f>SUMPRODUCT(C1441:J1441,Factores!$B$3:$I$3)</f>
        <v/>
      </c>
      <c r="M1441" s="16">
        <f>'Empleo Censo'!E1441</f>
        <v/>
      </c>
      <c r="N1441" s="17">
        <f>IF(M1441&gt;0,L1441,Factores!$B$7)</f>
        <v/>
      </c>
      <c r="O1441">
        <f>IF(M1441&gt;0,"OK","sin PEA -&gt; peor")</f>
        <v/>
      </c>
    </row>
    <row r="1442">
      <c r="A1442" t="inlineStr">
        <is>
          <t>040406</t>
        </is>
      </c>
      <c r="B1442" t="inlineStr">
        <is>
          <t>CHOCO</t>
        </is>
      </c>
      <c r="C1442" s="14">
        <f>'Empleo Censo'!G1442-'Empleo Censo'!F1442</f>
        <v/>
      </c>
      <c r="D1442" s="14">
        <f>'Empleo Censo'!F1442</f>
        <v/>
      </c>
      <c r="E1442" s="14">
        <f>'Empleo Censo'!H1442</f>
        <v/>
      </c>
      <c r="F1442" s="14">
        <f>'Empleo Censo'!I1442</f>
        <v/>
      </c>
      <c r="G1442" s="14">
        <f>'Empleo Censo'!J1442+'Empleo Censo'!K1442</f>
        <v/>
      </c>
      <c r="H1442" s="14">
        <f>'Empleo Censo'!L1442</f>
        <v/>
      </c>
      <c r="I1442" s="14">
        <f>'Empleo Censo'!M1442</f>
        <v/>
      </c>
      <c r="J1442" s="14">
        <f>SUM('Empleo Censo'!N1442:AA1442)</f>
        <v/>
      </c>
      <c r="K1442" s="14">
        <f>SUM(C1442:J1442)</f>
        <v/>
      </c>
      <c r="L1442" s="15">
        <f>SUMPRODUCT(C1442:J1442,Factores!$B$3:$I$3)</f>
        <v/>
      </c>
      <c r="M1442" s="16">
        <f>'Empleo Censo'!E1442</f>
        <v/>
      </c>
      <c r="N1442" s="17">
        <f>IF(M1442&gt;0,L1442,Factores!$B$7)</f>
        <v/>
      </c>
      <c r="O1442">
        <f>IF(M1442&gt;0,"OK","sin PEA -&gt; peor")</f>
        <v/>
      </c>
    </row>
    <row r="1443">
      <c r="A1443" t="inlineStr">
        <is>
          <t>080508</t>
        </is>
      </c>
      <c r="B1443" t="inlineStr">
        <is>
          <t>TUPAC AMARU</t>
        </is>
      </c>
      <c r="C1443" s="14">
        <f>'Empleo Censo'!G1443-'Empleo Censo'!F1443</f>
        <v/>
      </c>
      <c r="D1443" s="14">
        <f>'Empleo Censo'!F1443</f>
        <v/>
      </c>
      <c r="E1443" s="14">
        <f>'Empleo Censo'!H1443</f>
        <v/>
      </c>
      <c r="F1443" s="14">
        <f>'Empleo Censo'!I1443</f>
        <v/>
      </c>
      <c r="G1443" s="14">
        <f>'Empleo Censo'!J1443+'Empleo Censo'!K1443</f>
        <v/>
      </c>
      <c r="H1443" s="14">
        <f>'Empleo Censo'!L1443</f>
        <v/>
      </c>
      <c r="I1443" s="14">
        <f>'Empleo Censo'!M1443</f>
        <v/>
      </c>
      <c r="J1443" s="14">
        <f>SUM('Empleo Censo'!N1443:AA1443)</f>
        <v/>
      </c>
      <c r="K1443" s="14">
        <f>SUM(C1443:J1443)</f>
        <v/>
      </c>
      <c r="L1443" s="15">
        <f>SUMPRODUCT(C1443:J1443,Factores!$B$3:$I$3)</f>
        <v/>
      </c>
      <c r="M1443" s="16">
        <f>'Empleo Censo'!E1443</f>
        <v/>
      </c>
      <c r="N1443" s="17">
        <f>IF(M1443&gt;0,L1443,Factores!$B$7)</f>
        <v/>
      </c>
      <c r="O1443">
        <f>IF(M1443&gt;0,"OK","sin PEA -&gt; peor")</f>
        <v/>
      </c>
    </row>
    <row r="1444">
      <c r="A1444" t="inlineStr">
        <is>
          <t>030610</t>
        </is>
      </c>
      <c r="B1444" t="inlineStr">
        <is>
          <t>EL PORVENIR</t>
        </is>
      </c>
      <c r="C1444" s="14">
        <f>'Empleo Censo'!G1444-'Empleo Censo'!F1444</f>
        <v/>
      </c>
      <c r="D1444" s="14">
        <f>'Empleo Censo'!F1444</f>
        <v/>
      </c>
      <c r="E1444" s="14">
        <f>'Empleo Censo'!H1444</f>
        <v/>
      </c>
      <c r="F1444" s="14">
        <f>'Empleo Censo'!I1444</f>
        <v/>
      </c>
      <c r="G1444" s="14">
        <f>'Empleo Censo'!J1444+'Empleo Censo'!K1444</f>
        <v/>
      </c>
      <c r="H1444" s="14">
        <f>'Empleo Censo'!L1444</f>
        <v/>
      </c>
      <c r="I1444" s="14">
        <f>'Empleo Censo'!M1444</f>
        <v/>
      </c>
      <c r="J1444" s="14">
        <f>SUM('Empleo Censo'!N1444:AA1444)</f>
        <v/>
      </c>
      <c r="K1444" s="14">
        <f>SUM(C1444:J1444)</f>
        <v/>
      </c>
      <c r="L1444" s="15">
        <f>SUMPRODUCT(C1444:J1444,Factores!$B$3:$I$3)</f>
        <v/>
      </c>
      <c r="M1444" s="16">
        <f>'Empleo Censo'!E1444</f>
        <v/>
      </c>
      <c r="N1444" s="17">
        <f>IF(M1444&gt;0,L1444,Factores!$B$7)</f>
        <v/>
      </c>
      <c r="O1444">
        <f>IF(M1444&gt;0,"OK","sin PEA -&gt; peor")</f>
        <v/>
      </c>
    </row>
    <row r="1445">
      <c r="A1445" t="inlineStr">
        <is>
          <t>050514</t>
        </is>
      </c>
      <c r="B1445" t="inlineStr">
        <is>
          <t>NINABAMBA</t>
        </is>
      </c>
      <c r="C1445" s="14">
        <f>'Empleo Censo'!G1445-'Empleo Censo'!F1445</f>
        <v/>
      </c>
      <c r="D1445" s="14">
        <f>'Empleo Censo'!F1445</f>
        <v/>
      </c>
      <c r="E1445" s="14">
        <f>'Empleo Censo'!H1445</f>
        <v/>
      </c>
      <c r="F1445" s="14">
        <f>'Empleo Censo'!I1445</f>
        <v/>
      </c>
      <c r="G1445" s="14">
        <f>'Empleo Censo'!J1445+'Empleo Censo'!K1445</f>
        <v/>
      </c>
      <c r="H1445" s="14">
        <f>'Empleo Censo'!L1445</f>
        <v/>
      </c>
      <c r="I1445" s="14">
        <f>'Empleo Censo'!M1445</f>
        <v/>
      </c>
      <c r="J1445" s="14">
        <f>SUM('Empleo Censo'!N1445:AA1445)</f>
        <v/>
      </c>
      <c r="K1445" s="14">
        <f>SUM(C1445:J1445)</f>
        <v/>
      </c>
      <c r="L1445" s="15">
        <f>SUMPRODUCT(C1445:J1445,Factores!$B$3:$I$3)</f>
        <v/>
      </c>
      <c r="M1445" s="16">
        <f>'Empleo Censo'!E1445</f>
        <v/>
      </c>
      <c r="N1445" s="17">
        <f>IF(M1445&gt;0,L1445,Factores!$B$7)</f>
        <v/>
      </c>
      <c r="O1445">
        <f>IF(M1445&gt;0,"OK","sin PEA -&gt; peor")</f>
        <v/>
      </c>
    </row>
    <row r="1446">
      <c r="A1446" t="inlineStr">
        <is>
          <t>020302</t>
        </is>
      </c>
      <c r="B1446" t="inlineStr">
        <is>
          <t>ACZO</t>
        </is>
      </c>
      <c r="C1446" s="14">
        <f>'Empleo Censo'!G1446-'Empleo Censo'!F1446</f>
        <v/>
      </c>
      <c r="D1446" s="14">
        <f>'Empleo Censo'!F1446</f>
        <v/>
      </c>
      <c r="E1446" s="14">
        <f>'Empleo Censo'!H1446</f>
        <v/>
      </c>
      <c r="F1446" s="14">
        <f>'Empleo Censo'!I1446</f>
        <v/>
      </c>
      <c r="G1446" s="14">
        <f>'Empleo Censo'!J1446+'Empleo Censo'!K1446</f>
        <v/>
      </c>
      <c r="H1446" s="14">
        <f>'Empleo Censo'!L1446</f>
        <v/>
      </c>
      <c r="I1446" s="14">
        <f>'Empleo Censo'!M1446</f>
        <v/>
      </c>
      <c r="J1446" s="14">
        <f>SUM('Empleo Censo'!N1446:AA1446)</f>
        <v/>
      </c>
      <c r="K1446" s="14">
        <f>SUM(C1446:J1446)</f>
        <v/>
      </c>
      <c r="L1446" s="15">
        <f>SUMPRODUCT(C1446:J1446,Factores!$B$3:$I$3)</f>
        <v/>
      </c>
      <c r="M1446" s="16">
        <f>'Empleo Censo'!E1446</f>
        <v/>
      </c>
      <c r="N1446" s="17">
        <f>IF(M1446&gt;0,L1446,Factores!$B$7)</f>
        <v/>
      </c>
      <c r="O1446">
        <f>IF(M1446&gt;0,"OK","sin PEA -&gt; peor")</f>
        <v/>
      </c>
    </row>
    <row r="1447">
      <c r="A1447" t="inlineStr">
        <is>
          <t>090508</t>
        </is>
      </c>
      <c r="B1447" t="inlineStr">
        <is>
          <t>SAN MIGUEL DE MAYOCC</t>
        </is>
      </c>
      <c r="C1447" s="14">
        <f>'Empleo Censo'!G1447-'Empleo Censo'!F1447</f>
        <v/>
      </c>
      <c r="D1447" s="14">
        <f>'Empleo Censo'!F1447</f>
        <v/>
      </c>
      <c r="E1447" s="14">
        <f>'Empleo Censo'!H1447</f>
        <v/>
      </c>
      <c r="F1447" s="14">
        <f>'Empleo Censo'!I1447</f>
        <v/>
      </c>
      <c r="G1447" s="14">
        <f>'Empleo Censo'!J1447+'Empleo Censo'!K1447</f>
        <v/>
      </c>
      <c r="H1447" s="14">
        <f>'Empleo Censo'!L1447</f>
        <v/>
      </c>
      <c r="I1447" s="14">
        <f>'Empleo Censo'!M1447</f>
        <v/>
      </c>
      <c r="J1447" s="14">
        <f>SUM('Empleo Censo'!N1447:AA1447)</f>
        <v/>
      </c>
      <c r="K1447" s="14">
        <f>SUM(C1447:J1447)</f>
        <v/>
      </c>
      <c r="L1447" s="15">
        <f>SUMPRODUCT(C1447:J1447,Factores!$B$3:$I$3)</f>
        <v/>
      </c>
      <c r="M1447" s="16">
        <f>'Empleo Censo'!E1447</f>
        <v/>
      </c>
      <c r="N1447" s="17">
        <f>IF(M1447&gt;0,L1447,Factores!$B$7)</f>
        <v/>
      </c>
      <c r="O1447">
        <f>IF(M1447&gt;0,"OK","sin PEA -&gt; peor")</f>
        <v/>
      </c>
    </row>
    <row r="1448">
      <c r="A1448" t="inlineStr">
        <is>
          <t>010607</t>
        </is>
      </c>
      <c r="B1448" t="inlineStr">
        <is>
          <t>MARISCAL BENAVIDES</t>
        </is>
      </c>
      <c r="C1448" s="14">
        <f>'Empleo Censo'!G1448-'Empleo Censo'!F1448</f>
        <v/>
      </c>
      <c r="D1448" s="14">
        <f>'Empleo Censo'!F1448</f>
        <v/>
      </c>
      <c r="E1448" s="14">
        <f>'Empleo Censo'!H1448</f>
        <v/>
      </c>
      <c r="F1448" s="14">
        <f>'Empleo Censo'!I1448</f>
        <v/>
      </c>
      <c r="G1448" s="14">
        <f>'Empleo Censo'!J1448+'Empleo Censo'!K1448</f>
        <v/>
      </c>
      <c r="H1448" s="14">
        <f>'Empleo Censo'!L1448</f>
        <v/>
      </c>
      <c r="I1448" s="14">
        <f>'Empleo Censo'!M1448</f>
        <v/>
      </c>
      <c r="J1448" s="14">
        <f>SUM('Empleo Censo'!N1448:AA1448)</f>
        <v/>
      </c>
      <c r="K1448" s="14">
        <f>SUM(C1448:J1448)</f>
        <v/>
      </c>
      <c r="L1448" s="15">
        <f>SUMPRODUCT(C1448:J1448,Factores!$B$3:$I$3)</f>
        <v/>
      </c>
      <c r="M1448" s="16">
        <f>'Empleo Censo'!E1448</f>
        <v/>
      </c>
      <c r="N1448" s="17">
        <f>IF(M1448&gt;0,L1448,Factores!$B$7)</f>
        <v/>
      </c>
      <c r="O1448">
        <f>IF(M1448&gt;0,"OK","sin PEA -&gt; peor")</f>
        <v/>
      </c>
    </row>
    <row r="1449">
      <c r="A1449" t="inlineStr">
        <is>
          <t>050206</t>
        </is>
      </c>
      <c r="B1449" t="inlineStr">
        <is>
          <t>TOTOS</t>
        </is>
      </c>
      <c r="C1449" s="14">
        <f>'Empleo Censo'!G1449-'Empleo Censo'!F1449</f>
        <v/>
      </c>
      <c r="D1449" s="14">
        <f>'Empleo Censo'!F1449</f>
        <v/>
      </c>
      <c r="E1449" s="14">
        <f>'Empleo Censo'!H1449</f>
        <v/>
      </c>
      <c r="F1449" s="14">
        <f>'Empleo Censo'!I1449</f>
        <v/>
      </c>
      <c r="G1449" s="14">
        <f>'Empleo Censo'!J1449+'Empleo Censo'!K1449</f>
        <v/>
      </c>
      <c r="H1449" s="14">
        <f>'Empleo Censo'!L1449</f>
        <v/>
      </c>
      <c r="I1449" s="14">
        <f>'Empleo Censo'!M1449</f>
        <v/>
      </c>
      <c r="J1449" s="14">
        <f>SUM('Empleo Censo'!N1449:AA1449)</f>
        <v/>
      </c>
      <c r="K1449" s="14">
        <f>SUM(C1449:J1449)</f>
        <v/>
      </c>
      <c r="L1449" s="15">
        <f>SUMPRODUCT(C1449:J1449,Factores!$B$3:$I$3)</f>
        <v/>
      </c>
      <c r="M1449" s="16">
        <f>'Empleo Censo'!E1449</f>
        <v/>
      </c>
      <c r="N1449" s="17">
        <f>IF(M1449&gt;0,L1449,Factores!$B$7)</f>
        <v/>
      </c>
      <c r="O1449">
        <f>IF(M1449&gt;0,"OK","sin PEA -&gt; peor")</f>
        <v/>
      </c>
    </row>
    <row r="1450">
      <c r="A1450" t="inlineStr">
        <is>
          <t>021007</t>
        </is>
      </c>
      <c r="B1450" t="inlineStr">
        <is>
          <t>HUACHIS</t>
        </is>
      </c>
      <c r="C1450" s="14">
        <f>'Empleo Censo'!G1450-'Empleo Censo'!F1450</f>
        <v/>
      </c>
      <c r="D1450" s="14">
        <f>'Empleo Censo'!F1450</f>
        <v/>
      </c>
      <c r="E1450" s="14">
        <f>'Empleo Censo'!H1450</f>
        <v/>
      </c>
      <c r="F1450" s="14">
        <f>'Empleo Censo'!I1450</f>
        <v/>
      </c>
      <c r="G1450" s="14">
        <f>'Empleo Censo'!J1450+'Empleo Censo'!K1450</f>
        <v/>
      </c>
      <c r="H1450" s="14">
        <f>'Empleo Censo'!L1450</f>
        <v/>
      </c>
      <c r="I1450" s="14">
        <f>'Empleo Censo'!M1450</f>
        <v/>
      </c>
      <c r="J1450" s="14">
        <f>SUM('Empleo Censo'!N1450:AA1450)</f>
        <v/>
      </c>
      <c r="K1450" s="14">
        <f>SUM(C1450:J1450)</f>
        <v/>
      </c>
      <c r="L1450" s="15">
        <f>SUMPRODUCT(C1450:J1450,Factores!$B$3:$I$3)</f>
        <v/>
      </c>
      <c r="M1450" s="16">
        <f>'Empleo Censo'!E1450</f>
        <v/>
      </c>
      <c r="N1450" s="17">
        <f>IF(M1450&gt;0,L1450,Factores!$B$7)</f>
        <v/>
      </c>
      <c r="O1450">
        <f>IF(M1450&gt;0,"OK","sin PEA -&gt; peor")</f>
        <v/>
      </c>
    </row>
    <row r="1451">
      <c r="A1451" t="inlineStr">
        <is>
          <t>090307</t>
        </is>
      </c>
      <c r="B1451" t="inlineStr">
        <is>
          <t>HUANCA-HUANCA</t>
        </is>
      </c>
      <c r="C1451" s="14">
        <f>'Empleo Censo'!G1451-'Empleo Censo'!F1451</f>
        <v/>
      </c>
      <c r="D1451" s="14">
        <f>'Empleo Censo'!F1451</f>
        <v/>
      </c>
      <c r="E1451" s="14">
        <f>'Empleo Censo'!H1451</f>
        <v/>
      </c>
      <c r="F1451" s="14">
        <f>'Empleo Censo'!I1451</f>
        <v/>
      </c>
      <c r="G1451" s="14">
        <f>'Empleo Censo'!J1451+'Empleo Censo'!K1451</f>
        <v/>
      </c>
      <c r="H1451" s="14">
        <f>'Empleo Censo'!L1451</f>
        <v/>
      </c>
      <c r="I1451" s="14">
        <f>'Empleo Censo'!M1451</f>
        <v/>
      </c>
      <c r="J1451" s="14">
        <f>SUM('Empleo Censo'!N1451:AA1451)</f>
        <v/>
      </c>
      <c r="K1451" s="14">
        <f>SUM(C1451:J1451)</f>
        <v/>
      </c>
      <c r="L1451" s="15">
        <f>SUMPRODUCT(C1451:J1451,Factores!$B$3:$I$3)</f>
        <v/>
      </c>
      <c r="M1451" s="16">
        <f>'Empleo Censo'!E1451</f>
        <v/>
      </c>
      <c r="N1451" s="17">
        <f>IF(M1451&gt;0,L1451,Factores!$B$7)</f>
        <v/>
      </c>
      <c r="O1451">
        <f>IF(M1451&gt;0,"OK","sin PEA -&gt; peor")</f>
        <v/>
      </c>
    </row>
    <row r="1452">
      <c r="A1452" t="inlineStr">
        <is>
          <t>050615</t>
        </is>
      </c>
      <c r="B1452" t="inlineStr">
        <is>
          <t>SAN CRISTOBAL</t>
        </is>
      </c>
      <c r="C1452" s="14">
        <f>'Empleo Censo'!G1452-'Empleo Censo'!F1452</f>
        <v/>
      </c>
      <c r="D1452" s="14">
        <f>'Empleo Censo'!F1452</f>
        <v/>
      </c>
      <c r="E1452" s="14">
        <f>'Empleo Censo'!H1452</f>
        <v/>
      </c>
      <c r="F1452" s="14">
        <f>'Empleo Censo'!I1452</f>
        <v/>
      </c>
      <c r="G1452" s="14">
        <f>'Empleo Censo'!J1452+'Empleo Censo'!K1452</f>
        <v/>
      </c>
      <c r="H1452" s="14">
        <f>'Empleo Censo'!L1452</f>
        <v/>
      </c>
      <c r="I1452" s="14">
        <f>'Empleo Censo'!M1452</f>
        <v/>
      </c>
      <c r="J1452" s="14">
        <f>SUM('Empleo Censo'!N1452:AA1452)</f>
        <v/>
      </c>
      <c r="K1452" s="14">
        <f>SUM(C1452:J1452)</f>
        <v/>
      </c>
      <c r="L1452" s="15">
        <f>SUMPRODUCT(C1452:J1452,Factores!$B$3:$I$3)</f>
        <v/>
      </c>
      <c r="M1452" s="16">
        <f>'Empleo Censo'!E1452</f>
        <v/>
      </c>
      <c r="N1452" s="17">
        <f>IF(M1452&gt;0,L1452,Factores!$B$7)</f>
        <v/>
      </c>
      <c r="O1452">
        <f>IF(M1452&gt;0,"OK","sin PEA -&gt; peor")</f>
        <v/>
      </c>
    </row>
    <row r="1453">
      <c r="A1453" t="inlineStr">
        <is>
          <t>020501</t>
        </is>
      </c>
      <c r="B1453" t="inlineStr">
        <is>
          <t>CHIQUIAN</t>
        </is>
      </c>
      <c r="C1453" s="14">
        <f>'Empleo Censo'!G1453-'Empleo Censo'!F1453</f>
        <v/>
      </c>
      <c r="D1453" s="14">
        <f>'Empleo Censo'!F1453</f>
        <v/>
      </c>
      <c r="E1453" s="14">
        <f>'Empleo Censo'!H1453</f>
        <v/>
      </c>
      <c r="F1453" s="14">
        <f>'Empleo Censo'!I1453</f>
        <v/>
      </c>
      <c r="G1453" s="14">
        <f>'Empleo Censo'!J1453+'Empleo Censo'!K1453</f>
        <v/>
      </c>
      <c r="H1453" s="14">
        <f>'Empleo Censo'!L1453</f>
        <v/>
      </c>
      <c r="I1453" s="14">
        <f>'Empleo Censo'!M1453</f>
        <v/>
      </c>
      <c r="J1453" s="14">
        <f>SUM('Empleo Censo'!N1453:AA1453)</f>
        <v/>
      </c>
      <c r="K1453" s="14">
        <f>SUM(C1453:J1453)</f>
        <v/>
      </c>
      <c r="L1453" s="15">
        <f>SUMPRODUCT(C1453:J1453,Factores!$B$3:$I$3)</f>
        <v/>
      </c>
      <c r="M1453" s="16">
        <f>'Empleo Censo'!E1453</f>
        <v/>
      </c>
      <c r="N1453" s="17">
        <f>IF(M1453&gt;0,L1453,Factores!$B$7)</f>
        <v/>
      </c>
      <c r="O1453">
        <f>IF(M1453&gt;0,"OK","sin PEA -&gt; peor")</f>
        <v/>
      </c>
    </row>
    <row r="1454">
      <c r="A1454" t="inlineStr">
        <is>
          <t>050110</t>
        </is>
      </c>
      <c r="B1454" t="inlineStr">
        <is>
          <t>SAN JUAN BAUTISTA</t>
        </is>
      </c>
      <c r="C1454" s="14">
        <f>'Empleo Censo'!G1454-'Empleo Censo'!F1454</f>
        <v/>
      </c>
      <c r="D1454" s="14">
        <f>'Empleo Censo'!F1454</f>
        <v/>
      </c>
      <c r="E1454" s="14">
        <f>'Empleo Censo'!H1454</f>
        <v/>
      </c>
      <c r="F1454" s="14">
        <f>'Empleo Censo'!I1454</f>
        <v/>
      </c>
      <c r="G1454" s="14">
        <f>'Empleo Censo'!J1454+'Empleo Censo'!K1454</f>
        <v/>
      </c>
      <c r="H1454" s="14">
        <f>'Empleo Censo'!L1454</f>
        <v/>
      </c>
      <c r="I1454" s="14">
        <f>'Empleo Censo'!M1454</f>
        <v/>
      </c>
      <c r="J1454" s="14">
        <f>SUM('Empleo Censo'!N1454:AA1454)</f>
        <v/>
      </c>
      <c r="K1454" s="14">
        <f>SUM(C1454:J1454)</f>
        <v/>
      </c>
      <c r="L1454" s="15">
        <f>SUMPRODUCT(C1454:J1454,Factores!$B$3:$I$3)</f>
        <v/>
      </c>
      <c r="M1454" s="16">
        <f>'Empleo Censo'!E1454</f>
        <v/>
      </c>
      <c r="N1454" s="17">
        <f>IF(M1454&gt;0,L1454,Factores!$B$7)</f>
        <v/>
      </c>
      <c r="O1454">
        <f>IF(M1454&gt;0,"OK","sin PEA -&gt; peor")</f>
        <v/>
      </c>
    </row>
    <row r="1455">
      <c r="A1455" t="inlineStr">
        <is>
          <t>051006</t>
        </is>
      </c>
      <c r="B1455" t="inlineStr">
        <is>
          <t>CAYARA</t>
        </is>
      </c>
      <c r="C1455" s="14">
        <f>'Empleo Censo'!G1455-'Empleo Censo'!F1455</f>
        <v/>
      </c>
      <c r="D1455" s="14">
        <f>'Empleo Censo'!F1455</f>
        <v/>
      </c>
      <c r="E1455" s="14">
        <f>'Empleo Censo'!H1455</f>
        <v/>
      </c>
      <c r="F1455" s="14">
        <f>'Empleo Censo'!I1455</f>
        <v/>
      </c>
      <c r="G1455" s="14">
        <f>'Empleo Censo'!J1455+'Empleo Censo'!K1455</f>
        <v/>
      </c>
      <c r="H1455" s="14">
        <f>'Empleo Censo'!L1455</f>
        <v/>
      </c>
      <c r="I1455" s="14">
        <f>'Empleo Censo'!M1455</f>
        <v/>
      </c>
      <c r="J1455" s="14">
        <f>SUM('Empleo Censo'!N1455:AA1455)</f>
        <v/>
      </c>
      <c r="K1455" s="14">
        <f>SUM(C1455:J1455)</f>
        <v/>
      </c>
      <c r="L1455" s="15">
        <f>SUMPRODUCT(C1455:J1455,Factores!$B$3:$I$3)</f>
        <v/>
      </c>
      <c r="M1455" s="16">
        <f>'Empleo Censo'!E1455</f>
        <v/>
      </c>
      <c r="N1455" s="17">
        <f>IF(M1455&gt;0,L1455,Factores!$B$7)</f>
        <v/>
      </c>
      <c r="O1455">
        <f>IF(M1455&gt;0,"OK","sin PEA -&gt; peor")</f>
        <v/>
      </c>
    </row>
    <row r="1456">
      <c r="A1456" t="inlineStr">
        <is>
          <t>090608</t>
        </is>
      </c>
      <c r="B1456" t="inlineStr">
        <is>
          <t>QUERCO</t>
        </is>
      </c>
      <c r="C1456" s="14">
        <f>'Empleo Censo'!G1456-'Empleo Censo'!F1456</f>
        <v/>
      </c>
      <c r="D1456" s="14">
        <f>'Empleo Censo'!F1456</f>
        <v/>
      </c>
      <c r="E1456" s="14">
        <f>'Empleo Censo'!H1456</f>
        <v/>
      </c>
      <c r="F1456" s="14">
        <f>'Empleo Censo'!I1456</f>
        <v/>
      </c>
      <c r="G1456" s="14">
        <f>'Empleo Censo'!J1456+'Empleo Censo'!K1456</f>
        <v/>
      </c>
      <c r="H1456" s="14">
        <f>'Empleo Censo'!L1456</f>
        <v/>
      </c>
      <c r="I1456" s="14">
        <f>'Empleo Censo'!M1456</f>
        <v/>
      </c>
      <c r="J1456" s="14">
        <f>SUM('Empleo Censo'!N1456:AA1456)</f>
        <v/>
      </c>
      <c r="K1456" s="14">
        <f>SUM(C1456:J1456)</f>
        <v/>
      </c>
      <c r="L1456" s="15">
        <f>SUMPRODUCT(C1456:J1456,Factores!$B$3:$I$3)</f>
        <v/>
      </c>
      <c r="M1456" s="16">
        <f>'Empleo Censo'!E1456</f>
        <v/>
      </c>
      <c r="N1456" s="17">
        <f>IF(M1456&gt;0,L1456,Factores!$B$7)</f>
        <v/>
      </c>
      <c r="O1456">
        <f>IF(M1456&gt;0,"OK","sin PEA -&gt; peor")</f>
        <v/>
      </c>
    </row>
    <row r="1457">
      <c r="A1457" t="inlineStr">
        <is>
          <t>010515</t>
        </is>
      </c>
      <c r="B1457" t="inlineStr">
        <is>
          <t>PROVIDENCIA</t>
        </is>
      </c>
      <c r="C1457" s="14">
        <f>'Empleo Censo'!G1457-'Empleo Censo'!F1457</f>
        <v/>
      </c>
      <c r="D1457" s="14">
        <f>'Empleo Censo'!F1457</f>
        <v/>
      </c>
      <c r="E1457" s="14">
        <f>'Empleo Censo'!H1457</f>
        <v/>
      </c>
      <c r="F1457" s="14">
        <f>'Empleo Censo'!I1457</f>
        <v/>
      </c>
      <c r="G1457" s="14">
        <f>'Empleo Censo'!J1457+'Empleo Censo'!K1457</f>
        <v/>
      </c>
      <c r="H1457" s="14">
        <f>'Empleo Censo'!L1457</f>
        <v/>
      </c>
      <c r="I1457" s="14">
        <f>'Empleo Censo'!M1457</f>
        <v/>
      </c>
      <c r="J1457" s="14">
        <f>SUM('Empleo Censo'!N1457:AA1457)</f>
        <v/>
      </c>
      <c r="K1457" s="14">
        <f>SUM(C1457:J1457)</f>
        <v/>
      </c>
      <c r="L1457" s="15">
        <f>SUMPRODUCT(C1457:J1457,Factores!$B$3:$I$3)</f>
        <v/>
      </c>
      <c r="M1457" s="16">
        <f>'Empleo Censo'!E1457</f>
        <v/>
      </c>
      <c r="N1457" s="17">
        <f>IF(M1457&gt;0,L1457,Factores!$B$7)</f>
        <v/>
      </c>
      <c r="O1457">
        <f>IF(M1457&gt;0,"OK","sin PEA -&gt; peor")</f>
        <v/>
      </c>
    </row>
    <row r="1458">
      <c r="A1458" t="inlineStr">
        <is>
          <t>061111</t>
        </is>
      </c>
      <c r="B1458" t="inlineStr">
        <is>
          <t>SAN SILVESTRE DE COCHAN</t>
        </is>
      </c>
      <c r="C1458" s="14">
        <f>'Empleo Censo'!G1458-'Empleo Censo'!F1458</f>
        <v/>
      </c>
      <c r="D1458" s="14">
        <f>'Empleo Censo'!F1458</f>
        <v/>
      </c>
      <c r="E1458" s="14">
        <f>'Empleo Censo'!H1458</f>
        <v/>
      </c>
      <c r="F1458" s="14">
        <f>'Empleo Censo'!I1458</f>
        <v/>
      </c>
      <c r="G1458" s="14">
        <f>'Empleo Censo'!J1458+'Empleo Censo'!K1458</f>
        <v/>
      </c>
      <c r="H1458" s="14">
        <f>'Empleo Censo'!L1458</f>
        <v/>
      </c>
      <c r="I1458" s="14">
        <f>'Empleo Censo'!M1458</f>
        <v/>
      </c>
      <c r="J1458" s="14">
        <f>SUM('Empleo Censo'!N1458:AA1458)</f>
        <v/>
      </c>
      <c r="K1458" s="14">
        <f>SUM(C1458:J1458)</f>
        <v/>
      </c>
      <c r="L1458" s="15">
        <f>SUMPRODUCT(C1458:J1458,Factores!$B$3:$I$3)</f>
        <v/>
      </c>
      <c r="M1458" s="16">
        <f>'Empleo Censo'!E1458</f>
        <v/>
      </c>
      <c r="N1458" s="17">
        <f>IF(M1458&gt;0,L1458,Factores!$B$7)</f>
        <v/>
      </c>
      <c r="O1458">
        <f>IF(M1458&gt;0,"OK","sin PEA -&gt; peor")</f>
        <v/>
      </c>
    </row>
    <row r="1459">
      <c r="A1459" t="inlineStr">
        <is>
          <t>010307</t>
        </is>
      </c>
      <c r="B1459" t="inlineStr">
        <is>
          <t>JAZAN</t>
        </is>
      </c>
      <c r="C1459" s="14">
        <f>'Empleo Censo'!G1459-'Empleo Censo'!F1459</f>
        <v/>
      </c>
      <c r="D1459" s="14">
        <f>'Empleo Censo'!F1459</f>
        <v/>
      </c>
      <c r="E1459" s="14">
        <f>'Empleo Censo'!H1459</f>
        <v/>
      </c>
      <c r="F1459" s="14">
        <f>'Empleo Censo'!I1459</f>
        <v/>
      </c>
      <c r="G1459" s="14">
        <f>'Empleo Censo'!J1459+'Empleo Censo'!K1459</f>
        <v/>
      </c>
      <c r="H1459" s="14">
        <f>'Empleo Censo'!L1459</f>
        <v/>
      </c>
      <c r="I1459" s="14">
        <f>'Empleo Censo'!M1459</f>
        <v/>
      </c>
      <c r="J1459" s="14">
        <f>SUM('Empleo Censo'!N1459:AA1459)</f>
        <v/>
      </c>
      <c r="K1459" s="14">
        <f>SUM(C1459:J1459)</f>
        <v/>
      </c>
      <c r="L1459" s="15">
        <f>SUMPRODUCT(C1459:J1459,Factores!$B$3:$I$3)</f>
        <v/>
      </c>
      <c r="M1459" s="16">
        <f>'Empleo Censo'!E1459</f>
        <v/>
      </c>
      <c r="N1459" s="17">
        <f>IF(M1459&gt;0,L1459,Factores!$B$7)</f>
        <v/>
      </c>
      <c r="O1459">
        <f>IF(M1459&gt;0,"OK","sin PEA -&gt; peor")</f>
        <v/>
      </c>
    </row>
    <row r="1460">
      <c r="A1460" t="inlineStr">
        <is>
          <t>061304</t>
        </is>
      </c>
      <c r="B1460" t="inlineStr">
        <is>
          <t>CHANCAYBAÑOS</t>
        </is>
      </c>
      <c r="C1460" s="14">
        <f>'Empleo Censo'!G1460-'Empleo Censo'!F1460</f>
        <v/>
      </c>
      <c r="D1460" s="14">
        <f>'Empleo Censo'!F1460</f>
        <v/>
      </c>
      <c r="E1460" s="14">
        <f>'Empleo Censo'!H1460</f>
        <v/>
      </c>
      <c r="F1460" s="14">
        <f>'Empleo Censo'!I1460</f>
        <v/>
      </c>
      <c r="G1460" s="14">
        <f>'Empleo Censo'!J1460+'Empleo Censo'!K1460</f>
        <v/>
      </c>
      <c r="H1460" s="14">
        <f>'Empleo Censo'!L1460</f>
        <v/>
      </c>
      <c r="I1460" s="14">
        <f>'Empleo Censo'!M1460</f>
        <v/>
      </c>
      <c r="J1460" s="14">
        <f>SUM('Empleo Censo'!N1460:AA1460)</f>
        <v/>
      </c>
      <c r="K1460" s="14">
        <f>SUM(C1460:J1460)</f>
        <v/>
      </c>
      <c r="L1460" s="15">
        <f>SUMPRODUCT(C1460:J1460,Factores!$B$3:$I$3)</f>
        <v/>
      </c>
      <c r="M1460" s="16">
        <f>'Empleo Censo'!E1460</f>
        <v/>
      </c>
      <c r="N1460" s="17">
        <f>IF(M1460&gt;0,L1460,Factores!$B$7)</f>
        <v/>
      </c>
      <c r="O1460">
        <f>IF(M1460&gt;0,"OK","sin PEA -&gt; peor")</f>
        <v/>
      </c>
    </row>
    <row r="1461">
      <c r="A1461" t="inlineStr">
        <is>
          <t>090105</t>
        </is>
      </c>
      <c r="B1461" t="inlineStr">
        <is>
          <t>CUENCA</t>
        </is>
      </c>
      <c r="C1461" s="14">
        <f>'Empleo Censo'!G1461-'Empleo Censo'!F1461</f>
        <v/>
      </c>
      <c r="D1461" s="14">
        <f>'Empleo Censo'!F1461</f>
        <v/>
      </c>
      <c r="E1461" s="14">
        <f>'Empleo Censo'!H1461</f>
        <v/>
      </c>
      <c r="F1461" s="14">
        <f>'Empleo Censo'!I1461</f>
        <v/>
      </c>
      <c r="G1461" s="14">
        <f>'Empleo Censo'!J1461+'Empleo Censo'!K1461</f>
        <v/>
      </c>
      <c r="H1461" s="14">
        <f>'Empleo Censo'!L1461</f>
        <v/>
      </c>
      <c r="I1461" s="14">
        <f>'Empleo Censo'!M1461</f>
        <v/>
      </c>
      <c r="J1461" s="14">
        <f>SUM('Empleo Censo'!N1461:AA1461)</f>
        <v/>
      </c>
      <c r="K1461" s="14">
        <f>SUM(C1461:J1461)</f>
        <v/>
      </c>
      <c r="L1461" s="15">
        <f>SUMPRODUCT(C1461:J1461,Factores!$B$3:$I$3)</f>
        <v/>
      </c>
      <c r="M1461" s="16">
        <f>'Empleo Censo'!E1461</f>
        <v/>
      </c>
      <c r="N1461" s="17">
        <f>IF(M1461&gt;0,L1461,Factores!$B$7)</f>
        <v/>
      </c>
      <c r="O1461">
        <f>IF(M1461&gt;0,"OK","sin PEA -&gt; peor")</f>
        <v/>
      </c>
    </row>
    <row r="1462">
      <c r="A1462" t="inlineStr">
        <is>
          <t>010107</t>
        </is>
      </c>
      <c r="B1462" t="inlineStr">
        <is>
          <t>GRANADA</t>
        </is>
      </c>
      <c r="C1462" s="14">
        <f>'Empleo Censo'!G1462-'Empleo Censo'!F1462</f>
        <v/>
      </c>
      <c r="D1462" s="14">
        <f>'Empleo Censo'!F1462</f>
        <v/>
      </c>
      <c r="E1462" s="14">
        <f>'Empleo Censo'!H1462</f>
        <v/>
      </c>
      <c r="F1462" s="14">
        <f>'Empleo Censo'!I1462</f>
        <v/>
      </c>
      <c r="G1462" s="14">
        <f>'Empleo Censo'!J1462+'Empleo Censo'!K1462</f>
        <v/>
      </c>
      <c r="H1462" s="14">
        <f>'Empleo Censo'!L1462</f>
        <v/>
      </c>
      <c r="I1462" s="14">
        <f>'Empleo Censo'!M1462</f>
        <v/>
      </c>
      <c r="J1462" s="14">
        <f>SUM('Empleo Censo'!N1462:AA1462)</f>
        <v/>
      </c>
      <c r="K1462" s="14">
        <f>SUM(C1462:J1462)</f>
        <v/>
      </c>
      <c r="L1462" s="15">
        <f>SUMPRODUCT(C1462:J1462,Factores!$B$3:$I$3)</f>
        <v/>
      </c>
      <c r="M1462" s="16">
        <f>'Empleo Censo'!E1462</f>
        <v/>
      </c>
      <c r="N1462" s="17">
        <f>IF(M1462&gt;0,L1462,Factores!$B$7)</f>
        <v/>
      </c>
      <c r="O1462">
        <f>IF(M1462&gt;0,"OK","sin PEA -&gt; peor")</f>
        <v/>
      </c>
    </row>
    <row r="1463">
      <c r="A1463" t="inlineStr">
        <is>
          <t>050706</t>
        </is>
      </c>
      <c r="B1463" t="inlineStr">
        <is>
          <t>PUYUSCA</t>
        </is>
      </c>
      <c r="C1463" s="14">
        <f>'Empleo Censo'!G1463-'Empleo Censo'!F1463</f>
        <v/>
      </c>
      <c r="D1463" s="14">
        <f>'Empleo Censo'!F1463</f>
        <v/>
      </c>
      <c r="E1463" s="14">
        <f>'Empleo Censo'!H1463</f>
        <v/>
      </c>
      <c r="F1463" s="14">
        <f>'Empleo Censo'!I1463</f>
        <v/>
      </c>
      <c r="G1463" s="14">
        <f>'Empleo Censo'!J1463+'Empleo Censo'!K1463</f>
        <v/>
      </c>
      <c r="H1463" s="14">
        <f>'Empleo Censo'!L1463</f>
        <v/>
      </c>
      <c r="I1463" s="14">
        <f>'Empleo Censo'!M1463</f>
        <v/>
      </c>
      <c r="J1463" s="14">
        <f>SUM('Empleo Censo'!N1463:AA1463)</f>
        <v/>
      </c>
      <c r="K1463" s="14">
        <f>SUM(C1463:J1463)</f>
        <v/>
      </c>
      <c r="L1463" s="15">
        <f>SUMPRODUCT(C1463:J1463,Factores!$B$3:$I$3)</f>
        <v/>
      </c>
      <c r="M1463" s="16">
        <f>'Empleo Censo'!E1463</f>
        <v/>
      </c>
      <c r="N1463" s="17">
        <f>IF(M1463&gt;0,L1463,Factores!$B$7)</f>
        <v/>
      </c>
      <c r="O1463">
        <f>IF(M1463&gt;0,"OK","sin PEA -&gt; peor")</f>
        <v/>
      </c>
    </row>
    <row r="1464">
      <c r="A1464" t="inlineStr">
        <is>
          <t>010119</t>
        </is>
      </c>
      <c r="B1464" t="inlineStr">
        <is>
          <t>SAN ISIDRO DE MAINO</t>
        </is>
      </c>
      <c r="C1464" s="14">
        <f>'Empleo Censo'!G1464-'Empleo Censo'!F1464</f>
        <v/>
      </c>
      <c r="D1464" s="14">
        <f>'Empleo Censo'!F1464</f>
        <v/>
      </c>
      <c r="E1464" s="14">
        <f>'Empleo Censo'!H1464</f>
        <v/>
      </c>
      <c r="F1464" s="14">
        <f>'Empleo Censo'!I1464</f>
        <v/>
      </c>
      <c r="G1464" s="14">
        <f>'Empleo Censo'!J1464+'Empleo Censo'!K1464</f>
        <v/>
      </c>
      <c r="H1464" s="14">
        <f>'Empleo Censo'!L1464</f>
        <v/>
      </c>
      <c r="I1464" s="14">
        <f>'Empleo Censo'!M1464</f>
        <v/>
      </c>
      <c r="J1464" s="14">
        <f>SUM('Empleo Censo'!N1464:AA1464)</f>
        <v/>
      </c>
      <c r="K1464" s="14">
        <f>SUM(C1464:J1464)</f>
        <v/>
      </c>
      <c r="L1464" s="15">
        <f>SUMPRODUCT(C1464:J1464,Factores!$B$3:$I$3)</f>
        <v/>
      </c>
      <c r="M1464" s="16">
        <f>'Empleo Censo'!E1464</f>
        <v/>
      </c>
      <c r="N1464" s="17">
        <f>IF(M1464&gt;0,L1464,Factores!$B$7)</f>
        <v/>
      </c>
      <c r="O1464">
        <f>IF(M1464&gt;0,"OK","sin PEA -&gt; peor")</f>
        <v/>
      </c>
    </row>
    <row r="1465">
      <c r="A1465" t="inlineStr">
        <is>
          <t>021510</t>
        </is>
      </c>
      <c r="B1465" t="inlineStr">
        <is>
          <t>SANTA ROSA</t>
        </is>
      </c>
      <c r="C1465" s="14">
        <f>'Empleo Censo'!G1465-'Empleo Censo'!F1465</f>
        <v/>
      </c>
      <c r="D1465" s="14">
        <f>'Empleo Censo'!F1465</f>
        <v/>
      </c>
      <c r="E1465" s="14">
        <f>'Empleo Censo'!H1465</f>
        <v/>
      </c>
      <c r="F1465" s="14">
        <f>'Empleo Censo'!I1465</f>
        <v/>
      </c>
      <c r="G1465" s="14">
        <f>'Empleo Censo'!J1465+'Empleo Censo'!K1465</f>
        <v/>
      </c>
      <c r="H1465" s="14">
        <f>'Empleo Censo'!L1465</f>
        <v/>
      </c>
      <c r="I1465" s="14">
        <f>'Empleo Censo'!M1465</f>
        <v/>
      </c>
      <c r="J1465" s="14">
        <f>SUM('Empleo Censo'!N1465:AA1465)</f>
        <v/>
      </c>
      <c r="K1465" s="14">
        <f>SUM(C1465:J1465)</f>
        <v/>
      </c>
      <c r="L1465" s="15">
        <f>SUMPRODUCT(C1465:J1465,Factores!$B$3:$I$3)</f>
        <v/>
      </c>
      <c r="M1465" s="16">
        <f>'Empleo Censo'!E1465</f>
        <v/>
      </c>
      <c r="N1465" s="17">
        <f>IF(M1465&gt;0,L1465,Factores!$B$7)</f>
        <v/>
      </c>
      <c r="O1465">
        <f>IF(M1465&gt;0,"OK","sin PEA -&gt; peor")</f>
        <v/>
      </c>
    </row>
    <row r="1466">
      <c r="A1466" t="inlineStr">
        <is>
          <t>021908</t>
        </is>
      </c>
      <c r="B1466" t="inlineStr">
        <is>
          <t>RAGASH</t>
        </is>
      </c>
      <c r="C1466" s="14">
        <f>'Empleo Censo'!G1466-'Empleo Censo'!F1466</f>
        <v/>
      </c>
      <c r="D1466" s="14">
        <f>'Empleo Censo'!F1466</f>
        <v/>
      </c>
      <c r="E1466" s="14">
        <f>'Empleo Censo'!H1466</f>
        <v/>
      </c>
      <c r="F1466" s="14">
        <f>'Empleo Censo'!I1466</f>
        <v/>
      </c>
      <c r="G1466" s="14">
        <f>'Empleo Censo'!J1466+'Empleo Censo'!K1466</f>
        <v/>
      </c>
      <c r="H1466" s="14">
        <f>'Empleo Censo'!L1466</f>
        <v/>
      </c>
      <c r="I1466" s="14">
        <f>'Empleo Censo'!M1466</f>
        <v/>
      </c>
      <c r="J1466" s="14">
        <f>SUM('Empleo Censo'!N1466:AA1466)</f>
        <v/>
      </c>
      <c r="K1466" s="14">
        <f>SUM(C1466:J1466)</f>
        <v/>
      </c>
      <c r="L1466" s="15">
        <f>SUMPRODUCT(C1466:J1466,Factores!$B$3:$I$3)</f>
        <v/>
      </c>
      <c r="M1466" s="16">
        <f>'Empleo Censo'!E1466</f>
        <v/>
      </c>
      <c r="N1466" s="17">
        <f>IF(M1466&gt;0,L1466,Factores!$B$7)</f>
        <v/>
      </c>
      <c r="O1466">
        <f>IF(M1466&gt;0,"OK","sin PEA -&gt; peor")</f>
        <v/>
      </c>
    </row>
    <row r="1467">
      <c r="A1467" t="inlineStr">
        <is>
          <t>090110</t>
        </is>
      </c>
      <c r="B1467" t="inlineStr">
        <is>
          <t>MANTA</t>
        </is>
      </c>
      <c r="C1467" s="14">
        <f>'Empleo Censo'!G1467-'Empleo Censo'!F1467</f>
        <v/>
      </c>
      <c r="D1467" s="14">
        <f>'Empleo Censo'!F1467</f>
        <v/>
      </c>
      <c r="E1467" s="14">
        <f>'Empleo Censo'!H1467</f>
        <v/>
      </c>
      <c r="F1467" s="14">
        <f>'Empleo Censo'!I1467</f>
        <v/>
      </c>
      <c r="G1467" s="14">
        <f>'Empleo Censo'!J1467+'Empleo Censo'!K1467</f>
        <v/>
      </c>
      <c r="H1467" s="14">
        <f>'Empleo Censo'!L1467</f>
        <v/>
      </c>
      <c r="I1467" s="14">
        <f>'Empleo Censo'!M1467</f>
        <v/>
      </c>
      <c r="J1467" s="14">
        <f>SUM('Empleo Censo'!N1467:AA1467)</f>
        <v/>
      </c>
      <c r="K1467" s="14">
        <f>SUM(C1467:J1467)</f>
        <v/>
      </c>
      <c r="L1467" s="15">
        <f>SUMPRODUCT(C1467:J1467,Factores!$B$3:$I$3)</f>
        <v/>
      </c>
      <c r="M1467" s="16">
        <f>'Empleo Censo'!E1467</f>
        <v/>
      </c>
      <c r="N1467" s="17">
        <f>IF(M1467&gt;0,L1467,Factores!$B$7)</f>
        <v/>
      </c>
      <c r="O1467">
        <f>IF(M1467&gt;0,"OK","sin PEA -&gt; peor")</f>
        <v/>
      </c>
    </row>
    <row r="1468">
      <c r="A1468" t="inlineStr">
        <is>
          <t>040411</t>
        </is>
      </c>
      <c r="B1468" t="inlineStr">
        <is>
          <t>TIPAN</t>
        </is>
      </c>
      <c r="C1468" s="14">
        <f>'Empleo Censo'!G1468-'Empleo Censo'!F1468</f>
        <v/>
      </c>
      <c r="D1468" s="14">
        <f>'Empleo Censo'!F1468</f>
        <v/>
      </c>
      <c r="E1468" s="14">
        <f>'Empleo Censo'!H1468</f>
        <v/>
      </c>
      <c r="F1468" s="14">
        <f>'Empleo Censo'!I1468</f>
        <v/>
      </c>
      <c r="G1468" s="14">
        <f>'Empleo Censo'!J1468+'Empleo Censo'!K1468</f>
        <v/>
      </c>
      <c r="H1468" s="14">
        <f>'Empleo Censo'!L1468</f>
        <v/>
      </c>
      <c r="I1468" s="14">
        <f>'Empleo Censo'!M1468</f>
        <v/>
      </c>
      <c r="J1468" s="14">
        <f>SUM('Empleo Censo'!N1468:AA1468)</f>
        <v/>
      </c>
      <c r="K1468" s="14">
        <f>SUM(C1468:J1468)</f>
        <v/>
      </c>
      <c r="L1468" s="15">
        <f>SUMPRODUCT(C1468:J1468,Factores!$B$3:$I$3)</f>
        <v/>
      </c>
      <c r="M1468" s="16">
        <f>'Empleo Censo'!E1468</f>
        <v/>
      </c>
      <c r="N1468" s="17">
        <f>IF(M1468&gt;0,L1468,Factores!$B$7)</f>
        <v/>
      </c>
      <c r="O1468">
        <f>IF(M1468&gt;0,"OK","sin PEA -&gt; peor")</f>
        <v/>
      </c>
    </row>
    <row r="1469">
      <c r="A1469" t="inlineStr">
        <is>
          <t>040119</t>
        </is>
      </c>
      <c r="B1469" t="inlineStr">
        <is>
          <t>SAN JUAN DE TARUCANI</t>
        </is>
      </c>
      <c r="C1469" s="14">
        <f>'Empleo Censo'!G1469-'Empleo Censo'!F1469</f>
        <v/>
      </c>
      <c r="D1469" s="14">
        <f>'Empleo Censo'!F1469</f>
        <v/>
      </c>
      <c r="E1469" s="14">
        <f>'Empleo Censo'!H1469</f>
        <v/>
      </c>
      <c r="F1469" s="14">
        <f>'Empleo Censo'!I1469</f>
        <v/>
      </c>
      <c r="G1469" s="14">
        <f>'Empleo Censo'!J1469+'Empleo Censo'!K1469</f>
        <v/>
      </c>
      <c r="H1469" s="14">
        <f>'Empleo Censo'!L1469</f>
        <v/>
      </c>
      <c r="I1469" s="14">
        <f>'Empleo Censo'!M1469</f>
        <v/>
      </c>
      <c r="J1469" s="14">
        <f>SUM('Empleo Censo'!N1469:AA1469)</f>
        <v/>
      </c>
      <c r="K1469" s="14">
        <f>SUM(C1469:J1469)</f>
        <v/>
      </c>
      <c r="L1469" s="15">
        <f>SUMPRODUCT(C1469:J1469,Factores!$B$3:$I$3)</f>
        <v/>
      </c>
      <c r="M1469" s="16">
        <f>'Empleo Censo'!E1469</f>
        <v/>
      </c>
      <c r="N1469" s="17">
        <f>IF(M1469&gt;0,L1469,Factores!$B$7)</f>
        <v/>
      </c>
      <c r="O1469">
        <f>IF(M1469&gt;0,"OK","sin PEA -&gt; peor")</f>
        <v/>
      </c>
    </row>
    <row r="1470">
      <c r="A1470" t="inlineStr">
        <is>
          <t>061102</t>
        </is>
      </c>
      <c r="B1470" t="inlineStr">
        <is>
          <t>BOLIVAR</t>
        </is>
      </c>
      <c r="C1470" s="14">
        <f>'Empleo Censo'!G1470-'Empleo Censo'!F1470</f>
        <v/>
      </c>
      <c r="D1470" s="14">
        <f>'Empleo Censo'!F1470</f>
        <v/>
      </c>
      <c r="E1470" s="14">
        <f>'Empleo Censo'!H1470</f>
        <v/>
      </c>
      <c r="F1470" s="14">
        <f>'Empleo Censo'!I1470</f>
        <v/>
      </c>
      <c r="G1470" s="14">
        <f>'Empleo Censo'!J1470+'Empleo Censo'!K1470</f>
        <v/>
      </c>
      <c r="H1470" s="14">
        <f>'Empleo Censo'!L1470</f>
        <v/>
      </c>
      <c r="I1470" s="14">
        <f>'Empleo Censo'!M1470</f>
        <v/>
      </c>
      <c r="J1470" s="14">
        <f>SUM('Empleo Censo'!N1470:AA1470)</f>
        <v/>
      </c>
      <c r="K1470" s="14">
        <f>SUM(C1470:J1470)</f>
        <v/>
      </c>
      <c r="L1470" s="15">
        <f>SUMPRODUCT(C1470:J1470,Factores!$B$3:$I$3)</f>
        <v/>
      </c>
      <c r="M1470" s="16">
        <f>'Empleo Censo'!E1470</f>
        <v/>
      </c>
      <c r="N1470" s="17">
        <f>IF(M1470&gt;0,L1470,Factores!$B$7)</f>
        <v/>
      </c>
      <c r="O1470">
        <f>IF(M1470&gt;0,"OK","sin PEA -&gt; peor")</f>
        <v/>
      </c>
    </row>
    <row r="1471">
      <c r="A1471" t="inlineStr">
        <is>
          <t>090614</t>
        </is>
      </c>
      <c r="B1471" t="inlineStr">
        <is>
          <t>SANTIAGO DE QUIRAHUARA</t>
        </is>
      </c>
      <c r="C1471" s="14">
        <f>'Empleo Censo'!G1471-'Empleo Censo'!F1471</f>
        <v/>
      </c>
      <c r="D1471" s="14">
        <f>'Empleo Censo'!F1471</f>
        <v/>
      </c>
      <c r="E1471" s="14">
        <f>'Empleo Censo'!H1471</f>
        <v/>
      </c>
      <c r="F1471" s="14">
        <f>'Empleo Censo'!I1471</f>
        <v/>
      </c>
      <c r="G1471" s="14">
        <f>'Empleo Censo'!J1471+'Empleo Censo'!K1471</f>
        <v/>
      </c>
      <c r="H1471" s="14">
        <f>'Empleo Censo'!L1471</f>
        <v/>
      </c>
      <c r="I1471" s="14">
        <f>'Empleo Censo'!M1471</f>
        <v/>
      </c>
      <c r="J1471" s="14">
        <f>SUM('Empleo Censo'!N1471:AA1471)</f>
        <v/>
      </c>
      <c r="K1471" s="14">
        <f>SUM(C1471:J1471)</f>
        <v/>
      </c>
      <c r="L1471" s="15">
        <f>SUMPRODUCT(C1471:J1471,Factores!$B$3:$I$3)</f>
        <v/>
      </c>
      <c r="M1471" s="16">
        <f>'Empleo Censo'!E1471</f>
        <v/>
      </c>
      <c r="N1471" s="17">
        <f>IF(M1471&gt;0,L1471,Factores!$B$7)</f>
        <v/>
      </c>
      <c r="O1471">
        <f>IF(M1471&gt;0,"OK","sin PEA -&gt; peor")</f>
        <v/>
      </c>
    </row>
    <row r="1472">
      <c r="A1472" t="inlineStr">
        <is>
          <t>040403</t>
        </is>
      </c>
      <c r="B1472" t="inlineStr">
        <is>
          <t>AYO</t>
        </is>
      </c>
      <c r="C1472" s="14">
        <f>'Empleo Censo'!G1472-'Empleo Censo'!F1472</f>
        <v/>
      </c>
      <c r="D1472" s="14">
        <f>'Empleo Censo'!F1472</f>
        <v/>
      </c>
      <c r="E1472" s="14">
        <f>'Empleo Censo'!H1472</f>
        <v/>
      </c>
      <c r="F1472" s="14">
        <f>'Empleo Censo'!I1472</f>
        <v/>
      </c>
      <c r="G1472" s="14">
        <f>'Empleo Censo'!J1472+'Empleo Censo'!K1472</f>
        <v/>
      </c>
      <c r="H1472" s="14">
        <f>'Empleo Censo'!L1472</f>
        <v/>
      </c>
      <c r="I1472" s="14">
        <f>'Empleo Censo'!M1472</f>
        <v/>
      </c>
      <c r="J1472" s="14">
        <f>SUM('Empleo Censo'!N1472:AA1472)</f>
        <v/>
      </c>
      <c r="K1472" s="14">
        <f>SUM(C1472:J1472)</f>
        <v/>
      </c>
      <c r="L1472" s="15">
        <f>SUMPRODUCT(C1472:J1472,Factores!$B$3:$I$3)</f>
        <v/>
      </c>
      <c r="M1472" s="16">
        <f>'Empleo Censo'!E1472</f>
        <v/>
      </c>
      <c r="N1472" s="17">
        <f>IF(M1472&gt;0,L1472,Factores!$B$7)</f>
        <v/>
      </c>
      <c r="O1472">
        <f>IF(M1472&gt;0,"OK","sin PEA -&gt; peor")</f>
        <v/>
      </c>
    </row>
    <row r="1473">
      <c r="A1473" t="inlineStr">
        <is>
          <t>030410</t>
        </is>
      </c>
      <c r="B1473" t="inlineStr">
        <is>
          <t>POCOHUANCA</t>
        </is>
      </c>
      <c r="C1473" s="14">
        <f>'Empleo Censo'!G1473-'Empleo Censo'!F1473</f>
        <v/>
      </c>
      <c r="D1473" s="14">
        <f>'Empleo Censo'!F1473</f>
        <v/>
      </c>
      <c r="E1473" s="14">
        <f>'Empleo Censo'!H1473</f>
        <v/>
      </c>
      <c r="F1473" s="14">
        <f>'Empleo Censo'!I1473</f>
        <v/>
      </c>
      <c r="G1473" s="14">
        <f>'Empleo Censo'!J1473+'Empleo Censo'!K1473</f>
        <v/>
      </c>
      <c r="H1473" s="14">
        <f>'Empleo Censo'!L1473</f>
        <v/>
      </c>
      <c r="I1473" s="14">
        <f>'Empleo Censo'!M1473</f>
        <v/>
      </c>
      <c r="J1473" s="14">
        <f>SUM('Empleo Censo'!N1473:AA1473)</f>
        <v/>
      </c>
      <c r="K1473" s="14">
        <f>SUM(C1473:J1473)</f>
        <v/>
      </c>
      <c r="L1473" s="15">
        <f>SUMPRODUCT(C1473:J1473,Factores!$B$3:$I$3)</f>
        <v/>
      </c>
      <c r="M1473" s="16">
        <f>'Empleo Censo'!E1473</f>
        <v/>
      </c>
      <c r="N1473" s="17">
        <f>IF(M1473&gt;0,L1473,Factores!$B$7)</f>
        <v/>
      </c>
      <c r="O1473">
        <f>IF(M1473&gt;0,"OK","sin PEA -&gt; peor")</f>
        <v/>
      </c>
    </row>
    <row r="1474">
      <c r="A1474" t="inlineStr">
        <is>
          <t>030220</t>
        </is>
      </c>
      <c r="B1474" t="inlineStr">
        <is>
          <t>JOSE MARIA ARGUEDAS</t>
        </is>
      </c>
      <c r="C1474" s="14">
        <f>'Empleo Censo'!G1474-'Empleo Censo'!F1474</f>
        <v/>
      </c>
      <c r="D1474" s="14">
        <f>'Empleo Censo'!F1474</f>
        <v/>
      </c>
      <c r="E1474" s="14">
        <f>'Empleo Censo'!H1474</f>
        <v/>
      </c>
      <c r="F1474" s="14">
        <f>'Empleo Censo'!I1474</f>
        <v/>
      </c>
      <c r="G1474" s="14">
        <f>'Empleo Censo'!J1474+'Empleo Censo'!K1474</f>
        <v/>
      </c>
      <c r="H1474" s="14">
        <f>'Empleo Censo'!L1474</f>
        <v/>
      </c>
      <c r="I1474" s="14">
        <f>'Empleo Censo'!M1474</f>
        <v/>
      </c>
      <c r="J1474" s="14">
        <f>SUM('Empleo Censo'!N1474:AA1474)</f>
        <v/>
      </c>
      <c r="K1474" s="14">
        <f>SUM(C1474:J1474)</f>
        <v/>
      </c>
      <c r="L1474" s="15">
        <f>SUMPRODUCT(C1474:J1474,Factores!$B$3:$I$3)</f>
        <v/>
      </c>
      <c r="M1474" s="16">
        <f>'Empleo Censo'!E1474</f>
        <v/>
      </c>
      <c r="N1474" s="17">
        <f>IF(M1474&gt;0,L1474,Factores!$B$7)</f>
        <v/>
      </c>
      <c r="O1474">
        <f>IF(M1474&gt;0,"OK","sin PEA -&gt; peor")</f>
        <v/>
      </c>
    </row>
    <row r="1475">
      <c r="A1475" t="inlineStr">
        <is>
          <t>021306</t>
        </is>
      </c>
      <c r="B1475" t="inlineStr">
        <is>
          <t>LLUMPA</t>
        </is>
      </c>
      <c r="C1475" s="14">
        <f>'Empleo Censo'!G1475-'Empleo Censo'!F1475</f>
        <v/>
      </c>
      <c r="D1475" s="14">
        <f>'Empleo Censo'!F1475</f>
        <v/>
      </c>
      <c r="E1475" s="14">
        <f>'Empleo Censo'!H1475</f>
        <v/>
      </c>
      <c r="F1475" s="14">
        <f>'Empleo Censo'!I1475</f>
        <v/>
      </c>
      <c r="G1475" s="14">
        <f>'Empleo Censo'!J1475+'Empleo Censo'!K1475</f>
        <v/>
      </c>
      <c r="H1475" s="14">
        <f>'Empleo Censo'!L1475</f>
        <v/>
      </c>
      <c r="I1475" s="14">
        <f>'Empleo Censo'!M1475</f>
        <v/>
      </c>
      <c r="J1475" s="14">
        <f>SUM('Empleo Censo'!N1475:AA1475)</f>
        <v/>
      </c>
      <c r="K1475" s="14">
        <f>SUM(C1475:J1475)</f>
        <v/>
      </c>
      <c r="L1475" s="15">
        <f>SUMPRODUCT(C1475:J1475,Factores!$B$3:$I$3)</f>
        <v/>
      </c>
      <c r="M1475" s="16">
        <f>'Empleo Censo'!E1475</f>
        <v/>
      </c>
      <c r="N1475" s="17">
        <f>IF(M1475&gt;0,L1475,Factores!$B$7)</f>
        <v/>
      </c>
      <c r="O1475">
        <f>IF(M1475&gt;0,"OK","sin PEA -&gt; peor")</f>
        <v/>
      </c>
    </row>
    <row r="1476">
      <c r="A1476" t="inlineStr">
        <is>
          <t>022006</t>
        </is>
      </c>
      <c r="B1476" t="inlineStr">
        <is>
          <t>RANRAHIRCA</t>
        </is>
      </c>
      <c r="C1476" s="14">
        <f>'Empleo Censo'!G1476-'Empleo Censo'!F1476</f>
        <v/>
      </c>
      <c r="D1476" s="14">
        <f>'Empleo Censo'!F1476</f>
        <v/>
      </c>
      <c r="E1476" s="14">
        <f>'Empleo Censo'!H1476</f>
        <v/>
      </c>
      <c r="F1476" s="14">
        <f>'Empleo Censo'!I1476</f>
        <v/>
      </c>
      <c r="G1476" s="14">
        <f>'Empleo Censo'!J1476+'Empleo Censo'!K1476</f>
        <v/>
      </c>
      <c r="H1476" s="14">
        <f>'Empleo Censo'!L1476</f>
        <v/>
      </c>
      <c r="I1476" s="14">
        <f>'Empleo Censo'!M1476</f>
        <v/>
      </c>
      <c r="J1476" s="14">
        <f>SUM('Empleo Censo'!N1476:AA1476)</f>
        <v/>
      </c>
      <c r="K1476" s="14">
        <f>SUM(C1476:J1476)</f>
        <v/>
      </c>
      <c r="L1476" s="15">
        <f>SUMPRODUCT(C1476:J1476,Factores!$B$3:$I$3)</f>
        <v/>
      </c>
      <c r="M1476" s="16">
        <f>'Empleo Censo'!E1476</f>
        <v/>
      </c>
      <c r="N1476" s="17">
        <f>IF(M1476&gt;0,L1476,Factores!$B$7)</f>
        <v/>
      </c>
      <c r="O1476">
        <f>IF(M1476&gt;0,"OK","sin PEA -&gt; peor")</f>
        <v/>
      </c>
    </row>
    <row r="1477">
      <c r="A1477" t="inlineStr">
        <is>
          <t>020305</t>
        </is>
      </c>
      <c r="B1477" t="inlineStr">
        <is>
          <t>MIRGAS</t>
        </is>
      </c>
      <c r="C1477" s="14">
        <f>'Empleo Censo'!G1477-'Empleo Censo'!F1477</f>
        <v/>
      </c>
      <c r="D1477" s="14">
        <f>'Empleo Censo'!F1477</f>
        <v/>
      </c>
      <c r="E1477" s="14">
        <f>'Empleo Censo'!H1477</f>
        <v/>
      </c>
      <c r="F1477" s="14">
        <f>'Empleo Censo'!I1477</f>
        <v/>
      </c>
      <c r="G1477" s="14">
        <f>'Empleo Censo'!J1477+'Empleo Censo'!K1477</f>
        <v/>
      </c>
      <c r="H1477" s="14">
        <f>'Empleo Censo'!L1477</f>
        <v/>
      </c>
      <c r="I1477" s="14">
        <f>'Empleo Censo'!M1477</f>
        <v/>
      </c>
      <c r="J1477" s="14">
        <f>SUM('Empleo Censo'!N1477:AA1477)</f>
        <v/>
      </c>
      <c r="K1477" s="14">
        <f>SUM(C1477:J1477)</f>
        <v/>
      </c>
      <c r="L1477" s="15">
        <f>SUMPRODUCT(C1477:J1477,Factores!$B$3:$I$3)</f>
        <v/>
      </c>
      <c r="M1477" s="16">
        <f>'Empleo Censo'!E1477</f>
        <v/>
      </c>
      <c r="N1477" s="17">
        <f>IF(M1477&gt;0,L1477,Factores!$B$7)</f>
        <v/>
      </c>
      <c r="O1477">
        <f>IF(M1477&gt;0,"OK","sin PEA -&gt; peor")</f>
        <v/>
      </c>
    </row>
    <row r="1478">
      <c r="A1478" t="inlineStr">
        <is>
          <t>030306</t>
        </is>
      </c>
      <c r="B1478" t="inlineStr">
        <is>
          <t>PACHACONAS</t>
        </is>
      </c>
      <c r="C1478" s="14">
        <f>'Empleo Censo'!G1478-'Empleo Censo'!F1478</f>
        <v/>
      </c>
      <c r="D1478" s="14">
        <f>'Empleo Censo'!F1478</f>
        <v/>
      </c>
      <c r="E1478" s="14">
        <f>'Empleo Censo'!H1478</f>
        <v/>
      </c>
      <c r="F1478" s="14">
        <f>'Empleo Censo'!I1478</f>
        <v/>
      </c>
      <c r="G1478" s="14">
        <f>'Empleo Censo'!J1478+'Empleo Censo'!K1478</f>
        <v/>
      </c>
      <c r="H1478" s="14">
        <f>'Empleo Censo'!L1478</f>
        <v/>
      </c>
      <c r="I1478" s="14">
        <f>'Empleo Censo'!M1478</f>
        <v/>
      </c>
      <c r="J1478" s="14">
        <f>SUM('Empleo Censo'!N1478:AA1478)</f>
        <v/>
      </c>
      <c r="K1478" s="14">
        <f>SUM(C1478:J1478)</f>
        <v/>
      </c>
      <c r="L1478" s="15">
        <f>SUMPRODUCT(C1478:J1478,Factores!$B$3:$I$3)</f>
        <v/>
      </c>
      <c r="M1478" s="16">
        <f>'Empleo Censo'!E1478</f>
        <v/>
      </c>
      <c r="N1478" s="17">
        <f>IF(M1478&gt;0,L1478,Factores!$B$7)</f>
        <v/>
      </c>
      <c r="O1478">
        <f>IF(M1478&gt;0,"OK","sin PEA -&gt; peor")</f>
        <v/>
      </c>
    </row>
    <row r="1479">
      <c r="A1479" t="inlineStr">
        <is>
          <t>021206</t>
        </is>
      </c>
      <c r="B1479" t="inlineStr">
        <is>
          <t>PAMPAROMAS</t>
        </is>
      </c>
      <c r="C1479" s="14">
        <f>'Empleo Censo'!G1479-'Empleo Censo'!F1479</f>
        <v/>
      </c>
      <c r="D1479" s="14">
        <f>'Empleo Censo'!F1479</f>
        <v/>
      </c>
      <c r="E1479" s="14">
        <f>'Empleo Censo'!H1479</f>
        <v/>
      </c>
      <c r="F1479" s="14">
        <f>'Empleo Censo'!I1479</f>
        <v/>
      </c>
      <c r="G1479" s="14">
        <f>'Empleo Censo'!J1479+'Empleo Censo'!K1479</f>
        <v/>
      </c>
      <c r="H1479" s="14">
        <f>'Empleo Censo'!L1479</f>
        <v/>
      </c>
      <c r="I1479" s="14">
        <f>'Empleo Censo'!M1479</f>
        <v/>
      </c>
      <c r="J1479" s="14">
        <f>SUM('Empleo Censo'!N1479:AA1479)</f>
        <v/>
      </c>
      <c r="K1479" s="14">
        <f>SUM(C1479:J1479)</f>
        <v/>
      </c>
      <c r="L1479" s="15">
        <f>SUMPRODUCT(C1479:J1479,Factores!$B$3:$I$3)</f>
        <v/>
      </c>
      <c r="M1479" s="16">
        <f>'Empleo Censo'!E1479</f>
        <v/>
      </c>
      <c r="N1479" s="17">
        <f>IF(M1479&gt;0,L1479,Factores!$B$7)</f>
        <v/>
      </c>
      <c r="O1479">
        <f>IF(M1479&gt;0,"OK","sin PEA -&gt; peor")</f>
        <v/>
      </c>
    </row>
    <row r="1480">
      <c r="A1480" t="inlineStr">
        <is>
          <t>010116</t>
        </is>
      </c>
      <c r="B1480" t="inlineStr">
        <is>
          <t>OLLEROS</t>
        </is>
      </c>
      <c r="C1480" s="14">
        <f>'Empleo Censo'!G1480-'Empleo Censo'!F1480</f>
        <v/>
      </c>
      <c r="D1480" s="14">
        <f>'Empleo Censo'!F1480</f>
        <v/>
      </c>
      <c r="E1480" s="14">
        <f>'Empleo Censo'!H1480</f>
        <v/>
      </c>
      <c r="F1480" s="14">
        <f>'Empleo Censo'!I1480</f>
        <v/>
      </c>
      <c r="G1480" s="14">
        <f>'Empleo Censo'!J1480+'Empleo Censo'!K1480</f>
        <v/>
      </c>
      <c r="H1480" s="14">
        <f>'Empleo Censo'!L1480</f>
        <v/>
      </c>
      <c r="I1480" s="14">
        <f>'Empleo Censo'!M1480</f>
        <v/>
      </c>
      <c r="J1480" s="14">
        <f>SUM('Empleo Censo'!N1480:AA1480)</f>
        <v/>
      </c>
      <c r="K1480" s="14">
        <f>SUM(C1480:J1480)</f>
        <v/>
      </c>
      <c r="L1480" s="15">
        <f>SUMPRODUCT(C1480:J1480,Factores!$B$3:$I$3)</f>
        <v/>
      </c>
      <c r="M1480" s="16">
        <f>'Empleo Censo'!E1480</f>
        <v/>
      </c>
      <c r="N1480" s="17">
        <f>IF(M1480&gt;0,L1480,Factores!$B$7)</f>
        <v/>
      </c>
      <c r="O1480">
        <f>IF(M1480&gt;0,"OK","sin PEA -&gt; peor")</f>
        <v/>
      </c>
    </row>
    <row r="1481">
      <c r="A1481" t="inlineStr">
        <is>
          <t>040507</t>
        </is>
      </c>
      <c r="B1481" t="inlineStr">
        <is>
          <t>HUAMBO</t>
        </is>
      </c>
      <c r="C1481" s="14">
        <f>'Empleo Censo'!G1481-'Empleo Censo'!F1481</f>
        <v/>
      </c>
      <c r="D1481" s="14">
        <f>'Empleo Censo'!F1481</f>
        <v/>
      </c>
      <c r="E1481" s="14">
        <f>'Empleo Censo'!H1481</f>
        <v/>
      </c>
      <c r="F1481" s="14">
        <f>'Empleo Censo'!I1481</f>
        <v/>
      </c>
      <c r="G1481" s="14">
        <f>'Empleo Censo'!J1481+'Empleo Censo'!K1481</f>
        <v/>
      </c>
      <c r="H1481" s="14">
        <f>'Empleo Censo'!L1481</f>
        <v/>
      </c>
      <c r="I1481" s="14">
        <f>'Empleo Censo'!M1481</f>
        <v/>
      </c>
      <c r="J1481" s="14">
        <f>SUM('Empleo Censo'!N1481:AA1481)</f>
        <v/>
      </c>
      <c r="K1481" s="14">
        <f>SUM(C1481:J1481)</f>
        <v/>
      </c>
      <c r="L1481" s="15">
        <f>SUMPRODUCT(C1481:J1481,Factores!$B$3:$I$3)</f>
        <v/>
      </c>
      <c r="M1481" s="16">
        <f>'Empleo Censo'!E1481</f>
        <v/>
      </c>
      <c r="N1481" s="17">
        <f>IF(M1481&gt;0,L1481,Factores!$B$7)</f>
        <v/>
      </c>
      <c r="O1481">
        <f>IF(M1481&gt;0,"OK","sin PEA -&gt; peor")</f>
        <v/>
      </c>
    </row>
    <row r="1482">
      <c r="A1482" t="inlineStr">
        <is>
          <t>040519</t>
        </is>
      </c>
      <c r="B1482" t="inlineStr">
        <is>
          <t>YANQUE</t>
        </is>
      </c>
      <c r="C1482" s="14">
        <f>'Empleo Censo'!G1482-'Empleo Censo'!F1482</f>
        <v/>
      </c>
      <c r="D1482" s="14">
        <f>'Empleo Censo'!F1482</f>
        <v/>
      </c>
      <c r="E1482" s="14">
        <f>'Empleo Censo'!H1482</f>
        <v/>
      </c>
      <c r="F1482" s="14">
        <f>'Empleo Censo'!I1482</f>
        <v/>
      </c>
      <c r="G1482" s="14">
        <f>'Empleo Censo'!J1482+'Empleo Censo'!K1482</f>
        <v/>
      </c>
      <c r="H1482" s="14">
        <f>'Empleo Censo'!L1482</f>
        <v/>
      </c>
      <c r="I1482" s="14">
        <f>'Empleo Censo'!M1482</f>
        <v/>
      </c>
      <c r="J1482" s="14">
        <f>SUM('Empleo Censo'!N1482:AA1482)</f>
        <v/>
      </c>
      <c r="K1482" s="14">
        <f>SUM(C1482:J1482)</f>
        <v/>
      </c>
      <c r="L1482" s="15">
        <f>SUMPRODUCT(C1482:J1482,Factores!$B$3:$I$3)</f>
        <v/>
      </c>
      <c r="M1482" s="16">
        <f>'Empleo Censo'!E1482</f>
        <v/>
      </c>
      <c r="N1482" s="17">
        <f>IF(M1482&gt;0,L1482,Factores!$B$7)</f>
        <v/>
      </c>
      <c r="O1482">
        <f>IF(M1482&gt;0,"OK","sin PEA -&gt; peor")</f>
        <v/>
      </c>
    </row>
    <row r="1483">
      <c r="A1483" t="inlineStr">
        <is>
          <t>081007</t>
        </is>
      </c>
      <c r="B1483" t="inlineStr">
        <is>
          <t>PACCARITAMBO</t>
        </is>
      </c>
      <c r="C1483" s="14">
        <f>'Empleo Censo'!G1483-'Empleo Censo'!F1483</f>
        <v/>
      </c>
      <c r="D1483" s="14">
        <f>'Empleo Censo'!F1483</f>
        <v/>
      </c>
      <c r="E1483" s="14">
        <f>'Empleo Censo'!H1483</f>
        <v/>
      </c>
      <c r="F1483" s="14">
        <f>'Empleo Censo'!I1483</f>
        <v/>
      </c>
      <c r="G1483" s="14">
        <f>'Empleo Censo'!J1483+'Empleo Censo'!K1483</f>
        <v/>
      </c>
      <c r="H1483" s="14">
        <f>'Empleo Censo'!L1483</f>
        <v/>
      </c>
      <c r="I1483" s="14">
        <f>'Empleo Censo'!M1483</f>
        <v/>
      </c>
      <c r="J1483" s="14">
        <f>SUM('Empleo Censo'!N1483:AA1483)</f>
        <v/>
      </c>
      <c r="K1483" s="14">
        <f>SUM(C1483:J1483)</f>
        <v/>
      </c>
      <c r="L1483" s="15">
        <f>SUMPRODUCT(C1483:J1483,Factores!$B$3:$I$3)</f>
        <v/>
      </c>
      <c r="M1483" s="16">
        <f>'Empleo Censo'!E1483</f>
        <v/>
      </c>
      <c r="N1483" s="17">
        <f>IF(M1483&gt;0,L1483,Factores!$B$7)</f>
        <v/>
      </c>
      <c r="O1483">
        <f>IF(M1483&gt;0,"OK","sin PEA -&gt; peor")</f>
        <v/>
      </c>
    </row>
    <row r="1484">
      <c r="A1484" t="inlineStr">
        <is>
          <t>081201</t>
        </is>
      </c>
      <c r="B1484" t="inlineStr">
        <is>
          <t>URCOS</t>
        </is>
      </c>
      <c r="C1484" s="14">
        <f>'Empleo Censo'!G1484-'Empleo Censo'!F1484</f>
        <v/>
      </c>
      <c r="D1484" s="14">
        <f>'Empleo Censo'!F1484</f>
        <v/>
      </c>
      <c r="E1484" s="14">
        <f>'Empleo Censo'!H1484</f>
        <v/>
      </c>
      <c r="F1484" s="14">
        <f>'Empleo Censo'!I1484</f>
        <v/>
      </c>
      <c r="G1484" s="14">
        <f>'Empleo Censo'!J1484+'Empleo Censo'!K1484</f>
        <v/>
      </c>
      <c r="H1484" s="14">
        <f>'Empleo Censo'!L1484</f>
        <v/>
      </c>
      <c r="I1484" s="14">
        <f>'Empleo Censo'!M1484</f>
        <v/>
      </c>
      <c r="J1484" s="14">
        <f>SUM('Empleo Censo'!N1484:AA1484)</f>
        <v/>
      </c>
      <c r="K1484" s="14">
        <f>SUM(C1484:J1484)</f>
        <v/>
      </c>
      <c r="L1484" s="15">
        <f>SUMPRODUCT(C1484:J1484,Factores!$B$3:$I$3)</f>
        <v/>
      </c>
      <c r="M1484" s="16">
        <f>'Empleo Censo'!E1484</f>
        <v/>
      </c>
      <c r="N1484" s="17">
        <f>IF(M1484&gt;0,L1484,Factores!$B$7)</f>
        <v/>
      </c>
      <c r="O1484">
        <f>IF(M1484&gt;0,"OK","sin PEA -&gt; peor")</f>
        <v/>
      </c>
    </row>
    <row r="1485">
      <c r="A1485" t="inlineStr">
        <is>
          <t>080105</t>
        </is>
      </c>
      <c r="B1485" t="inlineStr">
        <is>
          <t>SAN SEBASTIAN</t>
        </is>
      </c>
      <c r="C1485" s="14">
        <f>'Empleo Censo'!G1485-'Empleo Censo'!F1485</f>
        <v/>
      </c>
      <c r="D1485" s="14">
        <f>'Empleo Censo'!F1485</f>
        <v/>
      </c>
      <c r="E1485" s="14">
        <f>'Empleo Censo'!H1485</f>
        <v/>
      </c>
      <c r="F1485" s="14">
        <f>'Empleo Censo'!I1485</f>
        <v/>
      </c>
      <c r="G1485" s="14">
        <f>'Empleo Censo'!J1485+'Empleo Censo'!K1485</f>
        <v/>
      </c>
      <c r="H1485" s="14">
        <f>'Empleo Censo'!L1485</f>
        <v/>
      </c>
      <c r="I1485" s="14">
        <f>'Empleo Censo'!M1485</f>
        <v/>
      </c>
      <c r="J1485" s="14">
        <f>SUM('Empleo Censo'!N1485:AA1485)</f>
        <v/>
      </c>
      <c r="K1485" s="14">
        <f>SUM(C1485:J1485)</f>
        <v/>
      </c>
      <c r="L1485" s="15">
        <f>SUMPRODUCT(C1485:J1485,Factores!$B$3:$I$3)</f>
        <v/>
      </c>
      <c r="M1485" s="16">
        <f>'Empleo Censo'!E1485</f>
        <v/>
      </c>
      <c r="N1485" s="17">
        <f>IF(M1485&gt;0,L1485,Factores!$B$7)</f>
        <v/>
      </c>
      <c r="O1485">
        <f>IF(M1485&gt;0,"OK","sin PEA -&gt; peor")</f>
        <v/>
      </c>
    </row>
    <row r="1486">
      <c r="A1486" t="inlineStr">
        <is>
          <t>030411</t>
        </is>
      </c>
      <c r="B1486" t="inlineStr">
        <is>
          <t>SAN JUAN DE CHACÑA</t>
        </is>
      </c>
      <c r="C1486" s="14">
        <f>'Empleo Censo'!G1486-'Empleo Censo'!F1486</f>
        <v/>
      </c>
      <c r="D1486" s="14">
        <f>'Empleo Censo'!F1486</f>
        <v/>
      </c>
      <c r="E1486" s="14">
        <f>'Empleo Censo'!H1486</f>
        <v/>
      </c>
      <c r="F1486" s="14">
        <f>'Empleo Censo'!I1486</f>
        <v/>
      </c>
      <c r="G1486" s="14">
        <f>'Empleo Censo'!J1486+'Empleo Censo'!K1486</f>
        <v/>
      </c>
      <c r="H1486" s="14">
        <f>'Empleo Censo'!L1486</f>
        <v/>
      </c>
      <c r="I1486" s="14">
        <f>'Empleo Censo'!M1486</f>
        <v/>
      </c>
      <c r="J1486" s="14">
        <f>SUM('Empleo Censo'!N1486:AA1486)</f>
        <v/>
      </c>
      <c r="K1486" s="14">
        <f>SUM(C1486:J1486)</f>
        <v/>
      </c>
      <c r="L1486" s="15">
        <f>SUMPRODUCT(C1486:J1486,Factores!$B$3:$I$3)</f>
        <v/>
      </c>
      <c r="M1486" s="16">
        <f>'Empleo Censo'!E1486</f>
        <v/>
      </c>
      <c r="N1486" s="17">
        <f>IF(M1486&gt;0,L1486,Factores!$B$7)</f>
        <v/>
      </c>
      <c r="O1486">
        <f>IF(M1486&gt;0,"OK","sin PEA -&gt; peor")</f>
        <v/>
      </c>
    </row>
    <row r="1487">
      <c r="A1487" t="inlineStr">
        <is>
          <t>080602</t>
        </is>
      </c>
      <c r="B1487" t="inlineStr">
        <is>
          <t>CHECACUPE</t>
        </is>
      </c>
      <c r="C1487" s="14">
        <f>'Empleo Censo'!G1487-'Empleo Censo'!F1487</f>
        <v/>
      </c>
      <c r="D1487" s="14">
        <f>'Empleo Censo'!F1487</f>
        <v/>
      </c>
      <c r="E1487" s="14">
        <f>'Empleo Censo'!H1487</f>
        <v/>
      </c>
      <c r="F1487" s="14">
        <f>'Empleo Censo'!I1487</f>
        <v/>
      </c>
      <c r="G1487" s="14">
        <f>'Empleo Censo'!J1487+'Empleo Censo'!K1487</f>
        <v/>
      </c>
      <c r="H1487" s="14">
        <f>'Empleo Censo'!L1487</f>
        <v/>
      </c>
      <c r="I1487" s="14">
        <f>'Empleo Censo'!M1487</f>
        <v/>
      </c>
      <c r="J1487" s="14">
        <f>SUM('Empleo Censo'!N1487:AA1487)</f>
        <v/>
      </c>
      <c r="K1487" s="14">
        <f>SUM(C1487:J1487)</f>
        <v/>
      </c>
      <c r="L1487" s="15">
        <f>SUMPRODUCT(C1487:J1487,Factores!$B$3:$I$3)</f>
        <v/>
      </c>
      <c r="M1487" s="16">
        <f>'Empleo Censo'!E1487</f>
        <v/>
      </c>
      <c r="N1487" s="17">
        <f>IF(M1487&gt;0,L1487,Factores!$B$7)</f>
        <v/>
      </c>
      <c r="O1487">
        <f>IF(M1487&gt;0,"OK","sin PEA -&gt; peor")</f>
        <v/>
      </c>
    </row>
    <row r="1488">
      <c r="A1488" t="inlineStr">
        <is>
          <t>051011</t>
        </is>
      </c>
      <c r="B1488" t="inlineStr">
        <is>
          <t>SARHUA</t>
        </is>
      </c>
      <c r="C1488" s="14">
        <f>'Empleo Censo'!G1488-'Empleo Censo'!F1488</f>
        <v/>
      </c>
      <c r="D1488" s="14">
        <f>'Empleo Censo'!F1488</f>
        <v/>
      </c>
      <c r="E1488" s="14">
        <f>'Empleo Censo'!H1488</f>
        <v/>
      </c>
      <c r="F1488" s="14">
        <f>'Empleo Censo'!I1488</f>
        <v/>
      </c>
      <c r="G1488" s="14">
        <f>'Empleo Censo'!J1488+'Empleo Censo'!K1488</f>
        <v/>
      </c>
      <c r="H1488" s="14">
        <f>'Empleo Censo'!L1488</f>
        <v/>
      </c>
      <c r="I1488" s="14">
        <f>'Empleo Censo'!M1488</f>
        <v/>
      </c>
      <c r="J1488" s="14">
        <f>SUM('Empleo Censo'!N1488:AA1488)</f>
        <v/>
      </c>
      <c r="K1488" s="14">
        <f>SUM(C1488:J1488)</f>
        <v/>
      </c>
      <c r="L1488" s="15">
        <f>SUMPRODUCT(C1488:J1488,Factores!$B$3:$I$3)</f>
        <v/>
      </c>
      <c r="M1488" s="16">
        <f>'Empleo Censo'!E1488</f>
        <v/>
      </c>
      <c r="N1488" s="17">
        <f>IF(M1488&gt;0,L1488,Factores!$B$7)</f>
        <v/>
      </c>
      <c r="O1488">
        <f>IF(M1488&gt;0,"OK","sin PEA -&gt; peor")</f>
        <v/>
      </c>
    </row>
    <row r="1489">
      <c r="A1489" t="inlineStr">
        <is>
          <t>050204</t>
        </is>
      </c>
      <c r="B1489" t="inlineStr">
        <is>
          <t>MARIA PARADO DE BELLIDO</t>
        </is>
      </c>
      <c r="C1489" s="14">
        <f>'Empleo Censo'!G1489-'Empleo Censo'!F1489</f>
        <v/>
      </c>
      <c r="D1489" s="14">
        <f>'Empleo Censo'!F1489</f>
        <v/>
      </c>
      <c r="E1489" s="14">
        <f>'Empleo Censo'!H1489</f>
        <v/>
      </c>
      <c r="F1489" s="14">
        <f>'Empleo Censo'!I1489</f>
        <v/>
      </c>
      <c r="G1489" s="14">
        <f>'Empleo Censo'!J1489+'Empleo Censo'!K1489</f>
        <v/>
      </c>
      <c r="H1489" s="14">
        <f>'Empleo Censo'!L1489</f>
        <v/>
      </c>
      <c r="I1489" s="14">
        <f>'Empleo Censo'!M1489</f>
        <v/>
      </c>
      <c r="J1489" s="14">
        <f>SUM('Empleo Censo'!N1489:AA1489)</f>
        <v/>
      </c>
      <c r="K1489" s="14">
        <f>SUM(C1489:J1489)</f>
        <v/>
      </c>
      <c r="L1489" s="15">
        <f>SUMPRODUCT(C1489:J1489,Factores!$B$3:$I$3)</f>
        <v/>
      </c>
      <c r="M1489" s="16">
        <f>'Empleo Censo'!E1489</f>
        <v/>
      </c>
      <c r="N1489" s="17">
        <f>IF(M1489&gt;0,L1489,Factores!$B$7)</f>
        <v/>
      </c>
      <c r="O1489">
        <f>IF(M1489&gt;0,"OK","sin PEA -&gt; peor")</f>
        <v/>
      </c>
    </row>
    <row r="1490">
      <c r="A1490" t="inlineStr">
        <is>
          <t>010605</t>
        </is>
      </c>
      <c r="B1490" t="inlineStr">
        <is>
          <t>LIMABAMBA</t>
        </is>
      </c>
      <c r="C1490" s="14">
        <f>'Empleo Censo'!G1490-'Empleo Censo'!F1490</f>
        <v/>
      </c>
      <c r="D1490" s="14">
        <f>'Empleo Censo'!F1490</f>
        <v/>
      </c>
      <c r="E1490" s="14">
        <f>'Empleo Censo'!H1490</f>
        <v/>
      </c>
      <c r="F1490" s="14">
        <f>'Empleo Censo'!I1490</f>
        <v/>
      </c>
      <c r="G1490" s="14">
        <f>'Empleo Censo'!J1490+'Empleo Censo'!K1490</f>
        <v/>
      </c>
      <c r="H1490" s="14">
        <f>'Empleo Censo'!L1490</f>
        <v/>
      </c>
      <c r="I1490" s="14">
        <f>'Empleo Censo'!M1490</f>
        <v/>
      </c>
      <c r="J1490" s="14">
        <f>SUM('Empleo Censo'!N1490:AA1490)</f>
        <v/>
      </c>
      <c r="K1490" s="14">
        <f>SUM(C1490:J1490)</f>
        <v/>
      </c>
      <c r="L1490" s="15">
        <f>SUMPRODUCT(C1490:J1490,Factores!$B$3:$I$3)</f>
        <v/>
      </c>
      <c r="M1490" s="16">
        <f>'Empleo Censo'!E1490</f>
        <v/>
      </c>
      <c r="N1490" s="17">
        <f>IF(M1490&gt;0,L1490,Factores!$B$7)</f>
        <v/>
      </c>
      <c r="O1490">
        <f>IF(M1490&gt;0,"OK","sin PEA -&gt; peor")</f>
        <v/>
      </c>
    </row>
    <row r="1491">
      <c r="A1491" t="inlineStr">
        <is>
          <t>010103</t>
        </is>
      </c>
      <c r="B1491" t="inlineStr">
        <is>
          <t>BALSAS</t>
        </is>
      </c>
      <c r="C1491" s="14">
        <f>'Empleo Censo'!G1491-'Empleo Censo'!F1491</f>
        <v/>
      </c>
      <c r="D1491" s="14">
        <f>'Empleo Censo'!F1491</f>
        <v/>
      </c>
      <c r="E1491" s="14">
        <f>'Empleo Censo'!H1491</f>
        <v/>
      </c>
      <c r="F1491" s="14">
        <f>'Empleo Censo'!I1491</f>
        <v/>
      </c>
      <c r="G1491" s="14">
        <f>'Empleo Censo'!J1491+'Empleo Censo'!K1491</f>
        <v/>
      </c>
      <c r="H1491" s="14">
        <f>'Empleo Censo'!L1491</f>
        <v/>
      </c>
      <c r="I1491" s="14">
        <f>'Empleo Censo'!M1491</f>
        <v/>
      </c>
      <c r="J1491" s="14">
        <f>SUM('Empleo Censo'!N1491:AA1491)</f>
        <v/>
      </c>
      <c r="K1491" s="14">
        <f>SUM(C1491:J1491)</f>
        <v/>
      </c>
      <c r="L1491" s="15">
        <f>SUMPRODUCT(C1491:J1491,Factores!$B$3:$I$3)</f>
        <v/>
      </c>
      <c r="M1491" s="16">
        <f>'Empleo Censo'!E1491</f>
        <v/>
      </c>
      <c r="N1491" s="17">
        <f>IF(M1491&gt;0,L1491,Factores!$B$7)</f>
        <v/>
      </c>
      <c r="O1491">
        <f>IF(M1491&gt;0,"OK","sin PEA -&gt; peor")</f>
        <v/>
      </c>
    </row>
    <row r="1492">
      <c r="A1492" t="inlineStr">
        <is>
          <t>081212</t>
        </is>
      </c>
      <c r="B1492" t="inlineStr">
        <is>
          <t>QUIQUIJANA</t>
        </is>
      </c>
      <c r="C1492" s="14">
        <f>'Empleo Censo'!G1492-'Empleo Censo'!F1492</f>
        <v/>
      </c>
      <c r="D1492" s="14">
        <f>'Empleo Censo'!F1492</f>
        <v/>
      </c>
      <c r="E1492" s="14">
        <f>'Empleo Censo'!H1492</f>
        <v/>
      </c>
      <c r="F1492" s="14">
        <f>'Empleo Censo'!I1492</f>
        <v/>
      </c>
      <c r="G1492" s="14">
        <f>'Empleo Censo'!J1492+'Empleo Censo'!K1492</f>
        <v/>
      </c>
      <c r="H1492" s="14">
        <f>'Empleo Censo'!L1492</f>
        <v/>
      </c>
      <c r="I1492" s="14">
        <f>'Empleo Censo'!M1492</f>
        <v/>
      </c>
      <c r="J1492" s="14">
        <f>SUM('Empleo Censo'!N1492:AA1492)</f>
        <v/>
      </c>
      <c r="K1492" s="14">
        <f>SUM(C1492:J1492)</f>
        <v/>
      </c>
      <c r="L1492" s="15">
        <f>SUMPRODUCT(C1492:J1492,Factores!$B$3:$I$3)</f>
        <v/>
      </c>
      <c r="M1492" s="16">
        <f>'Empleo Censo'!E1492</f>
        <v/>
      </c>
      <c r="N1492" s="17">
        <f>IF(M1492&gt;0,L1492,Factores!$B$7)</f>
        <v/>
      </c>
      <c r="O1492">
        <f>IF(M1492&gt;0,"OK","sin PEA -&gt; peor")</f>
        <v/>
      </c>
    </row>
    <row r="1493">
      <c r="A1493" t="inlineStr">
        <is>
          <t>060413</t>
        </is>
      </c>
      <c r="B1493" t="inlineStr">
        <is>
          <t>PACCHA</t>
        </is>
      </c>
      <c r="C1493" s="14">
        <f>'Empleo Censo'!G1493-'Empleo Censo'!F1493</f>
        <v/>
      </c>
      <c r="D1493" s="14">
        <f>'Empleo Censo'!F1493</f>
        <v/>
      </c>
      <c r="E1493" s="14">
        <f>'Empleo Censo'!H1493</f>
        <v/>
      </c>
      <c r="F1493" s="14">
        <f>'Empleo Censo'!I1493</f>
        <v/>
      </c>
      <c r="G1493" s="14">
        <f>'Empleo Censo'!J1493+'Empleo Censo'!K1493</f>
        <v/>
      </c>
      <c r="H1493" s="14">
        <f>'Empleo Censo'!L1493</f>
        <v/>
      </c>
      <c r="I1493" s="14">
        <f>'Empleo Censo'!M1493</f>
        <v/>
      </c>
      <c r="J1493" s="14">
        <f>SUM('Empleo Censo'!N1493:AA1493)</f>
        <v/>
      </c>
      <c r="K1493" s="14">
        <f>SUM(C1493:J1493)</f>
        <v/>
      </c>
      <c r="L1493" s="15">
        <f>SUMPRODUCT(C1493:J1493,Factores!$B$3:$I$3)</f>
        <v/>
      </c>
      <c r="M1493" s="16">
        <f>'Empleo Censo'!E1493</f>
        <v/>
      </c>
      <c r="N1493" s="17">
        <f>IF(M1493&gt;0,L1493,Factores!$B$7)</f>
        <v/>
      </c>
      <c r="O1493">
        <f>IF(M1493&gt;0,"OK","sin PEA -&gt; peor")</f>
        <v/>
      </c>
    </row>
    <row r="1494">
      <c r="A1494" t="inlineStr">
        <is>
          <t>050616</t>
        </is>
      </c>
      <c r="B1494" t="inlineStr">
        <is>
          <t>SAN JUAN</t>
        </is>
      </c>
      <c r="C1494" s="14">
        <f>'Empleo Censo'!G1494-'Empleo Censo'!F1494</f>
        <v/>
      </c>
      <c r="D1494" s="14">
        <f>'Empleo Censo'!F1494</f>
        <v/>
      </c>
      <c r="E1494" s="14">
        <f>'Empleo Censo'!H1494</f>
        <v/>
      </c>
      <c r="F1494" s="14">
        <f>'Empleo Censo'!I1494</f>
        <v/>
      </c>
      <c r="G1494" s="14">
        <f>'Empleo Censo'!J1494+'Empleo Censo'!K1494</f>
        <v/>
      </c>
      <c r="H1494" s="14">
        <f>'Empleo Censo'!L1494</f>
        <v/>
      </c>
      <c r="I1494" s="14">
        <f>'Empleo Censo'!M1494</f>
        <v/>
      </c>
      <c r="J1494" s="14">
        <f>SUM('Empleo Censo'!N1494:AA1494)</f>
        <v/>
      </c>
      <c r="K1494" s="14">
        <f>SUM(C1494:J1494)</f>
        <v/>
      </c>
      <c r="L1494" s="15">
        <f>SUMPRODUCT(C1494:J1494,Factores!$B$3:$I$3)</f>
        <v/>
      </c>
      <c r="M1494" s="16">
        <f>'Empleo Censo'!E1494</f>
        <v/>
      </c>
      <c r="N1494" s="17">
        <f>IF(M1494&gt;0,L1494,Factores!$B$7)</f>
        <v/>
      </c>
      <c r="O1494">
        <f>IF(M1494&gt;0,"OK","sin PEA -&gt; peor")</f>
        <v/>
      </c>
    </row>
    <row r="1495">
      <c r="A1495" t="inlineStr">
        <is>
          <t>060111</t>
        </is>
      </c>
      <c r="B1495" t="inlineStr"/>
      <c r="C1495" s="14">
        <f>'Empleo Censo'!G1495-'Empleo Censo'!F1495</f>
        <v/>
      </c>
      <c r="D1495" s="14">
        <f>'Empleo Censo'!F1495</f>
        <v/>
      </c>
      <c r="E1495" s="14">
        <f>'Empleo Censo'!H1495</f>
        <v/>
      </c>
      <c r="F1495" s="14">
        <f>'Empleo Censo'!I1495</f>
        <v/>
      </c>
      <c r="G1495" s="14">
        <f>'Empleo Censo'!J1495+'Empleo Censo'!K1495</f>
        <v/>
      </c>
      <c r="H1495" s="14">
        <f>'Empleo Censo'!L1495</f>
        <v/>
      </c>
      <c r="I1495" s="14">
        <f>'Empleo Censo'!M1495</f>
        <v/>
      </c>
      <c r="J1495" s="14">
        <f>SUM('Empleo Censo'!N1495:AA1495)</f>
        <v/>
      </c>
      <c r="K1495" s="14">
        <f>SUM(C1495:J1495)</f>
        <v/>
      </c>
      <c r="L1495" s="15">
        <f>SUMPRODUCT(C1495:J1495,Factores!$B$3:$I$3)</f>
        <v/>
      </c>
      <c r="M1495" s="16">
        <f>'Empleo Censo'!E1495</f>
        <v/>
      </c>
      <c r="N1495" s="17">
        <f>IF(M1495&gt;0,L1495,Factores!$B$7)</f>
        <v/>
      </c>
      <c r="O1495">
        <f>IF(M1495&gt;0,"OK","sin PEA -&gt; peor")</f>
        <v/>
      </c>
    </row>
    <row r="1496">
      <c r="A1496" t="inlineStr">
        <is>
          <t>090605</t>
        </is>
      </c>
      <c r="B1496" t="inlineStr">
        <is>
          <t>LARAMARCA</t>
        </is>
      </c>
      <c r="C1496" s="14">
        <f>'Empleo Censo'!G1496-'Empleo Censo'!F1496</f>
        <v/>
      </c>
      <c r="D1496" s="14">
        <f>'Empleo Censo'!F1496</f>
        <v/>
      </c>
      <c r="E1496" s="14">
        <f>'Empleo Censo'!H1496</f>
        <v/>
      </c>
      <c r="F1496" s="14">
        <f>'Empleo Censo'!I1496</f>
        <v/>
      </c>
      <c r="G1496" s="14">
        <f>'Empleo Censo'!J1496+'Empleo Censo'!K1496</f>
        <v/>
      </c>
      <c r="H1496" s="14">
        <f>'Empleo Censo'!L1496</f>
        <v/>
      </c>
      <c r="I1496" s="14">
        <f>'Empleo Censo'!M1496</f>
        <v/>
      </c>
      <c r="J1496" s="14">
        <f>SUM('Empleo Censo'!N1496:AA1496)</f>
        <v/>
      </c>
      <c r="K1496" s="14">
        <f>SUM(C1496:J1496)</f>
        <v/>
      </c>
      <c r="L1496" s="15">
        <f>SUMPRODUCT(C1496:J1496,Factores!$B$3:$I$3)</f>
        <v/>
      </c>
      <c r="M1496" s="16">
        <f>'Empleo Censo'!E1496</f>
        <v/>
      </c>
      <c r="N1496" s="17">
        <f>IF(M1496&gt;0,L1496,Factores!$B$7)</f>
        <v/>
      </c>
      <c r="O1496">
        <f>IF(M1496&gt;0,"OK","sin PEA -&gt; peor")</f>
        <v/>
      </c>
    </row>
    <row r="1497">
      <c r="A1497" t="inlineStr">
        <is>
          <t>060808</t>
        </is>
      </c>
      <c r="B1497" t="inlineStr">
        <is>
          <t>PUCARA</t>
        </is>
      </c>
      <c r="C1497" s="14">
        <f>'Empleo Censo'!G1497-'Empleo Censo'!F1497</f>
        <v/>
      </c>
      <c r="D1497" s="14">
        <f>'Empleo Censo'!F1497</f>
        <v/>
      </c>
      <c r="E1497" s="14">
        <f>'Empleo Censo'!H1497</f>
        <v/>
      </c>
      <c r="F1497" s="14">
        <f>'Empleo Censo'!I1497</f>
        <v/>
      </c>
      <c r="G1497" s="14">
        <f>'Empleo Censo'!J1497+'Empleo Censo'!K1497</f>
        <v/>
      </c>
      <c r="H1497" s="14">
        <f>'Empleo Censo'!L1497</f>
        <v/>
      </c>
      <c r="I1497" s="14">
        <f>'Empleo Censo'!M1497</f>
        <v/>
      </c>
      <c r="J1497" s="14">
        <f>SUM('Empleo Censo'!N1497:AA1497)</f>
        <v/>
      </c>
      <c r="K1497" s="14">
        <f>SUM(C1497:J1497)</f>
        <v/>
      </c>
      <c r="L1497" s="15">
        <f>SUMPRODUCT(C1497:J1497,Factores!$B$3:$I$3)</f>
        <v/>
      </c>
      <c r="M1497" s="16">
        <f>'Empleo Censo'!E1497</f>
        <v/>
      </c>
      <c r="N1497" s="17">
        <f>IF(M1497&gt;0,L1497,Factores!$B$7)</f>
        <v/>
      </c>
      <c r="O1497">
        <f>IF(M1497&gt;0,"OK","sin PEA -&gt; peor")</f>
        <v/>
      </c>
    </row>
    <row r="1498">
      <c r="A1498" t="inlineStr">
        <is>
          <t>080201</t>
        </is>
      </c>
      <c r="B1498" t="inlineStr">
        <is>
          <t>ACOMAYO</t>
        </is>
      </c>
      <c r="C1498" s="14">
        <f>'Empleo Censo'!G1498-'Empleo Censo'!F1498</f>
        <v/>
      </c>
      <c r="D1498" s="14">
        <f>'Empleo Censo'!F1498</f>
        <v/>
      </c>
      <c r="E1498" s="14">
        <f>'Empleo Censo'!H1498</f>
        <v/>
      </c>
      <c r="F1498" s="14">
        <f>'Empleo Censo'!I1498</f>
        <v/>
      </c>
      <c r="G1498" s="14">
        <f>'Empleo Censo'!J1498+'Empleo Censo'!K1498</f>
        <v/>
      </c>
      <c r="H1498" s="14">
        <f>'Empleo Censo'!L1498</f>
        <v/>
      </c>
      <c r="I1498" s="14">
        <f>'Empleo Censo'!M1498</f>
        <v/>
      </c>
      <c r="J1498" s="14">
        <f>SUM('Empleo Censo'!N1498:AA1498)</f>
        <v/>
      </c>
      <c r="K1498" s="14">
        <f>SUM(C1498:J1498)</f>
        <v/>
      </c>
      <c r="L1498" s="15">
        <f>SUMPRODUCT(C1498:J1498,Factores!$B$3:$I$3)</f>
        <v/>
      </c>
      <c r="M1498" s="16">
        <f>'Empleo Censo'!E1498</f>
        <v/>
      </c>
      <c r="N1498" s="17">
        <f>IF(M1498&gt;0,L1498,Factores!$B$7)</f>
        <v/>
      </c>
      <c r="O1498">
        <f>IF(M1498&gt;0,"OK","sin PEA -&gt; peor")</f>
        <v/>
      </c>
    </row>
    <row r="1499">
      <c r="A1499" t="inlineStr">
        <is>
          <t>080606</t>
        </is>
      </c>
      <c r="B1499" t="inlineStr">
        <is>
          <t>SAN PABLO</t>
        </is>
      </c>
      <c r="C1499" s="14">
        <f>'Empleo Censo'!G1499-'Empleo Censo'!F1499</f>
        <v/>
      </c>
      <c r="D1499" s="14">
        <f>'Empleo Censo'!F1499</f>
        <v/>
      </c>
      <c r="E1499" s="14">
        <f>'Empleo Censo'!H1499</f>
        <v/>
      </c>
      <c r="F1499" s="14">
        <f>'Empleo Censo'!I1499</f>
        <v/>
      </c>
      <c r="G1499" s="14">
        <f>'Empleo Censo'!J1499+'Empleo Censo'!K1499</f>
        <v/>
      </c>
      <c r="H1499" s="14">
        <f>'Empleo Censo'!L1499</f>
        <v/>
      </c>
      <c r="I1499" s="14">
        <f>'Empleo Censo'!M1499</f>
        <v/>
      </c>
      <c r="J1499" s="14">
        <f>SUM('Empleo Censo'!N1499:AA1499)</f>
        <v/>
      </c>
      <c r="K1499" s="14">
        <f>SUM(C1499:J1499)</f>
        <v/>
      </c>
      <c r="L1499" s="15">
        <f>SUMPRODUCT(C1499:J1499,Factores!$B$3:$I$3)</f>
        <v/>
      </c>
      <c r="M1499" s="16">
        <f>'Empleo Censo'!E1499</f>
        <v/>
      </c>
      <c r="N1499" s="17">
        <f>IF(M1499&gt;0,L1499,Factores!$B$7)</f>
        <v/>
      </c>
      <c r="O1499">
        <f>IF(M1499&gt;0,"OK","sin PEA -&gt; peor")</f>
        <v/>
      </c>
    </row>
    <row r="1500">
      <c r="A1500" t="inlineStr">
        <is>
          <t>080502</t>
        </is>
      </c>
      <c r="B1500" t="inlineStr">
        <is>
          <t>CHECCA</t>
        </is>
      </c>
      <c r="C1500" s="14">
        <f>'Empleo Censo'!G1500-'Empleo Censo'!F1500</f>
        <v/>
      </c>
      <c r="D1500" s="14">
        <f>'Empleo Censo'!F1500</f>
        <v/>
      </c>
      <c r="E1500" s="14">
        <f>'Empleo Censo'!H1500</f>
        <v/>
      </c>
      <c r="F1500" s="14">
        <f>'Empleo Censo'!I1500</f>
        <v/>
      </c>
      <c r="G1500" s="14">
        <f>'Empleo Censo'!J1500+'Empleo Censo'!K1500</f>
        <v/>
      </c>
      <c r="H1500" s="14">
        <f>'Empleo Censo'!L1500</f>
        <v/>
      </c>
      <c r="I1500" s="14">
        <f>'Empleo Censo'!M1500</f>
        <v/>
      </c>
      <c r="J1500" s="14">
        <f>SUM('Empleo Censo'!N1500:AA1500)</f>
        <v/>
      </c>
      <c r="K1500" s="14">
        <f>SUM(C1500:J1500)</f>
        <v/>
      </c>
      <c r="L1500" s="15">
        <f>SUMPRODUCT(C1500:J1500,Factores!$B$3:$I$3)</f>
        <v/>
      </c>
      <c r="M1500" s="16">
        <f>'Empleo Censo'!E1500</f>
        <v/>
      </c>
      <c r="N1500" s="17">
        <f>IF(M1500&gt;0,L1500,Factores!$B$7)</f>
        <v/>
      </c>
      <c r="O1500">
        <f>IF(M1500&gt;0,"OK","sin PEA -&gt; peor")</f>
        <v/>
      </c>
    </row>
    <row r="1501">
      <c r="A1501" t="inlineStr">
        <is>
          <t>020102</t>
        </is>
      </c>
      <c r="B1501" t="inlineStr">
        <is>
          <t>COCHABAMBA</t>
        </is>
      </c>
      <c r="C1501" s="14">
        <f>'Empleo Censo'!G1501-'Empleo Censo'!F1501</f>
        <v/>
      </c>
      <c r="D1501" s="14">
        <f>'Empleo Censo'!F1501</f>
        <v/>
      </c>
      <c r="E1501" s="14">
        <f>'Empleo Censo'!H1501</f>
        <v/>
      </c>
      <c r="F1501" s="14">
        <f>'Empleo Censo'!I1501</f>
        <v/>
      </c>
      <c r="G1501" s="14">
        <f>'Empleo Censo'!J1501+'Empleo Censo'!K1501</f>
        <v/>
      </c>
      <c r="H1501" s="14">
        <f>'Empleo Censo'!L1501</f>
        <v/>
      </c>
      <c r="I1501" s="14">
        <f>'Empleo Censo'!M1501</f>
        <v/>
      </c>
      <c r="J1501" s="14">
        <f>SUM('Empleo Censo'!N1501:AA1501)</f>
        <v/>
      </c>
      <c r="K1501" s="14">
        <f>SUM(C1501:J1501)</f>
        <v/>
      </c>
      <c r="L1501" s="15">
        <f>SUMPRODUCT(C1501:J1501,Factores!$B$3:$I$3)</f>
        <v/>
      </c>
      <c r="M1501" s="16">
        <f>'Empleo Censo'!E1501</f>
        <v/>
      </c>
      <c r="N1501" s="17">
        <f>IF(M1501&gt;0,L1501,Factores!$B$7)</f>
        <v/>
      </c>
      <c r="O1501">
        <f>IF(M1501&gt;0,"OK","sin PEA -&gt; peor")</f>
        <v/>
      </c>
    </row>
    <row r="1502">
      <c r="A1502" t="inlineStr">
        <is>
          <t>051106</t>
        </is>
      </c>
      <c r="B1502" t="inlineStr">
        <is>
          <t>INDEPENDENCIA</t>
        </is>
      </c>
      <c r="C1502" s="14">
        <f>'Empleo Censo'!G1502-'Empleo Censo'!F1502</f>
        <v/>
      </c>
      <c r="D1502" s="14">
        <f>'Empleo Censo'!F1502</f>
        <v/>
      </c>
      <c r="E1502" s="14">
        <f>'Empleo Censo'!H1502</f>
        <v/>
      </c>
      <c r="F1502" s="14">
        <f>'Empleo Censo'!I1502</f>
        <v/>
      </c>
      <c r="G1502" s="14">
        <f>'Empleo Censo'!J1502+'Empleo Censo'!K1502</f>
        <v/>
      </c>
      <c r="H1502" s="14">
        <f>'Empleo Censo'!L1502</f>
        <v/>
      </c>
      <c r="I1502" s="14">
        <f>'Empleo Censo'!M1502</f>
        <v/>
      </c>
      <c r="J1502" s="14">
        <f>SUM('Empleo Censo'!N1502:AA1502)</f>
        <v/>
      </c>
      <c r="K1502" s="14">
        <f>SUM(C1502:J1502)</f>
        <v/>
      </c>
      <c r="L1502" s="15">
        <f>SUMPRODUCT(C1502:J1502,Factores!$B$3:$I$3)</f>
        <v/>
      </c>
      <c r="M1502" s="16">
        <f>'Empleo Censo'!E1502</f>
        <v/>
      </c>
      <c r="N1502" s="17">
        <f>IF(M1502&gt;0,L1502,Factores!$B$7)</f>
        <v/>
      </c>
      <c r="O1502">
        <f>IF(M1502&gt;0,"OK","sin PEA -&gt; peor")</f>
        <v/>
      </c>
    </row>
    <row r="1503">
      <c r="A1503" t="inlineStr">
        <is>
          <t>061104</t>
        </is>
      </c>
      <c r="B1503" t="inlineStr">
        <is>
          <t>CATILLUC</t>
        </is>
      </c>
      <c r="C1503" s="14">
        <f>'Empleo Censo'!G1503-'Empleo Censo'!F1503</f>
        <v/>
      </c>
      <c r="D1503" s="14">
        <f>'Empleo Censo'!F1503</f>
        <v/>
      </c>
      <c r="E1503" s="14">
        <f>'Empleo Censo'!H1503</f>
        <v/>
      </c>
      <c r="F1503" s="14">
        <f>'Empleo Censo'!I1503</f>
        <v/>
      </c>
      <c r="G1503" s="14">
        <f>'Empleo Censo'!J1503+'Empleo Censo'!K1503</f>
        <v/>
      </c>
      <c r="H1503" s="14">
        <f>'Empleo Censo'!L1503</f>
        <v/>
      </c>
      <c r="I1503" s="14">
        <f>'Empleo Censo'!M1503</f>
        <v/>
      </c>
      <c r="J1503" s="14">
        <f>SUM('Empleo Censo'!N1503:AA1503)</f>
        <v/>
      </c>
      <c r="K1503" s="14">
        <f>SUM(C1503:J1503)</f>
        <v/>
      </c>
      <c r="L1503" s="15">
        <f>SUMPRODUCT(C1503:J1503,Factores!$B$3:$I$3)</f>
        <v/>
      </c>
      <c r="M1503" s="16">
        <f>'Empleo Censo'!E1503</f>
        <v/>
      </c>
      <c r="N1503" s="17">
        <f>IF(M1503&gt;0,L1503,Factores!$B$7)</f>
        <v/>
      </c>
      <c r="O1503">
        <f>IF(M1503&gt;0,"OK","sin PEA -&gt; peor")</f>
        <v/>
      </c>
    </row>
    <row r="1504">
      <c r="A1504" t="inlineStr">
        <is>
          <t>050703</t>
        </is>
      </c>
      <c r="B1504" t="inlineStr">
        <is>
          <t>CORONEL CASTAÑEDA</t>
        </is>
      </c>
      <c r="C1504" s="14">
        <f>'Empleo Censo'!G1504-'Empleo Censo'!F1504</f>
        <v/>
      </c>
      <c r="D1504" s="14">
        <f>'Empleo Censo'!F1504</f>
        <v/>
      </c>
      <c r="E1504" s="14">
        <f>'Empleo Censo'!H1504</f>
        <v/>
      </c>
      <c r="F1504" s="14">
        <f>'Empleo Censo'!I1504</f>
        <v/>
      </c>
      <c r="G1504" s="14">
        <f>'Empleo Censo'!J1504+'Empleo Censo'!K1504</f>
        <v/>
      </c>
      <c r="H1504" s="14">
        <f>'Empleo Censo'!L1504</f>
        <v/>
      </c>
      <c r="I1504" s="14">
        <f>'Empleo Censo'!M1504</f>
        <v/>
      </c>
      <c r="J1504" s="14">
        <f>SUM('Empleo Censo'!N1504:AA1504)</f>
        <v/>
      </c>
      <c r="K1504" s="14">
        <f>SUM(C1504:J1504)</f>
        <v/>
      </c>
      <c r="L1504" s="15">
        <f>SUMPRODUCT(C1504:J1504,Factores!$B$3:$I$3)</f>
        <v/>
      </c>
      <c r="M1504" s="16">
        <f>'Empleo Censo'!E1504</f>
        <v/>
      </c>
      <c r="N1504" s="17">
        <f>IF(M1504&gt;0,L1504,Factores!$B$7)</f>
        <v/>
      </c>
      <c r="O1504">
        <f>IF(M1504&gt;0,"OK","sin PEA -&gt; peor")</f>
        <v/>
      </c>
    </row>
    <row r="1505">
      <c r="A1505" t="inlineStr">
        <is>
          <t>020607</t>
        </is>
      </c>
      <c r="B1505" t="inlineStr">
        <is>
          <t>PARIAHUANCA</t>
        </is>
      </c>
      <c r="C1505" s="14">
        <f>'Empleo Censo'!G1505-'Empleo Censo'!F1505</f>
        <v/>
      </c>
      <c r="D1505" s="14">
        <f>'Empleo Censo'!F1505</f>
        <v/>
      </c>
      <c r="E1505" s="14">
        <f>'Empleo Censo'!H1505</f>
        <v/>
      </c>
      <c r="F1505" s="14">
        <f>'Empleo Censo'!I1505</f>
        <v/>
      </c>
      <c r="G1505" s="14">
        <f>'Empleo Censo'!J1505+'Empleo Censo'!K1505</f>
        <v/>
      </c>
      <c r="H1505" s="14">
        <f>'Empleo Censo'!L1505</f>
        <v/>
      </c>
      <c r="I1505" s="14">
        <f>'Empleo Censo'!M1505</f>
        <v/>
      </c>
      <c r="J1505" s="14">
        <f>SUM('Empleo Censo'!N1505:AA1505)</f>
        <v/>
      </c>
      <c r="K1505" s="14">
        <f>SUM(C1505:J1505)</f>
        <v/>
      </c>
      <c r="L1505" s="15">
        <f>SUMPRODUCT(C1505:J1505,Factores!$B$3:$I$3)</f>
        <v/>
      </c>
      <c r="M1505" s="16">
        <f>'Empleo Censo'!E1505</f>
        <v/>
      </c>
      <c r="N1505" s="17">
        <f>IF(M1505&gt;0,L1505,Factores!$B$7)</f>
        <v/>
      </c>
      <c r="O1505">
        <f>IF(M1505&gt;0,"OK","sin PEA -&gt; peor")</f>
        <v/>
      </c>
    </row>
    <row r="1506">
      <c r="A1506" t="inlineStr">
        <is>
          <t>040505</t>
        </is>
      </c>
      <c r="B1506" t="inlineStr">
        <is>
          <t>CAYLLOMA</t>
        </is>
      </c>
      <c r="C1506" s="14">
        <f>'Empleo Censo'!G1506-'Empleo Censo'!F1506</f>
        <v/>
      </c>
      <c r="D1506" s="14">
        <f>'Empleo Censo'!F1506</f>
        <v/>
      </c>
      <c r="E1506" s="14">
        <f>'Empleo Censo'!H1506</f>
        <v/>
      </c>
      <c r="F1506" s="14">
        <f>'Empleo Censo'!I1506</f>
        <v/>
      </c>
      <c r="G1506" s="14">
        <f>'Empleo Censo'!J1506+'Empleo Censo'!K1506</f>
        <v/>
      </c>
      <c r="H1506" s="14">
        <f>'Empleo Censo'!L1506</f>
        <v/>
      </c>
      <c r="I1506" s="14">
        <f>'Empleo Censo'!M1506</f>
        <v/>
      </c>
      <c r="J1506" s="14">
        <f>SUM('Empleo Censo'!N1506:AA1506)</f>
        <v/>
      </c>
      <c r="K1506" s="14">
        <f>SUM(C1506:J1506)</f>
        <v/>
      </c>
      <c r="L1506" s="15">
        <f>SUMPRODUCT(C1506:J1506,Factores!$B$3:$I$3)</f>
        <v/>
      </c>
      <c r="M1506" s="16">
        <f>'Empleo Censo'!E1506</f>
        <v/>
      </c>
      <c r="N1506" s="17">
        <f>IF(M1506&gt;0,L1506,Factores!$B$7)</f>
        <v/>
      </c>
      <c r="O1506">
        <f>IF(M1506&gt;0,"OK","sin PEA -&gt; peor")</f>
        <v/>
      </c>
    </row>
    <row r="1507">
      <c r="A1507" t="inlineStr">
        <is>
          <t>060307</t>
        </is>
      </c>
      <c r="B1507" t="inlineStr">
        <is>
          <t>MIGUEL IGLESIAS</t>
        </is>
      </c>
      <c r="C1507" s="14">
        <f>'Empleo Censo'!G1507-'Empleo Censo'!F1507</f>
        <v/>
      </c>
      <c r="D1507" s="14">
        <f>'Empleo Censo'!F1507</f>
        <v/>
      </c>
      <c r="E1507" s="14">
        <f>'Empleo Censo'!H1507</f>
        <v/>
      </c>
      <c r="F1507" s="14">
        <f>'Empleo Censo'!I1507</f>
        <v/>
      </c>
      <c r="G1507" s="14">
        <f>'Empleo Censo'!J1507+'Empleo Censo'!K1507</f>
        <v/>
      </c>
      <c r="H1507" s="14">
        <f>'Empleo Censo'!L1507</f>
        <v/>
      </c>
      <c r="I1507" s="14">
        <f>'Empleo Censo'!M1507</f>
        <v/>
      </c>
      <c r="J1507" s="14">
        <f>SUM('Empleo Censo'!N1507:AA1507)</f>
        <v/>
      </c>
      <c r="K1507" s="14">
        <f>SUM(C1507:J1507)</f>
        <v/>
      </c>
      <c r="L1507" s="15">
        <f>SUMPRODUCT(C1507:J1507,Factores!$B$3:$I$3)</f>
        <v/>
      </c>
      <c r="M1507" s="16">
        <f>'Empleo Censo'!E1507</f>
        <v/>
      </c>
      <c r="N1507" s="17">
        <f>IF(M1507&gt;0,L1507,Factores!$B$7)</f>
        <v/>
      </c>
      <c r="O1507">
        <f>IF(M1507&gt;0,"OK","sin PEA -&gt; peor")</f>
        <v/>
      </c>
    </row>
    <row r="1508">
      <c r="A1508" t="inlineStr">
        <is>
          <t>030303</t>
        </is>
      </c>
      <c r="B1508" t="inlineStr">
        <is>
          <t>HUAQUIRCA</t>
        </is>
      </c>
      <c r="C1508" s="14">
        <f>'Empleo Censo'!G1508-'Empleo Censo'!F1508</f>
        <v/>
      </c>
      <c r="D1508" s="14">
        <f>'Empleo Censo'!F1508</f>
        <v/>
      </c>
      <c r="E1508" s="14">
        <f>'Empleo Censo'!H1508</f>
        <v/>
      </c>
      <c r="F1508" s="14">
        <f>'Empleo Censo'!I1508</f>
        <v/>
      </c>
      <c r="G1508" s="14">
        <f>'Empleo Censo'!J1508+'Empleo Censo'!K1508</f>
        <v/>
      </c>
      <c r="H1508" s="14">
        <f>'Empleo Censo'!L1508</f>
        <v/>
      </c>
      <c r="I1508" s="14">
        <f>'Empleo Censo'!M1508</f>
        <v/>
      </c>
      <c r="J1508" s="14">
        <f>SUM('Empleo Censo'!N1508:AA1508)</f>
        <v/>
      </c>
      <c r="K1508" s="14">
        <f>SUM(C1508:J1508)</f>
        <v/>
      </c>
      <c r="L1508" s="15">
        <f>SUMPRODUCT(C1508:J1508,Factores!$B$3:$I$3)</f>
        <v/>
      </c>
      <c r="M1508" s="16">
        <f>'Empleo Censo'!E1508</f>
        <v/>
      </c>
      <c r="N1508" s="17">
        <f>IF(M1508&gt;0,L1508,Factores!$B$7)</f>
        <v/>
      </c>
      <c r="O1508">
        <f>IF(M1508&gt;0,"OK","sin PEA -&gt; peor")</f>
        <v/>
      </c>
    </row>
    <row r="1509">
      <c r="A1509" t="inlineStr">
        <is>
          <t>040205</t>
        </is>
      </c>
      <c r="B1509" t="inlineStr">
        <is>
          <t>NICOLAS DE PIEROLA</t>
        </is>
      </c>
      <c r="C1509" s="14">
        <f>'Empleo Censo'!G1509-'Empleo Censo'!F1509</f>
        <v/>
      </c>
      <c r="D1509" s="14">
        <f>'Empleo Censo'!F1509</f>
        <v/>
      </c>
      <c r="E1509" s="14">
        <f>'Empleo Censo'!H1509</f>
        <v/>
      </c>
      <c r="F1509" s="14">
        <f>'Empleo Censo'!I1509</f>
        <v/>
      </c>
      <c r="G1509" s="14">
        <f>'Empleo Censo'!J1509+'Empleo Censo'!K1509</f>
        <v/>
      </c>
      <c r="H1509" s="14">
        <f>'Empleo Censo'!L1509</f>
        <v/>
      </c>
      <c r="I1509" s="14">
        <f>'Empleo Censo'!M1509</f>
        <v/>
      </c>
      <c r="J1509" s="14">
        <f>SUM('Empleo Censo'!N1509:AA1509)</f>
        <v/>
      </c>
      <c r="K1509" s="14">
        <f>SUM(C1509:J1509)</f>
        <v/>
      </c>
      <c r="L1509" s="15">
        <f>SUMPRODUCT(C1509:J1509,Factores!$B$3:$I$3)</f>
        <v/>
      </c>
      <c r="M1509" s="16">
        <f>'Empleo Censo'!E1509</f>
        <v/>
      </c>
      <c r="N1509" s="17">
        <f>IF(M1509&gt;0,L1509,Factores!$B$7)</f>
        <v/>
      </c>
      <c r="O1509">
        <f>IF(M1509&gt;0,"OK","sin PEA -&gt; peor")</f>
        <v/>
      </c>
    </row>
    <row r="1510">
      <c r="A1510" t="inlineStr">
        <is>
          <t>021305</t>
        </is>
      </c>
      <c r="B1510" t="inlineStr">
        <is>
          <t>LLAMA</t>
        </is>
      </c>
      <c r="C1510" s="14">
        <f>'Empleo Censo'!G1510-'Empleo Censo'!F1510</f>
        <v/>
      </c>
      <c r="D1510" s="14">
        <f>'Empleo Censo'!F1510</f>
        <v/>
      </c>
      <c r="E1510" s="14">
        <f>'Empleo Censo'!H1510</f>
        <v/>
      </c>
      <c r="F1510" s="14">
        <f>'Empleo Censo'!I1510</f>
        <v/>
      </c>
      <c r="G1510" s="14">
        <f>'Empleo Censo'!J1510+'Empleo Censo'!K1510</f>
        <v/>
      </c>
      <c r="H1510" s="14">
        <f>'Empleo Censo'!L1510</f>
        <v/>
      </c>
      <c r="I1510" s="14">
        <f>'Empleo Censo'!M1510</f>
        <v/>
      </c>
      <c r="J1510" s="14">
        <f>SUM('Empleo Censo'!N1510:AA1510)</f>
        <v/>
      </c>
      <c r="K1510" s="14">
        <f>SUM(C1510:J1510)</f>
        <v/>
      </c>
      <c r="L1510" s="15">
        <f>SUMPRODUCT(C1510:J1510,Factores!$B$3:$I$3)</f>
        <v/>
      </c>
      <c r="M1510" s="16">
        <f>'Empleo Censo'!E1510</f>
        <v/>
      </c>
      <c r="N1510" s="17">
        <f>IF(M1510&gt;0,L1510,Factores!$B$7)</f>
        <v/>
      </c>
      <c r="O1510">
        <f>IF(M1510&gt;0,"OK","sin PEA -&gt; peor")</f>
        <v/>
      </c>
    </row>
    <row r="1511">
      <c r="A1511" t="inlineStr">
        <is>
          <t>090303</t>
        </is>
      </c>
      <c r="B1511" t="inlineStr">
        <is>
          <t>CALLANMARCA</t>
        </is>
      </c>
      <c r="C1511" s="14">
        <f>'Empleo Censo'!G1511-'Empleo Censo'!F1511</f>
        <v/>
      </c>
      <c r="D1511" s="14">
        <f>'Empleo Censo'!F1511</f>
        <v/>
      </c>
      <c r="E1511" s="14">
        <f>'Empleo Censo'!H1511</f>
        <v/>
      </c>
      <c r="F1511" s="14">
        <f>'Empleo Censo'!I1511</f>
        <v/>
      </c>
      <c r="G1511" s="14">
        <f>'Empleo Censo'!J1511+'Empleo Censo'!K1511</f>
        <v/>
      </c>
      <c r="H1511" s="14">
        <f>'Empleo Censo'!L1511</f>
        <v/>
      </c>
      <c r="I1511" s="14">
        <f>'Empleo Censo'!M1511</f>
        <v/>
      </c>
      <c r="J1511" s="14">
        <f>SUM('Empleo Censo'!N1511:AA1511)</f>
        <v/>
      </c>
      <c r="K1511" s="14">
        <f>SUM(C1511:J1511)</f>
        <v/>
      </c>
      <c r="L1511" s="15">
        <f>SUMPRODUCT(C1511:J1511,Factores!$B$3:$I$3)</f>
        <v/>
      </c>
      <c r="M1511" s="16">
        <f>'Empleo Censo'!E1511</f>
        <v/>
      </c>
      <c r="N1511" s="17">
        <f>IF(M1511&gt;0,L1511,Factores!$B$7)</f>
        <v/>
      </c>
      <c r="O1511">
        <f>IF(M1511&gt;0,"OK","sin PEA -&gt; peor")</f>
        <v/>
      </c>
    </row>
    <row r="1512">
      <c r="A1512" t="inlineStr">
        <is>
          <t>020608</t>
        </is>
      </c>
      <c r="B1512" t="inlineStr">
        <is>
          <t>SAN MIGUEL DE ACO</t>
        </is>
      </c>
      <c r="C1512" s="14">
        <f>'Empleo Censo'!G1512-'Empleo Censo'!F1512</f>
        <v/>
      </c>
      <c r="D1512" s="14">
        <f>'Empleo Censo'!F1512</f>
        <v/>
      </c>
      <c r="E1512" s="14">
        <f>'Empleo Censo'!H1512</f>
        <v/>
      </c>
      <c r="F1512" s="14">
        <f>'Empleo Censo'!I1512</f>
        <v/>
      </c>
      <c r="G1512" s="14">
        <f>'Empleo Censo'!J1512+'Empleo Censo'!K1512</f>
        <v/>
      </c>
      <c r="H1512" s="14">
        <f>'Empleo Censo'!L1512</f>
        <v/>
      </c>
      <c r="I1512" s="14">
        <f>'Empleo Censo'!M1512</f>
        <v/>
      </c>
      <c r="J1512" s="14">
        <f>SUM('Empleo Censo'!N1512:AA1512)</f>
        <v/>
      </c>
      <c r="K1512" s="14">
        <f>SUM(C1512:J1512)</f>
        <v/>
      </c>
      <c r="L1512" s="15">
        <f>SUMPRODUCT(C1512:J1512,Factores!$B$3:$I$3)</f>
        <v/>
      </c>
      <c r="M1512" s="16">
        <f>'Empleo Censo'!E1512</f>
        <v/>
      </c>
      <c r="N1512" s="17">
        <f>IF(M1512&gt;0,L1512,Factores!$B$7)</f>
        <v/>
      </c>
      <c r="O1512">
        <f>IF(M1512&gt;0,"OK","sin PEA -&gt; peor")</f>
        <v/>
      </c>
    </row>
    <row r="1513">
      <c r="A1513" t="inlineStr">
        <is>
          <t>021910</t>
        </is>
      </c>
      <c r="B1513" t="inlineStr">
        <is>
          <t>SICSIBAMBA</t>
        </is>
      </c>
      <c r="C1513" s="14">
        <f>'Empleo Censo'!G1513-'Empleo Censo'!F1513</f>
        <v/>
      </c>
      <c r="D1513" s="14">
        <f>'Empleo Censo'!F1513</f>
        <v/>
      </c>
      <c r="E1513" s="14">
        <f>'Empleo Censo'!H1513</f>
        <v/>
      </c>
      <c r="F1513" s="14">
        <f>'Empleo Censo'!I1513</f>
        <v/>
      </c>
      <c r="G1513" s="14">
        <f>'Empleo Censo'!J1513+'Empleo Censo'!K1513</f>
        <v/>
      </c>
      <c r="H1513" s="14">
        <f>'Empleo Censo'!L1513</f>
        <v/>
      </c>
      <c r="I1513" s="14">
        <f>'Empleo Censo'!M1513</f>
        <v/>
      </c>
      <c r="J1513" s="14">
        <f>SUM('Empleo Censo'!N1513:AA1513)</f>
        <v/>
      </c>
      <c r="K1513" s="14">
        <f>SUM(C1513:J1513)</f>
        <v/>
      </c>
      <c r="L1513" s="15">
        <f>SUMPRODUCT(C1513:J1513,Factores!$B$3:$I$3)</f>
        <v/>
      </c>
      <c r="M1513" s="16">
        <f>'Empleo Censo'!E1513</f>
        <v/>
      </c>
      <c r="N1513" s="17">
        <f>IF(M1513&gt;0,L1513,Factores!$B$7)</f>
        <v/>
      </c>
      <c r="O1513">
        <f>IF(M1513&gt;0,"OK","sin PEA -&gt; peor")</f>
        <v/>
      </c>
    </row>
    <row r="1514">
      <c r="A1514" t="inlineStr">
        <is>
          <t>030404</t>
        </is>
      </c>
      <c r="B1514" t="inlineStr">
        <is>
          <t>CHAPIMARCA</t>
        </is>
      </c>
      <c r="C1514" s="14">
        <f>'Empleo Censo'!G1514-'Empleo Censo'!F1514</f>
        <v/>
      </c>
      <c r="D1514" s="14">
        <f>'Empleo Censo'!F1514</f>
        <v/>
      </c>
      <c r="E1514" s="14">
        <f>'Empleo Censo'!H1514</f>
        <v/>
      </c>
      <c r="F1514" s="14">
        <f>'Empleo Censo'!I1514</f>
        <v/>
      </c>
      <c r="G1514" s="14">
        <f>'Empleo Censo'!J1514+'Empleo Censo'!K1514</f>
        <v/>
      </c>
      <c r="H1514" s="14">
        <f>'Empleo Censo'!L1514</f>
        <v/>
      </c>
      <c r="I1514" s="14">
        <f>'Empleo Censo'!M1514</f>
        <v/>
      </c>
      <c r="J1514" s="14">
        <f>SUM('Empleo Censo'!N1514:AA1514)</f>
        <v/>
      </c>
      <c r="K1514" s="14">
        <f>SUM(C1514:J1514)</f>
        <v/>
      </c>
      <c r="L1514" s="15">
        <f>SUMPRODUCT(C1514:J1514,Factores!$B$3:$I$3)</f>
        <v/>
      </c>
      <c r="M1514" s="16">
        <f>'Empleo Censo'!E1514</f>
        <v/>
      </c>
      <c r="N1514" s="17">
        <f>IF(M1514&gt;0,L1514,Factores!$B$7)</f>
        <v/>
      </c>
      <c r="O1514">
        <f>IF(M1514&gt;0,"OK","sin PEA -&gt; peor")</f>
        <v/>
      </c>
    </row>
    <row r="1515">
      <c r="A1515" t="inlineStr">
        <is>
          <t>030710</t>
        </is>
      </c>
      <c r="B1515" t="inlineStr">
        <is>
          <t>SANTA ROSA</t>
        </is>
      </c>
      <c r="C1515" s="14">
        <f>'Empleo Censo'!G1515-'Empleo Censo'!F1515</f>
        <v/>
      </c>
      <c r="D1515" s="14">
        <f>'Empleo Censo'!F1515</f>
        <v/>
      </c>
      <c r="E1515" s="14">
        <f>'Empleo Censo'!H1515</f>
        <v/>
      </c>
      <c r="F1515" s="14">
        <f>'Empleo Censo'!I1515</f>
        <v/>
      </c>
      <c r="G1515" s="14">
        <f>'Empleo Censo'!J1515+'Empleo Censo'!K1515</f>
        <v/>
      </c>
      <c r="H1515" s="14">
        <f>'Empleo Censo'!L1515</f>
        <v/>
      </c>
      <c r="I1515" s="14">
        <f>'Empleo Censo'!M1515</f>
        <v/>
      </c>
      <c r="J1515" s="14">
        <f>SUM('Empleo Censo'!N1515:AA1515)</f>
        <v/>
      </c>
      <c r="K1515" s="14">
        <f>SUM(C1515:J1515)</f>
        <v/>
      </c>
      <c r="L1515" s="15">
        <f>SUMPRODUCT(C1515:J1515,Factores!$B$3:$I$3)</f>
        <v/>
      </c>
      <c r="M1515" s="16">
        <f>'Empleo Censo'!E1515</f>
        <v/>
      </c>
      <c r="N1515" s="17">
        <f>IF(M1515&gt;0,L1515,Factores!$B$7)</f>
        <v/>
      </c>
      <c r="O1515">
        <f>IF(M1515&gt;0,"OK","sin PEA -&gt; peor")</f>
        <v/>
      </c>
    </row>
    <row r="1516">
      <c r="A1516" t="inlineStr">
        <is>
          <t>080704</t>
        </is>
      </c>
      <c r="B1516" t="inlineStr">
        <is>
          <t>COLQUEMARCA</t>
        </is>
      </c>
      <c r="C1516" s="14">
        <f>'Empleo Censo'!G1516-'Empleo Censo'!F1516</f>
        <v/>
      </c>
      <c r="D1516" s="14">
        <f>'Empleo Censo'!F1516</f>
        <v/>
      </c>
      <c r="E1516" s="14">
        <f>'Empleo Censo'!H1516</f>
        <v/>
      </c>
      <c r="F1516" s="14">
        <f>'Empleo Censo'!I1516</f>
        <v/>
      </c>
      <c r="G1516" s="14">
        <f>'Empleo Censo'!J1516+'Empleo Censo'!K1516</f>
        <v/>
      </c>
      <c r="H1516" s="14">
        <f>'Empleo Censo'!L1516</f>
        <v/>
      </c>
      <c r="I1516" s="14">
        <f>'Empleo Censo'!M1516</f>
        <v/>
      </c>
      <c r="J1516" s="14">
        <f>SUM('Empleo Censo'!N1516:AA1516)</f>
        <v/>
      </c>
      <c r="K1516" s="14">
        <f>SUM(C1516:J1516)</f>
        <v/>
      </c>
      <c r="L1516" s="15">
        <f>SUMPRODUCT(C1516:J1516,Factores!$B$3:$I$3)</f>
        <v/>
      </c>
      <c r="M1516" s="16">
        <f>'Empleo Censo'!E1516</f>
        <v/>
      </c>
      <c r="N1516" s="17">
        <f>IF(M1516&gt;0,L1516,Factores!$B$7)</f>
        <v/>
      </c>
      <c r="O1516">
        <f>IF(M1516&gt;0,"OK","sin PEA -&gt; peor")</f>
        <v/>
      </c>
    </row>
    <row r="1517">
      <c r="A1517" t="inlineStr">
        <is>
          <t>030408</t>
        </is>
      </c>
      <c r="B1517" t="inlineStr">
        <is>
          <t>JUSTO APU SAHUARAURA</t>
        </is>
      </c>
      <c r="C1517" s="14">
        <f>'Empleo Censo'!G1517-'Empleo Censo'!F1517</f>
        <v/>
      </c>
      <c r="D1517" s="14">
        <f>'Empleo Censo'!F1517</f>
        <v/>
      </c>
      <c r="E1517" s="14">
        <f>'Empleo Censo'!H1517</f>
        <v/>
      </c>
      <c r="F1517" s="14">
        <f>'Empleo Censo'!I1517</f>
        <v/>
      </c>
      <c r="G1517" s="14">
        <f>'Empleo Censo'!J1517+'Empleo Censo'!K1517</f>
        <v/>
      </c>
      <c r="H1517" s="14">
        <f>'Empleo Censo'!L1517</f>
        <v/>
      </c>
      <c r="I1517" s="14">
        <f>'Empleo Censo'!M1517</f>
        <v/>
      </c>
      <c r="J1517" s="14">
        <f>SUM('Empleo Censo'!N1517:AA1517)</f>
        <v/>
      </c>
      <c r="K1517" s="14">
        <f>SUM(C1517:J1517)</f>
        <v/>
      </c>
      <c r="L1517" s="15">
        <f>SUMPRODUCT(C1517:J1517,Factores!$B$3:$I$3)</f>
        <v/>
      </c>
      <c r="M1517" s="16">
        <f>'Empleo Censo'!E1517</f>
        <v/>
      </c>
      <c r="N1517" s="17">
        <f>IF(M1517&gt;0,L1517,Factores!$B$7)</f>
        <v/>
      </c>
      <c r="O1517">
        <f>IF(M1517&gt;0,"OK","sin PEA -&gt; peor")</f>
        <v/>
      </c>
    </row>
    <row r="1518">
      <c r="A1518" t="inlineStr">
        <is>
          <t>051007</t>
        </is>
      </c>
      <c r="B1518" t="inlineStr">
        <is>
          <t>COLCA</t>
        </is>
      </c>
      <c r="C1518" s="14">
        <f>'Empleo Censo'!G1518-'Empleo Censo'!F1518</f>
        <v/>
      </c>
      <c r="D1518" s="14">
        <f>'Empleo Censo'!F1518</f>
        <v/>
      </c>
      <c r="E1518" s="14">
        <f>'Empleo Censo'!H1518</f>
        <v/>
      </c>
      <c r="F1518" s="14">
        <f>'Empleo Censo'!I1518</f>
        <v/>
      </c>
      <c r="G1518" s="14">
        <f>'Empleo Censo'!J1518+'Empleo Censo'!K1518</f>
        <v/>
      </c>
      <c r="H1518" s="14">
        <f>'Empleo Censo'!L1518</f>
        <v/>
      </c>
      <c r="I1518" s="14">
        <f>'Empleo Censo'!M1518</f>
        <v/>
      </c>
      <c r="J1518" s="14">
        <f>SUM('Empleo Censo'!N1518:AA1518)</f>
        <v/>
      </c>
      <c r="K1518" s="14">
        <f>SUM(C1518:J1518)</f>
        <v/>
      </c>
      <c r="L1518" s="15">
        <f>SUMPRODUCT(C1518:J1518,Factores!$B$3:$I$3)</f>
        <v/>
      </c>
      <c r="M1518" s="16">
        <f>'Empleo Censo'!E1518</f>
        <v/>
      </c>
      <c r="N1518" s="17">
        <f>IF(M1518&gt;0,L1518,Factores!$B$7)</f>
        <v/>
      </c>
      <c r="O1518">
        <f>IF(M1518&gt;0,"OK","sin PEA -&gt; peor")</f>
        <v/>
      </c>
    </row>
    <row r="1519">
      <c r="A1519" t="inlineStr">
        <is>
          <t>010504</t>
        </is>
      </c>
      <c r="B1519" t="inlineStr">
        <is>
          <t>COLCAMAR</t>
        </is>
      </c>
      <c r="C1519" s="14">
        <f>'Empleo Censo'!G1519-'Empleo Censo'!F1519</f>
        <v/>
      </c>
      <c r="D1519" s="14">
        <f>'Empleo Censo'!F1519</f>
        <v/>
      </c>
      <c r="E1519" s="14">
        <f>'Empleo Censo'!H1519</f>
        <v/>
      </c>
      <c r="F1519" s="14">
        <f>'Empleo Censo'!I1519</f>
        <v/>
      </c>
      <c r="G1519" s="14">
        <f>'Empleo Censo'!J1519+'Empleo Censo'!K1519</f>
        <v/>
      </c>
      <c r="H1519" s="14">
        <f>'Empleo Censo'!L1519</f>
        <v/>
      </c>
      <c r="I1519" s="14">
        <f>'Empleo Censo'!M1519</f>
        <v/>
      </c>
      <c r="J1519" s="14">
        <f>SUM('Empleo Censo'!N1519:AA1519)</f>
        <v/>
      </c>
      <c r="K1519" s="14">
        <f>SUM(C1519:J1519)</f>
        <v/>
      </c>
      <c r="L1519" s="15">
        <f>SUMPRODUCT(C1519:J1519,Factores!$B$3:$I$3)</f>
        <v/>
      </c>
      <c r="M1519" s="16">
        <f>'Empleo Censo'!E1519</f>
        <v/>
      </c>
      <c r="N1519" s="17">
        <f>IF(M1519&gt;0,L1519,Factores!$B$7)</f>
        <v/>
      </c>
      <c r="O1519">
        <f>IF(M1519&gt;0,"OK","sin PEA -&gt; peor")</f>
        <v/>
      </c>
    </row>
    <row r="1520">
      <c r="A1520" t="inlineStr">
        <is>
          <t>010509</t>
        </is>
      </c>
      <c r="B1520" t="inlineStr">
        <is>
          <t>LUYA</t>
        </is>
      </c>
      <c r="C1520" s="14">
        <f>'Empleo Censo'!G1520-'Empleo Censo'!F1520</f>
        <v/>
      </c>
      <c r="D1520" s="14">
        <f>'Empleo Censo'!F1520</f>
        <v/>
      </c>
      <c r="E1520" s="14">
        <f>'Empleo Censo'!H1520</f>
        <v/>
      </c>
      <c r="F1520" s="14">
        <f>'Empleo Censo'!I1520</f>
        <v/>
      </c>
      <c r="G1520" s="14">
        <f>'Empleo Censo'!J1520+'Empleo Censo'!K1520</f>
        <v/>
      </c>
      <c r="H1520" s="14">
        <f>'Empleo Censo'!L1520</f>
        <v/>
      </c>
      <c r="I1520" s="14">
        <f>'Empleo Censo'!M1520</f>
        <v/>
      </c>
      <c r="J1520" s="14">
        <f>SUM('Empleo Censo'!N1520:AA1520)</f>
        <v/>
      </c>
      <c r="K1520" s="14">
        <f>SUM(C1520:J1520)</f>
        <v/>
      </c>
      <c r="L1520" s="15">
        <f>SUMPRODUCT(C1520:J1520,Factores!$B$3:$I$3)</f>
        <v/>
      </c>
      <c r="M1520" s="16">
        <f>'Empleo Censo'!E1520</f>
        <v/>
      </c>
      <c r="N1520" s="17">
        <f>IF(M1520&gt;0,L1520,Factores!$B$7)</f>
        <v/>
      </c>
      <c r="O1520">
        <f>IF(M1520&gt;0,"OK","sin PEA -&gt; peor")</f>
        <v/>
      </c>
    </row>
    <row r="1521">
      <c r="A1521" t="inlineStr">
        <is>
          <t>060506</t>
        </is>
      </c>
      <c r="B1521" t="inlineStr">
        <is>
          <t>SANTA CRUZ DE TOLEDO</t>
        </is>
      </c>
      <c r="C1521" s="14">
        <f>'Empleo Censo'!G1521-'Empleo Censo'!F1521</f>
        <v/>
      </c>
      <c r="D1521" s="14">
        <f>'Empleo Censo'!F1521</f>
        <v/>
      </c>
      <c r="E1521" s="14">
        <f>'Empleo Censo'!H1521</f>
        <v/>
      </c>
      <c r="F1521" s="14">
        <f>'Empleo Censo'!I1521</f>
        <v/>
      </c>
      <c r="G1521" s="14">
        <f>'Empleo Censo'!J1521+'Empleo Censo'!K1521</f>
        <v/>
      </c>
      <c r="H1521" s="14">
        <f>'Empleo Censo'!L1521</f>
        <v/>
      </c>
      <c r="I1521" s="14">
        <f>'Empleo Censo'!M1521</f>
        <v/>
      </c>
      <c r="J1521" s="14">
        <f>SUM('Empleo Censo'!N1521:AA1521)</f>
        <v/>
      </c>
      <c r="K1521" s="14">
        <f>SUM(C1521:J1521)</f>
        <v/>
      </c>
      <c r="L1521" s="15">
        <f>SUMPRODUCT(C1521:J1521,Factores!$B$3:$I$3)</f>
        <v/>
      </c>
      <c r="M1521" s="16">
        <f>'Empleo Censo'!E1521</f>
        <v/>
      </c>
      <c r="N1521" s="17">
        <f>IF(M1521&gt;0,L1521,Factores!$B$7)</f>
        <v/>
      </c>
      <c r="O1521">
        <f>IF(M1521&gt;0,"OK","sin PEA -&gt; peor")</f>
        <v/>
      </c>
    </row>
    <row r="1522">
      <c r="A1522" t="inlineStr">
        <is>
          <t>090408</t>
        </is>
      </c>
      <c r="B1522" t="inlineStr">
        <is>
          <t>HUAMATAMBO</t>
        </is>
      </c>
      <c r="C1522" s="14">
        <f>'Empleo Censo'!G1522-'Empleo Censo'!F1522</f>
        <v/>
      </c>
      <c r="D1522" s="14">
        <f>'Empleo Censo'!F1522</f>
        <v/>
      </c>
      <c r="E1522" s="14">
        <f>'Empleo Censo'!H1522</f>
        <v/>
      </c>
      <c r="F1522" s="14">
        <f>'Empleo Censo'!I1522</f>
        <v/>
      </c>
      <c r="G1522" s="14">
        <f>'Empleo Censo'!J1522+'Empleo Censo'!K1522</f>
        <v/>
      </c>
      <c r="H1522" s="14">
        <f>'Empleo Censo'!L1522</f>
        <v/>
      </c>
      <c r="I1522" s="14">
        <f>'Empleo Censo'!M1522</f>
        <v/>
      </c>
      <c r="J1522" s="14">
        <f>SUM('Empleo Censo'!N1522:AA1522)</f>
        <v/>
      </c>
      <c r="K1522" s="14">
        <f>SUM(C1522:J1522)</f>
        <v/>
      </c>
      <c r="L1522" s="15">
        <f>SUMPRODUCT(C1522:J1522,Factores!$B$3:$I$3)</f>
        <v/>
      </c>
      <c r="M1522" s="16">
        <f>'Empleo Censo'!E1522</f>
        <v/>
      </c>
      <c r="N1522" s="17">
        <f>IF(M1522&gt;0,L1522,Factores!$B$7)</f>
        <v/>
      </c>
      <c r="O1522">
        <f>IF(M1522&gt;0,"OK","sin PEA -&gt; peor")</f>
        <v/>
      </c>
    </row>
    <row r="1523">
      <c r="A1523" t="inlineStr">
        <is>
          <t>061002</t>
        </is>
      </c>
      <c r="B1523" t="inlineStr">
        <is>
          <t>CHANCAY</t>
        </is>
      </c>
      <c r="C1523" s="14">
        <f>'Empleo Censo'!G1523-'Empleo Censo'!F1523</f>
        <v/>
      </c>
      <c r="D1523" s="14">
        <f>'Empleo Censo'!F1523</f>
        <v/>
      </c>
      <c r="E1523" s="14">
        <f>'Empleo Censo'!H1523</f>
        <v/>
      </c>
      <c r="F1523" s="14">
        <f>'Empleo Censo'!I1523</f>
        <v/>
      </c>
      <c r="G1523" s="14">
        <f>'Empleo Censo'!J1523+'Empleo Censo'!K1523</f>
        <v/>
      </c>
      <c r="H1523" s="14">
        <f>'Empleo Censo'!L1523</f>
        <v/>
      </c>
      <c r="I1523" s="14">
        <f>'Empleo Censo'!M1523</f>
        <v/>
      </c>
      <c r="J1523" s="14">
        <f>SUM('Empleo Censo'!N1523:AA1523)</f>
        <v/>
      </c>
      <c r="K1523" s="14">
        <f>SUM(C1523:J1523)</f>
        <v/>
      </c>
      <c r="L1523" s="15">
        <f>SUMPRODUCT(C1523:J1523,Factores!$B$3:$I$3)</f>
        <v/>
      </c>
      <c r="M1523" s="16">
        <f>'Empleo Censo'!E1523</f>
        <v/>
      </c>
      <c r="N1523" s="17">
        <f>IF(M1523&gt;0,L1523,Factores!$B$7)</f>
        <v/>
      </c>
      <c r="O1523">
        <f>IF(M1523&gt;0,"OK","sin PEA -&gt; peor")</f>
        <v/>
      </c>
    </row>
    <row r="1524">
      <c r="A1524" t="inlineStr">
        <is>
          <t>040501</t>
        </is>
      </c>
      <c r="B1524" t="inlineStr">
        <is>
          <t>CHIVAY</t>
        </is>
      </c>
      <c r="C1524" s="14">
        <f>'Empleo Censo'!G1524-'Empleo Censo'!F1524</f>
        <v/>
      </c>
      <c r="D1524" s="14">
        <f>'Empleo Censo'!F1524</f>
        <v/>
      </c>
      <c r="E1524" s="14">
        <f>'Empleo Censo'!H1524</f>
        <v/>
      </c>
      <c r="F1524" s="14">
        <f>'Empleo Censo'!I1524</f>
        <v/>
      </c>
      <c r="G1524" s="14">
        <f>'Empleo Censo'!J1524+'Empleo Censo'!K1524</f>
        <v/>
      </c>
      <c r="H1524" s="14">
        <f>'Empleo Censo'!L1524</f>
        <v/>
      </c>
      <c r="I1524" s="14">
        <f>'Empleo Censo'!M1524</f>
        <v/>
      </c>
      <c r="J1524" s="14">
        <f>SUM('Empleo Censo'!N1524:AA1524)</f>
        <v/>
      </c>
      <c r="K1524" s="14">
        <f>SUM(C1524:J1524)</f>
        <v/>
      </c>
      <c r="L1524" s="15">
        <f>SUMPRODUCT(C1524:J1524,Factores!$B$3:$I$3)</f>
        <v/>
      </c>
      <c r="M1524" s="16">
        <f>'Empleo Censo'!E1524</f>
        <v/>
      </c>
      <c r="N1524" s="17">
        <f>IF(M1524&gt;0,L1524,Factores!$B$7)</f>
        <v/>
      </c>
      <c r="O1524">
        <f>IF(M1524&gt;0,"OK","sin PEA -&gt; peor")</f>
        <v/>
      </c>
    </row>
    <row r="1525">
      <c r="A1525" t="inlineStr">
        <is>
          <t>040112</t>
        </is>
      </c>
      <c r="B1525" t="inlineStr">
        <is>
          <t>PAUCARPATA</t>
        </is>
      </c>
      <c r="C1525" s="14">
        <f>'Empleo Censo'!G1525-'Empleo Censo'!F1525</f>
        <v/>
      </c>
      <c r="D1525" s="14">
        <f>'Empleo Censo'!F1525</f>
        <v/>
      </c>
      <c r="E1525" s="14">
        <f>'Empleo Censo'!H1525</f>
        <v/>
      </c>
      <c r="F1525" s="14">
        <f>'Empleo Censo'!I1525</f>
        <v/>
      </c>
      <c r="G1525" s="14">
        <f>'Empleo Censo'!J1525+'Empleo Censo'!K1525</f>
        <v/>
      </c>
      <c r="H1525" s="14">
        <f>'Empleo Censo'!L1525</f>
        <v/>
      </c>
      <c r="I1525" s="14">
        <f>'Empleo Censo'!M1525</f>
        <v/>
      </c>
      <c r="J1525" s="14">
        <f>SUM('Empleo Censo'!N1525:AA1525)</f>
        <v/>
      </c>
      <c r="K1525" s="14">
        <f>SUM(C1525:J1525)</f>
        <v/>
      </c>
      <c r="L1525" s="15">
        <f>SUMPRODUCT(C1525:J1525,Factores!$B$3:$I$3)</f>
        <v/>
      </c>
      <c r="M1525" s="16">
        <f>'Empleo Censo'!E1525</f>
        <v/>
      </c>
      <c r="N1525" s="17">
        <f>IF(M1525&gt;0,L1525,Factores!$B$7)</f>
        <v/>
      </c>
      <c r="O1525">
        <f>IF(M1525&gt;0,"OK","sin PEA -&gt; peor")</f>
        <v/>
      </c>
    </row>
    <row r="1526">
      <c r="A1526" t="inlineStr">
        <is>
          <t>040604</t>
        </is>
      </c>
      <c r="B1526" t="inlineStr">
        <is>
          <t>CHICHAS</t>
        </is>
      </c>
      <c r="C1526" s="14">
        <f>'Empleo Censo'!G1526-'Empleo Censo'!F1526</f>
        <v/>
      </c>
      <c r="D1526" s="14">
        <f>'Empleo Censo'!F1526</f>
        <v/>
      </c>
      <c r="E1526" s="14">
        <f>'Empleo Censo'!H1526</f>
        <v/>
      </c>
      <c r="F1526" s="14">
        <f>'Empleo Censo'!I1526</f>
        <v/>
      </c>
      <c r="G1526" s="14">
        <f>'Empleo Censo'!J1526+'Empleo Censo'!K1526</f>
        <v/>
      </c>
      <c r="H1526" s="14">
        <f>'Empleo Censo'!L1526</f>
        <v/>
      </c>
      <c r="I1526" s="14">
        <f>'Empleo Censo'!M1526</f>
        <v/>
      </c>
      <c r="J1526" s="14">
        <f>SUM('Empleo Censo'!N1526:AA1526)</f>
        <v/>
      </c>
      <c r="K1526" s="14">
        <f>SUM(C1526:J1526)</f>
        <v/>
      </c>
      <c r="L1526" s="15">
        <f>SUMPRODUCT(C1526:J1526,Factores!$B$3:$I$3)</f>
        <v/>
      </c>
      <c r="M1526" s="16">
        <f>'Empleo Censo'!E1526</f>
        <v/>
      </c>
      <c r="N1526" s="17">
        <f>IF(M1526&gt;0,L1526,Factores!$B$7)</f>
        <v/>
      </c>
      <c r="O1526">
        <f>IF(M1526&gt;0,"OK","sin PEA -&gt; peor")</f>
        <v/>
      </c>
    </row>
    <row r="1527">
      <c r="A1527" t="inlineStr">
        <is>
          <t>080205</t>
        </is>
      </c>
      <c r="B1527" t="inlineStr">
        <is>
          <t>POMACANCHI</t>
        </is>
      </c>
      <c r="C1527" s="14">
        <f>'Empleo Censo'!G1527-'Empleo Censo'!F1527</f>
        <v/>
      </c>
      <c r="D1527" s="14">
        <f>'Empleo Censo'!F1527</f>
        <v/>
      </c>
      <c r="E1527" s="14">
        <f>'Empleo Censo'!H1527</f>
        <v/>
      </c>
      <c r="F1527" s="14">
        <f>'Empleo Censo'!I1527</f>
        <v/>
      </c>
      <c r="G1527" s="14">
        <f>'Empleo Censo'!J1527+'Empleo Censo'!K1527</f>
        <v/>
      </c>
      <c r="H1527" s="14">
        <f>'Empleo Censo'!L1527</f>
        <v/>
      </c>
      <c r="I1527" s="14">
        <f>'Empleo Censo'!M1527</f>
        <v/>
      </c>
      <c r="J1527" s="14">
        <f>SUM('Empleo Censo'!N1527:AA1527)</f>
        <v/>
      </c>
      <c r="K1527" s="14">
        <f>SUM(C1527:J1527)</f>
        <v/>
      </c>
      <c r="L1527" s="15">
        <f>SUMPRODUCT(C1527:J1527,Factores!$B$3:$I$3)</f>
        <v/>
      </c>
      <c r="M1527" s="16">
        <f>'Empleo Censo'!E1527</f>
        <v/>
      </c>
      <c r="N1527" s="17">
        <f>IF(M1527&gt;0,L1527,Factores!$B$7)</f>
        <v/>
      </c>
      <c r="O1527">
        <f>IF(M1527&gt;0,"OK","sin PEA -&gt; peor")</f>
        <v/>
      </c>
    </row>
    <row r="1528">
      <c r="A1528" t="inlineStr">
        <is>
          <t>040120</t>
        </is>
      </c>
      <c r="B1528" t="inlineStr">
        <is>
          <t>SANTA ISABEL DE SIGUAS</t>
        </is>
      </c>
      <c r="C1528" s="14">
        <f>'Empleo Censo'!G1528-'Empleo Censo'!F1528</f>
        <v/>
      </c>
      <c r="D1528" s="14">
        <f>'Empleo Censo'!F1528</f>
        <v/>
      </c>
      <c r="E1528" s="14">
        <f>'Empleo Censo'!H1528</f>
        <v/>
      </c>
      <c r="F1528" s="14">
        <f>'Empleo Censo'!I1528</f>
        <v/>
      </c>
      <c r="G1528" s="14">
        <f>'Empleo Censo'!J1528+'Empleo Censo'!K1528</f>
        <v/>
      </c>
      <c r="H1528" s="14">
        <f>'Empleo Censo'!L1528</f>
        <v/>
      </c>
      <c r="I1528" s="14">
        <f>'Empleo Censo'!M1528</f>
        <v/>
      </c>
      <c r="J1528" s="14">
        <f>SUM('Empleo Censo'!N1528:AA1528)</f>
        <v/>
      </c>
      <c r="K1528" s="14">
        <f>SUM(C1528:J1528)</f>
        <v/>
      </c>
      <c r="L1528" s="15">
        <f>SUMPRODUCT(C1528:J1528,Factores!$B$3:$I$3)</f>
        <v/>
      </c>
      <c r="M1528" s="16">
        <f>'Empleo Censo'!E1528</f>
        <v/>
      </c>
      <c r="N1528" s="17">
        <f>IF(M1528&gt;0,L1528,Factores!$B$7)</f>
        <v/>
      </c>
      <c r="O1528">
        <f>IF(M1528&gt;0,"OK","sin PEA -&gt; peor")</f>
        <v/>
      </c>
    </row>
    <row r="1529">
      <c r="A1529" t="inlineStr">
        <is>
          <t>080305</t>
        </is>
      </c>
      <c r="B1529" t="inlineStr">
        <is>
          <t>HUAROCONDO</t>
        </is>
      </c>
      <c r="C1529" s="14">
        <f>'Empleo Censo'!G1529-'Empleo Censo'!F1529</f>
        <v/>
      </c>
      <c r="D1529" s="14">
        <f>'Empleo Censo'!F1529</f>
        <v/>
      </c>
      <c r="E1529" s="14">
        <f>'Empleo Censo'!H1529</f>
        <v/>
      </c>
      <c r="F1529" s="14">
        <f>'Empleo Censo'!I1529</f>
        <v/>
      </c>
      <c r="G1529" s="14">
        <f>'Empleo Censo'!J1529+'Empleo Censo'!K1529</f>
        <v/>
      </c>
      <c r="H1529" s="14">
        <f>'Empleo Censo'!L1529</f>
        <v/>
      </c>
      <c r="I1529" s="14">
        <f>'Empleo Censo'!M1529</f>
        <v/>
      </c>
      <c r="J1529" s="14">
        <f>SUM('Empleo Censo'!N1529:AA1529)</f>
        <v/>
      </c>
      <c r="K1529" s="14">
        <f>SUM(C1529:J1529)</f>
        <v/>
      </c>
      <c r="L1529" s="15">
        <f>SUMPRODUCT(C1529:J1529,Factores!$B$3:$I$3)</f>
        <v/>
      </c>
      <c r="M1529" s="16">
        <f>'Empleo Censo'!E1529</f>
        <v/>
      </c>
      <c r="N1529" s="17">
        <f>IF(M1529&gt;0,L1529,Factores!$B$7)</f>
        <v/>
      </c>
      <c r="O1529">
        <f>IF(M1529&gt;0,"OK","sin PEA -&gt; peor")</f>
        <v/>
      </c>
    </row>
    <row r="1530">
      <c r="A1530" t="inlineStr">
        <is>
          <t>030712</t>
        </is>
      </c>
      <c r="B1530" t="inlineStr">
        <is>
          <t>VILCABAMBA</t>
        </is>
      </c>
      <c r="C1530" s="14">
        <f>'Empleo Censo'!G1530-'Empleo Censo'!F1530</f>
        <v/>
      </c>
      <c r="D1530" s="14">
        <f>'Empleo Censo'!F1530</f>
        <v/>
      </c>
      <c r="E1530" s="14">
        <f>'Empleo Censo'!H1530</f>
        <v/>
      </c>
      <c r="F1530" s="14">
        <f>'Empleo Censo'!I1530</f>
        <v/>
      </c>
      <c r="G1530" s="14">
        <f>'Empleo Censo'!J1530+'Empleo Censo'!K1530</f>
        <v/>
      </c>
      <c r="H1530" s="14">
        <f>'Empleo Censo'!L1530</f>
        <v/>
      </c>
      <c r="I1530" s="14">
        <f>'Empleo Censo'!M1530</f>
        <v/>
      </c>
      <c r="J1530" s="14">
        <f>SUM('Empleo Censo'!N1530:AA1530)</f>
        <v/>
      </c>
      <c r="K1530" s="14">
        <f>SUM(C1530:J1530)</f>
        <v/>
      </c>
      <c r="L1530" s="15">
        <f>SUMPRODUCT(C1530:J1530,Factores!$B$3:$I$3)</f>
        <v/>
      </c>
      <c r="M1530" s="16">
        <f>'Empleo Censo'!E1530</f>
        <v/>
      </c>
      <c r="N1530" s="17">
        <f>IF(M1530&gt;0,L1530,Factores!$B$7)</f>
        <v/>
      </c>
      <c r="O1530">
        <f>IF(M1530&gt;0,"OK","sin PEA -&gt; peor")</f>
        <v/>
      </c>
    </row>
    <row r="1531">
      <c r="A1531" t="inlineStr">
        <is>
          <t>030406</t>
        </is>
      </c>
      <c r="B1531" t="inlineStr">
        <is>
          <t>COTARUSE</t>
        </is>
      </c>
      <c r="C1531" s="14">
        <f>'Empleo Censo'!G1531-'Empleo Censo'!F1531</f>
        <v/>
      </c>
      <c r="D1531" s="14">
        <f>'Empleo Censo'!F1531</f>
        <v/>
      </c>
      <c r="E1531" s="14">
        <f>'Empleo Censo'!H1531</f>
        <v/>
      </c>
      <c r="F1531" s="14">
        <f>'Empleo Censo'!I1531</f>
        <v/>
      </c>
      <c r="G1531" s="14">
        <f>'Empleo Censo'!J1531+'Empleo Censo'!K1531</f>
        <v/>
      </c>
      <c r="H1531" s="14">
        <f>'Empleo Censo'!L1531</f>
        <v/>
      </c>
      <c r="I1531" s="14">
        <f>'Empleo Censo'!M1531</f>
        <v/>
      </c>
      <c r="J1531" s="14">
        <f>SUM('Empleo Censo'!N1531:AA1531)</f>
        <v/>
      </c>
      <c r="K1531" s="14">
        <f>SUM(C1531:J1531)</f>
        <v/>
      </c>
      <c r="L1531" s="15">
        <f>SUMPRODUCT(C1531:J1531,Factores!$B$3:$I$3)</f>
        <v/>
      </c>
      <c r="M1531" s="16">
        <f>'Empleo Censo'!E1531</f>
        <v/>
      </c>
      <c r="N1531" s="17">
        <f>IF(M1531&gt;0,L1531,Factores!$B$7)</f>
        <v/>
      </c>
      <c r="O1531">
        <f>IF(M1531&gt;0,"OK","sin PEA -&gt; peor")</f>
        <v/>
      </c>
    </row>
    <row r="1532">
      <c r="A1532" t="inlineStr">
        <is>
          <t>050910</t>
        </is>
      </c>
      <c r="B1532" t="inlineStr">
        <is>
          <t>SANTIAGO DE PAUCARAY</t>
        </is>
      </c>
      <c r="C1532" s="14">
        <f>'Empleo Censo'!G1532-'Empleo Censo'!F1532</f>
        <v/>
      </c>
      <c r="D1532" s="14">
        <f>'Empleo Censo'!F1532</f>
        <v/>
      </c>
      <c r="E1532" s="14">
        <f>'Empleo Censo'!H1532</f>
        <v/>
      </c>
      <c r="F1532" s="14">
        <f>'Empleo Censo'!I1532</f>
        <v/>
      </c>
      <c r="G1532" s="14">
        <f>'Empleo Censo'!J1532+'Empleo Censo'!K1532</f>
        <v/>
      </c>
      <c r="H1532" s="14">
        <f>'Empleo Censo'!L1532</f>
        <v/>
      </c>
      <c r="I1532" s="14">
        <f>'Empleo Censo'!M1532</f>
        <v/>
      </c>
      <c r="J1532" s="14">
        <f>SUM('Empleo Censo'!N1532:AA1532)</f>
        <v/>
      </c>
      <c r="K1532" s="14">
        <f>SUM(C1532:J1532)</f>
        <v/>
      </c>
      <c r="L1532" s="15">
        <f>SUMPRODUCT(C1532:J1532,Factores!$B$3:$I$3)</f>
        <v/>
      </c>
      <c r="M1532" s="16">
        <f>'Empleo Censo'!E1532</f>
        <v/>
      </c>
      <c r="N1532" s="17">
        <f>IF(M1532&gt;0,L1532,Factores!$B$7)</f>
        <v/>
      </c>
      <c r="O1532">
        <f>IF(M1532&gt;0,"OK","sin PEA -&gt; peor")</f>
        <v/>
      </c>
    </row>
    <row r="1533">
      <c r="A1533" t="inlineStr">
        <is>
          <t>090111</t>
        </is>
      </c>
      <c r="B1533" t="inlineStr">
        <is>
          <t>MARISCAL CACERES</t>
        </is>
      </c>
      <c r="C1533" s="14">
        <f>'Empleo Censo'!G1533-'Empleo Censo'!F1533</f>
        <v/>
      </c>
      <c r="D1533" s="14">
        <f>'Empleo Censo'!F1533</f>
        <v/>
      </c>
      <c r="E1533" s="14">
        <f>'Empleo Censo'!H1533</f>
        <v/>
      </c>
      <c r="F1533" s="14">
        <f>'Empleo Censo'!I1533</f>
        <v/>
      </c>
      <c r="G1533" s="14">
        <f>'Empleo Censo'!J1533+'Empleo Censo'!K1533</f>
        <v/>
      </c>
      <c r="H1533" s="14">
        <f>'Empleo Censo'!L1533</f>
        <v/>
      </c>
      <c r="I1533" s="14">
        <f>'Empleo Censo'!M1533</f>
        <v/>
      </c>
      <c r="J1533" s="14">
        <f>SUM('Empleo Censo'!N1533:AA1533)</f>
        <v/>
      </c>
      <c r="K1533" s="14">
        <f>SUM(C1533:J1533)</f>
        <v/>
      </c>
      <c r="L1533" s="15">
        <f>SUMPRODUCT(C1533:J1533,Factores!$B$3:$I$3)</f>
        <v/>
      </c>
      <c r="M1533" s="16">
        <f>'Empleo Censo'!E1533</f>
        <v/>
      </c>
      <c r="N1533" s="17">
        <f>IF(M1533&gt;0,L1533,Factores!$B$7)</f>
        <v/>
      </c>
      <c r="O1533">
        <f>IF(M1533&gt;0,"OK","sin PEA -&gt; peor")</f>
        <v/>
      </c>
    </row>
    <row r="1534">
      <c r="A1534" t="inlineStr">
        <is>
          <t>090112</t>
        </is>
      </c>
      <c r="B1534" t="inlineStr">
        <is>
          <t>MOYA</t>
        </is>
      </c>
      <c r="C1534" s="14">
        <f>'Empleo Censo'!G1534-'Empleo Censo'!F1534</f>
        <v/>
      </c>
      <c r="D1534" s="14">
        <f>'Empleo Censo'!F1534</f>
        <v/>
      </c>
      <c r="E1534" s="14">
        <f>'Empleo Censo'!H1534</f>
        <v/>
      </c>
      <c r="F1534" s="14">
        <f>'Empleo Censo'!I1534</f>
        <v/>
      </c>
      <c r="G1534" s="14">
        <f>'Empleo Censo'!J1534+'Empleo Censo'!K1534</f>
        <v/>
      </c>
      <c r="H1534" s="14">
        <f>'Empleo Censo'!L1534</f>
        <v/>
      </c>
      <c r="I1534" s="14">
        <f>'Empleo Censo'!M1534</f>
        <v/>
      </c>
      <c r="J1534" s="14">
        <f>SUM('Empleo Censo'!N1534:AA1534)</f>
        <v/>
      </c>
      <c r="K1534" s="14">
        <f>SUM(C1534:J1534)</f>
        <v/>
      </c>
      <c r="L1534" s="15">
        <f>SUMPRODUCT(C1534:J1534,Factores!$B$3:$I$3)</f>
        <v/>
      </c>
      <c r="M1534" s="16">
        <f>'Empleo Censo'!E1534</f>
        <v/>
      </c>
      <c r="N1534" s="17">
        <f>IF(M1534&gt;0,L1534,Factores!$B$7)</f>
        <v/>
      </c>
      <c r="O1534">
        <f>IF(M1534&gt;0,"OK","sin PEA -&gt; peor")</f>
        <v/>
      </c>
    </row>
    <row r="1535">
      <c r="A1535" t="inlineStr">
        <is>
          <t>010511</t>
        </is>
      </c>
      <c r="B1535" t="inlineStr">
        <is>
          <t>MARIA</t>
        </is>
      </c>
      <c r="C1535" s="14">
        <f>'Empleo Censo'!G1535-'Empleo Censo'!F1535</f>
        <v/>
      </c>
      <c r="D1535" s="14">
        <f>'Empleo Censo'!F1535</f>
        <v/>
      </c>
      <c r="E1535" s="14">
        <f>'Empleo Censo'!H1535</f>
        <v/>
      </c>
      <c r="F1535" s="14">
        <f>'Empleo Censo'!I1535</f>
        <v/>
      </c>
      <c r="G1535" s="14">
        <f>'Empleo Censo'!J1535+'Empleo Censo'!K1535</f>
        <v/>
      </c>
      <c r="H1535" s="14">
        <f>'Empleo Censo'!L1535</f>
        <v/>
      </c>
      <c r="I1535" s="14">
        <f>'Empleo Censo'!M1535</f>
        <v/>
      </c>
      <c r="J1535" s="14">
        <f>SUM('Empleo Censo'!N1535:AA1535)</f>
        <v/>
      </c>
      <c r="K1535" s="14">
        <f>SUM(C1535:J1535)</f>
        <v/>
      </c>
      <c r="L1535" s="15">
        <f>SUMPRODUCT(C1535:J1535,Factores!$B$3:$I$3)</f>
        <v/>
      </c>
      <c r="M1535" s="16">
        <f>'Empleo Censo'!E1535</f>
        <v/>
      </c>
      <c r="N1535" s="17">
        <f>IF(M1535&gt;0,L1535,Factores!$B$7)</f>
        <v/>
      </c>
      <c r="O1535">
        <f>IF(M1535&gt;0,"OK","sin PEA -&gt; peor")</f>
        <v/>
      </c>
    </row>
    <row r="1536">
      <c r="A1536" t="inlineStr">
        <is>
          <t>010502</t>
        </is>
      </c>
      <c r="B1536" t="inlineStr">
        <is>
          <t>CAMPORREDONDO</t>
        </is>
      </c>
      <c r="C1536" s="14">
        <f>'Empleo Censo'!G1536-'Empleo Censo'!F1536</f>
        <v/>
      </c>
      <c r="D1536" s="14">
        <f>'Empleo Censo'!F1536</f>
        <v/>
      </c>
      <c r="E1536" s="14">
        <f>'Empleo Censo'!H1536</f>
        <v/>
      </c>
      <c r="F1536" s="14">
        <f>'Empleo Censo'!I1536</f>
        <v/>
      </c>
      <c r="G1536" s="14">
        <f>'Empleo Censo'!J1536+'Empleo Censo'!K1536</f>
        <v/>
      </c>
      <c r="H1536" s="14">
        <f>'Empleo Censo'!L1536</f>
        <v/>
      </c>
      <c r="I1536" s="14">
        <f>'Empleo Censo'!M1536</f>
        <v/>
      </c>
      <c r="J1536" s="14">
        <f>SUM('Empleo Censo'!N1536:AA1536)</f>
        <v/>
      </c>
      <c r="K1536" s="14">
        <f>SUM(C1536:J1536)</f>
        <v/>
      </c>
      <c r="L1536" s="15">
        <f>SUMPRODUCT(C1536:J1536,Factores!$B$3:$I$3)</f>
        <v/>
      </c>
      <c r="M1536" s="16">
        <f>'Empleo Censo'!E1536</f>
        <v/>
      </c>
      <c r="N1536" s="17">
        <f>IF(M1536&gt;0,L1536,Factores!$B$7)</f>
        <v/>
      </c>
      <c r="O1536">
        <f>IF(M1536&gt;0,"OK","sin PEA -&gt; peor")</f>
        <v/>
      </c>
    </row>
    <row r="1537">
      <c r="A1537" t="inlineStr">
        <is>
          <t>030206</t>
        </is>
      </c>
      <c r="B1537" t="inlineStr">
        <is>
          <t>HUAYANA</t>
        </is>
      </c>
      <c r="C1537" s="14">
        <f>'Empleo Censo'!G1537-'Empleo Censo'!F1537</f>
        <v/>
      </c>
      <c r="D1537" s="14">
        <f>'Empleo Censo'!F1537</f>
        <v/>
      </c>
      <c r="E1537" s="14">
        <f>'Empleo Censo'!H1537</f>
        <v/>
      </c>
      <c r="F1537" s="14">
        <f>'Empleo Censo'!I1537</f>
        <v/>
      </c>
      <c r="G1537" s="14">
        <f>'Empleo Censo'!J1537+'Empleo Censo'!K1537</f>
        <v/>
      </c>
      <c r="H1537" s="14">
        <f>'Empleo Censo'!L1537</f>
        <v/>
      </c>
      <c r="I1537" s="14">
        <f>'Empleo Censo'!M1537</f>
        <v/>
      </c>
      <c r="J1537" s="14">
        <f>SUM('Empleo Censo'!N1537:AA1537)</f>
        <v/>
      </c>
      <c r="K1537" s="14">
        <f>SUM(C1537:J1537)</f>
        <v/>
      </c>
      <c r="L1537" s="15">
        <f>SUMPRODUCT(C1537:J1537,Factores!$B$3:$I$3)</f>
        <v/>
      </c>
      <c r="M1537" s="16">
        <f>'Empleo Censo'!E1537</f>
        <v/>
      </c>
      <c r="N1537" s="17">
        <f>IF(M1537&gt;0,L1537,Factores!$B$7)</f>
        <v/>
      </c>
      <c r="O1537">
        <f>IF(M1537&gt;0,"OK","sin PEA -&gt; peor")</f>
        <v/>
      </c>
    </row>
    <row r="1538">
      <c r="A1538" t="inlineStr">
        <is>
          <t>010522</t>
        </is>
      </c>
      <c r="B1538" t="inlineStr">
        <is>
          <t>TINGO</t>
        </is>
      </c>
      <c r="C1538" s="14">
        <f>'Empleo Censo'!G1538-'Empleo Censo'!F1538</f>
        <v/>
      </c>
      <c r="D1538" s="14">
        <f>'Empleo Censo'!F1538</f>
        <v/>
      </c>
      <c r="E1538" s="14">
        <f>'Empleo Censo'!H1538</f>
        <v/>
      </c>
      <c r="F1538" s="14">
        <f>'Empleo Censo'!I1538</f>
        <v/>
      </c>
      <c r="G1538" s="14">
        <f>'Empleo Censo'!J1538+'Empleo Censo'!K1538</f>
        <v/>
      </c>
      <c r="H1538" s="14">
        <f>'Empleo Censo'!L1538</f>
        <v/>
      </c>
      <c r="I1538" s="14">
        <f>'Empleo Censo'!M1538</f>
        <v/>
      </c>
      <c r="J1538" s="14">
        <f>SUM('Empleo Censo'!N1538:AA1538)</f>
        <v/>
      </c>
      <c r="K1538" s="14">
        <f>SUM(C1538:J1538)</f>
        <v/>
      </c>
      <c r="L1538" s="15">
        <f>SUMPRODUCT(C1538:J1538,Factores!$B$3:$I$3)</f>
        <v/>
      </c>
      <c r="M1538" s="16">
        <f>'Empleo Censo'!E1538</f>
        <v/>
      </c>
      <c r="N1538" s="17">
        <f>IF(M1538&gt;0,L1538,Factores!$B$7)</f>
        <v/>
      </c>
      <c r="O1538">
        <f>IF(M1538&gt;0,"OK","sin PEA -&gt; peor")</f>
        <v/>
      </c>
    </row>
    <row r="1539">
      <c r="A1539" t="inlineStr">
        <is>
          <t>050911</t>
        </is>
      </c>
      <c r="B1539" t="inlineStr">
        <is>
          <t>SORAS</t>
        </is>
      </c>
      <c r="C1539" s="14">
        <f>'Empleo Censo'!G1539-'Empleo Censo'!F1539</f>
        <v/>
      </c>
      <c r="D1539" s="14">
        <f>'Empleo Censo'!F1539</f>
        <v/>
      </c>
      <c r="E1539" s="14">
        <f>'Empleo Censo'!H1539</f>
        <v/>
      </c>
      <c r="F1539" s="14">
        <f>'Empleo Censo'!I1539</f>
        <v/>
      </c>
      <c r="G1539" s="14">
        <f>'Empleo Censo'!J1539+'Empleo Censo'!K1539</f>
        <v/>
      </c>
      <c r="H1539" s="14">
        <f>'Empleo Censo'!L1539</f>
        <v/>
      </c>
      <c r="I1539" s="14">
        <f>'Empleo Censo'!M1539</f>
        <v/>
      </c>
      <c r="J1539" s="14">
        <f>SUM('Empleo Censo'!N1539:AA1539)</f>
        <v/>
      </c>
      <c r="K1539" s="14">
        <f>SUM(C1539:J1539)</f>
        <v/>
      </c>
      <c r="L1539" s="15">
        <f>SUMPRODUCT(C1539:J1539,Factores!$B$3:$I$3)</f>
        <v/>
      </c>
      <c r="M1539" s="16">
        <f>'Empleo Censo'!E1539</f>
        <v/>
      </c>
      <c r="N1539" s="17">
        <f>IF(M1539&gt;0,L1539,Factores!$B$7)</f>
        <v/>
      </c>
      <c r="O1539">
        <f>IF(M1539&gt;0,"OK","sin PEA -&gt; peor")</f>
        <v/>
      </c>
    </row>
    <row r="1540">
      <c r="A1540" t="inlineStr">
        <is>
          <t>050908</t>
        </is>
      </c>
      <c r="B1540" t="inlineStr">
        <is>
          <t>SAN PEDRO DE LARCAY</t>
        </is>
      </c>
      <c r="C1540" s="14">
        <f>'Empleo Censo'!G1540-'Empleo Censo'!F1540</f>
        <v/>
      </c>
      <c r="D1540" s="14">
        <f>'Empleo Censo'!F1540</f>
        <v/>
      </c>
      <c r="E1540" s="14">
        <f>'Empleo Censo'!H1540</f>
        <v/>
      </c>
      <c r="F1540" s="14">
        <f>'Empleo Censo'!I1540</f>
        <v/>
      </c>
      <c r="G1540" s="14">
        <f>'Empleo Censo'!J1540+'Empleo Censo'!K1540</f>
        <v/>
      </c>
      <c r="H1540" s="14">
        <f>'Empleo Censo'!L1540</f>
        <v/>
      </c>
      <c r="I1540" s="14">
        <f>'Empleo Censo'!M1540</f>
        <v/>
      </c>
      <c r="J1540" s="14">
        <f>SUM('Empleo Censo'!N1540:AA1540)</f>
        <v/>
      </c>
      <c r="K1540" s="14">
        <f>SUM(C1540:J1540)</f>
        <v/>
      </c>
      <c r="L1540" s="15">
        <f>SUMPRODUCT(C1540:J1540,Factores!$B$3:$I$3)</f>
        <v/>
      </c>
      <c r="M1540" s="16">
        <f>'Empleo Censo'!E1540</f>
        <v/>
      </c>
      <c r="N1540" s="17">
        <f>IF(M1540&gt;0,L1540,Factores!$B$7)</f>
        <v/>
      </c>
      <c r="O1540">
        <f>IF(M1540&gt;0,"OK","sin PEA -&gt; peor")</f>
        <v/>
      </c>
    </row>
    <row r="1541">
      <c r="A1541" t="inlineStr">
        <is>
          <t>021501</t>
        </is>
      </c>
      <c r="B1541" t="inlineStr">
        <is>
          <t>CABANA</t>
        </is>
      </c>
      <c r="C1541" s="14">
        <f>'Empleo Censo'!G1541-'Empleo Censo'!F1541</f>
        <v/>
      </c>
      <c r="D1541" s="14">
        <f>'Empleo Censo'!F1541</f>
        <v/>
      </c>
      <c r="E1541" s="14">
        <f>'Empleo Censo'!H1541</f>
        <v/>
      </c>
      <c r="F1541" s="14">
        <f>'Empleo Censo'!I1541</f>
        <v/>
      </c>
      <c r="G1541" s="14">
        <f>'Empleo Censo'!J1541+'Empleo Censo'!K1541</f>
        <v/>
      </c>
      <c r="H1541" s="14">
        <f>'Empleo Censo'!L1541</f>
        <v/>
      </c>
      <c r="I1541" s="14">
        <f>'Empleo Censo'!M1541</f>
        <v/>
      </c>
      <c r="J1541" s="14">
        <f>SUM('Empleo Censo'!N1541:AA1541)</f>
        <v/>
      </c>
      <c r="K1541" s="14">
        <f>SUM(C1541:J1541)</f>
        <v/>
      </c>
      <c r="L1541" s="15">
        <f>SUMPRODUCT(C1541:J1541,Factores!$B$3:$I$3)</f>
        <v/>
      </c>
      <c r="M1541" s="16">
        <f>'Empleo Censo'!E1541</f>
        <v/>
      </c>
      <c r="N1541" s="17">
        <f>IF(M1541&gt;0,L1541,Factores!$B$7)</f>
        <v/>
      </c>
      <c r="O1541">
        <f>IF(M1541&gt;0,"OK","sin PEA -&gt; peor")</f>
        <v/>
      </c>
    </row>
    <row r="1542">
      <c r="A1542" t="inlineStr">
        <is>
          <t>050904</t>
        </is>
      </c>
      <c r="B1542" t="inlineStr">
        <is>
          <t>CHILCAYOC</t>
        </is>
      </c>
      <c r="C1542" s="14">
        <f>'Empleo Censo'!G1542-'Empleo Censo'!F1542</f>
        <v/>
      </c>
      <c r="D1542" s="14">
        <f>'Empleo Censo'!F1542</f>
        <v/>
      </c>
      <c r="E1542" s="14">
        <f>'Empleo Censo'!H1542</f>
        <v/>
      </c>
      <c r="F1542" s="14">
        <f>'Empleo Censo'!I1542</f>
        <v/>
      </c>
      <c r="G1542" s="14">
        <f>'Empleo Censo'!J1542+'Empleo Censo'!K1542</f>
        <v/>
      </c>
      <c r="H1542" s="14">
        <f>'Empleo Censo'!L1542</f>
        <v/>
      </c>
      <c r="I1542" s="14">
        <f>'Empleo Censo'!M1542</f>
        <v/>
      </c>
      <c r="J1542" s="14">
        <f>SUM('Empleo Censo'!N1542:AA1542)</f>
        <v/>
      </c>
      <c r="K1542" s="14">
        <f>SUM(C1542:J1542)</f>
        <v/>
      </c>
      <c r="L1542" s="15">
        <f>SUMPRODUCT(C1542:J1542,Factores!$B$3:$I$3)</f>
        <v/>
      </c>
      <c r="M1542" s="16">
        <f>'Empleo Censo'!E1542</f>
        <v/>
      </c>
      <c r="N1542" s="17">
        <f>IF(M1542&gt;0,L1542,Factores!$B$7)</f>
        <v/>
      </c>
      <c r="O1542">
        <f>IF(M1542&gt;0,"OK","sin PEA -&gt; peor")</f>
        <v/>
      </c>
    </row>
    <row r="1543">
      <c r="A1543" t="inlineStr">
        <is>
          <t>020514</t>
        </is>
      </c>
      <c r="B1543" t="inlineStr">
        <is>
          <t>SAN MIGUEL DE CORPANQUI</t>
        </is>
      </c>
      <c r="C1543" s="14">
        <f>'Empleo Censo'!G1543-'Empleo Censo'!F1543</f>
        <v/>
      </c>
      <c r="D1543" s="14">
        <f>'Empleo Censo'!F1543</f>
        <v/>
      </c>
      <c r="E1543" s="14">
        <f>'Empleo Censo'!H1543</f>
        <v/>
      </c>
      <c r="F1543" s="14">
        <f>'Empleo Censo'!I1543</f>
        <v/>
      </c>
      <c r="G1543" s="14">
        <f>'Empleo Censo'!J1543+'Empleo Censo'!K1543</f>
        <v/>
      </c>
      <c r="H1543" s="14">
        <f>'Empleo Censo'!L1543</f>
        <v/>
      </c>
      <c r="I1543" s="14">
        <f>'Empleo Censo'!M1543</f>
        <v/>
      </c>
      <c r="J1543" s="14">
        <f>SUM('Empleo Censo'!N1543:AA1543)</f>
        <v/>
      </c>
      <c r="K1543" s="14">
        <f>SUM(C1543:J1543)</f>
        <v/>
      </c>
      <c r="L1543" s="15">
        <f>SUMPRODUCT(C1543:J1543,Factores!$B$3:$I$3)</f>
        <v/>
      </c>
      <c r="M1543" s="16">
        <f>'Empleo Censo'!E1543</f>
        <v/>
      </c>
      <c r="N1543" s="17">
        <f>IF(M1543&gt;0,L1543,Factores!$B$7)</f>
        <v/>
      </c>
      <c r="O1543">
        <f>IF(M1543&gt;0,"OK","sin PEA -&gt; peor")</f>
        <v/>
      </c>
    </row>
    <row r="1544">
      <c r="A1544" t="inlineStr">
        <is>
          <t>061301</t>
        </is>
      </c>
      <c r="B1544" t="inlineStr">
        <is>
          <t>SANTA CRUZ</t>
        </is>
      </c>
      <c r="C1544" s="14">
        <f>'Empleo Censo'!G1544-'Empleo Censo'!F1544</f>
        <v/>
      </c>
      <c r="D1544" s="14">
        <f>'Empleo Censo'!F1544</f>
        <v/>
      </c>
      <c r="E1544" s="14">
        <f>'Empleo Censo'!H1544</f>
        <v/>
      </c>
      <c r="F1544" s="14">
        <f>'Empleo Censo'!I1544</f>
        <v/>
      </c>
      <c r="G1544" s="14">
        <f>'Empleo Censo'!J1544+'Empleo Censo'!K1544</f>
        <v/>
      </c>
      <c r="H1544" s="14">
        <f>'Empleo Censo'!L1544</f>
        <v/>
      </c>
      <c r="I1544" s="14">
        <f>'Empleo Censo'!M1544</f>
        <v/>
      </c>
      <c r="J1544" s="14">
        <f>SUM('Empleo Censo'!N1544:AA1544)</f>
        <v/>
      </c>
      <c r="K1544" s="14">
        <f>SUM(C1544:J1544)</f>
        <v/>
      </c>
      <c r="L1544" s="15">
        <f>SUMPRODUCT(C1544:J1544,Factores!$B$3:$I$3)</f>
        <v/>
      </c>
      <c r="M1544" s="16">
        <f>'Empleo Censo'!E1544</f>
        <v/>
      </c>
      <c r="N1544" s="17">
        <f>IF(M1544&gt;0,L1544,Factores!$B$7)</f>
        <v/>
      </c>
      <c r="O1544">
        <f>IF(M1544&gt;0,"OK","sin PEA -&gt; peor")</f>
        <v/>
      </c>
    </row>
    <row r="1545">
      <c r="A1545" t="inlineStr">
        <is>
          <t>090616</t>
        </is>
      </c>
      <c r="B1545" t="inlineStr">
        <is>
          <t>TAMBO</t>
        </is>
      </c>
      <c r="C1545" s="14">
        <f>'Empleo Censo'!G1545-'Empleo Censo'!F1545</f>
        <v/>
      </c>
      <c r="D1545" s="14">
        <f>'Empleo Censo'!F1545</f>
        <v/>
      </c>
      <c r="E1545" s="14">
        <f>'Empleo Censo'!H1545</f>
        <v/>
      </c>
      <c r="F1545" s="14">
        <f>'Empleo Censo'!I1545</f>
        <v/>
      </c>
      <c r="G1545" s="14">
        <f>'Empleo Censo'!J1545+'Empleo Censo'!K1545</f>
        <v/>
      </c>
      <c r="H1545" s="14">
        <f>'Empleo Censo'!L1545</f>
        <v/>
      </c>
      <c r="I1545" s="14">
        <f>'Empleo Censo'!M1545</f>
        <v/>
      </c>
      <c r="J1545" s="14">
        <f>SUM('Empleo Censo'!N1545:AA1545)</f>
        <v/>
      </c>
      <c r="K1545" s="14">
        <f>SUM(C1545:J1545)</f>
        <v/>
      </c>
      <c r="L1545" s="15">
        <f>SUMPRODUCT(C1545:J1545,Factores!$B$3:$I$3)</f>
        <v/>
      </c>
      <c r="M1545" s="16">
        <f>'Empleo Censo'!E1545</f>
        <v/>
      </c>
      <c r="N1545" s="17">
        <f>IF(M1545&gt;0,L1545,Factores!$B$7)</f>
        <v/>
      </c>
      <c r="O1545">
        <f>IF(M1545&gt;0,"OK","sin PEA -&gt; peor")</f>
        <v/>
      </c>
    </row>
    <row r="1546">
      <c r="A1546" t="inlineStr">
        <is>
          <t>021307</t>
        </is>
      </c>
      <c r="B1546" t="inlineStr">
        <is>
          <t>LUCMA</t>
        </is>
      </c>
      <c r="C1546" s="14">
        <f>'Empleo Censo'!G1546-'Empleo Censo'!F1546</f>
        <v/>
      </c>
      <c r="D1546" s="14">
        <f>'Empleo Censo'!F1546</f>
        <v/>
      </c>
      <c r="E1546" s="14">
        <f>'Empleo Censo'!H1546</f>
        <v/>
      </c>
      <c r="F1546" s="14">
        <f>'Empleo Censo'!I1546</f>
        <v/>
      </c>
      <c r="G1546" s="14">
        <f>'Empleo Censo'!J1546+'Empleo Censo'!K1546</f>
        <v/>
      </c>
      <c r="H1546" s="14">
        <f>'Empleo Censo'!L1546</f>
        <v/>
      </c>
      <c r="I1546" s="14">
        <f>'Empleo Censo'!M1546</f>
        <v/>
      </c>
      <c r="J1546" s="14">
        <f>SUM('Empleo Censo'!N1546:AA1546)</f>
        <v/>
      </c>
      <c r="K1546" s="14">
        <f>SUM(C1546:J1546)</f>
        <v/>
      </c>
      <c r="L1546" s="15">
        <f>SUMPRODUCT(C1546:J1546,Factores!$B$3:$I$3)</f>
        <v/>
      </c>
      <c r="M1546" s="16">
        <f>'Empleo Censo'!E1546</f>
        <v/>
      </c>
      <c r="N1546" s="17">
        <f>IF(M1546&gt;0,L1546,Factores!$B$7)</f>
        <v/>
      </c>
      <c r="O1546">
        <f>IF(M1546&gt;0,"OK","sin PEA -&gt; peor")</f>
        <v/>
      </c>
    </row>
    <row r="1547">
      <c r="A1547" t="inlineStr">
        <is>
          <t>030208</t>
        </is>
      </c>
      <c r="B1547" t="inlineStr">
        <is>
          <t>PACOBAMBA</t>
        </is>
      </c>
      <c r="C1547" s="14">
        <f>'Empleo Censo'!G1547-'Empleo Censo'!F1547</f>
        <v/>
      </c>
      <c r="D1547" s="14">
        <f>'Empleo Censo'!F1547</f>
        <v/>
      </c>
      <c r="E1547" s="14">
        <f>'Empleo Censo'!H1547</f>
        <v/>
      </c>
      <c r="F1547" s="14">
        <f>'Empleo Censo'!I1547</f>
        <v/>
      </c>
      <c r="G1547" s="14">
        <f>'Empleo Censo'!J1547+'Empleo Censo'!K1547</f>
        <v/>
      </c>
      <c r="H1547" s="14">
        <f>'Empleo Censo'!L1547</f>
        <v/>
      </c>
      <c r="I1547" s="14">
        <f>'Empleo Censo'!M1547</f>
        <v/>
      </c>
      <c r="J1547" s="14">
        <f>SUM('Empleo Censo'!N1547:AA1547)</f>
        <v/>
      </c>
      <c r="K1547" s="14">
        <f>SUM(C1547:J1547)</f>
        <v/>
      </c>
      <c r="L1547" s="15">
        <f>SUMPRODUCT(C1547:J1547,Factores!$B$3:$I$3)</f>
        <v/>
      </c>
      <c r="M1547" s="16">
        <f>'Empleo Censo'!E1547</f>
        <v/>
      </c>
      <c r="N1547" s="17">
        <f>IF(M1547&gt;0,L1547,Factores!$B$7)</f>
        <v/>
      </c>
      <c r="O1547">
        <f>IF(M1547&gt;0,"OK","sin PEA -&gt; peor")</f>
        <v/>
      </c>
    </row>
    <row r="1548">
      <c r="A1548" t="inlineStr">
        <is>
          <t>061108</t>
        </is>
      </c>
      <c r="B1548" t="inlineStr"/>
      <c r="C1548" s="14">
        <f>'Empleo Censo'!G1548-'Empleo Censo'!F1548</f>
        <v/>
      </c>
      <c r="D1548" s="14">
        <f>'Empleo Censo'!F1548</f>
        <v/>
      </c>
      <c r="E1548" s="14">
        <f>'Empleo Censo'!H1548</f>
        <v/>
      </c>
      <c r="F1548" s="14">
        <f>'Empleo Censo'!I1548</f>
        <v/>
      </c>
      <c r="G1548" s="14">
        <f>'Empleo Censo'!J1548+'Empleo Censo'!K1548</f>
        <v/>
      </c>
      <c r="H1548" s="14">
        <f>'Empleo Censo'!L1548</f>
        <v/>
      </c>
      <c r="I1548" s="14">
        <f>'Empleo Censo'!M1548</f>
        <v/>
      </c>
      <c r="J1548" s="14">
        <f>SUM('Empleo Censo'!N1548:AA1548)</f>
        <v/>
      </c>
      <c r="K1548" s="14">
        <f>SUM(C1548:J1548)</f>
        <v/>
      </c>
      <c r="L1548" s="15">
        <f>SUMPRODUCT(C1548:J1548,Factores!$B$3:$I$3)</f>
        <v/>
      </c>
      <c r="M1548" s="16">
        <f>'Empleo Censo'!E1548</f>
        <v/>
      </c>
      <c r="N1548" s="17">
        <f>IF(M1548&gt;0,L1548,Factores!$B$7)</f>
        <v/>
      </c>
      <c r="O1548">
        <f>IF(M1548&gt;0,"OK","sin PEA -&gt; peor")</f>
        <v/>
      </c>
    </row>
    <row r="1549">
      <c r="A1549" t="inlineStr">
        <is>
          <t>060605</t>
        </is>
      </c>
      <c r="B1549" t="inlineStr">
        <is>
          <t>LA RAMADA</t>
        </is>
      </c>
      <c r="C1549" s="14">
        <f>'Empleo Censo'!G1549-'Empleo Censo'!F1549</f>
        <v/>
      </c>
      <c r="D1549" s="14">
        <f>'Empleo Censo'!F1549</f>
        <v/>
      </c>
      <c r="E1549" s="14">
        <f>'Empleo Censo'!H1549</f>
        <v/>
      </c>
      <c r="F1549" s="14">
        <f>'Empleo Censo'!I1549</f>
        <v/>
      </c>
      <c r="G1549" s="14">
        <f>'Empleo Censo'!J1549+'Empleo Censo'!K1549</f>
        <v/>
      </c>
      <c r="H1549" s="14">
        <f>'Empleo Censo'!L1549</f>
        <v/>
      </c>
      <c r="I1549" s="14">
        <f>'Empleo Censo'!M1549</f>
        <v/>
      </c>
      <c r="J1549" s="14">
        <f>SUM('Empleo Censo'!N1549:AA1549)</f>
        <v/>
      </c>
      <c r="K1549" s="14">
        <f>SUM(C1549:J1549)</f>
        <v/>
      </c>
      <c r="L1549" s="15">
        <f>SUMPRODUCT(C1549:J1549,Factores!$B$3:$I$3)</f>
        <v/>
      </c>
      <c r="M1549" s="16">
        <f>'Empleo Censo'!E1549</f>
        <v/>
      </c>
      <c r="N1549" s="17">
        <f>IF(M1549&gt;0,L1549,Factores!$B$7)</f>
        <v/>
      </c>
      <c r="O1549">
        <f>IF(M1549&gt;0,"OK","sin PEA -&gt; peor")</f>
        <v/>
      </c>
    </row>
    <row r="1550">
      <c r="A1550" t="inlineStr">
        <is>
          <t>021703</t>
        </is>
      </c>
      <c r="B1550" t="inlineStr">
        <is>
          <t>COTAPARACO</t>
        </is>
      </c>
      <c r="C1550" s="14">
        <f>'Empleo Censo'!G1550-'Empleo Censo'!F1550</f>
        <v/>
      </c>
      <c r="D1550" s="14">
        <f>'Empleo Censo'!F1550</f>
        <v/>
      </c>
      <c r="E1550" s="14">
        <f>'Empleo Censo'!H1550</f>
        <v/>
      </c>
      <c r="F1550" s="14">
        <f>'Empleo Censo'!I1550</f>
        <v/>
      </c>
      <c r="G1550" s="14">
        <f>'Empleo Censo'!J1550+'Empleo Censo'!K1550</f>
        <v/>
      </c>
      <c r="H1550" s="14">
        <f>'Empleo Censo'!L1550</f>
        <v/>
      </c>
      <c r="I1550" s="14">
        <f>'Empleo Censo'!M1550</f>
        <v/>
      </c>
      <c r="J1550" s="14">
        <f>SUM('Empleo Censo'!N1550:AA1550)</f>
        <v/>
      </c>
      <c r="K1550" s="14">
        <f>SUM(C1550:J1550)</f>
        <v/>
      </c>
      <c r="L1550" s="15">
        <f>SUMPRODUCT(C1550:J1550,Factores!$B$3:$I$3)</f>
        <v/>
      </c>
      <c r="M1550" s="16">
        <f>'Empleo Censo'!E1550</f>
        <v/>
      </c>
      <c r="N1550" s="17">
        <f>IF(M1550&gt;0,L1550,Factores!$B$7)</f>
        <v/>
      </c>
      <c r="O1550">
        <f>IF(M1550&gt;0,"OK","sin PEA -&gt; peor")</f>
        <v/>
      </c>
    </row>
    <row r="1551">
      <c r="A1551" t="inlineStr">
        <is>
          <t>080102</t>
        </is>
      </c>
      <c r="B1551" t="inlineStr">
        <is>
          <t>CCORCA</t>
        </is>
      </c>
      <c r="C1551" s="14">
        <f>'Empleo Censo'!G1551-'Empleo Censo'!F1551</f>
        <v/>
      </c>
      <c r="D1551" s="14">
        <f>'Empleo Censo'!F1551</f>
        <v/>
      </c>
      <c r="E1551" s="14">
        <f>'Empleo Censo'!H1551</f>
        <v/>
      </c>
      <c r="F1551" s="14">
        <f>'Empleo Censo'!I1551</f>
        <v/>
      </c>
      <c r="G1551" s="14">
        <f>'Empleo Censo'!J1551+'Empleo Censo'!K1551</f>
        <v/>
      </c>
      <c r="H1551" s="14">
        <f>'Empleo Censo'!L1551</f>
        <v/>
      </c>
      <c r="I1551" s="14">
        <f>'Empleo Censo'!M1551</f>
        <v/>
      </c>
      <c r="J1551" s="14">
        <f>SUM('Empleo Censo'!N1551:AA1551)</f>
        <v/>
      </c>
      <c r="K1551" s="14">
        <f>SUM(C1551:J1551)</f>
        <v/>
      </c>
      <c r="L1551" s="15">
        <f>SUMPRODUCT(C1551:J1551,Factores!$B$3:$I$3)</f>
        <v/>
      </c>
      <c r="M1551" s="16">
        <f>'Empleo Censo'!E1551</f>
        <v/>
      </c>
      <c r="N1551" s="17">
        <f>IF(M1551&gt;0,L1551,Factores!$B$7)</f>
        <v/>
      </c>
      <c r="O1551">
        <f>IF(M1551&gt;0,"OK","sin PEA -&gt; peor")</f>
        <v/>
      </c>
    </row>
    <row r="1552">
      <c r="A1552" t="inlineStr">
        <is>
          <t>010604</t>
        </is>
      </c>
      <c r="B1552" t="inlineStr">
        <is>
          <t>HUAMBO</t>
        </is>
      </c>
      <c r="C1552" s="14">
        <f>'Empleo Censo'!G1552-'Empleo Censo'!F1552</f>
        <v/>
      </c>
      <c r="D1552" s="14">
        <f>'Empleo Censo'!F1552</f>
        <v/>
      </c>
      <c r="E1552" s="14">
        <f>'Empleo Censo'!H1552</f>
        <v/>
      </c>
      <c r="F1552" s="14">
        <f>'Empleo Censo'!I1552</f>
        <v/>
      </c>
      <c r="G1552" s="14">
        <f>'Empleo Censo'!J1552+'Empleo Censo'!K1552</f>
        <v/>
      </c>
      <c r="H1552" s="14">
        <f>'Empleo Censo'!L1552</f>
        <v/>
      </c>
      <c r="I1552" s="14">
        <f>'Empleo Censo'!M1552</f>
        <v/>
      </c>
      <c r="J1552" s="14">
        <f>SUM('Empleo Censo'!N1552:AA1552)</f>
        <v/>
      </c>
      <c r="K1552" s="14">
        <f>SUM(C1552:J1552)</f>
        <v/>
      </c>
      <c r="L1552" s="15">
        <f>SUMPRODUCT(C1552:J1552,Factores!$B$3:$I$3)</f>
        <v/>
      </c>
      <c r="M1552" s="16">
        <f>'Empleo Censo'!E1552</f>
        <v/>
      </c>
      <c r="N1552" s="17">
        <f>IF(M1552&gt;0,L1552,Factores!$B$7)</f>
        <v/>
      </c>
      <c r="O1552">
        <f>IF(M1552&gt;0,"OK","sin PEA -&gt; peor")</f>
        <v/>
      </c>
    </row>
    <row r="1553">
      <c r="A1553" t="inlineStr">
        <is>
          <t>010601</t>
        </is>
      </c>
      <c r="B1553" t="inlineStr">
        <is>
          <t>SAN NICOLAS</t>
        </is>
      </c>
      <c r="C1553" s="14">
        <f>'Empleo Censo'!G1553-'Empleo Censo'!F1553</f>
        <v/>
      </c>
      <c r="D1553" s="14">
        <f>'Empleo Censo'!F1553</f>
        <v/>
      </c>
      <c r="E1553" s="14">
        <f>'Empleo Censo'!H1553</f>
        <v/>
      </c>
      <c r="F1553" s="14">
        <f>'Empleo Censo'!I1553</f>
        <v/>
      </c>
      <c r="G1553" s="14">
        <f>'Empleo Censo'!J1553+'Empleo Censo'!K1553</f>
        <v/>
      </c>
      <c r="H1553" s="14">
        <f>'Empleo Censo'!L1553</f>
        <v/>
      </c>
      <c r="I1553" s="14">
        <f>'Empleo Censo'!M1553</f>
        <v/>
      </c>
      <c r="J1553" s="14">
        <f>SUM('Empleo Censo'!N1553:AA1553)</f>
        <v/>
      </c>
      <c r="K1553" s="14">
        <f>SUM(C1553:J1553)</f>
        <v/>
      </c>
      <c r="L1553" s="15">
        <f>SUMPRODUCT(C1553:J1553,Factores!$B$3:$I$3)</f>
        <v/>
      </c>
      <c r="M1553" s="16">
        <f>'Empleo Censo'!E1553</f>
        <v/>
      </c>
      <c r="N1553" s="17">
        <f>IF(M1553&gt;0,L1553,Factores!$B$7)</f>
        <v/>
      </c>
      <c r="O1553">
        <f>IF(M1553&gt;0,"OK","sin PEA -&gt; peor")</f>
        <v/>
      </c>
    </row>
    <row r="1554">
      <c r="A1554" t="inlineStr">
        <is>
          <t>020904</t>
        </is>
      </c>
      <c r="B1554" t="inlineStr">
        <is>
          <t>CUSCA</t>
        </is>
      </c>
      <c r="C1554" s="14">
        <f>'Empleo Censo'!G1554-'Empleo Censo'!F1554</f>
        <v/>
      </c>
      <c r="D1554" s="14">
        <f>'Empleo Censo'!F1554</f>
        <v/>
      </c>
      <c r="E1554" s="14">
        <f>'Empleo Censo'!H1554</f>
        <v/>
      </c>
      <c r="F1554" s="14">
        <f>'Empleo Censo'!I1554</f>
        <v/>
      </c>
      <c r="G1554" s="14">
        <f>'Empleo Censo'!J1554+'Empleo Censo'!K1554</f>
        <v/>
      </c>
      <c r="H1554" s="14">
        <f>'Empleo Censo'!L1554</f>
        <v/>
      </c>
      <c r="I1554" s="14">
        <f>'Empleo Censo'!M1554</f>
        <v/>
      </c>
      <c r="J1554" s="14">
        <f>SUM('Empleo Censo'!N1554:AA1554)</f>
        <v/>
      </c>
      <c r="K1554" s="14">
        <f>SUM(C1554:J1554)</f>
        <v/>
      </c>
      <c r="L1554" s="15">
        <f>SUMPRODUCT(C1554:J1554,Factores!$B$3:$I$3)</f>
        <v/>
      </c>
      <c r="M1554" s="16">
        <f>'Empleo Censo'!E1554</f>
        <v/>
      </c>
      <c r="N1554" s="17">
        <f>IF(M1554&gt;0,L1554,Factores!$B$7)</f>
        <v/>
      </c>
      <c r="O1554">
        <f>IF(M1554&gt;0,"OK","sin PEA -&gt; peor")</f>
        <v/>
      </c>
    </row>
    <row r="1555">
      <c r="A1555" t="inlineStr">
        <is>
          <t>040207</t>
        </is>
      </c>
      <c r="B1555" t="inlineStr">
        <is>
          <t>QUILCA</t>
        </is>
      </c>
      <c r="C1555" s="14">
        <f>'Empleo Censo'!G1555-'Empleo Censo'!F1555</f>
        <v/>
      </c>
      <c r="D1555" s="14">
        <f>'Empleo Censo'!F1555</f>
        <v/>
      </c>
      <c r="E1555" s="14">
        <f>'Empleo Censo'!H1555</f>
        <v/>
      </c>
      <c r="F1555" s="14">
        <f>'Empleo Censo'!I1555</f>
        <v/>
      </c>
      <c r="G1555" s="14">
        <f>'Empleo Censo'!J1555+'Empleo Censo'!K1555</f>
        <v/>
      </c>
      <c r="H1555" s="14">
        <f>'Empleo Censo'!L1555</f>
        <v/>
      </c>
      <c r="I1555" s="14">
        <f>'Empleo Censo'!M1555</f>
        <v/>
      </c>
      <c r="J1555" s="14">
        <f>SUM('Empleo Censo'!N1555:AA1555)</f>
        <v/>
      </c>
      <c r="K1555" s="14">
        <f>SUM(C1555:J1555)</f>
        <v/>
      </c>
      <c r="L1555" s="15">
        <f>SUMPRODUCT(C1555:J1555,Factores!$B$3:$I$3)</f>
        <v/>
      </c>
      <c r="M1555" s="16">
        <f>'Empleo Censo'!E1555</f>
        <v/>
      </c>
      <c r="N1555" s="17">
        <f>IF(M1555&gt;0,L1555,Factores!$B$7)</f>
        <v/>
      </c>
      <c r="O1555">
        <f>IF(M1555&gt;0,"OK","sin PEA -&gt; peor")</f>
        <v/>
      </c>
    </row>
    <row r="1556">
      <c r="A1556" t="inlineStr">
        <is>
          <t>090606</t>
        </is>
      </c>
      <c r="B1556" t="inlineStr">
        <is>
          <t>OCOYO</t>
        </is>
      </c>
      <c r="C1556" s="14">
        <f>'Empleo Censo'!G1556-'Empleo Censo'!F1556</f>
        <v/>
      </c>
      <c r="D1556" s="14">
        <f>'Empleo Censo'!F1556</f>
        <v/>
      </c>
      <c r="E1556" s="14">
        <f>'Empleo Censo'!H1556</f>
        <v/>
      </c>
      <c r="F1556" s="14">
        <f>'Empleo Censo'!I1556</f>
        <v/>
      </c>
      <c r="G1556" s="14">
        <f>'Empleo Censo'!J1556+'Empleo Censo'!K1556</f>
        <v/>
      </c>
      <c r="H1556" s="14">
        <f>'Empleo Censo'!L1556</f>
        <v/>
      </c>
      <c r="I1556" s="14">
        <f>'Empleo Censo'!M1556</f>
        <v/>
      </c>
      <c r="J1556" s="14">
        <f>SUM('Empleo Censo'!N1556:AA1556)</f>
        <v/>
      </c>
      <c r="K1556" s="14">
        <f>SUM(C1556:J1556)</f>
        <v/>
      </c>
      <c r="L1556" s="15">
        <f>SUMPRODUCT(C1556:J1556,Factores!$B$3:$I$3)</f>
        <v/>
      </c>
      <c r="M1556" s="16">
        <f>'Empleo Censo'!E1556</f>
        <v/>
      </c>
      <c r="N1556" s="17">
        <f>IF(M1556&gt;0,L1556,Factores!$B$7)</f>
        <v/>
      </c>
      <c r="O1556">
        <f>IF(M1556&gt;0,"OK","sin PEA -&gt; peor")</f>
        <v/>
      </c>
    </row>
    <row r="1557">
      <c r="A1557" t="inlineStr">
        <is>
          <t>061113</t>
        </is>
      </c>
      <c r="B1557" t="inlineStr">
        <is>
          <t>UNION AGUA BLANCA</t>
        </is>
      </c>
      <c r="C1557" s="14">
        <f>'Empleo Censo'!G1557-'Empleo Censo'!F1557</f>
        <v/>
      </c>
      <c r="D1557" s="14">
        <f>'Empleo Censo'!F1557</f>
        <v/>
      </c>
      <c r="E1557" s="14">
        <f>'Empleo Censo'!H1557</f>
        <v/>
      </c>
      <c r="F1557" s="14">
        <f>'Empleo Censo'!I1557</f>
        <v/>
      </c>
      <c r="G1557" s="14">
        <f>'Empleo Censo'!J1557+'Empleo Censo'!K1557</f>
        <v/>
      </c>
      <c r="H1557" s="14">
        <f>'Empleo Censo'!L1557</f>
        <v/>
      </c>
      <c r="I1557" s="14">
        <f>'Empleo Censo'!M1557</f>
        <v/>
      </c>
      <c r="J1557" s="14">
        <f>SUM('Empleo Censo'!N1557:AA1557)</f>
        <v/>
      </c>
      <c r="K1557" s="14">
        <f>SUM(C1557:J1557)</f>
        <v/>
      </c>
      <c r="L1557" s="15">
        <f>SUMPRODUCT(C1557:J1557,Factores!$B$3:$I$3)</f>
        <v/>
      </c>
      <c r="M1557" s="16">
        <f>'Empleo Censo'!E1557</f>
        <v/>
      </c>
      <c r="N1557" s="17">
        <f>IF(M1557&gt;0,L1557,Factores!$B$7)</f>
        <v/>
      </c>
      <c r="O1557">
        <f>IF(M1557&gt;0,"OK","sin PEA -&gt; peor")</f>
        <v/>
      </c>
    </row>
    <row r="1558">
      <c r="A1558" t="inlineStr">
        <is>
          <t>040602</t>
        </is>
      </c>
      <c r="B1558" t="inlineStr">
        <is>
          <t>ANDARAY</t>
        </is>
      </c>
      <c r="C1558" s="14">
        <f>'Empleo Censo'!G1558-'Empleo Censo'!F1558</f>
        <v/>
      </c>
      <c r="D1558" s="14">
        <f>'Empleo Censo'!F1558</f>
        <v/>
      </c>
      <c r="E1558" s="14">
        <f>'Empleo Censo'!H1558</f>
        <v/>
      </c>
      <c r="F1558" s="14">
        <f>'Empleo Censo'!I1558</f>
        <v/>
      </c>
      <c r="G1558" s="14">
        <f>'Empleo Censo'!J1558+'Empleo Censo'!K1558</f>
        <v/>
      </c>
      <c r="H1558" s="14">
        <f>'Empleo Censo'!L1558</f>
        <v/>
      </c>
      <c r="I1558" s="14">
        <f>'Empleo Censo'!M1558</f>
        <v/>
      </c>
      <c r="J1558" s="14">
        <f>SUM('Empleo Censo'!N1558:AA1558)</f>
        <v/>
      </c>
      <c r="K1558" s="14">
        <f>SUM(C1558:J1558)</f>
        <v/>
      </c>
      <c r="L1558" s="15">
        <f>SUMPRODUCT(C1558:J1558,Factores!$B$3:$I$3)</f>
        <v/>
      </c>
      <c r="M1558" s="16">
        <f>'Empleo Censo'!E1558</f>
        <v/>
      </c>
      <c r="N1558" s="17">
        <f>IF(M1558&gt;0,L1558,Factores!$B$7)</f>
        <v/>
      </c>
      <c r="O1558">
        <f>IF(M1558&gt;0,"OK","sin PEA -&gt; peor")</f>
        <v/>
      </c>
    </row>
    <row r="1559">
      <c r="A1559" t="inlineStr">
        <is>
          <t>040603</t>
        </is>
      </c>
      <c r="B1559" t="inlineStr">
        <is>
          <t>CAYARANI</t>
        </is>
      </c>
      <c r="C1559" s="14">
        <f>'Empleo Censo'!G1559-'Empleo Censo'!F1559</f>
        <v/>
      </c>
      <c r="D1559" s="14">
        <f>'Empleo Censo'!F1559</f>
        <v/>
      </c>
      <c r="E1559" s="14">
        <f>'Empleo Censo'!H1559</f>
        <v/>
      </c>
      <c r="F1559" s="14">
        <f>'Empleo Censo'!I1559</f>
        <v/>
      </c>
      <c r="G1559" s="14">
        <f>'Empleo Censo'!J1559+'Empleo Censo'!K1559</f>
        <v/>
      </c>
      <c r="H1559" s="14">
        <f>'Empleo Censo'!L1559</f>
        <v/>
      </c>
      <c r="I1559" s="14">
        <f>'Empleo Censo'!M1559</f>
        <v/>
      </c>
      <c r="J1559" s="14">
        <f>SUM('Empleo Censo'!N1559:AA1559)</f>
        <v/>
      </c>
      <c r="K1559" s="14">
        <f>SUM(C1559:J1559)</f>
        <v/>
      </c>
      <c r="L1559" s="15">
        <f>SUMPRODUCT(C1559:J1559,Factores!$B$3:$I$3)</f>
        <v/>
      </c>
      <c r="M1559" s="16">
        <f>'Empleo Censo'!E1559</f>
        <v/>
      </c>
      <c r="N1559" s="17">
        <f>IF(M1559&gt;0,L1559,Factores!$B$7)</f>
        <v/>
      </c>
      <c r="O1559">
        <f>IF(M1559&gt;0,"OK","sin PEA -&gt; peor")</f>
        <v/>
      </c>
    </row>
    <row r="1560">
      <c r="A1560" t="inlineStr">
        <is>
          <t>040517</t>
        </is>
      </c>
      <c r="B1560" t="inlineStr">
        <is>
          <t>TISCO</t>
        </is>
      </c>
      <c r="C1560" s="14">
        <f>'Empleo Censo'!G1560-'Empleo Censo'!F1560</f>
        <v/>
      </c>
      <c r="D1560" s="14">
        <f>'Empleo Censo'!F1560</f>
        <v/>
      </c>
      <c r="E1560" s="14">
        <f>'Empleo Censo'!H1560</f>
        <v/>
      </c>
      <c r="F1560" s="14">
        <f>'Empleo Censo'!I1560</f>
        <v/>
      </c>
      <c r="G1560" s="14">
        <f>'Empleo Censo'!J1560+'Empleo Censo'!K1560</f>
        <v/>
      </c>
      <c r="H1560" s="14">
        <f>'Empleo Censo'!L1560</f>
        <v/>
      </c>
      <c r="I1560" s="14">
        <f>'Empleo Censo'!M1560</f>
        <v/>
      </c>
      <c r="J1560" s="14">
        <f>SUM('Empleo Censo'!N1560:AA1560)</f>
        <v/>
      </c>
      <c r="K1560" s="14">
        <f>SUM(C1560:J1560)</f>
        <v/>
      </c>
      <c r="L1560" s="15">
        <f>SUMPRODUCT(C1560:J1560,Factores!$B$3:$I$3)</f>
        <v/>
      </c>
      <c r="M1560" s="16">
        <f>'Empleo Censo'!E1560</f>
        <v/>
      </c>
      <c r="N1560" s="17">
        <f>IF(M1560&gt;0,L1560,Factores!$B$7)</f>
        <v/>
      </c>
      <c r="O1560">
        <f>IF(M1560&gt;0,"OK","sin PEA -&gt; peor")</f>
        <v/>
      </c>
    </row>
    <row r="1561">
      <c r="A1561" t="inlineStr">
        <is>
          <t>030203</t>
        </is>
      </c>
      <c r="B1561" t="inlineStr">
        <is>
          <t>CHIARA</t>
        </is>
      </c>
      <c r="C1561" s="14">
        <f>'Empleo Censo'!G1561-'Empleo Censo'!F1561</f>
        <v/>
      </c>
      <c r="D1561" s="14">
        <f>'Empleo Censo'!F1561</f>
        <v/>
      </c>
      <c r="E1561" s="14">
        <f>'Empleo Censo'!H1561</f>
        <v/>
      </c>
      <c r="F1561" s="14">
        <f>'Empleo Censo'!I1561</f>
        <v/>
      </c>
      <c r="G1561" s="14">
        <f>'Empleo Censo'!J1561+'Empleo Censo'!K1561</f>
        <v/>
      </c>
      <c r="H1561" s="14">
        <f>'Empleo Censo'!L1561</f>
        <v/>
      </c>
      <c r="I1561" s="14">
        <f>'Empleo Censo'!M1561</f>
        <v/>
      </c>
      <c r="J1561" s="14">
        <f>SUM('Empleo Censo'!N1561:AA1561)</f>
        <v/>
      </c>
      <c r="K1561" s="14">
        <f>SUM(C1561:J1561)</f>
        <v/>
      </c>
      <c r="L1561" s="15">
        <f>SUMPRODUCT(C1561:J1561,Factores!$B$3:$I$3)</f>
        <v/>
      </c>
      <c r="M1561" s="16">
        <f>'Empleo Censo'!E1561</f>
        <v/>
      </c>
      <c r="N1561" s="17">
        <f>IF(M1561&gt;0,L1561,Factores!$B$7)</f>
        <v/>
      </c>
      <c r="O1561">
        <f>IF(M1561&gt;0,"OK","sin PEA -&gt; peor")</f>
        <v/>
      </c>
    </row>
    <row r="1562">
      <c r="A1562" t="inlineStr">
        <is>
          <t>051001</t>
        </is>
      </c>
      <c r="B1562" t="inlineStr">
        <is>
          <t>HUANCAPI</t>
        </is>
      </c>
      <c r="C1562" s="14">
        <f>'Empleo Censo'!G1562-'Empleo Censo'!F1562</f>
        <v/>
      </c>
      <c r="D1562" s="14">
        <f>'Empleo Censo'!F1562</f>
        <v/>
      </c>
      <c r="E1562" s="14">
        <f>'Empleo Censo'!H1562</f>
        <v/>
      </c>
      <c r="F1562" s="14">
        <f>'Empleo Censo'!I1562</f>
        <v/>
      </c>
      <c r="G1562" s="14">
        <f>'Empleo Censo'!J1562+'Empleo Censo'!K1562</f>
        <v/>
      </c>
      <c r="H1562" s="14">
        <f>'Empleo Censo'!L1562</f>
        <v/>
      </c>
      <c r="I1562" s="14">
        <f>'Empleo Censo'!M1562</f>
        <v/>
      </c>
      <c r="J1562" s="14">
        <f>SUM('Empleo Censo'!N1562:AA1562)</f>
        <v/>
      </c>
      <c r="K1562" s="14">
        <f>SUM(C1562:J1562)</f>
        <v/>
      </c>
      <c r="L1562" s="15">
        <f>SUMPRODUCT(C1562:J1562,Factores!$B$3:$I$3)</f>
        <v/>
      </c>
      <c r="M1562" s="16">
        <f>'Empleo Censo'!E1562</f>
        <v/>
      </c>
      <c r="N1562" s="17">
        <f>IF(M1562&gt;0,L1562,Factores!$B$7)</f>
        <v/>
      </c>
      <c r="O1562">
        <f>IF(M1562&gt;0,"OK","sin PEA -&gt; peor")</f>
        <v/>
      </c>
    </row>
    <row r="1563">
      <c r="A1563" t="inlineStr">
        <is>
          <t>010311</t>
        </is>
      </c>
      <c r="B1563" t="inlineStr">
        <is>
          <t>VALERA</t>
        </is>
      </c>
      <c r="C1563" s="14">
        <f>'Empleo Censo'!G1563-'Empleo Censo'!F1563</f>
        <v/>
      </c>
      <c r="D1563" s="14">
        <f>'Empleo Censo'!F1563</f>
        <v/>
      </c>
      <c r="E1563" s="14">
        <f>'Empleo Censo'!H1563</f>
        <v/>
      </c>
      <c r="F1563" s="14">
        <f>'Empleo Censo'!I1563</f>
        <v/>
      </c>
      <c r="G1563" s="14">
        <f>'Empleo Censo'!J1563+'Empleo Censo'!K1563</f>
        <v/>
      </c>
      <c r="H1563" s="14">
        <f>'Empleo Censo'!L1563</f>
        <v/>
      </c>
      <c r="I1563" s="14">
        <f>'Empleo Censo'!M1563</f>
        <v/>
      </c>
      <c r="J1563" s="14">
        <f>SUM('Empleo Censo'!N1563:AA1563)</f>
        <v/>
      </c>
      <c r="K1563" s="14">
        <f>SUM(C1563:J1563)</f>
        <v/>
      </c>
      <c r="L1563" s="15">
        <f>SUMPRODUCT(C1563:J1563,Factores!$B$3:$I$3)</f>
        <v/>
      </c>
      <c r="M1563" s="16">
        <f>'Empleo Censo'!E1563</f>
        <v/>
      </c>
      <c r="N1563" s="17">
        <f>IF(M1563&gt;0,L1563,Factores!$B$7)</f>
        <v/>
      </c>
      <c r="O1563">
        <f>IF(M1563&gt;0,"OK","sin PEA -&gt; peor")</f>
        <v/>
      </c>
    </row>
    <row r="1564">
      <c r="A1564" t="inlineStr">
        <is>
          <t>061302</t>
        </is>
      </c>
      <c r="B1564" t="inlineStr">
        <is>
          <t>ANDABAMBA</t>
        </is>
      </c>
      <c r="C1564" s="14">
        <f>'Empleo Censo'!G1564-'Empleo Censo'!F1564</f>
        <v/>
      </c>
      <c r="D1564" s="14">
        <f>'Empleo Censo'!F1564</f>
        <v/>
      </c>
      <c r="E1564" s="14">
        <f>'Empleo Censo'!H1564</f>
        <v/>
      </c>
      <c r="F1564" s="14">
        <f>'Empleo Censo'!I1564</f>
        <v/>
      </c>
      <c r="G1564" s="14">
        <f>'Empleo Censo'!J1564+'Empleo Censo'!K1564</f>
        <v/>
      </c>
      <c r="H1564" s="14">
        <f>'Empleo Censo'!L1564</f>
        <v/>
      </c>
      <c r="I1564" s="14">
        <f>'Empleo Censo'!M1564</f>
        <v/>
      </c>
      <c r="J1564" s="14">
        <f>SUM('Empleo Censo'!N1564:AA1564)</f>
        <v/>
      </c>
      <c r="K1564" s="14">
        <f>SUM(C1564:J1564)</f>
        <v/>
      </c>
      <c r="L1564" s="15">
        <f>SUMPRODUCT(C1564:J1564,Factores!$B$3:$I$3)</f>
        <v/>
      </c>
      <c r="M1564" s="16">
        <f>'Empleo Censo'!E1564</f>
        <v/>
      </c>
      <c r="N1564" s="17">
        <f>IF(M1564&gt;0,L1564,Factores!$B$7)</f>
        <v/>
      </c>
      <c r="O1564">
        <f>IF(M1564&gt;0,"OK","sin PEA -&gt; peor")</f>
        <v/>
      </c>
    </row>
    <row r="1565">
      <c r="A1565" t="inlineStr">
        <is>
          <t>030612</t>
        </is>
      </c>
      <c r="B1565" t="inlineStr">
        <is>
          <t>AHUAYRO</t>
        </is>
      </c>
      <c r="C1565" s="14">
        <f>'Empleo Censo'!G1565-'Empleo Censo'!F1565</f>
        <v/>
      </c>
      <c r="D1565" s="14">
        <f>'Empleo Censo'!F1565</f>
        <v/>
      </c>
      <c r="E1565" s="14">
        <f>'Empleo Censo'!H1565</f>
        <v/>
      </c>
      <c r="F1565" s="14">
        <f>'Empleo Censo'!I1565</f>
        <v/>
      </c>
      <c r="G1565" s="14">
        <f>'Empleo Censo'!J1565+'Empleo Censo'!K1565</f>
        <v/>
      </c>
      <c r="H1565" s="14">
        <f>'Empleo Censo'!L1565</f>
        <v/>
      </c>
      <c r="I1565" s="14">
        <f>'Empleo Censo'!M1565</f>
        <v/>
      </c>
      <c r="J1565" s="14">
        <f>SUM('Empleo Censo'!N1565:AA1565)</f>
        <v/>
      </c>
      <c r="K1565" s="14">
        <f>SUM(C1565:J1565)</f>
        <v/>
      </c>
      <c r="L1565" s="15">
        <f>SUMPRODUCT(C1565:J1565,Factores!$B$3:$I$3)</f>
        <v/>
      </c>
      <c r="M1565" s="16">
        <f>'Empleo Censo'!E1565</f>
        <v/>
      </c>
      <c r="N1565" s="17">
        <f>IF(M1565&gt;0,L1565,Factores!$B$7)</f>
        <v/>
      </c>
      <c r="O1565">
        <f>IF(M1565&gt;0,"OK","sin PEA -&gt; peor")</f>
        <v/>
      </c>
    </row>
    <row r="1566">
      <c r="A1566" t="inlineStr">
        <is>
          <t>021204</t>
        </is>
      </c>
      <c r="B1566" t="inlineStr">
        <is>
          <t>HUAYLAS</t>
        </is>
      </c>
      <c r="C1566" s="14">
        <f>'Empleo Censo'!G1566-'Empleo Censo'!F1566</f>
        <v/>
      </c>
      <c r="D1566" s="14">
        <f>'Empleo Censo'!F1566</f>
        <v/>
      </c>
      <c r="E1566" s="14">
        <f>'Empleo Censo'!H1566</f>
        <v/>
      </c>
      <c r="F1566" s="14">
        <f>'Empleo Censo'!I1566</f>
        <v/>
      </c>
      <c r="G1566" s="14">
        <f>'Empleo Censo'!J1566+'Empleo Censo'!K1566</f>
        <v/>
      </c>
      <c r="H1566" s="14">
        <f>'Empleo Censo'!L1566</f>
        <v/>
      </c>
      <c r="I1566" s="14">
        <f>'Empleo Censo'!M1566</f>
        <v/>
      </c>
      <c r="J1566" s="14">
        <f>SUM('Empleo Censo'!N1566:AA1566)</f>
        <v/>
      </c>
      <c r="K1566" s="14">
        <f>SUM(C1566:J1566)</f>
        <v/>
      </c>
      <c r="L1566" s="15">
        <f>SUMPRODUCT(C1566:J1566,Factores!$B$3:$I$3)</f>
        <v/>
      </c>
      <c r="M1566" s="16">
        <f>'Empleo Censo'!E1566</f>
        <v/>
      </c>
      <c r="N1566" s="17">
        <f>IF(M1566&gt;0,L1566,Factores!$B$7)</f>
        <v/>
      </c>
      <c r="O1566">
        <f>IF(M1566&gt;0,"OK","sin PEA -&gt; peor")</f>
        <v/>
      </c>
    </row>
    <row r="1567">
      <c r="A1567" t="inlineStr">
        <is>
          <t>051005</t>
        </is>
      </c>
      <c r="B1567" t="inlineStr">
        <is>
          <t>CANARIA</t>
        </is>
      </c>
      <c r="C1567" s="14">
        <f>'Empleo Censo'!G1567-'Empleo Censo'!F1567</f>
        <v/>
      </c>
      <c r="D1567" s="14">
        <f>'Empleo Censo'!F1567</f>
        <v/>
      </c>
      <c r="E1567" s="14">
        <f>'Empleo Censo'!H1567</f>
        <v/>
      </c>
      <c r="F1567" s="14">
        <f>'Empleo Censo'!I1567</f>
        <v/>
      </c>
      <c r="G1567" s="14">
        <f>'Empleo Censo'!J1567+'Empleo Censo'!K1567</f>
        <v/>
      </c>
      <c r="H1567" s="14">
        <f>'Empleo Censo'!L1567</f>
        <v/>
      </c>
      <c r="I1567" s="14">
        <f>'Empleo Censo'!M1567</f>
        <v/>
      </c>
      <c r="J1567" s="14">
        <f>SUM('Empleo Censo'!N1567:AA1567)</f>
        <v/>
      </c>
      <c r="K1567" s="14">
        <f>SUM(C1567:J1567)</f>
        <v/>
      </c>
      <c r="L1567" s="15">
        <f>SUMPRODUCT(C1567:J1567,Factores!$B$3:$I$3)</f>
        <v/>
      </c>
      <c r="M1567" s="16">
        <f>'Empleo Censo'!E1567</f>
        <v/>
      </c>
      <c r="N1567" s="17">
        <f>IF(M1567&gt;0,L1567,Factores!$B$7)</f>
        <v/>
      </c>
      <c r="O1567">
        <f>IF(M1567&gt;0,"OK","sin PEA -&gt; peor")</f>
        <v/>
      </c>
    </row>
    <row r="1568">
      <c r="A1568" t="inlineStr">
        <is>
          <t>021015</t>
        </is>
      </c>
      <c r="B1568" t="inlineStr">
        <is>
          <t>SAN PEDRO DE CHANA</t>
        </is>
      </c>
      <c r="C1568" s="14">
        <f>'Empleo Censo'!G1568-'Empleo Censo'!F1568</f>
        <v/>
      </c>
      <c r="D1568" s="14">
        <f>'Empleo Censo'!F1568</f>
        <v/>
      </c>
      <c r="E1568" s="14">
        <f>'Empleo Censo'!H1568</f>
        <v/>
      </c>
      <c r="F1568" s="14">
        <f>'Empleo Censo'!I1568</f>
        <v/>
      </c>
      <c r="G1568" s="14">
        <f>'Empleo Censo'!J1568+'Empleo Censo'!K1568</f>
        <v/>
      </c>
      <c r="H1568" s="14">
        <f>'Empleo Censo'!L1568</f>
        <v/>
      </c>
      <c r="I1568" s="14">
        <f>'Empleo Censo'!M1568</f>
        <v/>
      </c>
      <c r="J1568" s="14">
        <f>SUM('Empleo Censo'!N1568:AA1568)</f>
        <v/>
      </c>
      <c r="K1568" s="14">
        <f>SUM(C1568:J1568)</f>
        <v/>
      </c>
      <c r="L1568" s="15">
        <f>SUMPRODUCT(C1568:J1568,Factores!$B$3:$I$3)</f>
        <v/>
      </c>
      <c r="M1568" s="16">
        <f>'Empleo Censo'!E1568</f>
        <v/>
      </c>
      <c r="N1568" s="17">
        <f>IF(M1568&gt;0,L1568,Factores!$B$7)</f>
        <v/>
      </c>
      <c r="O1568">
        <f>IF(M1568&gt;0,"OK","sin PEA -&gt; peor")</f>
        <v/>
      </c>
    </row>
    <row r="1569">
      <c r="A1569" t="inlineStr">
        <is>
          <t>080501</t>
        </is>
      </c>
      <c r="B1569" t="inlineStr">
        <is>
          <t>YANAOCA</t>
        </is>
      </c>
      <c r="C1569" s="14">
        <f>'Empleo Censo'!G1569-'Empleo Censo'!F1569</f>
        <v/>
      </c>
      <c r="D1569" s="14">
        <f>'Empleo Censo'!F1569</f>
        <v/>
      </c>
      <c r="E1569" s="14">
        <f>'Empleo Censo'!H1569</f>
        <v/>
      </c>
      <c r="F1569" s="14">
        <f>'Empleo Censo'!I1569</f>
        <v/>
      </c>
      <c r="G1569" s="14">
        <f>'Empleo Censo'!J1569+'Empleo Censo'!K1569</f>
        <v/>
      </c>
      <c r="H1569" s="14">
        <f>'Empleo Censo'!L1569</f>
        <v/>
      </c>
      <c r="I1569" s="14">
        <f>'Empleo Censo'!M1569</f>
        <v/>
      </c>
      <c r="J1569" s="14">
        <f>SUM('Empleo Censo'!N1569:AA1569)</f>
        <v/>
      </c>
      <c r="K1569" s="14">
        <f>SUM(C1569:J1569)</f>
        <v/>
      </c>
      <c r="L1569" s="15">
        <f>SUMPRODUCT(C1569:J1569,Factores!$B$3:$I$3)</f>
        <v/>
      </c>
      <c r="M1569" s="16">
        <f>'Empleo Censo'!E1569</f>
        <v/>
      </c>
      <c r="N1569" s="17">
        <f>IF(M1569&gt;0,L1569,Factores!$B$7)</f>
        <v/>
      </c>
      <c r="O1569">
        <f>IF(M1569&gt;0,"OK","sin PEA -&gt; peor")</f>
        <v/>
      </c>
    </row>
    <row r="1570">
      <c r="A1570" t="inlineStr">
        <is>
          <t>010501</t>
        </is>
      </c>
      <c r="B1570" t="inlineStr">
        <is>
          <t>LAMUD</t>
        </is>
      </c>
      <c r="C1570" s="14">
        <f>'Empleo Censo'!G1570-'Empleo Censo'!F1570</f>
        <v/>
      </c>
      <c r="D1570" s="14">
        <f>'Empleo Censo'!F1570</f>
        <v/>
      </c>
      <c r="E1570" s="14">
        <f>'Empleo Censo'!H1570</f>
        <v/>
      </c>
      <c r="F1570" s="14">
        <f>'Empleo Censo'!I1570</f>
        <v/>
      </c>
      <c r="G1570" s="14">
        <f>'Empleo Censo'!J1570+'Empleo Censo'!K1570</f>
        <v/>
      </c>
      <c r="H1570" s="14">
        <f>'Empleo Censo'!L1570</f>
        <v/>
      </c>
      <c r="I1570" s="14">
        <f>'Empleo Censo'!M1570</f>
        <v/>
      </c>
      <c r="J1570" s="14">
        <f>SUM('Empleo Censo'!N1570:AA1570)</f>
        <v/>
      </c>
      <c r="K1570" s="14">
        <f>SUM(C1570:J1570)</f>
        <v/>
      </c>
      <c r="L1570" s="15">
        <f>SUMPRODUCT(C1570:J1570,Factores!$B$3:$I$3)</f>
        <v/>
      </c>
      <c r="M1570" s="16">
        <f>'Empleo Censo'!E1570</f>
        <v/>
      </c>
      <c r="N1570" s="17">
        <f>IF(M1570&gt;0,L1570,Factores!$B$7)</f>
        <v/>
      </c>
      <c r="O1570">
        <f>IF(M1570&gt;0,"OK","sin PEA -&gt; peor")</f>
        <v/>
      </c>
    </row>
    <row r="1571">
      <c r="A1571" t="inlineStr">
        <is>
          <t>040606</t>
        </is>
      </c>
      <c r="B1571" t="inlineStr">
        <is>
          <t>RIO GRANDE</t>
        </is>
      </c>
      <c r="C1571" s="14">
        <f>'Empleo Censo'!G1571-'Empleo Censo'!F1571</f>
        <v/>
      </c>
      <c r="D1571" s="14">
        <f>'Empleo Censo'!F1571</f>
        <v/>
      </c>
      <c r="E1571" s="14">
        <f>'Empleo Censo'!H1571</f>
        <v/>
      </c>
      <c r="F1571" s="14">
        <f>'Empleo Censo'!I1571</f>
        <v/>
      </c>
      <c r="G1571" s="14">
        <f>'Empleo Censo'!J1571+'Empleo Censo'!K1571</f>
        <v/>
      </c>
      <c r="H1571" s="14">
        <f>'Empleo Censo'!L1571</f>
        <v/>
      </c>
      <c r="I1571" s="14">
        <f>'Empleo Censo'!M1571</f>
        <v/>
      </c>
      <c r="J1571" s="14">
        <f>SUM('Empleo Censo'!N1571:AA1571)</f>
        <v/>
      </c>
      <c r="K1571" s="14">
        <f>SUM(C1571:J1571)</f>
        <v/>
      </c>
      <c r="L1571" s="15">
        <f>SUMPRODUCT(C1571:J1571,Factores!$B$3:$I$3)</f>
        <v/>
      </c>
      <c r="M1571" s="16">
        <f>'Empleo Censo'!E1571</f>
        <v/>
      </c>
      <c r="N1571" s="17">
        <f>IF(M1571&gt;0,L1571,Factores!$B$7)</f>
        <v/>
      </c>
      <c r="O1571">
        <f>IF(M1571&gt;0,"OK","sin PEA -&gt; peor")</f>
        <v/>
      </c>
    </row>
    <row r="1572">
      <c r="A1572" t="inlineStr">
        <is>
          <t>020110</t>
        </is>
      </c>
      <c r="B1572" t="inlineStr">
        <is>
          <t>PARIACOTO</t>
        </is>
      </c>
      <c r="C1572" s="14">
        <f>'Empleo Censo'!G1572-'Empleo Censo'!F1572</f>
        <v/>
      </c>
      <c r="D1572" s="14">
        <f>'Empleo Censo'!F1572</f>
        <v/>
      </c>
      <c r="E1572" s="14">
        <f>'Empleo Censo'!H1572</f>
        <v/>
      </c>
      <c r="F1572" s="14">
        <f>'Empleo Censo'!I1572</f>
        <v/>
      </c>
      <c r="G1572" s="14">
        <f>'Empleo Censo'!J1572+'Empleo Censo'!K1572</f>
        <v/>
      </c>
      <c r="H1572" s="14">
        <f>'Empleo Censo'!L1572</f>
        <v/>
      </c>
      <c r="I1572" s="14">
        <f>'Empleo Censo'!M1572</f>
        <v/>
      </c>
      <c r="J1572" s="14">
        <f>SUM('Empleo Censo'!N1572:AA1572)</f>
        <v/>
      </c>
      <c r="K1572" s="14">
        <f>SUM(C1572:J1572)</f>
        <v/>
      </c>
      <c r="L1572" s="15">
        <f>SUMPRODUCT(C1572:J1572,Factores!$B$3:$I$3)</f>
        <v/>
      </c>
      <c r="M1572" s="16">
        <f>'Empleo Censo'!E1572</f>
        <v/>
      </c>
      <c r="N1572" s="17">
        <f>IF(M1572&gt;0,L1572,Factores!$B$7)</f>
        <v/>
      </c>
      <c r="O1572">
        <f>IF(M1572&gt;0,"OK","sin PEA -&gt; peor")</f>
        <v/>
      </c>
    </row>
    <row r="1573">
      <c r="A1573" t="inlineStr">
        <is>
          <t>050621</t>
        </is>
      </c>
      <c r="B1573" t="inlineStr">
        <is>
          <t>SANTA LUCIA</t>
        </is>
      </c>
      <c r="C1573" s="14">
        <f>'Empleo Censo'!G1573-'Empleo Censo'!F1573</f>
        <v/>
      </c>
      <c r="D1573" s="14">
        <f>'Empleo Censo'!F1573</f>
        <v/>
      </c>
      <c r="E1573" s="14">
        <f>'Empleo Censo'!H1573</f>
        <v/>
      </c>
      <c r="F1573" s="14">
        <f>'Empleo Censo'!I1573</f>
        <v/>
      </c>
      <c r="G1573" s="14">
        <f>'Empleo Censo'!J1573+'Empleo Censo'!K1573</f>
        <v/>
      </c>
      <c r="H1573" s="14">
        <f>'Empleo Censo'!L1573</f>
        <v/>
      </c>
      <c r="I1573" s="14">
        <f>'Empleo Censo'!M1573</f>
        <v/>
      </c>
      <c r="J1573" s="14">
        <f>SUM('Empleo Censo'!N1573:AA1573)</f>
        <v/>
      </c>
      <c r="K1573" s="14">
        <f>SUM(C1573:J1573)</f>
        <v/>
      </c>
      <c r="L1573" s="15">
        <f>SUMPRODUCT(C1573:J1573,Factores!$B$3:$I$3)</f>
        <v/>
      </c>
      <c r="M1573" s="16">
        <f>'Empleo Censo'!E1573</f>
        <v/>
      </c>
      <c r="N1573" s="17">
        <f>IF(M1573&gt;0,L1573,Factores!$B$7)</f>
        <v/>
      </c>
      <c r="O1573">
        <f>IF(M1573&gt;0,"OK","sin PEA -&gt; peor")</f>
        <v/>
      </c>
    </row>
    <row r="1574">
      <c r="A1574" t="inlineStr">
        <is>
          <t>040104</t>
        </is>
      </c>
      <c r="B1574" t="inlineStr">
        <is>
          <t>CERRO COLORADO</t>
        </is>
      </c>
      <c r="C1574" s="14">
        <f>'Empleo Censo'!G1574-'Empleo Censo'!F1574</f>
        <v/>
      </c>
      <c r="D1574" s="14">
        <f>'Empleo Censo'!F1574</f>
        <v/>
      </c>
      <c r="E1574" s="14">
        <f>'Empleo Censo'!H1574</f>
        <v/>
      </c>
      <c r="F1574" s="14">
        <f>'Empleo Censo'!I1574</f>
        <v/>
      </c>
      <c r="G1574" s="14">
        <f>'Empleo Censo'!J1574+'Empleo Censo'!K1574</f>
        <v/>
      </c>
      <c r="H1574" s="14">
        <f>'Empleo Censo'!L1574</f>
        <v/>
      </c>
      <c r="I1574" s="14">
        <f>'Empleo Censo'!M1574</f>
        <v/>
      </c>
      <c r="J1574" s="14">
        <f>SUM('Empleo Censo'!N1574:AA1574)</f>
        <v/>
      </c>
      <c r="K1574" s="14">
        <f>SUM(C1574:J1574)</f>
        <v/>
      </c>
      <c r="L1574" s="15">
        <f>SUMPRODUCT(C1574:J1574,Factores!$B$3:$I$3)</f>
        <v/>
      </c>
      <c r="M1574" s="16">
        <f>'Empleo Censo'!E1574</f>
        <v/>
      </c>
      <c r="N1574" s="17">
        <f>IF(M1574&gt;0,L1574,Factores!$B$7)</f>
        <v/>
      </c>
      <c r="O1574">
        <f>IF(M1574&gt;0,"OK","sin PEA -&gt; peor")</f>
        <v/>
      </c>
    </row>
    <row r="1575">
      <c r="A1575" t="inlineStr">
        <is>
          <t>090411</t>
        </is>
      </c>
      <c r="B1575" t="inlineStr">
        <is>
          <t>SANTA ANA</t>
        </is>
      </c>
      <c r="C1575" s="14">
        <f>'Empleo Censo'!G1575-'Empleo Censo'!F1575</f>
        <v/>
      </c>
      <c r="D1575" s="14">
        <f>'Empleo Censo'!F1575</f>
        <v/>
      </c>
      <c r="E1575" s="14">
        <f>'Empleo Censo'!H1575</f>
        <v/>
      </c>
      <c r="F1575" s="14">
        <f>'Empleo Censo'!I1575</f>
        <v/>
      </c>
      <c r="G1575" s="14">
        <f>'Empleo Censo'!J1575+'Empleo Censo'!K1575</f>
        <v/>
      </c>
      <c r="H1575" s="14">
        <f>'Empleo Censo'!L1575</f>
        <v/>
      </c>
      <c r="I1575" s="14">
        <f>'Empleo Censo'!M1575</f>
        <v/>
      </c>
      <c r="J1575" s="14">
        <f>SUM('Empleo Censo'!N1575:AA1575)</f>
        <v/>
      </c>
      <c r="K1575" s="14">
        <f>SUM(C1575:J1575)</f>
        <v/>
      </c>
      <c r="L1575" s="15">
        <f>SUMPRODUCT(C1575:J1575,Factores!$B$3:$I$3)</f>
        <v/>
      </c>
      <c r="M1575" s="16">
        <f>'Empleo Censo'!E1575</f>
        <v/>
      </c>
      <c r="N1575" s="17">
        <f>IF(M1575&gt;0,L1575,Factores!$B$7)</f>
        <v/>
      </c>
      <c r="O1575">
        <f>IF(M1575&gt;0,"OK","sin PEA -&gt; peor")</f>
        <v/>
      </c>
    </row>
    <row r="1576">
      <c r="A1576" t="inlineStr">
        <is>
          <t>050612</t>
        </is>
      </c>
      <c r="B1576" t="inlineStr">
        <is>
          <t>OCAÑA</t>
        </is>
      </c>
      <c r="C1576" s="14">
        <f>'Empleo Censo'!G1576-'Empleo Censo'!F1576</f>
        <v/>
      </c>
      <c r="D1576" s="14">
        <f>'Empleo Censo'!F1576</f>
        <v/>
      </c>
      <c r="E1576" s="14">
        <f>'Empleo Censo'!H1576</f>
        <v/>
      </c>
      <c r="F1576" s="14">
        <f>'Empleo Censo'!I1576</f>
        <v/>
      </c>
      <c r="G1576" s="14">
        <f>'Empleo Censo'!J1576+'Empleo Censo'!K1576</f>
        <v/>
      </c>
      <c r="H1576" s="14">
        <f>'Empleo Censo'!L1576</f>
        <v/>
      </c>
      <c r="I1576" s="14">
        <f>'Empleo Censo'!M1576</f>
        <v/>
      </c>
      <c r="J1576" s="14">
        <f>SUM('Empleo Censo'!N1576:AA1576)</f>
        <v/>
      </c>
      <c r="K1576" s="14">
        <f>SUM(C1576:J1576)</f>
        <v/>
      </c>
      <c r="L1576" s="15">
        <f>SUMPRODUCT(C1576:J1576,Factores!$B$3:$I$3)</f>
        <v/>
      </c>
      <c r="M1576" s="16">
        <f>'Empleo Censo'!E1576</f>
        <v/>
      </c>
      <c r="N1576" s="17">
        <f>IF(M1576&gt;0,L1576,Factores!$B$7)</f>
        <v/>
      </c>
      <c r="O1576">
        <f>IF(M1576&gt;0,"OK","sin PEA -&gt; peor")</f>
        <v/>
      </c>
    </row>
    <row r="1577">
      <c r="A1577" t="inlineStr">
        <is>
          <t>040404</t>
        </is>
      </c>
      <c r="B1577" t="inlineStr">
        <is>
          <t>CHACHAS</t>
        </is>
      </c>
      <c r="C1577" s="14">
        <f>'Empleo Censo'!G1577-'Empleo Censo'!F1577</f>
        <v/>
      </c>
      <c r="D1577" s="14">
        <f>'Empleo Censo'!F1577</f>
        <v/>
      </c>
      <c r="E1577" s="14">
        <f>'Empleo Censo'!H1577</f>
        <v/>
      </c>
      <c r="F1577" s="14">
        <f>'Empleo Censo'!I1577</f>
        <v/>
      </c>
      <c r="G1577" s="14">
        <f>'Empleo Censo'!J1577+'Empleo Censo'!K1577</f>
        <v/>
      </c>
      <c r="H1577" s="14">
        <f>'Empleo Censo'!L1577</f>
        <v/>
      </c>
      <c r="I1577" s="14">
        <f>'Empleo Censo'!M1577</f>
        <v/>
      </c>
      <c r="J1577" s="14">
        <f>SUM('Empleo Censo'!N1577:AA1577)</f>
        <v/>
      </c>
      <c r="K1577" s="14">
        <f>SUM(C1577:J1577)</f>
        <v/>
      </c>
      <c r="L1577" s="15">
        <f>SUMPRODUCT(C1577:J1577,Factores!$B$3:$I$3)</f>
        <v/>
      </c>
      <c r="M1577" s="16">
        <f>'Empleo Censo'!E1577</f>
        <v/>
      </c>
      <c r="N1577" s="17">
        <f>IF(M1577&gt;0,L1577,Factores!$B$7)</f>
        <v/>
      </c>
      <c r="O1577">
        <f>IF(M1577&gt;0,"OK","sin PEA -&gt; peor")</f>
        <v/>
      </c>
    </row>
    <row r="1578">
      <c r="A1578" t="inlineStr">
        <is>
          <t>040410</t>
        </is>
      </c>
      <c r="B1578" t="inlineStr">
        <is>
          <t>PAMPACOLCA</t>
        </is>
      </c>
      <c r="C1578" s="14">
        <f>'Empleo Censo'!G1578-'Empleo Censo'!F1578</f>
        <v/>
      </c>
      <c r="D1578" s="14">
        <f>'Empleo Censo'!F1578</f>
        <v/>
      </c>
      <c r="E1578" s="14">
        <f>'Empleo Censo'!H1578</f>
        <v/>
      </c>
      <c r="F1578" s="14">
        <f>'Empleo Censo'!I1578</f>
        <v/>
      </c>
      <c r="G1578" s="14">
        <f>'Empleo Censo'!J1578+'Empleo Censo'!K1578</f>
        <v/>
      </c>
      <c r="H1578" s="14">
        <f>'Empleo Censo'!L1578</f>
        <v/>
      </c>
      <c r="I1578" s="14">
        <f>'Empleo Censo'!M1578</f>
        <v/>
      </c>
      <c r="J1578" s="14">
        <f>SUM('Empleo Censo'!N1578:AA1578)</f>
        <v/>
      </c>
      <c r="K1578" s="14">
        <f>SUM(C1578:J1578)</f>
        <v/>
      </c>
      <c r="L1578" s="15">
        <f>SUMPRODUCT(C1578:J1578,Factores!$B$3:$I$3)</f>
        <v/>
      </c>
      <c r="M1578" s="16">
        <f>'Empleo Censo'!E1578</f>
        <v/>
      </c>
      <c r="N1578" s="17">
        <f>IF(M1578&gt;0,L1578,Factores!$B$7)</f>
        <v/>
      </c>
      <c r="O1578">
        <f>IF(M1578&gt;0,"OK","sin PEA -&gt; peor")</f>
        <v/>
      </c>
    </row>
    <row r="1579">
      <c r="A1579" t="inlineStr">
        <is>
          <t>021210</t>
        </is>
      </c>
      <c r="B1579" t="inlineStr">
        <is>
          <t>YURACMARCA</t>
        </is>
      </c>
      <c r="C1579" s="14">
        <f>'Empleo Censo'!G1579-'Empleo Censo'!F1579</f>
        <v/>
      </c>
      <c r="D1579" s="14">
        <f>'Empleo Censo'!F1579</f>
        <v/>
      </c>
      <c r="E1579" s="14">
        <f>'Empleo Censo'!H1579</f>
        <v/>
      </c>
      <c r="F1579" s="14">
        <f>'Empleo Censo'!I1579</f>
        <v/>
      </c>
      <c r="G1579" s="14">
        <f>'Empleo Censo'!J1579+'Empleo Censo'!K1579</f>
        <v/>
      </c>
      <c r="H1579" s="14">
        <f>'Empleo Censo'!L1579</f>
        <v/>
      </c>
      <c r="I1579" s="14">
        <f>'Empleo Censo'!M1579</f>
        <v/>
      </c>
      <c r="J1579" s="14">
        <f>SUM('Empleo Censo'!N1579:AA1579)</f>
        <v/>
      </c>
      <c r="K1579" s="14">
        <f>SUM(C1579:J1579)</f>
        <v/>
      </c>
      <c r="L1579" s="15">
        <f>SUMPRODUCT(C1579:J1579,Factores!$B$3:$I$3)</f>
        <v/>
      </c>
      <c r="M1579" s="16">
        <f>'Empleo Censo'!E1579</f>
        <v/>
      </c>
      <c r="N1579" s="17">
        <f>IF(M1579&gt;0,L1579,Factores!$B$7)</f>
        <v/>
      </c>
      <c r="O1579">
        <f>IF(M1579&gt;0,"OK","sin PEA -&gt; peor")</f>
        <v/>
      </c>
    </row>
    <row r="1580">
      <c r="A1580" t="inlineStr">
        <is>
          <t>050701</t>
        </is>
      </c>
      <c r="B1580" t="inlineStr">
        <is>
          <t>CORACORA</t>
        </is>
      </c>
      <c r="C1580" s="14">
        <f>'Empleo Censo'!G1580-'Empleo Censo'!F1580</f>
        <v/>
      </c>
      <c r="D1580" s="14">
        <f>'Empleo Censo'!F1580</f>
        <v/>
      </c>
      <c r="E1580" s="14">
        <f>'Empleo Censo'!H1580</f>
        <v/>
      </c>
      <c r="F1580" s="14">
        <f>'Empleo Censo'!I1580</f>
        <v/>
      </c>
      <c r="G1580" s="14">
        <f>'Empleo Censo'!J1580+'Empleo Censo'!K1580</f>
        <v/>
      </c>
      <c r="H1580" s="14">
        <f>'Empleo Censo'!L1580</f>
        <v/>
      </c>
      <c r="I1580" s="14">
        <f>'Empleo Censo'!M1580</f>
        <v/>
      </c>
      <c r="J1580" s="14">
        <f>SUM('Empleo Censo'!N1580:AA1580)</f>
        <v/>
      </c>
      <c r="K1580" s="14">
        <f>SUM(C1580:J1580)</f>
        <v/>
      </c>
      <c r="L1580" s="15">
        <f>SUMPRODUCT(C1580:J1580,Factores!$B$3:$I$3)</f>
        <v/>
      </c>
      <c r="M1580" s="16">
        <f>'Empleo Censo'!E1580</f>
        <v/>
      </c>
      <c r="N1580" s="17">
        <f>IF(M1580&gt;0,L1580,Factores!$B$7)</f>
        <v/>
      </c>
      <c r="O1580">
        <f>IF(M1580&gt;0,"OK","sin PEA -&gt; peor")</f>
        <v/>
      </c>
    </row>
    <row r="1581">
      <c r="A1581" t="inlineStr">
        <is>
          <t>050116</t>
        </is>
      </c>
      <c r="B1581" t="inlineStr">
        <is>
          <t>ANDRES AVELINO CACERES DORREGARAY</t>
        </is>
      </c>
      <c r="C1581" s="14">
        <f>'Empleo Censo'!G1581-'Empleo Censo'!F1581</f>
        <v/>
      </c>
      <c r="D1581" s="14">
        <f>'Empleo Censo'!F1581</f>
        <v/>
      </c>
      <c r="E1581" s="14">
        <f>'Empleo Censo'!H1581</f>
        <v/>
      </c>
      <c r="F1581" s="14">
        <f>'Empleo Censo'!I1581</f>
        <v/>
      </c>
      <c r="G1581" s="14">
        <f>'Empleo Censo'!J1581+'Empleo Censo'!K1581</f>
        <v/>
      </c>
      <c r="H1581" s="14">
        <f>'Empleo Censo'!L1581</f>
        <v/>
      </c>
      <c r="I1581" s="14">
        <f>'Empleo Censo'!M1581</f>
        <v/>
      </c>
      <c r="J1581" s="14">
        <f>SUM('Empleo Censo'!N1581:AA1581)</f>
        <v/>
      </c>
      <c r="K1581" s="14">
        <f>SUM(C1581:J1581)</f>
        <v/>
      </c>
      <c r="L1581" s="15">
        <f>SUMPRODUCT(C1581:J1581,Factores!$B$3:$I$3)</f>
        <v/>
      </c>
      <c r="M1581" s="16">
        <f>'Empleo Censo'!E1581</f>
        <v/>
      </c>
      <c r="N1581" s="17">
        <f>IF(M1581&gt;0,L1581,Factores!$B$7)</f>
        <v/>
      </c>
      <c r="O1581">
        <f>IF(M1581&gt;0,"OK","sin PEA -&gt; peor")</f>
        <v/>
      </c>
    </row>
    <row r="1582">
      <c r="A1582" t="inlineStr">
        <is>
          <t>080307</t>
        </is>
      </c>
      <c r="B1582" t="inlineStr">
        <is>
          <t>MOLLEPATA</t>
        </is>
      </c>
      <c r="C1582" s="14">
        <f>'Empleo Censo'!G1582-'Empleo Censo'!F1582</f>
        <v/>
      </c>
      <c r="D1582" s="14">
        <f>'Empleo Censo'!F1582</f>
        <v/>
      </c>
      <c r="E1582" s="14">
        <f>'Empleo Censo'!H1582</f>
        <v/>
      </c>
      <c r="F1582" s="14">
        <f>'Empleo Censo'!I1582</f>
        <v/>
      </c>
      <c r="G1582" s="14">
        <f>'Empleo Censo'!J1582+'Empleo Censo'!K1582</f>
        <v/>
      </c>
      <c r="H1582" s="14">
        <f>'Empleo Censo'!L1582</f>
        <v/>
      </c>
      <c r="I1582" s="14">
        <f>'Empleo Censo'!M1582</f>
        <v/>
      </c>
      <c r="J1582" s="14">
        <f>SUM('Empleo Censo'!N1582:AA1582)</f>
        <v/>
      </c>
      <c r="K1582" s="14">
        <f>SUM(C1582:J1582)</f>
        <v/>
      </c>
      <c r="L1582" s="15">
        <f>SUMPRODUCT(C1582:J1582,Factores!$B$3:$I$3)</f>
        <v/>
      </c>
      <c r="M1582" s="16">
        <f>'Empleo Censo'!E1582</f>
        <v/>
      </c>
      <c r="N1582" s="17">
        <f>IF(M1582&gt;0,L1582,Factores!$B$7)</f>
        <v/>
      </c>
      <c r="O1582">
        <f>IF(M1582&gt;0,"OK","sin PEA -&gt; peor")</f>
        <v/>
      </c>
    </row>
    <row r="1583">
      <c r="A1583" t="inlineStr">
        <is>
          <t>040702</t>
        </is>
      </c>
      <c r="B1583" t="inlineStr">
        <is>
          <t>COCACHACRA</t>
        </is>
      </c>
      <c r="C1583" s="14">
        <f>'Empleo Censo'!G1583-'Empleo Censo'!F1583</f>
        <v/>
      </c>
      <c r="D1583" s="14">
        <f>'Empleo Censo'!F1583</f>
        <v/>
      </c>
      <c r="E1583" s="14">
        <f>'Empleo Censo'!H1583</f>
        <v/>
      </c>
      <c r="F1583" s="14">
        <f>'Empleo Censo'!I1583</f>
        <v/>
      </c>
      <c r="G1583" s="14">
        <f>'Empleo Censo'!J1583+'Empleo Censo'!K1583</f>
        <v/>
      </c>
      <c r="H1583" s="14">
        <f>'Empleo Censo'!L1583</f>
        <v/>
      </c>
      <c r="I1583" s="14">
        <f>'Empleo Censo'!M1583</f>
        <v/>
      </c>
      <c r="J1583" s="14">
        <f>SUM('Empleo Censo'!N1583:AA1583)</f>
        <v/>
      </c>
      <c r="K1583" s="14">
        <f>SUM(C1583:J1583)</f>
        <v/>
      </c>
      <c r="L1583" s="15">
        <f>SUMPRODUCT(C1583:J1583,Factores!$B$3:$I$3)</f>
        <v/>
      </c>
      <c r="M1583" s="16">
        <f>'Empleo Censo'!E1583</f>
        <v/>
      </c>
      <c r="N1583" s="17">
        <f>IF(M1583&gt;0,L1583,Factores!$B$7)</f>
        <v/>
      </c>
      <c r="O1583">
        <f>IF(M1583&gt;0,"OK","sin PEA -&gt; peor")</f>
        <v/>
      </c>
    </row>
    <row r="1584">
      <c r="A1584" t="inlineStr">
        <is>
          <t>010115</t>
        </is>
      </c>
      <c r="B1584" t="inlineStr">
        <is>
          <t>MONTEVIDEO</t>
        </is>
      </c>
      <c r="C1584" s="14">
        <f>'Empleo Censo'!G1584-'Empleo Censo'!F1584</f>
        <v/>
      </c>
      <c r="D1584" s="14">
        <f>'Empleo Censo'!F1584</f>
        <v/>
      </c>
      <c r="E1584" s="14">
        <f>'Empleo Censo'!H1584</f>
        <v/>
      </c>
      <c r="F1584" s="14">
        <f>'Empleo Censo'!I1584</f>
        <v/>
      </c>
      <c r="G1584" s="14">
        <f>'Empleo Censo'!J1584+'Empleo Censo'!K1584</f>
        <v/>
      </c>
      <c r="H1584" s="14">
        <f>'Empleo Censo'!L1584</f>
        <v/>
      </c>
      <c r="I1584" s="14">
        <f>'Empleo Censo'!M1584</f>
        <v/>
      </c>
      <c r="J1584" s="14">
        <f>SUM('Empleo Censo'!N1584:AA1584)</f>
        <v/>
      </c>
      <c r="K1584" s="14">
        <f>SUM(C1584:J1584)</f>
        <v/>
      </c>
      <c r="L1584" s="15">
        <f>SUMPRODUCT(C1584:J1584,Factores!$B$3:$I$3)</f>
        <v/>
      </c>
      <c r="M1584" s="16">
        <f>'Empleo Censo'!E1584</f>
        <v/>
      </c>
      <c r="N1584" s="17">
        <f>IF(M1584&gt;0,L1584,Factores!$B$7)</f>
        <v/>
      </c>
      <c r="O1584">
        <f>IF(M1584&gt;0,"OK","sin PEA -&gt; peor")</f>
        <v/>
      </c>
    </row>
    <row r="1585">
      <c r="A1585" t="inlineStr">
        <is>
          <t>061105</t>
        </is>
      </c>
      <c r="B1585" t="inlineStr">
        <is>
          <t>EL PRADO</t>
        </is>
      </c>
      <c r="C1585" s="14">
        <f>'Empleo Censo'!G1585-'Empleo Censo'!F1585</f>
        <v/>
      </c>
      <c r="D1585" s="14">
        <f>'Empleo Censo'!F1585</f>
        <v/>
      </c>
      <c r="E1585" s="14">
        <f>'Empleo Censo'!H1585</f>
        <v/>
      </c>
      <c r="F1585" s="14">
        <f>'Empleo Censo'!I1585</f>
        <v/>
      </c>
      <c r="G1585" s="14">
        <f>'Empleo Censo'!J1585+'Empleo Censo'!K1585</f>
        <v/>
      </c>
      <c r="H1585" s="14">
        <f>'Empleo Censo'!L1585</f>
        <v/>
      </c>
      <c r="I1585" s="14">
        <f>'Empleo Censo'!M1585</f>
        <v/>
      </c>
      <c r="J1585" s="14">
        <f>SUM('Empleo Censo'!N1585:AA1585)</f>
        <v/>
      </c>
      <c r="K1585" s="14">
        <f>SUM(C1585:J1585)</f>
        <v/>
      </c>
      <c r="L1585" s="15">
        <f>SUMPRODUCT(C1585:J1585,Factores!$B$3:$I$3)</f>
        <v/>
      </c>
      <c r="M1585" s="16">
        <f>'Empleo Censo'!E1585</f>
        <v/>
      </c>
      <c r="N1585" s="17">
        <f>IF(M1585&gt;0,L1585,Factores!$B$7)</f>
        <v/>
      </c>
      <c r="O1585">
        <f>IF(M1585&gt;0,"OK","sin PEA -&gt; peor")</f>
        <v/>
      </c>
    </row>
    <row r="1586">
      <c r="A1586" t="inlineStr">
        <is>
          <t>021505</t>
        </is>
      </c>
      <c r="B1586" t="inlineStr">
        <is>
          <t>HUANDOVAL</t>
        </is>
      </c>
      <c r="C1586" s="14">
        <f>'Empleo Censo'!G1586-'Empleo Censo'!F1586</f>
        <v/>
      </c>
      <c r="D1586" s="14">
        <f>'Empleo Censo'!F1586</f>
        <v/>
      </c>
      <c r="E1586" s="14">
        <f>'Empleo Censo'!H1586</f>
        <v/>
      </c>
      <c r="F1586" s="14">
        <f>'Empleo Censo'!I1586</f>
        <v/>
      </c>
      <c r="G1586" s="14">
        <f>'Empleo Censo'!J1586+'Empleo Censo'!K1586</f>
        <v/>
      </c>
      <c r="H1586" s="14">
        <f>'Empleo Censo'!L1586</f>
        <v/>
      </c>
      <c r="I1586" s="14">
        <f>'Empleo Censo'!M1586</f>
        <v/>
      </c>
      <c r="J1586" s="14">
        <f>SUM('Empleo Censo'!N1586:AA1586)</f>
        <v/>
      </c>
      <c r="K1586" s="14">
        <f>SUM(C1586:J1586)</f>
        <v/>
      </c>
      <c r="L1586" s="15">
        <f>SUMPRODUCT(C1586:J1586,Factores!$B$3:$I$3)</f>
        <v/>
      </c>
      <c r="M1586" s="16">
        <f>'Empleo Censo'!E1586</f>
        <v/>
      </c>
      <c r="N1586" s="17">
        <f>IF(M1586&gt;0,L1586,Factores!$B$7)</f>
        <v/>
      </c>
      <c r="O1586">
        <f>IF(M1586&gt;0,"OK","sin PEA -&gt; peor")</f>
        <v/>
      </c>
    </row>
    <row r="1587">
      <c r="A1587" t="inlineStr">
        <is>
          <t>020604</t>
        </is>
      </c>
      <c r="B1587" t="inlineStr">
        <is>
          <t>ANTA</t>
        </is>
      </c>
      <c r="C1587" s="14">
        <f>'Empleo Censo'!G1587-'Empleo Censo'!F1587</f>
        <v/>
      </c>
      <c r="D1587" s="14">
        <f>'Empleo Censo'!F1587</f>
        <v/>
      </c>
      <c r="E1587" s="14">
        <f>'Empleo Censo'!H1587</f>
        <v/>
      </c>
      <c r="F1587" s="14">
        <f>'Empleo Censo'!I1587</f>
        <v/>
      </c>
      <c r="G1587" s="14">
        <f>'Empleo Censo'!J1587+'Empleo Censo'!K1587</f>
        <v/>
      </c>
      <c r="H1587" s="14">
        <f>'Empleo Censo'!L1587</f>
        <v/>
      </c>
      <c r="I1587" s="14">
        <f>'Empleo Censo'!M1587</f>
        <v/>
      </c>
      <c r="J1587" s="14">
        <f>SUM('Empleo Censo'!N1587:AA1587)</f>
        <v/>
      </c>
      <c r="K1587" s="14">
        <f>SUM(C1587:J1587)</f>
        <v/>
      </c>
      <c r="L1587" s="15">
        <f>SUMPRODUCT(C1587:J1587,Factores!$B$3:$I$3)</f>
        <v/>
      </c>
      <c r="M1587" s="16">
        <f>'Empleo Censo'!E1587</f>
        <v/>
      </c>
      <c r="N1587" s="17">
        <f>IF(M1587&gt;0,L1587,Factores!$B$7)</f>
        <v/>
      </c>
      <c r="O1587">
        <f>IF(M1587&gt;0,"OK","sin PEA -&gt; peor")</f>
        <v/>
      </c>
    </row>
    <row r="1588">
      <c r="A1588" t="inlineStr">
        <is>
          <t>060107</t>
        </is>
      </c>
      <c r="B1588" t="inlineStr">
        <is>
          <t>LLACANORA</t>
        </is>
      </c>
      <c r="C1588" s="14">
        <f>'Empleo Censo'!G1588-'Empleo Censo'!F1588</f>
        <v/>
      </c>
      <c r="D1588" s="14">
        <f>'Empleo Censo'!F1588</f>
        <v/>
      </c>
      <c r="E1588" s="14">
        <f>'Empleo Censo'!H1588</f>
        <v/>
      </c>
      <c r="F1588" s="14">
        <f>'Empleo Censo'!I1588</f>
        <v/>
      </c>
      <c r="G1588" s="14">
        <f>'Empleo Censo'!J1588+'Empleo Censo'!K1588</f>
        <v/>
      </c>
      <c r="H1588" s="14">
        <f>'Empleo Censo'!L1588</f>
        <v/>
      </c>
      <c r="I1588" s="14">
        <f>'Empleo Censo'!M1588</f>
        <v/>
      </c>
      <c r="J1588" s="14">
        <f>SUM('Empleo Censo'!N1588:AA1588)</f>
        <v/>
      </c>
      <c r="K1588" s="14">
        <f>SUM(C1588:J1588)</f>
        <v/>
      </c>
      <c r="L1588" s="15">
        <f>SUMPRODUCT(C1588:J1588,Factores!$B$3:$I$3)</f>
        <v/>
      </c>
      <c r="M1588" s="16">
        <f>'Empleo Censo'!E1588</f>
        <v/>
      </c>
      <c r="N1588" s="17">
        <f>IF(M1588&gt;0,L1588,Factores!$B$7)</f>
        <v/>
      </c>
      <c r="O1588">
        <f>IF(M1588&gt;0,"OK","sin PEA -&gt; peor")</f>
        <v/>
      </c>
    </row>
    <row r="1589">
      <c r="A1589" t="inlineStr">
        <is>
          <t>010602</t>
        </is>
      </c>
      <c r="B1589" t="inlineStr">
        <is>
          <t>CHIRIMOTO</t>
        </is>
      </c>
      <c r="C1589" s="14">
        <f>'Empleo Censo'!G1589-'Empleo Censo'!F1589</f>
        <v/>
      </c>
      <c r="D1589" s="14">
        <f>'Empleo Censo'!F1589</f>
        <v/>
      </c>
      <c r="E1589" s="14">
        <f>'Empleo Censo'!H1589</f>
        <v/>
      </c>
      <c r="F1589" s="14">
        <f>'Empleo Censo'!I1589</f>
        <v/>
      </c>
      <c r="G1589" s="14">
        <f>'Empleo Censo'!J1589+'Empleo Censo'!K1589</f>
        <v/>
      </c>
      <c r="H1589" s="14">
        <f>'Empleo Censo'!L1589</f>
        <v/>
      </c>
      <c r="I1589" s="14">
        <f>'Empleo Censo'!M1589</f>
        <v/>
      </c>
      <c r="J1589" s="14">
        <f>SUM('Empleo Censo'!N1589:AA1589)</f>
        <v/>
      </c>
      <c r="K1589" s="14">
        <f>SUM(C1589:J1589)</f>
        <v/>
      </c>
      <c r="L1589" s="15">
        <f>SUMPRODUCT(C1589:J1589,Factores!$B$3:$I$3)</f>
        <v/>
      </c>
      <c r="M1589" s="16">
        <f>'Empleo Censo'!E1589</f>
        <v/>
      </c>
      <c r="N1589" s="17">
        <f>IF(M1589&gt;0,L1589,Factores!$B$7)</f>
        <v/>
      </c>
      <c r="O1589">
        <f>IF(M1589&gt;0,"OK","sin PEA -&gt; peor")</f>
        <v/>
      </c>
    </row>
    <row r="1590">
      <c r="A1590" t="inlineStr">
        <is>
          <t>040125</t>
        </is>
      </c>
      <c r="B1590" t="inlineStr">
        <is>
          <t>VITOR</t>
        </is>
      </c>
      <c r="C1590" s="14">
        <f>'Empleo Censo'!G1590-'Empleo Censo'!F1590</f>
        <v/>
      </c>
      <c r="D1590" s="14">
        <f>'Empleo Censo'!F1590</f>
        <v/>
      </c>
      <c r="E1590" s="14">
        <f>'Empleo Censo'!H1590</f>
        <v/>
      </c>
      <c r="F1590" s="14">
        <f>'Empleo Censo'!I1590</f>
        <v/>
      </c>
      <c r="G1590" s="14">
        <f>'Empleo Censo'!J1590+'Empleo Censo'!K1590</f>
        <v/>
      </c>
      <c r="H1590" s="14">
        <f>'Empleo Censo'!L1590</f>
        <v/>
      </c>
      <c r="I1590" s="14">
        <f>'Empleo Censo'!M1590</f>
        <v/>
      </c>
      <c r="J1590" s="14">
        <f>SUM('Empleo Censo'!N1590:AA1590)</f>
        <v/>
      </c>
      <c r="K1590" s="14">
        <f>SUM(C1590:J1590)</f>
        <v/>
      </c>
      <c r="L1590" s="15">
        <f>SUMPRODUCT(C1590:J1590,Factores!$B$3:$I$3)</f>
        <v/>
      </c>
      <c r="M1590" s="16">
        <f>'Empleo Censo'!E1590</f>
        <v/>
      </c>
      <c r="N1590" s="17">
        <f>IF(M1590&gt;0,L1590,Factores!$B$7)</f>
        <v/>
      </c>
      <c r="O1590">
        <f>IF(M1590&gt;0,"OK","sin PEA -&gt; peor")</f>
        <v/>
      </c>
    </row>
    <row r="1591">
      <c r="A1591" t="inlineStr">
        <is>
          <t>040405</t>
        </is>
      </c>
      <c r="B1591" t="inlineStr">
        <is>
          <t>CHILCAYMARCA</t>
        </is>
      </c>
      <c r="C1591" s="14">
        <f>'Empleo Censo'!G1591-'Empleo Censo'!F1591</f>
        <v/>
      </c>
      <c r="D1591" s="14">
        <f>'Empleo Censo'!F1591</f>
        <v/>
      </c>
      <c r="E1591" s="14">
        <f>'Empleo Censo'!H1591</f>
        <v/>
      </c>
      <c r="F1591" s="14">
        <f>'Empleo Censo'!I1591</f>
        <v/>
      </c>
      <c r="G1591" s="14">
        <f>'Empleo Censo'!J1591+'Empleo Censo'!K1591</f>
        <v/>
      </c>
      <c r="H1591" s="14">
        <f>'Empleo Censo'!L1591</f>
        <v/>
      </c>
      <c r="I1591" s="14">
        <f>'Empleo Censo'!M1591</f>
        <v/>
      </c>
      <c r="J1591" s="14">
        <f>SUM('Empleo Censo'!N1591:AA1591)</f>
        <v/>
      </c>
      <c r="K1591" s="14">
        <f>SUM(C1591:J1591)</f>
        <v/>
      </c>
      <c r="L1591" s="15">
        <f>SUMPRODUCT(C1591:J1591,Factores!$B$3:$I$3)</f>
        <v/>
      </c>
      <c r="M1591" s="16">
        <f>'Empleo Censo'!E1591</f>
        <v/>
      </c>
      <c r="N1591" s="17">
        <f>IF(M1591&gt;0,L1591,Factores!$B$7)</f>
        <v/>
      </c>
      <c r="O1591">
        <f>IF(M1591&gt;0,"OK","sin PEA -&gt; peor")</f>
        <v/>
      </c>
    </row>
    <row r="1592">
      <c r="A1592" t="inlineStr">
        <is>
          <t>050115</t>
        </is>
      </c>
      <c r="B1592" t="inlineStr">
        <is>
          <t>JESUS NAZARENO</t>
        </is>
      </c>
      <c r="C1592" s="14">
        <f>'Empleo Censo'!G1592-'Empleo Censo'!F1592</f>
        <v/>
      </c>
      <c r="D1592" s="14">
        <f>'Empleo Censo'!F1592</f>
        <v/>
      </c>
      <c r="E1592" s="14">
        <f>'Empleo Censo'!H1592</f>
        <v/>
      </c>
      <c r="F1592" s="14">
        <f>'Empleo Censo'!I1592</f>
        <v/>
      </c>
      <c r="G1592" s="14">
        <f>'Empleo Censo'!J1592+'Empleo Censo'!K1592</f>
        <v/>
      </c>
      <c r="H1592" s="14">
        <f>'Empleo Censo'!L1592</f>
        <v/>
      </c>
      <c r="I1592" s="14">
        <f>'Empleo Censo'!M1592</f>
        <v/>
      </c>
      <c r="J1592" s="14">
        <f>SUM('Empleo Censo'!N1592:AA1592)</f>
        <v/>
      </c>
      <c r="K1592" s="14">
        <f>SUM(C1592:J1592)</f>
        <v/>
      </c>
      <c r="L1592" s="15">
        <f>SUMPRODUCT(C1592:J1592,Factores!$B$3:$I$3)</f>
        <v/>
      </c>
      <c r="M1592" s="16">
        <f>'Empleo Censo'!E1592</f>
        <v/>
      </c>
      <c r="N1592" s="17">
        <f>IF(M1592&gt;0,L1592,Factores!$B$7)</f>
        <v/>
      </c>
      <c r="O1592">
        <f>IF(M1592&gt;0,"OK","sin PEA -&gt; peor")</f>
        <v/>
      </c>
    </row>
    <row r="1593">
      <c r="A1593" t="inlineStr">
        <is>
          <t>040607</t>
        </is>
      </c>
      <c r="B1593" t="inlineStr">
        <is>
          <t>SALAMANCA</t>
        </is>
      </c>
      <c r="C1593" s="14">
        <f>'Empleo Censo'!G1593-'Empleo Censo'!F1593</f>
        <v/>
      </c>
      <c r="D1593" s="14">
        <f>'Empleo Censo'!F1593</f>
        <v/>
      </c>
      <c r="E1593" s="14">
        <f>'Empleo Censo'!H1593</f>
        <v/>
      </c>
      <c r="F1593" s="14">
        <f>'Empleo Censo'!I1593</f>
        <v/>
      </c>
      <c r="G1593" s="14">
        <f>'Empleo Censo'!J1593+'Empleo Censo'!K1593</f>
        <v/>
      </c>
      <c r="H1593" s="14">
        <f>'Empleo Censo'!L1593</f>
        <v/>
      </c>
      <c r="I1593" s="14">
        <f>'Empleo Censo'!M1593</f>
        <v/>
      </c>
      <c r="J1593" s="14">
        <f>SUM('Empleo Censo'!N1593:AA1593)</f>
        <v/>
      </c>
      <c r="K1593" s="14">
        <f>SUM(C1593:J1593)</f>
        <v/>
      </c>
      <c r="L1593" s="15">
        <f>SUMPRODUCT(C1593:J1593,Factores!$B$3:$I$3)</f>
        <v/>
      </c>
      <c r="M1593" s="16">
        <f>'Empleo Censo'!E1593</f>
        <v/>
      </c>
      <c r="N1593" s="17">
        <f>IF(M1593&gt;0,L1593,Factores!$B$7)</f>
        <v/>
      </c>
      <c r="O1593">
        <f>IF(M1593&gt;0,"OK","sin PEA -&gt; peor")</f>
        <v/>
      </c>
    </row>
    <row r="1594">
      <c r="A1594" t="inlineStr">
        <is>
          <t>010102</t>
        </is>
      </c>
      <c r="B1594" t="inlineStr">
        <is>
          <t>ASUNCION</t>
        </is>
      </c>
      <c r="C1594" s="14">
        <f>'Empleo Censo'!G1594-'Empleo Censo'!F1594</f>
        <v/>
      </c>
      <c r="D1594" s="14">
        <f>'Empleo Censo'!F1594</f>
        <v/>
      </c>
      <c r="E1594" s="14">
        <f>'Empleo Censo'!H1594</f>
        <v/>
      </c>
      <c r="F1594" s="14">
        <f>'Empleo Censo'!I1594</f>
        <v/>
      </c>
      <c r="G1594" s="14">
        <f>'Empleo Censo'!J1594+'Empleo Censo'!K1594</f>
        <v/>
      </c>
      <c r="H1594" s="14">
        <f>'Empleo Censo'!L1594</f>
        <v/>
      </c>
      <c r="I1594" s="14">
        <f>'Empleo Censo'!M1594</f>
        <v/>
      </c>
      <c r="J1594" s="14">
        <f>SUM('Empleo Censo'!N1594:AA1594)</f>
        <v/>
      </c>
      <c r="K1594" s="14">
        <f>SUM(C1594:J1594)</f>
        <v/>
      </c>
      <c r="L1594" s="15">
        <f>SUMPRODUCT(C1594:J1594,Factores!$B$3:$I$3)</f>
        <v/>
      </c>
      <c r="M1594" s="16">
        <f>'Empleo Censo'!E1594</f>
        <v/>
      </c>
      <c r="N1594" s="17">
        <f>IF(M1594&gt;0,L1594,Factores!$B$7)</f>
        <v/>
      </c>
      <c r="O1594">
        <f>IF(M1594&gt;0,"OK","sin PEA -&gt; peor")</f>
        <v/>
      </c>
    </row>
    <row r="1595">
      <c r="A1595" t="inlineStr">
        <is>
          <t>021401</t>
        </is>
      </c>
      <c r="B1595" t="inlineStr">
        <is>
          <t>OCROS</t>
        </is>
      </c>
      <c r="C1595" s="14">
        <f>'Empleo Censo'!G1595-'Empleo Censo'!F1595</f>
        <v/>
      </c>
      <c r="D1595" s="14">
        <f>'Empleo Censo'!F1595</f>
        <v/>
      </c>
      <c r="E1595" s="14">
        <f>'Empleo Censo'!H1595</f>
        <v/>
      </c>
      <c r="F1595" s="14">
        <f>'Empleo Censo'!I1595</f>
        <v/>
      </c>
      <c r="G1595" s="14">
        <f>'Empleo Censo'!J1595+'Empleo Censo'!K1595</f>
        <v/>
      </c>
      <c r="H1595" s="14">
        <f>'Empleo Censo'!L1595</f>
        <v/>
      </c>
      <c r="I1595" s="14">
        <f>'Empleo Censo'!M1595</f>
        <v/>
      </c>
      <c r="J1595" s="14">
        <f>SUM('Empleo Censo'!N1595:AA1595)</f>
        <v/>
      </c>
      <c r="K1595" s="14">
        <f>SUM(C1595:J1595)</f>
        <v/>
      </c>
      <c r="L1595" s="15">
        <f>SUMPRODUCT(C1595:J1595,Factores!$B$3:$I$3)</f>
        <v/>
      </c>
      <c r="M1595" s="16">
        <f>'Empleo Censo'!E1595</f>
        <v/>
      </c>
      <c r="N1595" s="17">
        <f>IF(M1595&gt;0,L1595,Factores!$B$7)</f>
        <v/>
      </c>
      <c r="O1595">
        <f>IF(M1595&gt;0,"OK","sin PEA -&gt; peor")</f>
        <v/>
      </c>
    </row>
    <row r="1596">
      <c r="A1596" t="inlineStr">
        <is>
          <t>040509</t>
        </is>
      </c>
      <c r="B1596" t="inlineStr">
        <is>
          <t>ICHUPAMPA</t>
        </is>
      </c>
      <c r="C1596" s="14">
        <f>'Empleo Censo'!G1596-'Empleo Censo'!F1596</f>
        <v/>
      </c>
      <c r="D1596" s="14">
        <f>'Empleo Censo'!F1596</f>
        <v/>
      </c>
      <c r="E1596" s="14">
        <f>'Empleo Censo'!H1596</f>
        <v/>
      </c>
      <c r="F1596" s="14">
        <f>'Empleo Censo'!I1596</f>
        <v/>
      </c>
      <c r="G1596" s="14">
        <f>'Empleo Censo'!J1596+'Empleo Censo'!K1596</f>
        <v/>
      </c>
      <c r="H1596" s="14">
        <f>'Empleo Censo'!L1596</f>
        <v/>
      </c>
      <c r="I1596" s="14">
        <f>'Empleo Censo'!M1596</f>
        <v/>
      </c>
      <c r="J1596" s="14">
        <f>SUM('Empleo Censo'!N1596:AA1596)</f>
        <v/>
      </c>
      <c r="K1596" s="14">
        <f>SUM(C1596:J1596)</f>
        <v/>
      </c>
      <c r="L1596" s="15">
        <f>SUMPRODUCT(C1596:J1596,Factores!$B$3:$I$3)</f>
        <v/>
      </c>
      <c r="M1596" s="16">
        <f>'Empleo Censo'!E1596</f>
        <v/>
      </c>
      <c r="N1596" s="17">
        <f>IF(M1596&gt;0,L1596,Factores!$B$7)</f>
        <v/>
      </c>
      <c r="O1596">
        <f>IF(M1596&gt;0,"OK","sin PEA -&gt; peor")</f>
        <v/>
      </c>
    </row>
    <row r="1597">
      <c r="A1597" t="inlineStr">
        <is>
          <t>040510</t>
        </is>
      </c>
      <c r="B1597" t="inlineStr">
        <is>
          <t>LARI</t>
        </is>
      </c>
      <c r="C1597" s="14">
        <f>'Empleo Censo'!G1597-'Empleo Censo'!F1597</f>
        <v/>
      </c>
      <c r="D1597" s="14">
        <f>'Empleo Censo'!F1597</f>
        <v/>
      </c>
      <c r="E1597" s="14">
        <f>'Empleo Censo'!H1597</f>
        <v/>
      </c>
      <c r="F1597" s="14">
        <f>'Empleo Censo'!I1597</f>
        <v/>
      </c>
      <c r="G1597" s="14">
        <f>'Empleo Censo'!J1597+'Empleo Censo'!K1597</f>
        <v/>
      </c>
      <c r="H1597" s="14">
        <f>'Empleo Censo'!L1597</f>
        <v/>
      </c>
      <c r="I1597" s="14">
        <f>'Empleo Censo'!M1597</f>
        <v/>
      </c>
      <c r="J1597" s="14">
        <f>SUM('Empleo Censo'!N1597:AA1597)</f>
        <v/>
      </c>
      <c r="K1597" s="14">
        <f>SUM(C1597:J1597)</f>
        <v/>
      </c>
      <c r="L1597" s="15">
        <f>SUMPRODUCT(C1597:J1597,Factores!$B$3:$I$3)</f>
        <v/>
      </c>
      <c r="M1597" s="16">
        <f>'Empleo Censo'!E1597</f>
        <v/>
      </c>
      <c r="N1597" s="17">
        <f>IF(M1597&gt;0,L1597,Factores!$B$7)</f>
        <v/>
      </c>
      <c r="O1597">
        <f>IF(M1597&gt;0,"OK","sin PEA -&gt; peor")</f>
        <v/>
      </c>
    </row>
    <row r="1598">
      <c r="A1598" t="inlineStr">
        <is>
          <t>080206</t>
        </is>
      </c>
      <c r="B1598" t="inlineStr">
        <is>
          <t>RONDOCAN</t>
        </is>
      </c>
      <c r="C1598" s="14">
        <f>'Empleo Censo'!G1598-'Empleo Censo'!F1598</f>
        <v/>
      </c>
      <c r="D1598" s="14">
        <f>'Empleo Censo'!F1598</f>
        <v/>
      </c>
      <c r="E1598" s="14">
        <f>'Empleo Censo'!H1598</f>
        <v/>
      </c>
      <c r="F1598" s="14">
        <f>'Empleo Censo'!I1598</f>
        <v/>
      </c>
      <c r="G1598" s="14">
        <f>'Empleo Censo'!J1598+'Empleo Censo'!K1598</f>
        <v/>
      </c>
      <c r="H1598" s="14">
        <f>'Empleo Censo'!L1598</f>
        <v/>
      </c>
      <c r="I1598" s="14">
        <f>'Empleo Censo'!M1598</f>
        <v/>
      </c>
      <c r="J1598" s="14">
        <f>SUM('Empleo Censo'!N1598:AA1598)</f>
        <v/>
      </c>
      <c r="K1598" s="14">
        <f>SUM(C1598:J1598)</f>
        <v/>
      </c>
      <c r="L1598" s="15">
        <f>SUMPRODUCT(C1598:J1598,Factores!$B$3:$I$3)</f>
        <v/>
      </c>
      <c r="M1598" s="16">
        <f>'Empleo Censo'!E1598</f>
        <v/>
      </c>
      <c r="N1598" s="17">
        <f>IF(M1598&gt;0,L1598,Factores!$B$7)</f>
        <v/>
      </c>
      <c r="O1598">
        <f>IF(M1598&gt;0,"OK","sin PEA -&gt; peor")</f>
        <v/>
      </c>
    </row>
    <row r="1599">
      <c r="A1599" t="inlineStr">
        <is>
          <t>010603</t>
        </is>
      </c>
      <c r="B1599" t="inlineStr">
        <is>
          <t>COCHAMAL</t>
        </is>
      </c>
      <c r="C1599" s="14">
        <f>'Empleo Censo'!G1599-'Empleo Censo'!F1599</f>
        <v/>
      </c>
      <c r="D1599" s="14">
        <f>'Empleo Censo'!F1599</f>
        <v/>
      </c>
      <c r="E1599" s="14">
        <f>'Empleo Censo'!H1599</f>
        <v/>
      </c>
      <c r="F1599" s="14">
        <f>'Empleo Censo'!I1599</f>
        <v/>
      </c>
      <c r="G1599" s="14">
        <f>'Empleo Censo'!J1599+'Empleo Censo'!K1599</f>
        <v/>
      </c>
      <c r="H1599" s="14">
        <f>'Empleo Censo'!L1599</f>
        <v/>
      </c>
      <c r="I1599" s="14">
        <f>'Empleo Censo'!M1599</f>
        <v/>
      </c>
      <c r="J1599" s="14">
        <f>SUM('Empleo Censo'!N1599:AA1599)</f>
        <v/>
      </c>
      <c r="K1599" s="14">
        <f>SUM(C1599:J1599)</f>
        <v/>
      </c>
      <c r="L1599" s="15">
        <f>SUMPRODUCT(C1599:J1599,Factores!$B$3:$I$3)</f>
        <v/>
      </c>
      <c r="M1599" s="16">
        <f>'Empleo Censo'!E1599</f>
        <v/>
      </c>
      <c r="N1599" s="17">
        <f>IF(M1599&gt;0,L1599,Factores!$B$7)</f>
        <v/>
      </c>
      <c r="O1599">
        <f>IF(M1599&gt;0,"OK","sin PEA -&gt; peor")</f>
        <v/>
      </c>
    </row>
    <row r="1600">
      <c r="A1600" t="inlineStr">
        <is>
          <t>021005</t>
        </is>
      </c>
      <c r="B1600" t="inlineStr">
        <is>
          <t>HUACACHI</t>
        </is>
      </c>
      <c r="C1600" s="14">
        <f>'Empleo Censo'!G1600-'Empleo Censo'!F1600</f>
        <v/>
      </c>
      <c r="D1600" s="14">
        <f>'Empleo Censo'!F1600</f>
        <v/>
      </c>
      <c r="E1600" s="14">
        <f>'Empleo Censo'!H1600</f>
        <v/>
      </c>
      <c r="F1600" s="14">
        <f>'Empleo Censo'!I1600</f>
        <v/>
      </c>
      <c r="G1600" s="14">
        <f>'Empleo Censo'!J1600+'Empleo Censo'!K1600</f>
        <v/>
      </c>
      <c r="H1600" s="14">
        <f>'Empleo Censo'!L1600</f>
        <v/>
      </c>
      <c r="I1600" s="14">
        <f>'Empleo Censo'!M1600</f>
        <v/>
      </c>
      <c r="J1600" s="14">
        <f>SUM('Empleo Censo'!N1600:AA1600)</f>
        <v/>
      </c>
      <c r="K1600" s="14">
        <f>SUM(C1600:J1600)</f>
        <v/>
      </c>
      <c r="L1600" s="15">
        <f>SUMPRODUCT(C1600:J1600,Factores!$B$3:$I$3)</f>
        <v/>
      </c>
      <c r="M1600" s="16">
        <f>'Empleo Censo'!E1600</f>
        <v/>
      </c>
      <c r="N1600" s="17">
        <f>IF(M1600&gt;0,L1600,Factores!$B$7)</f>
        <v/>
      </c>
      <c r="O1600">
        <f>IF(M1600&gt;0,"OK","sin PEA -&gt; peor")</f>
        <v/>
      </c>
    </row>
    <row r="1601">
      <c r="A1601" t="inlineStr">
        <is>
          <t>030302</t>
        </is>
      </c>
      <c r="B1601" t="inlineStr">
        <is>
          <t>EL ORO</t>
        </is>
      </c>
      <c r="C1601" s="14">
        <f>'Empleo Censo'!G1601-'Empleo Censo'!F1601</f>
        <v/>
      </c>
      <c r="D1601" s="14">
        <f>'Empleo Censo'!F1601</f>
        <v/>
      </c>
      <c r="E1601" s="14">
        <f>'Empleo Censo'!H1601</f>
        <v/>
      </c>
      <c r="F1601" s="14">
        <f>'Empleo Censo'!I1601</f>
        <v/>
      </c>
      <c r="G1601" s="14">
        <f>'Empleo Censo'!J1601+'Empleo Censo'!K1601</f>
        <v/>
      </c>
      <c r="H1601" s="14">
        <f>'Empleo Censo'!L1601</f>
        <v/>
      </c>
      <c r="I1601" s="14">
        <f>'Empleo Censo'!M1601</f>
        <v/>
      </c>
      <c r="J1601" s="14">
        <f>SUM('Empleo Censo'!N1601:AA1601)</f>
        <v/>
      </c>
      <c r="K1601" s="14">
        <f>SUM(C1601:J1601)</f>
        <v/>
      </c>
      <c r="L1601" s="15">
        <f>SUMPRODUCT(C1601:J1601,Factores!$B$3:$I$3)</f>
        <v/>
      </c>
      <c r="M1601" s="16">
        <f>'Empleo Censo'!E1601</f>
        <v/>
      </c>
      <c r="N1601" s="17">
        <f>IF(M1601&gt;0,L1601,Factores!$B$7)</f>
        <v/>
      </c>
      <c r="O1601">
        <f>IF(M1601&gt;0,"OK","sin PEA -&gt; peor")</f>
        <v/>
      </c>
    </row>
    <row r="1602">
      <c r="A1602" t="inlineStr">
        <is>
          <t>040122</t>
        </is>
      </c>
      <c r="B1602" t="inlineStr">
        <is>
          <t>SOCABAYA</t>
        </is>
      </c>
      <c r="C1602" s="14">
        <f>'Empleo Censo'!G1602-'Empleo Censo'!F1602</f>
        <v/>
      </c>
      <c r="D1602" s="14">
        <f>'Empleo Censo'!F1602</f>
        <v/>
      </c>
      <c r="E1602" s="14">
        <f>'Empleo Censo'!H1602</f>
        <v/>
      </c>
      <c r="F1602" s="14">
        <f>'Empleo Censo'!I1602</f>
        <v/>
      </c>
      <c r="G1602" s="14">
        <f>'Empleo Censo'!J1602+'Empleo Censo'!K1602</f>
        <v/>
      </c>
      <c r="H1602" s="14">
        <f>'Empleo Censo'!L1602</f>
        <v/>
      </c>
      <c r="I1602" s="14">
        <f>'Empleo Censo'!M1602</f>
        <v/>
      </c>
      <c r="J1602" s="14">
        <f>SUM('Empleo Censo'!N1602:AA1602)</f>
        <v/>
      </c>
      <c r="K1602" s="14">
        <f>SUM(C1602:J1602)</f>
        <v/>
      </c>
      <c r="L1602" s="15">
        <f>SUMPRODUCT(C1602:J1602,Factores!$B$3:$I$3)</f>
        <v/>
      </c>
      <c r="M1602" s="16">
        <f>'Empleo Censo'!E1602</f>
        <v/>
      </c>
      <c r="N1602" s="17">
        <f>IF(M1602&gt;0,L1602,Factores!$B$7)</f>
        <v/>
      </c>
      <c r="O1602">
        <f>IF(M1602&gt;0,"OK","sin PEA -&gt; peor")</f>
        <v/>
      </c>
    </row>
    <row r="1603">
      <c r="A1603" t="inlineStr">
        <is>
          <t>061110</t>
        </is>
      </c>
      <c r="B1603" t="inlineStr">
        <is>
          <t>SAN GREGORIO</t>
        </is>
      </c>
      <c r="C1603" s="14">
        <f>'Empleo Censo'!G1603-'Empleo Censo'!F1603</f>
        <v/>
      </c>
      <c r="D1603" s="14">
        <f>'Empleo Censo'!F1603</f>
        <v/>
      </c>
      <c r="E1603" s="14">
        <f>'Empleo Censo'!H1603</f>
        <v/>
      </c>
      <c r="F1603" s="14">
        <f>'Empleo Censo'!I1603</f>
        <v/>
      </c>
      <c r="G1603" s="14">
        <f>'Empleo Censo'!J1603+'Empleo Censo'!K1603</f>
        <v/>
      </c>
      <c r="H1603" s="14">
        <f>'Empleo Censo'!L1603</f>
        <v/>
      </c>
      <c r="I1603" s="14">
        <f>'Empleo Censo'!M1603</f>
        <v/>
      </c>
      <c r="J1603" s="14">
        <f>SUM('Empleo Censo'!N1603:AA1603)</f>
        <v/>
      </c>
      <c r="K1603" s="14">
        <f>SUM(C1603:J1603)</f>
        <v/>
      </c>
      <c r="L1603" s="15">
        <f>SUMPRODUCT(C1603:J1603,Factores!$B$3:$I$3)</f>
        <v/>
      </c>
      <c r="M1603" s="16">
        <f>'Empleo Censo'!E1603</f>
        <v/>
      </c>
      <c r="N1603" s="17">
        <f>IF(M1603&gt;0,L1603,Factores!$B$7)</f>
        <v/>
      </c>
      <c r="O1603">
        <f>IF(M1603&gt;0,"OK","sin PEA -&gt; peor")</f>
        <v/>
      </c>
    </row>
    <row r="1604">
      <c r="A1604" t="inlineStr">
        <is>
          <t>090713</t>
        </is>
      </c>
      <c r="B1604" t="inlineStr">
        <is>
          <t>QUISHUAR</t>
        </is>
      </c>
      <c r="C1604" s="14">
        <f>'Empleo Censo'!G1604-'Empleo Censo'!F1604</f>
        <v/>
      </c>
      <c r="D1604" s="14">
        <f>'Empleo Censo'!F1604</f>
        <v/>
      </c>
      <c r="E1604" s="14">
        <f>'Empleo Censo'!H1604</f>
        <v/>
      </c>
      <c r="F1604" s="14">
        <f>'Empleo Censo'!I1604</f>
        <v/>
      </c>
      <c r="G1604" s="14">
        <f>'Empleo Censo'!J1604+'Empleo Censo'!K1604</f>
        <v/>
      </c>
      <c r="H1604" s="14">
        <f>'Empleo Censo'!L1604</f>
        <v/>
      </c>
      <c r="I1604" s="14">
        <f>'Empleo Censo'!M1604</f>
        <v/>
      </c>
      <c r="J1604" s="14">
        <f>SUM('Empleo Censo'!N1604:AA1604)</f>
        <v/>
      </c>
      <c r="K1604" s="14">
        <f>SUM(C1604:J1604)</f>
        <v/>
      </c>
      <c r="L1604" s="15">
        <f>SUMPRODUCT(C1604:J1604,Factores!$B$3:$I$3)</f>
        <v/>
      </c>
      <c r="M1604" s="16">
        <f>'Empleo Censo'!E1604</f>
        <v/>
      </c>
      <c r="N1604" s="17">
        <f>IF(M1604&gt;0,L1604,Factores!$B$7)</f>
        <v/>
      </c>
      <c r="O1604">
        <f>IF(M1604&gt;0,"OK","sin PEA -&gt; peor")</f>
        <v/>
      </c>
    </row>
    <row r="1605">
      <c r="A1605" t="inlineStr">
        <is>
          <t>030413</t>
        </is>
      </c>
      <c r="B1605" t="inlineStr">
        <is>
          <t>SORAYA</t>
        </is>
      </c>
      <c r="C1605" s="14">
        <f>'Empleo Censo'!G1605-'Empleo Censo'!F1605</f>
        <v/>
      </c>
      <c r="D1605" s="14">
        <f>'Empleo Censo'!F1605</f>
        <v/>
      </c>
      <c r="E1605" s="14">
        <f>'Empleo Censo'!H1605</f>
        <v/>
      </c>
      <c r="F1605" s="14">
        <f>'Empleo Censo'!I1605</f>
        <v/>
      </c>
      <c r="G1605" s="14">
        <f>'Empleo Censo'!J1605+'Empleo Censo'!K1605</f>
        <v/>
      </c>
      <c r="H1605" s="14">
        <f>'Empleo Censo'!L1605</f>
        <v/>
      </c>
      <c r="I1605" s="14">
        <f>'Empleo Censo'!M1605</f>
        <v/>
      </c>
      <c r="J1605" s="14">
        <f>SUM('Empleo Censo'!N1605:AA1605)</f>
        <v/>
      </c>
      <c r="K1605" s="14">
        <f>SUM(C1605:J1605)</f>
        <v/>
      </c>
      <c r="L1605" s="15">
        <f>SUMPRODUCT(C1605:J1605,Factores!$B$3:$I$3)</f>
        <v/>
      </c>
      <c r="M1605" s="16">
        <f>'Empleo Censo'!E1605</f>
        <v/>
      </c>
      <c r="N1605" s="17">
        <f>IF(M1605&gt;0,L1605,Factores!$B$7)</f>
        <v/>
      </c>
      <c r="O1605">
        <f>IF(M1605&gt;0,"OK","sin PEA -&gt; peor")</f>
        <v/>
      </c>
    </row>
    <row r="1606">
      <c r="A1606" t="inlineStr">
        <is>
          <t>022007</t>
        </is>
      </c>
      <c r="B1606" t="inlineStr">
        <is>
          <t>SHUPLUY</t>
        </is>
      </c>
      <c r="C1606" s="14">
        <f>'Empleo Censo'!G1606-'Empleo Censo'!F1606</f>
        <v/>
      </c>
      <c r="D1606" s="14">
        <f>'Empleo Censo'!F1606</f>
        <v/>
      </c>
      <c r="E1606" s="14">
        <f>'Empleo Censo'!H1606</f>
        <v/>
      </c>
      <c r="F1606" s="14">
        <f>'Empleo Censo'!I1606</f>
        <v/>
      </c>
      <c r="G1606" s="14">
        <f>'Empleo Censo'!J1606+'Empleo Censo'!K1606</f>
        <v/>
      </c>
      <c r="H1606" s="14">
        <f>'Empleo Censo'!L1606</f>
        <v/>
      </c>
      <c r="I1606" s="14">
        <f>'Empleo Censo'!M1606</f>
        <v/>
      </c>
      <c r="J1606" s="14">
        <f>SUM('Empleo Censo'!N1606:AA1606)</f>
        <v/>
      </c>
      <c r="K1606" s="14">
        <f>SUM(C1606:J1606)</f>
        <v/>
      </c>
      <c r="L1606" s="15">
        <f>SUMPRODUCT(C1606:J1606,Factores!$B$3:$I$3)</f>
        <v/>
      </c>
      <c r="M1606" s="16">
        <f>'Empleo Censo'!E1606</f>
        <v/>
      </c>
      <c r="N1606" s="17">
        <f>IF(M1606&gt;0,L1606,Factores!$B$7)</f>
        <v/>
      </c>
      <c r="O1606">
        <f>IF(M1606&gt;0,"OK","sin PEA -&gt; peor")</f>
        <v/>
      </c>
    </row>
    <row r="1607">
      <c r="A1607" t="inlineStr">
        <is>
          <t>060604</t>
        </is>
      </c>
      <c r="B1607" t="inlineStr">
        <is>
          <t>CUJILLO</t>
        </is>
      </c>
      <c r="C1607" s="14">
        <f>'Empleo Censo'!G1607-'Empleo Censo'!F1607</f>
        <v/>
      </c>
      <c r="D1607" s="14">
        <f>'Empleo Censo'!F1607</f>
        <v/>
      </c>
      <c r="E1607" s="14">
        <f>'Empleo Censo'!H1607</f>
        <v/>
      </c>
      <c r="F1607" s="14">
        <f>'Empleo Censo'!I1607</f>
        <v/>
      </c>
      <c r="G1607" s="14">
        <f>'Empleo Censo'!J1607+'Empleo Censo'!K1607</f>
        <v/>
      </c>
      <c r="H1607" s="14">
        <f>'Empleo Censo'!L1607</f>
        <v/>
      </c>
      <c r="I1607" s="14">
        <f>'Empleo Censo'!M1607</f>
        <v/>
      </c>
      <c r="J1607" s="14">
        <f>SUM('Empleo Censo'!N1607:AA1607)</f>
        <v/>
      </c>
      <c r="K1607" s="14">
        <f>SUM(C1607:J1607)</f>
        <v/>
      </c>
      <c r="L1607" s="15">
        <f>SUMPRODUCT(C1607:J1607,Factores!$B$3:$I$3)</f>
        <v/>
      </c>
      <c r="M1607" s="16">
        <f>'Empleo Censo'!E1607</f>
        <v/>
      </c>
      <c r="N1607" s="17">
        <f>IF(M1607&gt;0,L1607,Factores!$B$7)</f>
        <v/>
      </c>
      <c r="O1607">
        <f>IF(M1607&gt;0,"OK","sin PEA -&gt; peor")</f>
        <v/>
      </c>
    </row>
    <row r="1608">
      <c r="A1608" t="inlineStr">
        <is>
          <t>090308</t>
        </is>
      </c>
      <c r="B1608" t="inlineStr">
        <is>
          <t>HUAYLLAY GRANDE</t>
        </is>
      </c>
      <c r="C1608" s="14">
        <f>'Empleo Censo'!G1608-'Empleo Censo'!F1608</f>
        <v/>
      </c>
      <c r="D1608" s="14">
        <f>'Empleo Censo'!F1608</f>
        <v/>
      </c>
      <c r="E1608" s="14">
        <f>'Empleo Censo'!H1608</f>
        <v/>
      </c>
      <c r="F1608" s="14">
        <f>'Empleo Censo'!I1608</f>
        <v/>
      </c>
      <c r="G1608" s="14">
        <f>'Empleo Censo'!J1608+'Empleo Censo'!K1608</f>
        <v/>
      </c>
      <c r="H1608" s="14">
        <f>'Empleo Censo'!L1608</f>
        <v/>
      </c>
      <c r="I1608" s="14">
        <f>'Empleo Censo'!M1608</f>
        <v/>
      </c>
      <c r="J1608" s="14">
        <f>SUM('Empleo Censo'!N1608:AA1608)</f>
        <v/>
      </c>
      <c r="K1608" s="14">
        <f>SUM(C1608:J1608)</f>
        <v/>
      </c>
      <c r="L1608" s="15">
        <f>SUMPRODUCT(C1608:J1608,Factores!$B$3:$I$3)</f>
        <v/>
      </c>
      <c r="M1608" s="16">
        <f>'Empleo Censo'!E1608</f>
        <v/>
      </c>
      <c r="N1608" s="17">
        <f>IF(M1608&gt;0,L1608,Factores!$B$7)</f>
        <v/>
      </c>
      <c r="O1608">
        <f>IF(M1608&gt;0,"OK","sin PEA -&gt; peor")</f>
        <v/>
      </c>
    </row>
    <row r="1609">
      <c r="A1609" t="inlineStr">
        <is>
          <t>021102</t>
        </is>
      </c>
      <c r="B1609" t="inlineStr">
        <is>
          <t>COCHAPETI</t>
        </is>
      </c>
      <c r="C1609" s="14">
        <f>'Empleo Censo'!G1609-'Empleo Censo'!F1609</f>
        <v/>
      </c>
      <c r="D1609" s="14">
        <f>'Empleo Censo'!F1609</f>
        <v/>
      </c>
      <c r="E1609" s="14">
        <f>'Empleo Censo'!H1609</f>
        <v/>
      </c>
      <c r="F1609" s="14">
        <f>'Empleo Censo'!I1609</f>
        <v/>
      </c>
      <c r="G1609" s="14">
        <f>'Empleo Censo'!J1609+'Empleo Censo'!K1609</f>
        <v/>
      </c>
      <c r="H1609" s="14">
        <f>'Empleo Censo'!L1609</f>
        <v/>
      </c>
      <c r="I1609" s="14">
        <f>'Empleo Censo'!M1609</f>
        <v/>
      </c>
      <c r="J1609" s="14">
        <f>SUM('Empleo Censo'!N1609:AA1609)</f>
        <v/>
      </c>
      <c r="K1609" s="14">
        <f>SUM(C1609:J1609)</f>
        <v/>
      </c>
      <c r="L1609" s="15">
        <f>SUMPRODUCT(C1609:J1609,Factores!$B$3:$I$3)</f>
        <v/>
      </c>
      <c r="M1609" s="16">
        <f>'Empleo Censo'!E1609</f>
        <v/>
      </c>
      <c r="N1609" s="17">
        <f>IF(M1609&gt;0,L1609,Factores!$B$7)</f>
        <v/>
      </c>
      <c r="O1609">
        <f>IF(M1609&gt;0,"OK","sin PEA -&gt; peor")</f>
        <v/>
      </c>
    </row>
    <row r="1610">
      <c r="A1610" t="inlineStr">
        <is>
          <t>010512</t>
        </is>
      </c>
      <c r="B1610" t="inlineStr">
        <is>
          <t>OCALLI</t>
        </is>
      </c>
      <c r="C1610" s="14">
        <f>'Empleo Censo'!G1610-'Empleo Censo'!F1610</f>
        <v/>
      </c>
      <c r="D1610" s="14">
        <f>'Empleo Censo'!F1610</f>
        <v/>
      </c>
      <c r="E1610" s="14">
        <f>'Empleo Censo'!H1610</f>
        <v/>
      </c>
      <c r="F1610" s="14">
        <f>'Empleo Censo'!I1610</f>
        <v/>
      </c>
      <c r="G1610" s="14">
        <f>'Empleo Censo'!J1610+'Empleo Censo'!K1610</f>
        <v/>
      </c>
      <c r="H1610" s="14">
        <f>'Empleo Censo'!L1610</f>
        <v/>
      </c>
      <c r="I1610" s="14">
        <f>'Empleo Censo'!M1610</f>
        <v/>
      </c>
      <c r="J1610" s="14">
        <f>SUM('Empleo Censo'!N1610:AA1610)</f>
        <v/>
      </c>
      <c r="K1610" s="14">
        <f>SUM(C1610:J1610)</f>
        <v/>
      </c>
      <c r="L1610" s="15">
        <f>SUMPRODUCT(C1610:J1610,Factores!$B$3:$I$3)</f>
        <v/>
      </c>
      <c r="M1610" s="16">
        <f>'Empleo Censo'!E1610</f>
        <v/>
      </c>
      <c r="N1610" s="17">
        <f>IF(M1610&gt;0,L1610,Factores!$B$7)</f>
        <v/>
      </c>
      <c r="O1610">
        <f>IF(M1610&gt;0,"OK","sin PEA -&gt; peor")</f>
        <v/>
      </c>
    </row>
    <row r="1611">
      <c r="A1611" t="inlineStr">
        <is>
          <t>030219</t>
        </is>
      </c>
      <c r="B1611" t="inlineStr">
        <is>
          <t>KAQUIABAMBA</t>
        </is>
      </c>
      <c r="C1611" s="14">
        <f>'Empleo Censo'!G1611-'Empleo Censo'!F1611</f>
        <v/>
      </c>
      <c r="D1611" s="14">
        <f>'Empleo Censo'!F1611</f>
        <v/>
      </c>
      <c r="E1611" s="14">
        <f>'Empleo Censo'!H1611</f>
        <v/>
      </c>
      <c r="F1611" s="14">
        <f>'Empleo Censo'!I1611</f>
        <v/>
      </c>
      <c r="G1611" s="14">
        <f>'Empleo Censo'!J1611+'Empleo Censo'!K1611</f>
        <v/>
      </c>
      <c r="H1611" s="14">
        <f>'Empleo Censo'!L1611</f>
        <v/>
      </c>
      <c r="I1611" s="14">
        <f>'Empleo Censo'!M1611</f>
        <v/>
      </c>
      <c r="J1611" s="14">
        <f>SUM('Empleo Censo'!N1611:AA1611)</f>
        <v/>
      </c>
      <c r="K1611" s="14">
        <f>SUM(C1611:J1611)</f>
        <v/>
      </c>
      <c r="L1611" s="15">
        <f>SUMPRODUCT(C1611:J1611,Factores!$B$3:$I$3)</f>
        <v/>
      </c>
      <c r="M1611" s="16">
        <f>'Empleo Censo'!E1611</f>
        <v/>
      </c>
      <c r="N1611" s="17">
        <f>IF(M1611&gt;0,L1611,Factores!$B$7)</f>
        <v/>
      </c>
      <c r="O1611">
        <f>IF(M1611&gt;0,"OK","sin PEA -&gt; peor")</f>
        <v/>
      </c>
    </row>
    <row r="1612">
      <c r="A1612" t="inlineStr">
        <is>
          <t>040508</t>
        </is>
      </c>
      <c r="B1612" t="inlineStr">
        <is>
          <t>HUANCA</t>
        </is>
      </c>
      <c r="C1612" s="14">
        <f>'Empleo Censo'!G1612-'Empleo Censo'!F1612</f>
        <v/>
      </c>
      <c r="D1612" s="14">
        <f>'Empleo Censo'!F1612</f>
        <v/>
      </c>
      <c r="E1612" s="14">
        <f>'Empleo Censo'!H1612</f>
        <v/>
      </c>
      <c r="F1612" s="14">
        <f>'Empleo Censo'!I1612</f>
        <v/>
      </c>
      <c r="G1612" s="14">
        <f>'Empleo Censo'!J1612+'Empleo Censo'!K1612</f>
        <v/>
      </c>
      <c r="H1612" s="14">
        <f>'Empleo Censo'!L1612</f>
        <v/>
      </c>
      <c r="I1612" s="14">
        <f>'Empleo Censo'!M1612</f>
        <v/>
      </c>
      <c r="J1612" s="14">
        <f>SUM('Empleo Censo'!N1612:AA1612)</f>
        <v/>
      </c>
      <c r="K1612" s="14">
        <f>SUM(C1612:J1612)</f>
        <v/>
      </c>
      <c r="L1612" s="15">
        <f>SUMPRODUCT(C1612:J1612,Factores!$B$3:$I$3)</f>
        <v/>
      </c>
      <c r="M1612" s="16">
        <f>'Empleo Censo'!E1612</f>
        <v/>
      </c>
      <c r="N1612" s="17">
        <f>IF(M1612&gt;0,L1612,Factores!$B$7)</f>
        <v/>
      </c>
      <c r="O1612">
        <f>IF(M1612&gt;0,"OK","sin PEA -&gt; peor")</f>
        <v/>
      </c>
    </row>
    <row r="1613">
      <c r="A1613" t="inlineStr">
        <is>
          <t>040512</t>
        </is>
      </c>
      <c r="B1613" t="inlineStr">
        <is>
          <t>MACA</t>
        </is>
      </c>
      <c r="C1613" s="14">
        <f>'Empleo Censo'!G1613-'Empleo Censo'!F1613</f>
        <v/>
      </c>
      <c r="D1613" s="14">
        <f>'Empleo Censo'!F1613</f>
        <v/>
      </c>
      <c r="E1613" s="14">
        <f>'Empleo Censo'!H1613</f>
        <v/>
      </c>
      <c r="F1613" s="14">
        <f>'Empleo Censo'!I1613</f>
        <v/>
      </c>
      <c r="G1613" s="14">
        <f>'Empleo Censo'!J1613+'Empleo Censo'!K1613</f>
        <v/>
      </c>
      <c r="H1613" s="14">
        <f>'Empleo Censo'!L1613</f>
        <v/>
      </c>
      <c r="I1613" s="14">
        <f>'Empleo Censo'!M1613</f>
        <v/>
      </c>
      <c r="J1613" s="14">
        <f>SUM('Empleo Censo'!N1613:AA1613)</f>
        <v/>
      </c>
      <c r="K1613" s="14">
        <f>SUM(C1613:J1613)</f>
        <v/>
      </c>
      <c r="L1613" s="15">
        <f>SUMPRODUCT(C1613:J1613,Factores!$B$3:$I$3)</f>
        <v/>
      </c>
      <c r="M1613" s="16">
        <f>'Empleo Censo'!E1613</f>
        <v/>
      </c>
      <c r="N1613" s="17">
        <f>IF(M1613&gt;0,L1613,Factores!$B$7)</f>
        <v/>
      </c>
      <c r="O1613">
        <f>IF(M1613&gt;0,"OK","sin PEA -&gt; peor")</f>
        <v/>
      </c>
    </row>
    <row r="1614">
      <c r="A1614" t="inlineStr">
        <is>
          <t>040203</t>
        </is>
      </c>
      <c r="B1614" t="inlineStr">
        <is>
          <t>MARIANO NICOLAS VALCARCEL</t>
        </is>
      </c>
      <c r="C1614" s="14">
        <f>'Empleo Censo'!G1614-'Empleo Censo'!F1614</f>
        <v/>
      </c>
      <c r="D1614" s="14">
        <f>'Empleo Censo'!F1614</f>
        <v/>
      </c>
      <c r="E1614" s="14">
        <f>'Empleo Censo'!H1614</f>
        <v/>
      </c>
      <c r="F1614" s="14">
        <f>'Empleo Censo'!I1614</f>
        <v/>
      </c>
      <c r="G1614" s="14">
        <f>'Empleo Censo'!J1614+'Empleo Censo'!K1614</f>
        <v/>
      </c>
      <c r="H1614" s="14">
        <f>'Empleo Censo'!L1614</f>
        <v/>
      </c>
      <c r="I1614" s="14">
        <f>'Empleo Censo'!M1614</f>
        <v/>
      </c>
      <c r="J1614" s="14">
        <f>SUM('Empleo Censo'!N1614:AA1614)</f>
        <v/>
      </c>
      <c r="K1614" s="14">
        <f>SUM(C1614:J1614)</f>
        <v/>
      </c>
      <c r="L1614" s="15">
        <f>SUMPRODUCT(C1614:J1614,Factores!$B$3:$I$3)</f>
        <v/>
      </c>
      <c r="M1614" s="16">
        <f>'Empleo Censo'!E1614</f>
        <v/>
      </c>
      <c r="N1614" s="17">
        <f>IF(M1614&gt;0,L1614,Factores!$B$7)</f>
        <v/>
      </c>
      <c r="O1614">
        <f>IF(M1614&gt;0,"OK","sin PEA -&gt; peor")</f>
        <v/>
      </c>
    </row>
    <row r="1615">
      <c r="A1615" t="inlineStr">
        <is>
          <t>051002</t>
        </is>
      </c>
      <c r="B1615" t="inlineStr">
        <is>
          <t>ALCAMENCA</t>
        </is>
      </c>
      <c r="C1615" s="14">
        <f>'Empleo Censo'!G1615-'Empleo Censo'!F1615</f>
        <v/>
      </c>
      <c r="D1615" s="14">
        <f>'Empleo Censo'!F1615</f>
        <v/>
      </c>
      <c r="E1615" s="14">
        <f>'Empleo Censo'!H1615</f>
        <v/>
      </c>
      <c r="F1615" s="14">
        <f>'Empleo Censo'!I1615</f>
        <v/>
      </c>
      <c r="G1615" s="14">
        <f>'Empleo Censo'!J1615+'Empleo Censo'!K1615</f>
        <v/>
      </c>
      <c r="H1615" s="14">
        <f>'Empleo Censo'!L1615</f>
        <v/>
      </c>
      <c r="I1615" s="14">
        <f>'Empleo Censo'!M1615</f>
        <v/>
      </c>
      <c r="J1615" s="14">
        <f>SUM('Empleo Censo'!N1615:AA1615)</f>
        <v/>
      </c>
      <c r="K1615" s="14">
        <f>SUM(C1615:J1615)</f>
        <v/>
      </c>
      <c r="L1615" s="15">
        <f>SUMPRODUCT(C1615:J1615,Factores!$B$3:$I$3)</f>
        <v/>
      </c>
      <c r="M1615" s="16">
        <f>'Empleo Censo'!E1615</f>
        <v/>
      </c>
      <c r="N1615" s="17">
        <f>IF(M1615&gt;0,L1615,Factores!$B$7)</f>
        <v/>
      </c>
      <c r="O1615">
        <f>IF(M1615&gt;0,"OK","sin PEA -&gt; peor")</f>
        <v/>
      </c>
    </row>
    <row r="1616">
      <c r="A1616" t="inlineStr">
        <is>
          <t>040511</t>
        </is>
      </c>
      <c r="B1616" t="inlineStr">
        <is>
          <t>LLUTA</t>
        </is>
      </c>
      <c r="C1616" s="14">
        <f>'Empleo Censo'!G1616-'Empleo Censo'!F1616</f>
        <v/>
      </c>
      <c r="D1616" s="14">
        <f>'Empleo Censo'!F1616</f>
        <v/>
      </c>
      <c r="E1616" s="14">
        <f>'Empleo Censo'!H1616</f>
        <v/>
      </c>
      <c r="F1616" s="14">
        <f>'Empleo Censo'!I1616</f>
        <v/>
      </c>
      <c r="G1616" s="14">
        <f>'Empleo Censo'!J1616+'Empleo Censo'!K1616</f>
        <v/>
      </c>
      <c r="H1616" s="14">
        <f>'Empleo Censo'!L1616</f>
        <v/>
      </c>
      <c r="I1616" s="14">
        <f>'Empleo Censo'!M1616</f>
        <v/>
      </c>
      <c r="J1616" s="14">
        <f>SUM('Empleo Censo'!N1616:AA1616)</f>
        <v/>
      </c>
      <c r="K1616" s="14">
        <f>SUM(C1616:J1616)</f>
        <v/>
      </c>
      <c r="L1616" s="15">
        <f>SUMPRODUCT(C1616:J1616,Factores!$B$3:$I$3)</f>
        <v/>
      </c>
      <c r="M1616" s="16">
        <f>'Empleo Censo'!E1616</f>
        <v/>
      </c>
      <c r="N1616" s="17">
        <f>IF(M1616&gt;0,L1616,Factores!$B$7)</f>
        <v/>
      </c>
      <c r="O1616">
        <f>IF(M1616&gt;0,"OK","sin PEA -&gt; peor")</f>
        <v/>
      </c>
    </row>
    <row r="1617">
      <c r="A1617" t="inlineStr">
        <is>
          <t>020108</t>
        </is>
      </c>
      <c r="B1617" t="inlineStr">
        <is>
          <t>OLLEROS</t>
        </is>
      </c>
      <c r="C1617" s="14">
        <f>'Empleo Censo'!G1617-'Empleo Censo'!F1617</f>
        <v/>
      </c>
      <c r="D1617" s="14">
        <f>'Empleo Censo'!F1617</f>
        <v/>
      </c>
      <c r="E1617" s="14">
        <f>'Empleo Censo'!H1617</f>
        <v/>
      </c>
      <c r="F1617" s="14">
        <f>'Empleo Censo'!I1617</f>
        <v/>
      </c>
      <c r="G1617" s="14">
        <f>'Empleo Censo'!J1617+'Empleo Censo'!K1617</f>
        <v/>
      </c>
      <c r="H1617" s="14">
        <f>'Empleo Censo'!L1617</f>
        <v/>
      </c>
      <c r="I1617" s="14">
        <f>'Empleo Censo'!M1617</f>
        <v/>
      </c>
      <c r="J1617" s="14">
        <f>SUM('Empleo Censo'!N1617:AA1617)</f>
        <v/>
      </c>
      <c r="K1617" s="14">
        <f>SUM(C1617:J1617)</f>
        <v/>
      </c>
      <c r="L1617" s="15">
        <f>SUMPRODUCT(C1617:J1617,Factores!$B$3:$I$3)</f>
        <v/>
      </c>
      <c r="M1617" s="16">
        <f>'Empleo Censo'!E1617</f>
        <v/>
      </c>
      <c r="N1617" s="17">
        <f>IF(M1617&gt;0,L1617,Factores!$B$7)</f>
        <v/>
      </c>
      <c r="O1617">
        <f>IF(M1617&gt;0,"OK","sin PEA -&gt; peor")</f>
        <v/>
      </c>
    </row>
    <row r="1618">
      <c r="A1618" t="inlineStr">
        <is>
          <t>010104</t>
        </is>
      </c>
      <c r="B1618" t="inlineStr">
        <is>
          <t>CHETO</t>
        </is>
      </c>
      <c r="C1618" s="14">
        <f>'Empleo Censo'!G1618-'Empleo Censo'!F1618</f>
        <v/>
      </c>
      <c r="D1618" s="14">
        <f>'Empleo Censo'!F1618</f>
        <v/>
      </c>
      <c r="E1618" s="14">
        <f>'Empleo Censo'!H1618</f>
        <v/>
      </c>
      <c r="F1618" s="14">
        <f>'Empleo Censo'!I1618</f>
        <v/>
      </c>
      <c r="G1618" s="14">
        <f>'Empleo Censo'!J1618+'Empleo Censo'!K1618</f>
        <v/>
      </c>
      <c r="H1618" s="14">
        <f>'Empleo Censo'!L1618</f>
        <v/>
      </c>
      <c r="I1618" s="14">
        <f>'Empleo Censo'!M1618</f>
        <v/>
      </c>
      <c r="J1618" s="14">
        <f>SUM('Empleo Censo'!N1618:AA1618)</f>
        <v/>
      </c>
      <c r="K1618" s="14">
        <f>SUM(C1618:J1618)</f>
        <v/>
      </c>
      <c r="L1618" s="15">
        <f>SUMPRODUCT(C1618:J1618,Factores!$B$3:$I$3)</f>
        <v/>
      </c>
      <c r="M1618" s="16">
        <f>'Empleo Censo'!E1618</f>
        <v/>
      </c>
      <c r="N1618" s="17">
        <f>IF(M1618&gt;0,L1618,Factores!$B$7)</f>
        <v/>
      </c>
      <c r="O1618">
        <f>IF(M1618&gt;0,"OK","sin PEA -&gt; peor")</f>
        <v/>
      </c>
    </row>
    <row r="1619">
      <c r="A1619" t="inlineStr">
        <is>
          <t>040110</t>
        </is>
      </c>
      <c r="B1619" t="inlineStr">
        <is>
          <t>MIRAFLORES</t>
        </is>
      </c>
      <c r="C1619" s="14">
        <f>'Empleo Censo'!G1619-'Empleo Censo'!F1619</f>
        <v/>
      </c>
      <c r="D1619" s="14">
        <f>'Empleo Censo'!F1619</f>
        <v/>
      </c>
      <c r="E1619" s="14">
        <f>'Empleo Censo'!H1619</f>
        <v/>
      </c>
      <c r="F1619" s="14">
        <f>'Empleo Censo'!I1619</f>
        <v/>
      </c>
      <c r="G1619" s="14">
        <f>'Empleo Censo'!J1619+'Empleo Censo'!K1619</f>
        <v/>
      </c>
      <c r="H1619" s="14">
        <f>'Empleo Censo'!L1619</f>
        <v/>
      </c>
      <c r="I1619" s="14">
        <f>'Empleo Censo'!M1619</f>
        <v/>
      </c>
      <c r="J1619" s="14">
        <f>SUM('Empleo Censo'!N1619:AA1619)</f>
        <v/>
      </c>
      <c r="K1619" s="14">
        <f>SUM(C1619:J1619)</f>
        <v/>
      </c>
      <c r="L1619" s="15">
        <f>SUMPRODUCT(C1619:J1619,Factores!$B$3:$I$3)</f>
        <v/>
      </c>
      <c r="M1619" s="16">
        <f>'Empleo Censo'!E1619</f>
        <v/>
      </c>
      <c r="N1619" s="17">
        <f>IF(M1619&gt;0,L1619,Factores!$B$7)</f>
        <v/>
      </c>
      <c r="O1619">
        <f>IF(M1619&gt;0,"OK","sin PEA -&gt; peor")</f>
        <v/>
      </c>
    </row>
    <row r="1620">
      <c r="A1620" t="inlineStr">
        <is>
          <t>040306</t>
        </is>
      </c>
      <c r="B1620" t="inlineStr">
        <is>
          <t>CAHUACHO</t>
        </is>
      </c>
      <c r="C1620" s="14">
        <f>'Empleo Censo'!G1620-'Empleo Censo'!F1620</f>
        <v/>
      </c>
      <c r="D1620" s="14">
        <f>'Empleo Censo'!F1620</f>
        <v/>
      </c>
      <c r="E1620" s="14">
        <f>'Empleo Censo'!H1620</f>
        <v/>
      </c>
      <c r="F1620" s="14">
        <f>'Empleo Censo'!I1620</f>
        <v/>
      </c>
      <c r="G1620" s="14">
        <f>'Empleo Censo'!J1620+'Empleo Censo'!K1620</f>
        <v/>
      </c>
      <c r="H1620" s="14">
        <f>'Empleo Censo'!L1620</f>
        <v/>
      </c>
      <c r="I1620" s="14">
        <f>'Empleo Censo'!M1620</f>
        <v/>
      </c>
      <c r="J1620" s="14">
        <f>SUM('Empleo Censo'!N1620:AA1620)</f>
        <v/>
      </c>
      <c r="K1620" s="14">
        <f>SUM(C1620:J1620)</f>
        <v/>
      </c>
      <c r="L1620" s="15">
        <f>SUMPRODUCT(C1620:J1620,Factores!$B$3:$I$3)</f>
        <v/>
      </c>
      <c r="M1620" s="16">
        <f>'Empleo Censo'!E1620</f>
        <v/>
      </c>
      <c r="N1620" s="17">
        <f>IF(M1620&gt;0,L1620,Factores!$B$7)</f>
        <v/>
      </c>
      <c r="O1620">
        <f>IF(M1620&gt;0,"OK","sin PEA -&gt; peor")</f>
        <v/>
      </c>
    </row>
    <row r="1621">
      <c r="A1621" t="inlineStr">
        <is>
          <t>030211</t>
        </is>
      </c>
      <c r="B1621" t="inlineStr">
        <is>
          <t>POMACOCHA</t>
        </is>
      </c>
      <c r="C1621" s="14">
        <f>'Empleo Censo'!G1621-'Empleo Censo'!F1621</f>
        <v/>
      </c>
      <c r="D1621" s="14">
        <f>'Empleo Censo'!F1621</f>
        <v/>
      </c>
      <c r="E1621" s="14">
        <f>'Empleo Censo'!H1621</f>
        <v/>
      </c>
      <c r="F1621" s="14">
        <f>'Empleo Censo'!I1621</f>
        <v/>
      </c>
      <c r="G1621" s="14">
        <f>'Empleo Censo'!J1621+'Empleo Censo'!K1621</f>
        <v/>
      </c>
      <c r="H1621" s="14">
        <f>'Empleo Censo'!L1621</f>
        <v/>
      </c>
      <c r="I1621" s="14">
        <f>'Empleo Censo'!M1621</f>
        <v/>
      </c>
      <c r="J1621" s="14">
        <f>SUM('Empleo Censo'!N1621:AA1621)</f>
        <v/>
      </c>
      <c r="K1621" s="14">
        <f>SUM(C1621:J1621)</f>
        <v/>
      </c>
      <c r="L1621" s="15">
        <f>SUMPRODUCT(C1621:J1621,Factores!$B$3:$I$3)</f>
        <v/>
      </c>
      <c r="M1621" s="16">
        <f>'Empleo Censo'!E1621</f>
        <v/>
      </c>
      <c r="N1621" s="17">
        <f>IF(M1621&gt;0,L1621,Factores!$B$7)</f>
        <v/>
      </c>
      <c r="O1621">
        <f>IF(M1621&gt;0,"OK","sin PEA -&gt; peor")</f>
        <v/>
      </c>
    </row>
    <row r="1622">
      <c r="A1622" t="inlineStr">
        <is>
          <t>081306</t>
        </is>
      </c>
      <c r="B1622" t="inlineStr">
        <is>
          <t>OLLANTAYTAMBO</t>
        </is>
      </c>
      <c r="C1622" s="14">
        <f>'Empleo Censo'!G1622-'Empleo Censo'!F1622</f>
        <v/>
      </c>
      <c r="D1622" s="14">
        <f>'Empleo Censo'!F1622</f>
        <v/>
      </c>
      <c r="E1622" s="14">
        <f>'Empleo Censo'!H1622</f>
        <v/>
      </c>
      <c r="F1622" s="14">
        <f>'Empleo Censo'!I1622</f>
        <v/>
      </c>
      <c r="G1622" s="14">
        <f>'Empleo Censo'!J1622+'Empleo Censo'!K1622</f>
        <v/>
      </c>
      <c r="H1622" s="14">
        <f>'Empleo Censo'!L1622</f>
        <v/>
      </c>
      <c r="I1622" s="14">
        <f>'Empleo Censo'!M1622</f>
        <v/>
      </c>
      <c r="J1622" s="14">
        <f>SUM('Empleo Censo'!N1622:AA1622)</f>
        <v/>
      </c>
      <c r="K1622" s="14">
        <f>SUM(C1622:J1622)</f>
        <v/>
      </c>
      <c r="L1622" s="15">
        <f>SUMPRODUCT(C1622:J1622,Factores!$B$3:$I$3)</f>
        <v/>
      </c>
      <c r="M1622" s="16">
        <f>'Empleo Censo'!E1622</f>
        <v/>
      </c>
      <c r="N1622" s="17">
        <f>IF(M1622&gt;0,L1622,Factores!$B$7)</f>
        <v/>
      </c>
      <c r="O1622">
        <f>IF(M1622&gt;0,"OK","sin PEA -&gt; peor")</f>
        <v/>
      </c>
    </row>
    <row r="1623">
      <c r="A1623" t="inlineStr">
        <is>
          <t>030405</t>
        </is>
      </c>
      <c r="B1623" t="inlineStr">
        <is>
          <t>COLCABAMBA</t>
        </is>
      </c>
      <c r="C1623" s="14">
        <f>'Empleo Censo'!G1623-'Empleo Censo'!F1623</f>
        <v/>
      </c>
      <c r="D1623" s="14">
        <f>'Empleo Censo'!F1623</f>
        <v/>
      </c>
      <c r="E1623" s="14">
        <f>'Empleo Censo'!H1623</f>
        <v/>
      </c>
      <c r="F1623" s="14">
        <f>'Empleo Censo'!I1623</f>
        <v/>
      </c>
      <c r="G1623" s="14">
        <f>'Empleo Censo'!J1623+'Empleo Censo'!K1623</f>
        <v/>
      </c>
      <c r="H1623" s="14">
        <f>'Empleo Censo'!L1623</f>
        <v/>
      </c>
      <c r="I1623" s="14">
        <f>'Empleo Censo'!M1623</f>
        <v/>
      </c>
      <c r="J1623" s="14">
        <f>SUM('Empleo Censo'!N1623:AA1623)</f>
        <v/>
      </c>
      <c r="K1623" s="14">
        <f>SUM(C1623:J1623)</f>
        <v/>
      </c>
      <c r="L1623" s="15">
        <f>SUMPRODUCT(C1623:J1623,Factores!$B$3:$I$3)</f>
        <v/>
      </c>
      <c r="M1623" s="16">
        <f>'Empleo Censo'!E1623</f>
        <v/>
      </c>
      <c r="N1623" s="17">
        <f>IF(M1623&gt;0,L1623,Factores!$B$7)</f>
        <v/>
      </c>
      <c r="O1623">
        <f>IF(M1623&gt;0,"OK","sin PEA -&gt; peor")</f>
        <v/>
      </c>
    </row>
    <row r="1624">
      <c r="A1624" t="inlineStr">
        <is>
          <t>030217</t>
        </is>
      </c>
      <c r="B1624" t="inlineStr">
        <is>
          <t>TUMAY HUARACA</t>
        </is>
      </c>
      <c r="C1624" s="14">
        <f>'Empleo Censo'!G1624-'Empleo Censo'!F1624</f>
        <v/>
      </c>
      <c r="D1624" s="14">
        <f>'Empleo Censo'!F1624</f>
        <v/>
      </c>
      <c r="E1624" s="14">
        <f>'Empleo Censo'!H1624</f>
        <v/>
      </c>
      <c r="F1624" s="14">
        <f>'Empleo Censo'!I1624</f>
        <v/>
      </c>
      <c r="G1624" s="14">
        <f>'Empleo Censo'!J1624+'Empleo Censo'!K1624</f>
        <v/>
      </c>
      <c r="H1624" s="14">
        <f>'Empleo Censo'!L1624</f>
        <v/>
      </c>
      <c r="I1624" s="14">
        <f>'Empleo Censo'!M1624</f>
        <v/>
      </c>
      <c r="J1624" s="14">
        <f>SUM('Empleo Censo'!N1624:AA1624)</f>
        <v/>
      </c>
      <c r="K1624" s="14">
        <f>SUM(C1624:J1624)</f>
        <v/>
      </c>
      <c r="L1624" s="15">
        <f>SUMPRODUCT(C1624:J1624,Factores!$B$3:$I$3)</f>
        <v/>
      </c>
      <c r="M1624" s="16">
        <f>'Empleo Censo'!E1624</f>
        <v/>
      </c>
      <c r="N1624" s="17">
        <f>IF(M1624&gt;0,L1624,Factores!$B$7)</f>
        <v/>
      </c>
      <c r="O1624">
        <f>IF(M1624&gt;0,"OK","sin PEA -&gt; peor")</f>
        <v/>
      </c>
    </row>
    <row r="1625">
      <c r="A1625" t="inlineStr">
        <is>
          <t>030403</t>
        </is>
      </c>
      <c r="B1625" t="inlineStr">
        <is>
          <t>CARAYBAMBA</t>
        </is>
      </c>
      <c r="C1625" s="14">
        <f>'Empleo Censo'!G1625-'Empleo Censo'!F1625</f>
        <v/>
      </c>
      <c r="D1625" s="14">
        <f>'Empleo Censo'!F1625</f>
        <v/>
      </c>
      <c r="E1625" s="14">
        <f>'Empleo Censo'!H1625</f>
        <v/>
      </c>
      <c r="F1625" s="14">
        <f>'Empleo Censo'!I1625</f>
        <v/>
      </c>
      <c r="G1625" s="14">
        <f>'Empleo Censo'!J1625+'Empleo Censo'!K1625</f>
        <v/>
      </c>
      <c r="H1625" s="14">
        <f>'Empleo Censo'!L1625</f>
        <v/>
      </c>
      <c r="I1625" s="14">
        <f>'Empleo Censo'!M1625</f>
        <v/>
      </c>
      <c r="J1625" s="14">
        <f>SUM('Empleo Censo'!N1625:AA1625)</f>
        <v/>
      </c>
      <c r="K1625" s="14">
        <f>SUM(C1625:J1625)</f>
        <v/>
      </c>
      <c r="L1625" s="15">
        <f>SUMPRODUCT(C1625:J1625,Factores!$B$3:$I$3)</f>
        <v/>
      </c>
      <c r="M1625" s="16">
        <f>'Empleo Censo'!E1625</f>
        <v/>
      </c>
      <c r="N1625" s="17">
        <f>IF(M1625&gt;0,L1625,Factores!$B$7)</f>
        <v/>
      </c>
      <c r="O1625">
        <f>IF(M1625&gt;0,"OK","sin PEA -&gt; peor")</f>
        <v/>
      </c>
    </row>
    <row r="1626">
      <c r="A1626" t="inlineStr">
        <is>
          <t>010403</t>
        </is>
      </c>
      <c r="B1626" t="inlineStr">
        <is>
          <t>RIO SANTIAGO</t>
        </is>
      </c>
      <c r="C1626" s="14">
        <f>'Empleo Censo'!G1626-'Empleo Censo'!F1626</f>
        <v/>
      </c>
      <c r="D1626" s="14">
        <f>'Empleo Censo'!F1626</f>
        <v/>
      </c>
      <c r="E1626" s="14">
        <f>'Empleo Censo'!H1626</f>
        <v/>
      </c>
      <c r="F1626" s="14">
        <f>'Empleo Censo'!I1626</f>
        <v/>
      </c>
      <c r="G1626" s="14">
        <f>'Empleo Censo'!J1626+'Empleo Censo'!K1626</f>
        <v/>
      </c>
      <c r="H1626" s="14">
        <f>'Empleo Censo'!L1626</f>
        <v/>
      </c>
      <c r="I1626" s="14">
        <f>'Empleo Censo'!M1626</f>
        <v/>
      </c>
      <c r="J1626" s="14">
        <f>SUM('Empleo Censo'!N1626:AA1626)</f>
        <v/>
      </c>
      <c r="K1626" s="14">
        <f>SUM(C1626:J1626)</f>
        <v/>
      </c>
      <c r="L1626" s="15">
        <f>SUMPRODUCT(C1626:J1626,Factores!$B$3:$I$3)</f>
        <v/>
      </c>
      <c r="M1626" s="16">
        <f>'Empleo Censo'!E1626</f>
        <v/>
      </c>
      <c r="N1626" s="17">
        <f>IF(M1626&gt;0,L1626,Factores!$B$7)</f>
        <v/>
      </c>
      <c r="O1626">
        <f>IF(M1626&gt;0,"OK","sin PEA -&gt; peor")</f>
        <v/>
      </c>
    </row>
    <row r="1627">
      <c r="A1627" t="inlineStr">
        <is>
          <t>061308</t>
        </is>
      </c>
      <c r="B1627" t="inlineStr">
        <is>
          <t>SAUCEPAMPA</t>
        </is>
      </c>
      <c r="C1627" s="14">
        <f>'Empleo Censo'!G1627-'Empleo Censo'!F1627</f>
        <v/>
      </c>
      <c r="D1627" s="14">
        <f>'Empleo Censo'!F1627</f>
        <v/>
      </c>
      <c r="E1627" s="14">
        <f>'Empleo Censo'!H1627</f>
        <v/>
      </c>
      <c r="F1627" s="14">
        <f>'Empleo Censo'!I1627</f>
        <v/>
      </c>
      <c r="G1627" s="14">
        <f>'Empleo Censo'!J1627+'Empleo Censo'!K1627</f>
        <v/>
      </c>
      <c r="H1627" s="14">
        <f>'Empleo Censo'!L1627</f>
        <v/>
      </c>
      <c r="I1627" s="14">
        <f>'Empleo Censo'!M1627</f>
        <v/>
      </c>
      <c r="J1627" s="14">
        <f>SUM('Empleo Censo'!N1627:AA1627)</f>
        <v/>
      </c>
      <c r="K1627" s="14">
        <f>SUM(C1627:J1627)</f>
        <v/>
      </c>
      <c r="L1627" s="15">
        <f>SUMPRODUCT(C1627:J1627,Factores!$B$3:$I$3)</f>
        <v/>
      </c>
      <c r="M1627" s="16">
        <f>'Empleo Censo'!E1627</f>
        <v/>
      </c>
      <c r="N1627" s="17">
        <f>IF(M1627&gt;0,L1627,Factores!$B$7)</f>
        <v/>
      </c>
      <c r="O1627">
        <f>IF(M1627&gt;0,"OK","sin PEA -&gt; peor")</f>
        <v/>
      </c>
    </row>
    <row r="1628">
      <c r="A1628" t="inlineStr">
        <is>
          <t>020603</t>
        </is>
      </c>
      <c r="B1628" t="inlineStr">
        <is>
          <t>AMASHCA</t>
        </is>
      </c>
      <c r="C1628" s="14">
        <f>'Empleo Censo'!G1628-'Empleo Censo'!F1628</f>
        <v/>
      </c>
      <c r="D1628" s="14">
        <f>'Empleo Censo'!F1628</f>
        <v/>
      </c>
      <c r="E1628" s="14">
        <f>'Empleo Censo'!H1628</f>
        <v/>
      </c>
      <c r="F1628" s="14">
        <f>'Empleo Censo'!I1628</f>
        <v/>
      </c>
      <c r="G1628" s="14">
        <f>'Empleo Censo'!J1628+'Empleo Censo'!K1628</f>
        <v/>
      </c>
      <c r="H1628" s="14">
        <f>'Empleo Censo'!L1628</f>
        <v/>
      </c>
      <c r="I1628" s="14">
        <f>'Empleo Censo'!M1628</f>
        <v/>
      </c>
      <c r="J1628" s="14">
        <f>SUM('Empleo Censo'!N1628:AA1628)</f>
        <v/>
      </c>
      <c r="K1628" s="14">
        <f>SUM(C1628:J1628)</f>
        <v/>
      </c>
      <c r="L1628" s="15">
        <f>SUMPRODUCT(C1628:J1628,Factores!$B$3:$I$3)</f>
        <v/>
      </c>
      <c r="M1628" s="16">
        <f>'Empleo Censo'!E1628</f>
        <v/>
      </c>
      <c r="N1628" s="17">
        <f>IF(M1628&gt;0,L1628,Factores!$B$7)</f>
        <v/>
      </c>
      <c r="O1628">
        <f>IF(M1628&gt;0,"OK","sin PEA -&gt; peor")</f>
        <v/>
      </c>
    </row>
    <row r="1629">
      <c r="A1629" t="inlineStr">
        <is>
          <t>080309</t>
        </is>
      </c>
      <c r="B1629" t="inlineStr">
        <is>
          <t>ZURITE</t>
        </is>
      </c>
      <c r="C1629" s="14">
        <f>'Empleo Censo'!G1629-'Empleo Censo'!F1629</f>
        <v/>
      </c>
      <c r="D1629" s="14">
        <f>'Empleo Censo'!F1629</f>
        <v/>
      </c>
      <c r="E1629" s="14">
        <f>'Empleo Censo'!H1629</f>
        <v/>
      </c>
      <c r="F1629" s="14">
        <f>'Empleo Censo'!I1629</f>
        <v/>
      </c>
      <c r="G1629" s="14">
        <f>'Empleo Censo'!J1629+'Empleo Censo'!K1629</f>
        <v/>
      </c>
      <c r="H1629" s="14">
        <f>'Empleo Censo'!L1629</f>
        <v/>
      </c>
      <c r="I1629" s="14">
        <f>'Empleo Censo'!M1629</f>
        <v/>
      </c>
      <c r="J1629" s="14">
        <f>SUM('Empleo Censo'!N1629:AA1629)</f>
        <v/>
      </c>
      <c r="K1629" s="14">
        <f>SUM(C1629:J1629)</f>
        <v/>
      </c>
      <c r="L1629" s="15">
        <f>SUMPRODUCT(C1629:J1629,Factores!$B$3:$I$3)</f>
        <v/>
      </c>
      <c r="M1629" s="16">
        <f>'Empleo Censo'!E1629</f>
        <v/>
      </c>
      <c r="N1629" s="17">
        <f>IF(M1629&gt;0,L1629,Factores!$B$7)</f>
        <v/>
      </c>
      <c r="O1629">
        <f>IF(M1629&gt;0,"OK","sin PEA -&gt; peor")</f>
        <v/>
      </c>
    </row>
    <row r="1630">
      <c r="A1630" t="inlineStr">
        <is>
          <t>080106</t>
        </is>
      </c>
      <c r="B1630" t="inlineStr">
        <is>
          <t>SANTIAGO</t>
        </is>
      </c>
      <c r="C1630" s="14">
        <f>'Empleo Censo'!G1630-'Empleo Censo'!F1630</f>
        <v/>
      </c>
      <c r="D1630" s="14">
        <f>'Empleo Censo'!F1630</f>
        <v/>
      </c>
      <c r="E1630" s="14">
        <f>'Empleo Censo'!H1630</f>
        <v/>
      </c>
      <c r="F1630" s="14">
        <f>'Empleo Censo'!I1630</f>
        <v/>
      </c>
      <c r="G1630" s="14">
        <f>'Empleo Censo'!J1630+'Empleo Censo'!K1630</f>
        <v/>
      </c>
      <c r="H1630" s="14">
        <f>'Empleo Censo'!L1630</f>
        <v/>
      </c>
      <c r="I1630" s="14">
        <f>'Empleo Censo'!M1630</f>
        <v/>
      </c>
      <c r="J1630" s="14">
        <f>SUM('Empleo Censo'!N1630:AA1630)</f>
        <v/>
      </c>
      <c r="K1630" s="14">
        <f>SUM(C1630:J1630)</f>
        <v/>
      </c>
      <c r="L1630" s="15">
        <f>SUMPRODUCT(C1630:J1630,Factores!$B$3:$I$3)</f>
        <v/>
      </c>
      <c r="M1630" s="16">
        <f>'Empleo Censo'!E1630</f>
        <v/>
      </c>
      <c r="N1630" s="17">
        <f>IF(M1630&gt;0,L1630,Factores!$B$7)</f>
        <v/>
      </c>
      <c r="O1630">
        <f>IF(M1630&gt;0,"OK","sin PEA -&gt; peor")</f>
        <v/>
      </c>
    </row>
    <row r="1631">
      <c r="A1631" t="inlineStr">
        <is>
          <t>021407</t>
        </is>
      </c>
      <c r="B1631" t="inlineStr">
        <is>
          <t>LLIPA</t>
        </is>
      </c>
      <c r="C1631" s="14">
        <f>'Empleo Censo'!G1631-'Empleo Censo'!F1631</f>
        <v/>
      </c>
      <c r="D1631" s="14">
        <f>'Empleo Censo'!F1631</f>
        <v/>
      </c>
      <c r="E1631" s="14">
        <f>'Empleo Censo'!H1631</f>
        <v/>
      </c>
      <c r="F1631" s="14">
        <f>'Empleo Censo'!I1631</f>
        <v/>
      </c>
      <c r="G1631" s="14">
        <f>'Empleo Censo'!J1631+'Empleo Censo'!K1631</f>
        <v/>
      </c>
      <c r="H1631" s="14">
        <f>'Empleo Censo'!L1631</f>
        <v/>
      </c>
      <c r="I1631" s="14">
        <f>'Empleo Censo'!M1631</f>
        <v/>
      </c>
      <c r="J1631" s="14">
        <f>SUM('Empleo Censo'!N1631:AA1631)</f>
        <v/>
      </c>
      <c r="K1631" s="14">
        <f>SUM(C1631:J1631)</f>
        <v/>
      </c>
      <c r="L1631" s="15">
        <f>SUMPRODUCT(C1631:J1631,Factores!$B$3:$I$3)</f>
        <v/>
      </c>
      <c r="M1631" s="16">
        <f>'Empleo Censo'!E1631</f>
        <v/>
      </c>
      <c r="N1631" s="17">
        <f>IF(M1631&gt;0,L1631,Factores!$B$7)</f>
        <v/>
      </c>
      <c r="O1631">
        <f>IF(M1631&gt;0,"OK","sin PEA -&gt; peor")</f>
        <v/>
      </c>
    </row>
    <row r="1632">
      <c r="A1632" t="inlineStr">
        <is>
          <t>040106</t>
        </is>
      </c>
      <c r="B1632" t="inlineStr">
        <is>
          <t>CHIGUATA</t>
        </is>
      </c>
      <c r="C1632" s="14">
        <f>'Empleo Censo'!G1632-'Empleo Censo'!F1632</f>
        <v/>
      </c>
      <c r="D1632" s="14">
        <f>'Empleo Censo'!F1632</f>
        <v/>
      </c>
      <c r="E1632" s="14">
        <f>'Empleo Censo'!H1632</f>
        <v/>
      </c>
      <c r="F1632" s="14">
        <f>'Empleo Censo'!I1632</f>
        <v/>
      </c>
      <c r="G1632" s="14">
        <f>'Empleo Censo'!J1632+'Empleo Censo'!K1632</f>
        <v/>
      </c>
      <c r="H1632" s="14">
        <f>'Empleo Censo'!L1632</f>
        <v/>
      </c>
      <c r="I1632" s="14">
        <f>'Empleo Censo'!M1632</f>
        <v/>
      </c>
      <c r="J1632" s="14">
        <f>SUM('Empleo Censo'!N1632:AA1632)</f>
        <v/>
      </c>
      <c r="K1632" s="14">
        <f>SUM(C1632:J1632)</f>
        <v/>
      </c>
      <c r="L1632" s="15">
        <f>SUMPRODUCT(C1632:J1632,Factores!$B$3:$I$3)</f>
        <v/>
      </c>
      <c r="M1632" s="16">
        <f>'Empleo Censo'!E1632</f>
        <v/>
      </c>
      <c r="N1632" s="17">
        <f>IF(M1632&gt;0,L1632,Factores!$B$7)</f>
        <v/>
      </c>
      <c r="O1632">
        <f>IF(M1632&gt;0,"OK","sin PEA -&gt; peor")</f>
        <v/>
      </c>
    </row>
    <row r="1633">
      <c r="A1633" t="inlineStr">
        <is>
          <t>040503</t>
        </is>
      </c>
      <c r="B1633" t="inlineStr">
        <is>
          <t>CABANACONDE</t>
        </is>
      </c>
      <c r="C1633" s="14">
        <f>'Empleo Censo'!G1633-'Empleo Censo'!F1633</f>
        <v/>
      </c>
      <c r="D1633" s="14">
        <f>'Empleo Censo'!F1633</f>
        <v/>
      </c>
      <c r="E1633" s="14">
        <f>'Empleo Censo'!H1633</f>
        <v/>
      </c>
      <c r="F1633" s="14">
        <f>'Empleo Censo'!I1633</f>
        <v/>
      </c>
      <c r="G1633" s="14">
        <f>'Empleo Censo'!J1633+'Empleo Censo'!K1633</f>
        <v/>
      </c>
      <c r="H1633" s="14">
        <f>'Empleo Censo'!L1633</f>
        <v/>
      </c>
      <c r="I1633" s="14">
        <f>'Empleo Censo'!M1633</f>
        <v/>
      </c>
      <c r="J1633" s="14">
        <f>SUM('Empleo Censo'!N1633:AA1633)</f>
        <v/>
      </c>
      <c r="K1633" s="14">
        <f>SUM(C1633:J1633)</f>
        <v/>
      </c>
      <c r="L1633" s="15">
        <f>SUMPRODUCT(C1633:J1633,Factores!$B$3:$I$3)</f>
        <v/>
      </c>
      <c r="M1633" s="16">
        <f>'Empleo Censo'!E1633</f>
        <v/>
      </c>
      <c r="N1633" s="17">
        <f>IF(M1633&gt;0,L1633,Factores!$B$7)</f>
        <v/>
      </c>
      <c r="O1633">
        <f>IF(M1633&gt;0,"OK","sin PEA -&gt; peor")</f>
        <v/>
      </c>
    </row>
    <row r="1634">
      <c r="A1634" t="inlineStr">
        <is>
          <t>040518</t>
        </is>
      </c>
      <c r="B1634" t="inlineStr">
        <is>
          <t>TUTI</t>
        </is>
      </c>
      <c r="C1634" s="14">
        <f>'Empleo Censo'!G1634-'Empleo Censo'!F1634</f>
        <v/>
      </c>
      <c r="D1634" s="14">
        <f>'Empleo Censo'!F1634</f>
        <v/>
      </c>
      <c r="E1634" s="14">
        <f>'Empleo Censo'!H1634</f>
        <v/>
      </c>
      <c r="F1634" s="14">
        <f>'Empleo Censo'!I1634</f>
        <v/>
      </c>
      <c r="G1634" s="14">
        <f>'Empleo Censo'!J1634+'Empleo Censo'!K1634</f>
        <v/>
      </c>
      <c r="H1634" s="14">
        <f>'Empleo Censo'!L1634</f>
        <v/>
      </c>
      <c r="I1634" s="14">
        <f>'Empleo Censo'!M1634</f>
        <v/>
      </c>
      <c r="J1634" s="14">
        <f>SUM('Empleo Censo'!N1634:AA1634)</f>
        <v/>
      </c>
      <c r="K1634" s="14">
        <f>SUM(C1634:J1634)</f>
        <v/>
      </c>
      <c r="L1634" s="15">
        <f>SUMPRODUCT(C1634:J1634,Factores!$B$3:$I$3)</f>
        <v/>
      </c>
      <c r="M1634" s="16">
        <f>'Empleo Censo'!E1634</f>
        <v/>
      </c>
      <c r="N1634" s="17">
        <f>IF(M1634&gt;0,L1634,Factores!$B$7)</f>
        <v/>
      </c>
      <c r="O1634">
        <f>IF(M1634&gt;0,"OK","sin PEA -&gt; peor")</f>
        <v/>
      </c>
    </row>
    <row r="1635">
      <c r="A1635" t="inlineStr">
        <is>
          <t>050809</t>
        </is>
      </c>
      <c r="B1635" t="inlineStr">
        <is>
          <t>SAN JOSE DE USHUA</t>
        </is>
      </c>
      <c r="C1635" s="14">
        <f>'Empleo Censo'!G1635-'Empleo Censo'!F1635</f>
        <v/>
      </c>
      <c r="D1635" s="14">
        <f>'Empleo Censo'!F1635</f>
        <v/>
      </c>
      <c r="E1635" s="14">
        <f>'Empleo Censo'!H1635</f>
        <v/>
      </c>
      <c r="F1635" s="14">
        <f>'Empleo Censo'!I1635</f>
        <v/>
      </c>
      <c r="G1635" s="14">
        <f>'Empleo Censo'!J1635+'Empleo Censo'!K1635</f>
        <v/>
      </c>
      <c r="H1635" s="14">
        <f>'Empleo Censo'!L1635</f>
        <v/>
      </c>
      <c r="I1635" s="14">
        <f>'Empleo Censo'!M1635</f>
        <v/>
      </c>
      <c r="J1635" s="14">
        <f>SUM('Empleo Censo'!N1635:AA1635)</f>
        <v/>
      </c>
      <c r="K1635" s="14">
        <f>SUM(C1635:J1635)</f>
        <v/>
      </c>
      <c r="L1635" s="15">
        <f>SUMPRODUCT(C1635:J1635,Factores!$B$3:$I$3)</f>
        <v/>
      </c>
      <c r="M1635" s="16">
        <f>'Empleo Censo'!E1635</f>
        <v/>
      </c>
      <c r="N1635" s="17">
        <f>IF(M1635&gt;0,L1635,Factores!$B$7)</f>
        <v/>
      </c>
      <c r="O1635">
        <f>IF(M1635&gt;0,"OK","sin PEA -&gt; peor")</f>
        <v/>
      </c>
    </row>
    <row r="1636">
      <c r="A1636" t="inlineStr">
        <is>
          <t>050610</t>
        </is>
      </c>
      <c r="B1636" t="inlineStr">
        <is>
          <t>LLAUTA</t>
        </is>
      </c>
      <c r="C1636" s="14">
        <f>'Empleo Censo'!G1636-'Empleo Censo'!F1636</f>
        <v/>
      </c>
      <c r="D1636" s="14">
        <f>'Empleo Censo'!F1636</f>
        <v/>
      </c>
      <c r="E1636" s="14">
        <f>'Empleo Censo'!H1636</f>
        <v/>
      </c>
      <c r="F1636" s="14">
        <f>'Empleo Censo'!I1636</f>
        <v/>
      </c>
      <c r="G1636" s="14">
        <f>'Empleo Censo'!J1636+'Empleo Censo'!K1636</f>
        <v/>
      </c>
      <c r="H1636" s="14">
        <f>'Empleo Censo'!L1636</f>
        <v/>
      </c>
      <c r="I1636" s="14">
        <f>'Empleo Censo'!M1636</f>
        <v/>
      </c>
      <c r="J1636" s="14">
        <f>SUM('Empleo Censo'!N1636:AA1636)</f>
        <v/>
      </c>
      <c r="K1636" s="14">
        <f>SUM(C1636:J1636)</f>
        <v/>
      </c>
      <c r="L1636" s="15">
        <f>SUMPRODUCT(C1636:J1636,Factores!$B$3:$I$3)</f>
        <v/>
      </c>
      <c r="M1636" s="16">
        <f>'Empleo Censo'!E1636</f>
        <v/>
      </c>
      <c r="N1636" s="17">
        <f>IF(M1636&gt;0,L1636,Factores!$B$7)</f>
        <v/>
      </c>
      <c r="O1636">
        <f>IF(M1636&gt;0,"OK","sin PEA -&gt; peor")</f>
        <v/>
      </c>
    </row>
    <row r="1637">
      <c r="A1637" t="inlineStr">
        <is>
          <t>040412</t>
        </is>
      </c>
      <c r="B1637" t="inlineStr">
        <is>
          <t>UÑON</t>
        </is>
      </c>
      <c r="C1637" s="14">
        <f>'Empleo Censo'!G1637-'Empleo Censo'!F1637</f>
        <v/>
      </c>
      <c r="D1637" s="14">
        <f>'Empleo Censo'!F1637</f>
        <v/>
      </c>
      <c r="E1637" s="14">
        <f>'Empleo Censo'!H1637</f>
        <v/>
      </c>
      <c r="F1637" s="14">
        <f>'Empleo Censo'!I1637</f>
        <v/>
      </c>
      <c r="G1637" s="14">
        <f>'Empleo Censo'!J1637+'Empleo Censo'!K1637</f>
        <v/>
      </c>
      <c r="H1637" s="14">
        <f>'Empleo Censo'!L1637</f>
        <v/>
      </c>
      <c r="I1637" s="14">
        <f>'Empleo Censo'!M1637</f>
        <v/>
      </c>
      <c r="J1637" s="14">
        <f>SUM('Empleo Censo'!N1637:AA1637)</f>
        <v/>
      </c>
      <c r="K1637" s="14">
        <f>SUM(C1637:J1637)</f>
        <v/>
      </c>
      <c r="L1637" s="15">
        <f>SUMPRODUCT(C1637:J1637,Factores!$B$3:$I$3)</f>
        <v/>
      </c>
      <c r="M1637" s="16">
        <f>'Empleo Censo'!E1637</f>
        <v/>
      </c>
      <c r="N1637" s="17">
        <f>IF(M1637&gt;0,L1637,Factores!$B$7)</f>
        <v/>
      </c>
      <c r="O1637">
        <f>IF(M1637&gt;0,"OK","sin PEA -&gt; peor")</f>
        <v/>
      </c>
    </row>
    <row r="1638">
      <c r="A1638" t="inlineStr">
        <is>
          <t>040414</t>
        </is>
      </c>
      <c r="B1638" t="inlineStr">
        <is>
          <t>VIRACO</t>
        </is>
      </c>
      <c r="C1638" s="14">
        <f>'Empleo Censo'!G1638-'Empleo Censo'!F1638</f>
        <v/>
      </c>
      <c r="D1638" s="14">
        <f>'Empleo Censo'!F1638</f>
        <v/>
      </c>
      <c r="E1638" s="14">
        <f>'Empleo Censo'!H1638</f>
        <v/>
      </c>
      <c r="F1638" s="14">
        <f>'Empleo Censo'!I1638</f>
        <v/>
      </c>
      <c r="G1638" s="14">
        <f>'Empleo Censo'!J1638+'Empleo Censo'!K1638</f>
        <v/>
      </c>
      <c r="H1638" s="14">
        <f>'Empleo Censo'!L1638</f>
        <v/>
      </c>
      <c r="I1638" s="14">
        <f>'Empleo Censo'!M1638</f>
        <v/>
      </c>
      <c r="J1638" s="14">
        <f>SUM('Empleo Censo'!N1638:AA1638)</f>
        <v/>
      </c>
      <c r="K1638" s="14">
        <f>SUM(C1638:J1638)</f>
        <v/>
      </c>
      <c r="L1638" s="15">
        <f>SUMPRODUCT(C1638:J1638,Factores!$B$3:$I$3)</f>
        <v/>
      </c>
      <c r="M1638" s="16">
        <f>'Empleo Censo'!E1638</f>
        <v/>
      </c>
      <c r="N1638" s="17">
        <f>IF(M1638&gt;0,L1638,Factores!$B$7)</f>
        <v/>
      </c>
      <c r="O1638">
        <f>IF(M1638&gt;0,"OK","sin PEA -&gt; peor")</f>
        <v/>
      </c>
    </row>
    <row r="1639">
      <c r="A1639" t="inlineStr">
        <is>
          <t>030407</t>
        </is>
      </c>
      <c r="B1639" t="inlineStr">
        <is>
          <t>HUAYLLO</t>
        </is>
      </c>
      <c r="C1639" s="14">
        <f>'Empleo Censo'!G1639-'Empleo Censo'!F1639</f>
        <v/>
      </c>
      <c r="D1639" s="14">
        <f>'Empleo Censo'!F1639</f>
        <v/>
      </c>
      <c r="E1639" s="14">
        <f>'Empleo Censo'!H1639</f>
        <v/>
      </c>
      <c r="F1639" s="14">
        <f>'Empleo Censo'!I1639</f>
        <v/>
      </c>
      <c r="G1639" s="14">
        <f>'Empleo Censo'!J1639+'Empleo Censo'!K1639</f>
        <v/>
      </c>
      <c r="H1639" s="14">
        <f>'Empleo Censo'!L1639</f>
        <v/>
      </c>
      <c r="I1639" s="14">
        <f>'Empleo Censo'!M1639</f>
        <v/>
      </c>
      <c r="J1639" s="14">
        <f>SUM('Empleo Censo'!N1639:AA1639)</f>
        <v/>
      </c>
      <c r="K1639" s="14">
        <f>SUM(C1639:J1639)</f>
        <v/>
      </c>
      <c r="L1639" s="15">
        <f>SUMPRODUCT(C1639:J1639,Factores!$B$3:$I$3)</f>
        <v/>
      </c>
      <c r="M1639" s="16">
        <f>'Empleo Censo'!E1639</f>
        <v/>
      </c>
      <c r="N1639" s="17">
        <f>IF(M1639&gt;0,L1639,Factores!$B$7)</f>
        <v/>
      </c>
      <c r="O1639">
        <f>IF(M1639&gt;0,"OK","sin PEA -&gt; peor")</f>
        <v/>
      </c>
    </row>
    <row r="1640">
      <c r="A1640" t="inlineStr">
        <is>
          <t>020513</t>
        </is>
      </c>
      <c r="B1640" t="inlineStr">
        <is>
          <t>PACLLON</t>
        </is>
      </c>
      <c r="C1640" s="14">
        <f>'Empleo Censo'!G1640-'Empleo Censo'!F1640</f>
        <v/>
      </c>
      <c r="D1640" s="14">
        <f>'Empleo Censo'!F1640</f>
        <v/>
      </c>
      <c r="E1640" s="14">
        <f>'Empleo Censo'!H1640</f>
        <v/>
      </c>
      <c r="F1640" s="14">
        <f>'Empleo Censo'!I1640</f>
        <v/>
      </c>
      <c r="G1640" s="14">
        <f>'Empleo Censo'!J1640+'Empleo Censo'!K1640</f>
        <v/>
      </c>
      <c r="H1640" s="14">
        <f>'Empleo Censo'!L1640</f>
        <v/>
      </c>
      <c r="I1640" s="14">
        <f>'Empleo Censo'!M1640</f>
        <v/>
      </c>
      <c r="J1640" s="14">
        <f>SUM('Empleo Censo'!N1640:AA1640)</f>
        <v/>
      </c>
      <c r="K1640" s="14">
        <f>SUM(C1640:J1640)</f>
        <v/>
      </c>
      <c r="L1640" s="15">
        <f>SUMPRODUCT(C1640:J1640,Factores!$B$3:$I$3)</f>
        <v/>
      </c>
      <c r="M1640" s="16">
        <f>'Empleo Censo'!E1640</f>
        <v/>
      </c>
      <c r="N1640" s="17">
        <f>IF(M1640&gt;0,L1640,Factores!$B$7)</f>
        <v/>
      </c>
      <c r="O1640">
        <f>IF(M1640&gt;0,"OK","sin PEA -&gt; peor")</f>
        <v/>
      </c>
    </row>
    <row r="1641">
      <c r="A1641" t="inlineStr">
        <is>
          <t>080806</t>
        </is>
      </c>
      <c r="B1641" t="inlineStr">
        <is>
          <t>PICHIGUA</t>
        </is>
      </c>
      <c r="C1641" s="14">
        <f>'Empleo Censo'!G1641-'Empleo Censo'!F1641</f>
        <v/>
      </c>
      <c r="D1641" s="14">
        <f>'Empleo Censo'!F1641</f>
        <v/>
      </c>
      <c r="E1641" s="14">
        <f>'Empleo Censo'!H1641</f>
        <v/>
      </c>
      <c r="F1641" s="14">
        <f>'Empleo Censo'!I1641</f>
        <v/>
      </c>
      <c r="G1641" s="14">
        <f>'Empleo Censo'!J1641+'Empleo Censo'!K1641</f>
        <v/>
      </c>
      <c r="H1641" s="14">
        <f>'Empleo Censo'!L1641</f>
        <v/>
      </c>
      <c r="I1641" s="14">
        <f>'Empleo Censo'!M1641</f>
        <v/>
      </c>
      <c r="J1641" s="14">
        <f>SUM('Empleo Censo'!N1641:AA1641)</f>
        <v/>
      </c>
      <c r="K1641" s="14">
        <f>SUM(C1641:J1641)</f>
        <v/>
      </c>
      <c r="L1641" s="15">
        <f>SUMPRODUCT(C1641:J1641,Factores!$B$3:$I$3)</f>
        <v/>
      </c>
      <c r="M1641" s="16">
        <f>'Empleo Censo'!E1641</f>
        <v/>
      </c>
      <c r="N1641" s="17">
        <f>IF(M1641&gt;0,L1641,Factores!$B$7)</f>
        <v/>
      </c>
      <c r="O1641">
        <f>IF(M1641&gt;0,"OK","sin PEA -&gt; peor")</f>
        <v/>
      </c>
    </row>
    <row r="1642">
      <c r="A1642" t="inlineStr">
        <is>
          <t>051003</t>
        </is>
      </c>
      <c r="B1642" t="inlineStr">
        <is>
          <t>APONGO</t>
        </is>
      </c>
      <c r="C1642" s="14">
        <f>'Empleo Censo'!G1642-'Empleo Censo'!F1642</f>
        <v/>
      </c>
      <c r="D1642" s="14">
        <f>'Empleo Censo'!F1642</f>
        <v/>
      </c>
      <c r="E1642" s="14">
        <f>'Empleo Censo'!H1642</f>
        <v/>
      </c>
      <c r="F1642" s="14">
        <f>'Empleo Censo'!I1642</f>
        <v/>
      </c>
      <c r="G1642" s="14">
        <f>'Empleo Censo'!J1642+'Empleo Censo'!K1642</f>
        <v/>
      </c>
      <c r="H1642" s="14">
        <f>'Empleo Censo'!L1642</f>
        <v/>
      </c>
      <c r="I1642" s="14">
        <f>'Empleo Censo'!M1642</f>
        <v/>
      </c>
      <c r="J1642" s="14">
        <f>SUM('Empleo Censo'!N1642:AA1642)</f>
        <v/>
      </c>
      <c r="K1642" s="14">
        <f>SUM(C1642:J1642)</f>
        <v/>
      </c>
      <c r="L1642" s="15">
        <f>SUMPRODUCT(C1642:J1642,Factores!$B$3:$I$3)</f>
        <v/>
      </c>
      <c r="M1642" s="16">
        <f>'Empleo Censo'!E1642</f>
        <v/>
      </c>
      <c r="N1642" s="17">
        <f>IF(M1642&gt;0,L1642,Factores!$B$7)</f>
        <v/>
      </c>
      <c r="O1642">
        <f>IF(M1642&gt;0,"OK","sin PEA -&gt; peor")</f>
        <v/>
      </c>
    </row>
    <row r="1643">
      <c r="A1643" t="inlineStr">
        <is>
          <t>020205</t>
        </is>
      </c>
      <c r="B1643" t="inlineStr">
        <is>
          <t>SUCCHA</t>
        </is>
      </c>
      <c r="C1643" s="14">
        <f>'Empleo Censo'!G1643-'Empleo Censo'!F1643</f>
        <v/>
      </c>
      <c r="D1643" s="14">
        <f>'Empleo Censo'!F1643</f>
        <v/>
      </c>
      <c r="E1643" s="14">
        <f>'Empleo Censo'!H1643</f>
        <v/>
      </c>
      <c r="F1643" s="14">
        <f>'Empleo Censo'!I1643</f>
        <v/>
      </c>
      <c r="G1643" s="14">
        <f>'Empleo Censo'!J1643+'Empleo Censo'!K1643</f>
        <v/>
      </c>
      <c r="H1643" s="14">
        <f>'Empleo Censo'!L1643</f>
        <v/>
      </c>
      <c r="I1643" s="14">
        <f>'Empleo Censo'!M1643</f>
        <v/>
      </c>
      <c r="J1643" s="14">
        <f>SUM('Empleo Censo'!N1643:AA1643)</f>
        <v/>
      </c>
      <c r="K1643" s="14">
        <f>SUM(C1643:J1643)</f>
        <v/>
      </c>
      <c r="L1643" s="15">
        <f>SUMPRODUCT(C1643:J1643,Factores!$B$3:$I$3)</f>
        <v/>
      </c>
      <c r="M1643" s="16">
        <f>'Empleo Censo'!E1643</f>
        <v/>
      </c>
      <c r="N1643" s="17">
        <f>IF(M1643&gt;0,L1643,Factores!$B$7)</f>
        <v/>
      </c>
      <c r="O1643">
        <f>IF(M1643&gt;0,"OK","sin PEA -&gt; peor")</f>
        <v/>
      </c>
    </row>
    <row r="1644">
      <c r="A1644" t="inlineStr">
        <is>
          <t>060402</t>
        </is>
      </c>
      <c r="B1644" t="inlineStr">
        <is>
          <t>ANGUIA</t>
        </is>
      </c>
      <c r="C1644" s="14">
        <f>'Empleo Censo'!G1644-'Empleo Censo'!F1644</f>
        <v/>
      </c>
      <c r="D1644" s="14">
        <f>'Empleo Censo'!F1644</f>
        <v/>
      </c>
      <c r="E1644" s="14">
        <f>'Empleo Censo'!H1644</f>
        <v/>
      </c>
      <c r="F1644" s="14">
        <f>'Empleo Censo'!I1644</f>
        <v/>
      </c>
      <c r="G1644" s="14">
        <f>'Empleo Censo'!J1644+'Empleo Censo'!K1644</f>
        <v/>
      </c>
      <c r="H1644" s="14">
        <f>'Empleo Censo'!L1644</f>
        <v/>
      </c>
      <c r="I1644" s="14">
        <f>'Empleo Censo'!M1644</f>
        <v/>
      </c>
      <c r="J1644" s="14">
        <f>SUM('Empleo Censo'!N1644:AA1644)</f>
        <v/>
      </c>
      <c r="K1644" s="14">
        <f>SUM(C1644:J1644)</f>
        <v/>
      </c>
      <c r="L1644" s="15">
        <f>SUMPRODUCT(C1644:J1644,Factores!$B$3:$I$3)</f>
        <v/>
      </c>
      <c r="M1644" s="16">
        <f>'Empleo Censo'!E1644</f>
        <v/>
      </c>
      <c r="N1644" s="17">
        <f>IF(M1644&gt;0,L1644,Factores!$B$7)</f>
        <v/>
      </c>
      <c r="O1644">
        <f>IF(M1644&gt;0,"OK","sin PEA -&gt; peor")</f>
        <v/>
      </c>
    </row>
    <row r="1645">
      <c r="A1645" t="inlineStr">
        <is>
          <t>010606</t>
        </is>
      </c>
      <c r="B1645" t="inlineStr">
        <is>
          <t>LONGAR</t>
        </is>
      </c>
      <c r="C1645" s="14">
        <f>'Empleo Censo'!G1645-'Empleo Censo'!F1645</f>
        <v/>
      </c>
      <c r="D1645" s="14">
        <f>'Empleo Censo'!F1645</f>
        <v/>
      </c>
      <c r="E1645" s="14">
        <f>'Empleo Censo'!H1645</f>
        <v/>
      </c>
      <c r="F1645" s="14">
        <f>'Empleo Censo'!I1645</f>
        <v/>
      </c>
      <c r="G1645" s="14">
        <f>'Empleo Censo'!J1645+'Empleo Censo'!K1645</f>
        <v/>
      </c>
      <c r="H1645" s="14">
        <f>'Empleo Censo'!L1645</f>
        <v/>
      </c>
      <c r="I1645" s="14">
        <f>'Empleo Censo'!M1645</f>
        <v/>
      </c>
      <c r="J1645" s="14">
        <f>SUM('Empleo Censo'!N1645:AA1645)</f>
        <v/>
      </c>
      <c r="K1645" s="14">
        <f>SUM(C1645:J1645)</f>
        <v/>
      </c>
      <c r="L1645" s="15">
        <f>SUMPRODUCT(C1645:J1645,Factores!$B$3:$I$3)</f>
        <v/>
      </c>
      <c r="M1645" s="16">
        <f>'Empleo Censo'!E1645</f>
        <v/>
      </c>
      <c r="N1645" s="17">
        <f>IF(M1645&gt;0,L1645,Factores!$B$7)</f>
        <v/>
      </c>
      <c r="O1645">
        <f>IF(M1645&gt;0,"OK","sin PEA -&gt; peor")</f>
        <v/>
      </c>
    </row>
    <row r="1646">
      <c r="A1646" t="inlineStr">
        <is>
          <t>010301</t>
        </is>
      </c>
      <c r="B1646" t="inlineStr">
        <is>
          <t>JUMBILLA</t>
        </is>
      </c>
      <c r="C1646" s="14">
        <f>'Empleo Censo'!G1646-'Empleo Censo'!F1646</f>
        <v/>
      </c>
      <c r="D1646" s="14">
        <f>'Empleo Censo'!F1646</f>
        <v/>
      </c>
      <c r="E1646" s="14">
        <f>'Empleo Censo'!H1646</f>
        <v/>
      </c>
      <c r="F1646" s="14">
        <f>'Empleo Censo'!I1646</f>
        <v/>
      </c>
      <c r="G1646" s="14">
        <f>'Empleo Censo'!J1646+'Empleo Censo'!K1646</f>
        <v/>
      </c>
      <c r="H1646" s="14">
        <f>'Empleo Censo'!L1646</f>
        <v/>
      </c>
      <c r="I1646" s="14">
        <f>'Empleo Censo'!M1646</f>
        <v/>
      </c>
      <c r="J1646" s="14">
        <f>SUM('Empleo Censo'!N1646:AA1646)</f>
        <v/>
      </c>
      <c r="K1646" s="14">
        <f>SUM(C1646:J1646)</f>
        <v/>
      </c>
      <c r="L1646" s="15">
        <f>SUMPRODUCT(C1646:J1646,Factores!$B$3:$I$3)</f>
        <v/>
      </c>
      <c r="M1646" s="16">
        <f>'Empleo Censo'!E1646</f>
        <v/>
      </c>
      <c r="N1646" s="17">
        <f>IF(M1646&gt;0,L1646,Factores!$B$7)</f>
        <v/>
      </c>
      <c r="O1646">
        <f>IF(M1646&gt;0,"OK","sin PEA -&gt; peor")</f>
        <v/>
      </c>
    </row>
    <row r="1647">
      <c r="A1647" t="inlineStr">
        <is>
          <t>030713</t>
        </is>
      </c>
      <c r="B1647" t="inlineStr">
        <is>
          <t>VIRUNDO</t>
        </is>
      </c>
      <c r="C1647" s="14">
        <f>'Empleo Censo'!G1647-'Empleo Censo'!F1647</f>
        <v/>
      </c>
      <c r="D1647" s="14">
        <f>'Empleo Censo'!F1647</f>
        <v/>
      </c>
      <c r="E1647" s="14">
        <f>'Empleo Censo'!H1647</f>
        <v/>
      </c>
      <c r="F1647" s="14">
        <f>'Empleo Censo'!I1647</f>
        <v/>
      </c>
      <c r="G1647" s="14">
        <f>'Empleo Censo'!J1647+'Empleo Censo'!K1647</f>
        <v/>
      </c>
      <c r="H1647" s="14">
        <f>'Empleo Censo'!L1647</f>
        <v/>
      </c>
      <c r="I1647" s="14">
        <f>'Empleo Censo'!M1647</f>
        <v/>
      </c>
      <c r="J1647" s="14">
        <f>SUM('Empleo Censo'!N1647:AA1647)</f>
        <v/>
      </c>
      <c r="K1647" s="14">
        <f>SUM(C1647:J1647)</f>
        <v/>
      </c>
      <c r="L1647" s="15">
        <f>SUMPRODUCT(C1647:J1647,Factores!$B$3:$I$3)</f>
        <v/>
      </c>
      <c r="M1647" s="16">
        <f>'Empleo Censo'!E1647</f>
        <v/>
      </c>
      <c r="N1647" s="17">
        <f>IF(M1647&gt;0,L1647,Factores!$B$7)</f>
        <v/>
      </c>
      <c r="O1647">
        <f>IF(M1647&gt;0,"OK","sin PEA -&gt; peor")</f>
        <v/>
      </c>
    </row>
    <row r="1648">
      <c r="A1648" t="inlineStr">
        <is>
          <t>040407</t>
        </is>
      </c>
      <c r="B1648" t="inlineStr">
        <is>
          <t>HUANCARQUI</t>
        </is>
      </c>
      <c r="C1648" s="14">
        <f>'Empleo Censo'!G1648-'Empleo Censo'!F1648</f>
        <v/>
      </c>
      <c r="D1648" s="14">
        <f>'Empleo Censo'!F1648</f>
        <v/>
      </c>
      <c r="E1648" s="14">
        <f>'Empleo Censo'!H1648</f>
        <v/>
      </c>
      <c r="F1648" s="14">
        <f>'Empleo Censo'!I1648</f>
        <v/>
      </c>
      <c r="G1648" s="14">
        <f>'Empleo Censo'!J1648+'Empleo Censo'!K1648</f>
        <v/>
      </c>
      <c r="H1648" s="14">
        <f>'Empleo Censo'!L1648</f>
        <v/>
      </c>
      <c r="I1648" s="14">
        <f>'Empleo Censo'!M1648</f>
        <v/>
      </c>
      <c r="J1648" s="14">
        <f>SUM('Empleo Censo'!N1648:AA1648)</f>
        <v/>
      </c>
      <c r="K1648" s="14">
        <f>SUM(C1648:J1648)</f>
        <v/>
      </c>
      <c r="L1648" s="15">
        <f>SUMPRODUCT(C1648:J1648,Factores!$B$3:$I$3)</f>
        <v/>
      </c>
      <c r="M1648" s="16">
        <f>'Empleo Censo'!E1648</f>
        <v/>
      </c>
      <c r="N1648" s="17">
        <f>IF(M1648&gt;0,L1648,Factores!$B$7)</f>
        <v/>
      </c>
      <c r="O1648">
        <f>IF(M1648&gt;0,"OK","sin PEA -&gt; peor")</f>
        <v/>
      </c>
    </row>
    <row r="1649">
      <c r="A1649" t="inlineStr">
        <is>
          <t>060613</t>
        </is>
      </c>
      <c r="B1649" t="inlineStr">
        <is>
          <t>SANTO TOMAS</t>
        </is>
      </c>
      <c r="C1649" s="14">
        <f>'Empleo Censo'!G1649-'Empleo Censo'!F1649</f>
        <v/>
      </c>
      <c r="D1649" s="14">
        <f>'Empleo Censo'!F1649</f>
        <v/>
      </c>
      <c r="E1649" s="14">
        <f>'Empleo Censo'!H1649</f>
        <v/>
      </c>
      <c r="F1649" s="14">
        <f>'Empleo Censo'!I1649</f>
        <v/>
      </c>
      <c r="G1649" s="14">
        <f>'Empleo Censo'!J1649+'Empleo Censo'!K1649</f>
        <v/>
      </c>
      <c r="H1649" s="14">
        <f>'Empleo Censo'!L1649</f>
        <v/>
      </c>
      <c r="I1649" s="14">
        <f>'Empleo Censo'!M1649</f>
        <v/>
      </c>
      <c r="J1649" s="14">
        <f>SUM('Empleo Censo'!N1649:AA1649)</f>
        <v/>
      </c>
      <c r="K1649" s="14">
        <f>SUM(C1649:J1649)</f>
        <v/>
      </c>
      <c r="L1649" s="15">
        <f>SUMPRODUCT(C1649:J1649,Factores!$B$3:$I$3)</f>
        <v/>
      </c>
      <c r="M1649" s="16">
        <f>'Empleo Censo'!E1649</f>
        <v/>
      </c>
      <c r="N1649" s="17">
        <f>IF(M1649&gt;0,L1649,Factores!$B$7)</f>
        <v/>
      </c>
      <c r="O1649">
        <f>IF(M1649&gt;0,"OK","sin PEA -&gt; peor")</f>
        <v/>
      </c>
    </row>
    <row r="1650">
      <c r="A1650" t="inlineStr">
        <is>
          <t>040506</t>
        </is>
      </c>
      <c r="B1650" t="inlineStr">
        <is>
          <t>COPORAQUE</t>
        </is>
      </c>
      <c r="C1650" s="14">
        <f>'Empleo Censo'!G1650-'Empleo Censo'!F1650</f>
        <v/>
      </c>
      <c r="D1650" s="14">
        <f>'Empleo Censo'!F1650</f>
        <v/>
      </c>
      <c r="E1650" s="14">
        <f>'Empleo Censo'!H1650</f>
        <v/>
      </c>
      <c r="F1650" s="14">
        <f>'Empleo Censo'!I1650</f>
        <v/>
      </c>
      <c r="G1650" s="14">
        <f>'Empleo Censo'!J1650+'Empleo Censo'!K1650</f>
        <v/>
      </c>
      <c r="H1650" s="14">
        <f>'Empleo Censo'!L1650</f>
        <v/>
      </c>
      <c r="I1650" s="14">
        <f>'Empleo Censo'!M1650</f>
        <v/>
      </c>
      <c r="J1650" s="14">
        <f>SUM('Empleo Censo'!N1650:AA1650)</f>
        <v/>
      </c>
      <c r="K1650" s="14">
        <f>SUM(C1650:J1650)</f>
        <v/>
      </c>
      <c r="L1650" s="15">
        <f>SUMPRODUCT(C1650:J1650,Factores!$B$3:$I$3)</f>
        <v/>
      </c>
      <c r="M1650" s="16">
        <f>'Empleo Censo'!E1650</f>
        <v/>
      </c>
      <c r="N1650" s="17">
        <f>IF(M1650&gt;0,L1650,Factores!$B$7)</f>
        <v/>
      </c>
      <c r="O1650">
        <f>IF(M1650&gt;0,"OK","sin PEA -&gt; peor")</f>
        <v/>
      </c>
    </row>
    <row r="1651">
      <c r="A1651" t="inlineStr">
        <is>
          <t>080402</t>
        </is>
      </c>
      <c r="B1651" t="inlineStr">
        <is>
          <t>COYA</t>
        </is>
      </c>
      <c r="C1651" s="14">
        <f>'Empleo Censo'!G1651-'Empleo Censo'!F1651</f>
        <v/>
      </c>
      <c r="D1651" s="14">
        <f>'Empleo Censo'!F1651</f>
        <v/>
      </c>
      <c r="E1651" s="14">
        <f>'Empleo Censo'!H1651</f>
        <v/>
      </c>
      <c r="F1651" s="14">
        <f>'Empleo Censo'!I1651</f>
        <v/>
      </c>
      <c r="G1651" s="14">
        <f>'Empleo Censo'!J1651+'Empleo Censo'!K1651</f>
        <v/>
      </c>
      <c r="H1651" s="14">
        <f>'Empleo Censo'!L1651</f>
        <v/>
      </c>
      <c r="I1651" s="14">
        <f>'Empleo Censo'!M1651</f>
        <v/>
      </c>
      <c r="J1651" s="14">
        <f>SUM('Empleo Censo'!N1651:AA1651)</f>
        <v/>
      </c>
      <c r="K1651" s="14">
        <f>SUM(C1651:J1651)</f>
        <v/>
      </c>
      <c r="L1651" s="15">
        <f>SUMPRODUCT(C1651:J1651,Factores!$B$3:$I$3)</f>
        <v/>
      </c>
      <c r="M1651" s="16">
        <f>'Empleo Censo'!E1651</f>
        <v/>
      </c>
      <c r="N1651" s="17">
        <f>IF(M1651&gt;0,L1651,Factores!$B$7)</f>
        <v/>
      </c>
      <c r="O1651">
        <f>IF(M1651&gt;0,"OK","sin PEA -&gt; peor")</f>
        <v/>
      </c>
    </row>
    <row r="1652">
      <c r="A1652" t="inlineStr">
        <is>
          <t>040107</t>
        </is>
      </c>
      <c r="B1652" t="inlineStr">
        <is>
          <t>JACOBO HUNTER</t>
        </is>
      </c>
      <c r="C1652" s="14">
        <f>'Empleo Censo'!G1652-'Empleo Censo'!F1652</f>
        <v/>
      </c>
      <c r="D1652" s="14">
        <f>'Empleo Censo'!F1652</f>
        <v/>
      </c>
      <c r="E1652" s="14">
        <f>'Empleo Censo'!H1652</f>
        <v/>
      </c>
      <c r="F1652" s="14">
        <f>'Empleo Censo'!I1652</f>
        <v/>
      </c>
      <c r="G1652" s="14">
        <f>'Empleo Censo'!J1652+'Empleo Censo'!K1652</f>
        <v/>
      </c>
      <c r="H1652" s="14">
        <f>'Empleo Censo'!L1652</f>
        <v/>
      </c>
      <c r="I1652" s="14">
        <f>'Empleo Censo'!M1652</f>
        <v/>
      </c>
      <c r="J1652" s="14">
        <f>SUM('Empleo Censo'!N1652:AA1652)</f>
        <v/>
      </c>
      <c r="K1652" s="14">
        <f>SUM(C1652:J1652)</f>
        <v/>
      </c>
      <c r="L1652" s="15">
        <f>SUMPRODUCT(C1652:J1652,Factores!$B$3:$I$3)</f>
        <v/>
      </c>
      <c r="M1652" s="16">
        <f>'Empleo Censo'!E1652</f>
        <v/>
      </c>
      <c r="N1652" s="17">
        <f>IF(M1652&gt;0,L1652,Factores!$B$7)</f>
        <v/>
      </c>
      <c r="O1652">
        <f>IF(M1652&gt;0,"OK","sin PEA -&gt; peor")</f>
        <v/>
      </c>
    </row>
    <row r="1653">
      <c r="A1653" t="inlineStr">
        <is>
          <t>040504</t>
        </is>
      </c>
      <c r="B1653" t="inlineStr">
        <is>
          <t>CALLALLI</t>
        </is>
      </c>
      <c r="C1653" s="14">
        <f>'Empleo Censo'!G1653-'Empleo Censo'!F1653</f>
        <v/>
      </c>
      <c r="D1653" s="14">
        <f>'Empleo Censo'!F1653</f>
        <v/>
      </c>
      <c r="E1653" s="14">
        <f>'Empleo Censo'!H1653</f>
        <v/>
      </c>
      <c r="F1653" s="14">
        <f>'Empleo Censo'!I1653</f>
        <v/>
      </c>
      <c r="G1653" s="14">
        <f>'Empleo Censo'!J1653+'Empleo Censo'!K1653</f>
        <v/>
      </c>
      <c r="H1653" s="14">
        <f>'Empleo Censo'!L1653</f>
        <v/>
      </c>
      <c r="I1653" s="14">
        <f>'Empleo Censo'!M1653</f>
        <v/>
      </c>
      <c r="J1653" s="14">
        <f>SUM('Empleo Censo'!N1653:AA1653)</f>
        <v/>
      </c>
      <c r="K1653" s="14">
        <f>SUM(C1653:J1653)</f>
        <v/>
      </c>
      <c r="L1653" s="15">
        <f>SUMPRODUCT(C1653:J1653,Factores!$B$3:$I$3)</f>
        <v/>
      </c>
      <c r="M1653" s="16">
        <f>'Empleo Censo'!E1653</f>
        <v/>
      </c>
      <c r="N1653" s="17">
        <f>IF(M1653&gt;0,L1653,Factores!$B$7)</f>
        <v/>
      </c>
      <c r="O1653">
        <f>IF(M1653&gt;0,"OK","sin PEA -&gt; peor")</f>
        <v/>
      </c>
    </row>
    <row r="1654">
      <c r="A1654" t="inlineStr">
        <is>
          <t>010310</t>
        </is>
      </c>
      <c r="B1654" t="inlineStr">
        <is>
          <t>SHIPASBAMBA</t>
        </is>
      </c>
      <c r="C1654" s="14">
        <f>'Empleo Censo'!G1654-'Empleo Censo'!F1654</f>
        <v/>
      </c>
      <c r="D1654" s="14">
        <f>'Empleo Censo'!F1654</f>
        <v/>
      </c>
      <c r="E1654" s="14">
        <f>'Empleo Censo'!H1654</f>
        <v/>
      </c>
      <c r="F1654" s="14">
        <f>'Empleo Censo'!I1654</f>
        <v/>
      </c>
      <c r="G1654" s="14">
        <f>'Empleo Censo'!J1654+'Empleo Censo'!K1654</f>
        <v/>
      </c>
      <c r="H1654" s="14">
        <f>'Empleo Censo'!L1654</f>
        <v/>
      </c>
      <c r="I1654" s="14">
        <f>'Empleo Censo'!M1654</f>
        <v/>
      </c>
      <c r="J1654" s="14">
        <f>SUM('Empleo Censo'!N1654:AA1654)</f>
        <v/>
      </c>
      <c r="K1654" s="14">
        <f>SUM(C1654:J1654)</f>
        <v/>
      </c>
      <c r="L1654" s="15">
        <f>SUMPRODUCT(C1654:J1654,Factores!$B$3:$I$3)</f>
        <v/>
      </c>
      <c r="M1654" s="16">
        <f>'Empleo Censo'!E1654</f>
        <v/>
      </c>
      <c r="N1654" s="17">
        <f>IF(M1654&gt;0,L1654,Factores!$B$7)</f>
        <v/>
      </c>
      <c r="O1654">
        <f>IF(M1654&gt;0,"OK","sin PEA -&gt; peor")</f>
        <v/>
      </c>
    </row>
    <row r="1655">
      <c r="A1655" t="inlineStr">
        <is>
          <t>030214</t>
        </is>
      </c>
      <c r="B1655" t="inlineStr">
        <is>
          <t>SAN MIGUEL DE CHACCRAMPA</t>
        </is>
      </c>
      <c r="C1655" s="14">
        <f>'Empleo Censo'!G1655-'Empleo Censo'!F1655</f>
        <v/>
      </c>
      <c r="D1655" s="14">
        <f>'Empleo Censo'!F1655</f>
        <v/>
      </c>
      <c r="E1655" s="14">
        <f>'Empleo Censo'!H1655</f>
        <v/>
      </c>
      <c r="F1655" s="14">
        <f>'Empleo Censo'!I1655</f>
        <v/>
      </c>
      <c r="G1655" s="14">
        <f>'Empleo Censo'!J1655+'Empleo Censo'!K1655</f>
        <v/>
      </c>
      <c r="H1655" s="14">
        <f>'Empleo Censo'!L1655</f>
        <v/>
      </c>
      <c r="I1655" s="14">
        <f>'Empleo Censo'!M1655</f>
        <v/>
      </c>
      <c r="J1655" s="14">
        <f>SUM('Empleo Censo'!N1655:AA1655)</f>
        <v/>
      </c>
      <c r="K1655" s="14">
        <f>SUM(C1655:J1655)</f>
        <v/>
      </c>
      <c r="L1655" s="15">
        <f>SUMPRODUCT(C1655:J1655,Factores!$B$3:$I$3)</f>
        <v/>
      </c>
      <c r="M1655" s="16">
        <f>'Empleo Censo'!E1655</f>
        <v/>
      </c>
      <c r="N1655" s="17">
        <f>IF(M1655&gt;0,L1655,Factores!$B$7)</f>
        <v/>
      </c>
      <c r="O1655">
        <f>IF(M1655&gt;0,"OK","sin PEA -&gt; peor")</f>
        <v/>
      </c>
    </row>
    <row r="1656">
      <c r="A1656" t="inlineStr">
        <is>
          <t>021016</t>
        </is>
      </c>
      <c r="B1656" t="inlineStr">
        <is>
          <t>UCO</t>
        </is>
      </c>
      <c r="C1656" s="14">
        <f>'Empleo Censo'!G1656-'Empleo Censo'!F1656</f>
        <v/>
      </c>
      <c r="D1656" s="14">
        <f>'Empleo Censo'!F1656</f>
        <v/>
      </c>
      <c r="E1656" s="14">
        <f>'Empleo Censo'!H1656</f>
        <v/>
      </c>
      <c r="F1656" s="14">
        <f>'Empleo Censo'!I1656</f>
        <v/>
      </c>
      <c r="G1656" s="14">
        <f>'Empleo Censo'!J1656+'Empleo Censo'!K1656</f>
        <v/>
      </c>
      <c r="H1656" s="14">
        <f>'Empleo Censo'!L1656</f>
        <v/>
      </c>
      <c r="I1656" s="14">
        <f>'Empleo Censo'!M1656</f>
        <v/>
      </c>
      <c r="J1656" s="14">
        <f>SUM('Empleo Censo'!N1656:AA1656)</f>
        <v/>
      </c>
      <c r="K1656" s="14">
        <f>SUM(C1656:J1656)</f>
        <v/>
      </c>
      <c r="L1656" s="15">
        <f>SUMPRODUCT(C1656:J1656,Factores!$B$3:$I$3)</f>
        <v/>
      </c>
      <c r="M1656" s="16">
        <f>'Empleo Censo'!E1656</f>
        <v/>
      </c>
      <c r="N1656" s="17">
        <f>IF(M1656&gt;0,L1656,Factores!$B$7)</f>
        <v/>
      </c>
      <c r="O1656">
        <f>IF(M1656&gt;0,"OK","sin PEA -&gt; peor")</f>
        <v/>
      </c>
    </row>
    <row r="1657">
      <c r="A1657" t="inlineStr">
        <is>
          <t>021209</t>
        </is>
      </c>
      <c r="B1657" t="inlineStr">
        <is>
          <t>SANTO TORIBIO</t>
        </is>
      </c>
      <c r="C1657" s="14">
        <f>'Empleo Censo'!G1657-'Empleo Censo'!F1657</f>
        <v/>
      </c>
      <c r="D1657" s="14">
        <f>'Empleo Censo'!F1657</f>
        <v/>
      </c>
      <c r="E1657" s="14">
        <f>'Empleo Censo'!H1657</f>
        <v/>
      </c>
      <c r="F1657" s="14">
        <f>'Empleo Censo'!I1657</f>
        <v/>
      </c>
      <c r="G1657" s="14">
        <f>'Empleo Censo'!J1657+'Empleo Censo'!K1657</f>
        <v/>
      </c>
      <c r="H1657" s="14">
        <f>'Empleo Censo'!L1657</f>
        <v/>
      </c>
      <c r="I1657" s="14">
        <f>'Empleo Censo'!M1657</f>
        <v/>
      </c>
      <c r="J1657" s="14">
        <f>SUM('Empleo Censo'!N1657:AA1657)</f>
        <v/>
      </c>
      <c r="K1657" s="14">
        <f>SUM(C1657:J1657)</f>
        <v/>
      </c>
      <c r="L1657" s="15">
        <f>SUMPRODUCT(C1657:J1657,Factores!$B$3:$I$3)</f>
        <v/>
      </c>
      <c r="M1657" s="16">
        <f>'Empleo Censo'!E1657</f>
        <v/>
      </c>
      <c r="N1657" s="17">
        <f>IF(M1657&gt;0,L1657,Factores!$B$7)</f>
        <v/>
      </c>
      <c r="O1657">
        <f>IF(M1657&gt;0,"OK","sin PEA -&gt; peor")</f>
        <v/>
      </c>
    </row>
    <row r="1658">
      <c r="A1658" t="inlineStr">
        <is>
          <t>021704</t>
        </is>
      </c>
      <c r="B1658" t="inlineStr">
        <is>
          <t>HUAYLLAPAMPA</t>
        </is>
      </c>
      <c r="C1658" s="14">
        <f>'Empleo Censo'!G1658-'Empleo Censo'!F1658</f>
        <v/>
      </c>
      <c r="D1658" s="14">
        <f>'Empleo Censo'!F1658</f>
        <v/>
      </c>
      <c r="E1658" s="14">
        <f>'Empleo Censo'!H1658</f>
        <v/>
      </c>
      <c r="F1658" s="14">
        <f>'Empleo Censo'!I1658</f>
        <v/>
      </c>
      <c r="G1658" s="14">
        <f>'Empleo Censo'!J1658+'Empleo Censo'!K1658</f>
        <v/>
      </c>
      <c r="H1658" s="14">
        <f>'Empleo Censo'!L1658</f>
        <v/>
      </c>
      <c r="I1658" s="14">
        <f>'Empleo Censo'!M1658</f>
        <v/>
      </c>
      <c r="J1658" s="14">
        <f>SUM('Empleo Censo'!N1658:AA1658)</f>
        <v/>
      </c>
      <c r="K1658" s="14">
        <f>SUM(C1658:J1658)</f>
        <v/>
      </c>
      <c r="L1658" s="15">
        <f>SUMPRODUCT(C1658:J1658,Factores!$B$3:$I$3)</f>
        <v/>
      </c>
      <c r="M1658" s="16">
        <f>'Empleo Censo'!E1658</f>
        <v/>
      </c>
      <c r="N1658" s="17">
        <f>IF(M1658&gt;0,L1658,Factores!$B$7)</f>
        <v/>
      </c>
      <c r="O1658">
        <f>IF(M1658&gt;0,"OK","sin PEA -&gt; peor")</f>
        <v/>
      </c>
    </row>
    <row r="1659">
      <c r="A1659" t="inlineStr">
        <is>
          <t>060503</t>
        </is>
      </c>
      <c r="B1659" t="inlineStr">
        <is>
          <t>CUPISNIQUE</t>
        </is>
      </c>
      <c r="C1659" s="14">
        <f>'Empleo Censo'!G1659-'Empleo Censo'!F1659</f>
        <v/>
      </c>
      <c r="D1659" s="14">
        <f>'Empleo Censo'!F1659</f>
        <v/>
      </c>
      <c r="E1659" s="14">
        <f>'Empleo Censo'!H1659</f>
        <v/>
      </c>
      <c r="F1659" s="14">
        <f>'Empleo Censo'!I1659</f>
        <v/>
      </c>
      <c r="G1659" s="14">
        <f>'Empleo Censo'!J1659+'Empleo Censo'!K1659</f>
        <v/>
      </c>
      <c r="H1659" s="14">
        <f>'Empleo Censo'!L1659</f>
        <v/>
      </c>
      <c r="I1659" s="14">
        <f>'Empleo Censo'!M1659</f>
        <v/>
      </c>
      <c r="J1659" s="14">
        <f>SUM('Empleo Censo'!N1659:AA1659)</f>
        <v/>
      </c>
      <c r="K1659" s="14">
        <f>SUM(C1659:J1659)</f>
        <v/>
      </c>
      <c r="L1659" s="15">
        <f>SUMPRODUCT(C1659:J1659,Factores!$B$3:$I$3)</f>
        <v/>
      </c>
      <c r="M1659" s="16">
        <f>'Empleo Censo'!E1659</f>
        <v/>
      </c>
      <c r="N1659" s="17">
        <f>IF(M1659&gt;0,L1659,Factores!$B$7)</f>
        <v/>
      </c>
      <c r="O1659">
        <f>IF(M1659&gt;0,"OK","sin PEA -&gt; peor")</f>
        <v/>
      </c>
    </row>
    <row r="1660">
      <c r="A1660" t="inlineStr">
        <is>
          <t>021303</t>
        </is>
      </c>
      <c r="B1660" t="inlineStr">
        <is>
          <t>ELEAZAR GUZMAN BARRON</t>
        </is>
      </c>
      <c r="C1660" s="14">
        <f>'Empleo Censo'!G1660-'Empleo Censo'!F1660</f>
        <v/>
      </c>
      <c r="D1660" s="14">
        <f>'Empleo Censo'!F1660</f>
        <v/>
      </c>
      <c r="E1660" s="14">
        <f>'Empleo Censo'!H1660</f>
        <v/>
      </c>
      <c r="F1660" s="14">
        <f>'Empleo Censo'!I1660</f>
        <v/>
      </c>
      <c r="G1660" s="14">
        <f>'Empleo Censo'!J1660+'Empleo Censo'!K1660</f>
        <v/>
      </c>
      <c r="H1660" s="14">
        <f>'Empleo Censo'!L1660</f>
        <v/>
      </c>
      <c r="I1660" s="14">
        <f>'Empleo Censo'!M1660</f>
        <v/>
      </c>
      <c r="J1660" s="14">
        <f>SUM('Empleo Censo'!N1660:AA1660)</f>
        <v/>
      </c>
      <c r="K1660" s="14">
        <f>SUM(C1660:J1660)</f>
        <v/>
      </c>
      <c r="L1660" s="15">
        <f>SUMPRODUCT(C1660:J1660,Factores!$B$3:$I$3)</f>
        <v/>
      </c>
      <c r="M1660" s="16">
        <f>'Empleo Censo'!E1660</f>
        <v/>
      </c>
      <c r="N1660" s="17">
        <f>IF(M1660&gt;0,L1660,Factores!$B$7)</f>
        <v/>
      </c>
      <c r="O1660">
        <f>IF(M1660&gt;0,"OK","sin PEA -&gt; peor")</f>
        <v/>
      </c>
    </row>
    <row r="1661">
      <c r="A1661" t="inlineStr">
        <is>
          <t>010517</t>
        </is>
      </c>
      <c r="B1661" t="inlineStr">
        <is>
          <t>SAN FRANCISCO DEL YESO</t>
        </is>
      </c>
      <c r="C1661" s="14">
        <f>'Empleo Censo'!G1661-'Empleo Censo'!F1661</f>
        <v/>
      </c>
      <c r="D1661" s="14">
        <f>'Empleo Censo'!F1661</f>
        <v/>
      </c>
      <c r="E1661" s="14">
        <f>'Empleo Censo'!H1661</f>
        <v/>
      </c>
      <c r="F1661" s="14">
        <f>'Empleo Censo'!I1661</f>
        <v/>
      </c>
      <c r="G1661" s="14">
        <f>'Empleo Censo'!J1661+'Empleo Censo'!K1661</f>
        <v/>
      </c>
      <c r="H1661" s="14">
        <f>'Empleo Censo'!L1661</f>
        <v/>
      </c>
      <c r="I1661" s="14">
        <f>'Empleo Censo'!M1661</f>
        <v/>
      </c>
      <c r="J1661" s="14">
        <f>SUM('Empleo Censo'!N1661:AA1661)</f>
        <v/>
      </c>
      <c r="K1661" s="14">
        <f>SUM(C1661:J1661)</f>
        <v/>
      </c>
      <c r="L1661" s="15">
        <f>SUMPRODUCT(C1661:J1661,Factores!$B$3:$I$3)</f>
        <v/>
      </c>
      <c r="M1661" s="16">
        <f>'Empleo Censo'!E1661</f>
        <v/>
      </c>
      <c r="N1661" s="17">
        <f>IF(M1661&gt;0,L1661,Factores!$B$7)</f>
        <v/>
      </c>
      <c r="O1661">
        <f>IF(M1661&gt;0,"OK","sin PEA -&gt; peor")</f>
        <v/>
      </c>
    </row>
    <row r="1662">
      <c r="A1662" t="inlineStr">
        <is>
          <t>061306</t>
        </is>
      </c>
      <c r="B1662" t="inlineStr">
        <is>
          <t>NINABAMBA</t>
        </is>
      </c>
      <c r="C1662" s="14">
        <f>'Empleo Censo'!G1662-'Empleo Censo'!F1662</f>
        <v/>
      </c>
      <c r="D1662" s="14">
        <f>'Empleo Censo'!F1662</f>
        <v/>
      </c>
      <c r="E1662" s="14">
        <f>'Empleo Censo'!H1662</f>
        <v/>
      </c>
      <c r="F1662" s="14">
        <f>'Empleo Censo'!I1662</f>
        <v/>
      </c>
      <c r="G1662" s="14">
        <f>'Empleo Censo'!J1662+'Empleo Censo'!K1662</f>
        <v/>
      </c>
      <c r="H1662" s="14">
        <f>'Empleo Censo'!L1662</f>
        <v/>
      </c>
      <c r="I1662" s="14">
        <f>'Empleo Censo'!M1662</f>
        <v/>
      </c>
      <c r="J1662" s="14">
        <f>SUM('Empleo Censo'!N1662:AA1662)</f>
        <v/>
      </c>
      <c r="K1662" s="14">
        <f>SUM(C1662:J1662)</f>
        <v/>
      </c>
      <c r="L1662" s="15">
        <f>SUMPRODUCT(C1662:J1662,Factores!$B$3:$I$3)</f>
        <v/>
      </c>
      <c r="M1662" s="16">
        <f>'Empleo Censo'!E1662</f>
        <v/>
      </c>
      <c r="N1662" s="17">
        <f>IF(M1662&gt;0,L1662,Factores!$B$7)</f>
        <v/>
      </c>
      <c r="O1662">
        <f>IF(M1662&gt;0,"OK","sin PEA -&gt; peor")</f>
        <v/>
      </c>
    </row>
    <row r="1663">
      <c r="A1663" t="inlineStr">
        <is>
          <t>021905</t>
        </is>
      </c>
      <c r="B1663" t="inlineStr">
        <is>
          <t>CHINGALPO</t>
        </is>
      </c>
      <c r="C1663" s="14">
        <f>'Empleo Censo'!G1663-'Empleo Censo'!F1663</f>
        <v/>
      </c>
      <c r="D1663" s="14">
        <f>'Empleo Censo'!F1663</f>
        <v/>
      </c>
      <c r="E1663" s="14">
        <f>'Empleo Censo'!H1663</f>
        <v/>
      </c>
      <c r="F1663" s="14">
        <f>'Empleo Censo'!I1663</f>
        <v/>
      </c>
      <c r="G1663" s="14">
        <f>'Empleo Censo'!J1663+'Empleo Censo'!K1663</f>
        <v/>
      </c>
      <c r="H1663" s="14">
        <f>'Empleo Censo'!L1663</f>
        <v/>
      </c>
      <c r="I1663" s="14">
        <f>'Empleo Censo'!M1663</f>
        <v/>
      </c>
      <c r="J1663" s="14">
        <f>SUM('Empleo Censo'!N1663:AA1663)</f>
        <v/>
      </c>
      <c r="K1663" s="14">
        <f>SUM(C1663:J1663)</f>
        <v/>
      </c>
      <c r="L1663" s="15">
        <f>SUMPRODUCT(C1663:J1663,Factores!$B$3:$I$3)</f>
        <v/>
      </c>
      <c r="M1663" s="16">
        <f>'Empleo Censo'!E1663</f>
        <v/>
      </c>
      <c r="N1663" s="17">
        <f>IF(M1663&gt;0,L1663,Factores!$B$7)</f>
        <v/>
      </c>
      <c r="O1663">
        <f>IF(M1663&gt;0,"OK","sin PEA -&gt; peor")</f>
        <v/>
      </c>
    </row>
    <row r="1664">
      <c r="A1664" t="inlineStr">
        <is>
          <t>050604</t>
        </is>
      </c>
      <c r="B1664" t="inlineStr">
        <is>
          <t>CARMEN SALCEDO</t>
        </is>
      </c>
      <c r="C1664" s="14">
        <f>'Empleo Censo'!G1664-'Empleo Censo'!F1664</f>
        <v/>
      </c>
      <c r="D1664" s="14">
        <f>'Empleo Censo'!F1664</f>
        <v/>
      </c>
      <c r="E1664" s="14">
        <f>'Empleo Censo'!H1664</f>
        <v/>
      </c>
      <c r="F1664" s="14">
        <f>'Empleo Censo'!I1664</f>
        <v/>
      </c>
      <c r="G1664" s="14">
        <f>'Empleo Censo'!J1664+'Empleo Censo'!K1664</f>
        <v/>
      </c>
      <c r="H1664" s="14">
        <f>'Empleo Censo'!L1664</f>
        <v/>
      </c>
      <c r="I1664" s="14">
        <f>'Empleo Censo'!M1664</f>
        <v/>
      </c>
      <c r="J1664" s="14">
        <f>SUM('Empleo Censo'!N1664:AA1664)</f>
        <v/>
      </c>
      <c r="K1664" s="14">
        <f>SUM(C1664:J1664)</f>
        <v/>
      </c>
      <c r="L1664" s="15">
        <f>SUMPRODUCT(C1664:J1664,Factores!$B$3:$I$3)</f>
        <v/>
      </c>
      <c r="M1664" s="16">
        <f>'Empleo Censo'!E1664</f>
        <v/>
      </c>
      <c r="N1664" s="17">
        <f>IF(M1664&gt;0,L1664,Factores!$B$7)</f>
        <v/>
      </c>
      <c r="O1664">
        <f>IF(M1664&gt;0,"OK","sin PEA -&gt; peor")</f>
        <v/>
      </c>
    </row>
    <row r="1665">
      <c r="A1665" t="inlineStr">
        <is>
          <t>020202</t>
        </is>
      </c>
      <c r="B1665" t="inlineStr">
        <is>
          <t>CORIS</t>
        </is>
      </c>
      <c r="C1665" s="14">
        <f>'Empleo Censo'!G1665-'Empleo Censo'!F1665</f>
        <v/>
      </c>
      <c r="D1665" s="14">
        <f>'Empleo Censo'!F1665</f>
        <v/>
      </c>
      <c r="E1665" s="14">
        <f>'Empleo Censo'!H1665</f>
        <v/>
      </c>
      <c r="F1665" s="14">
        <f>'Empleo Censo'!I1665</f>
        <v/>
      </c>
      <c r="G1665" s="14">
        <f>'Empleo Censo'!J1665+'Empleo Censo'!K1665</f>
        <v/>
      </c>
      <c r="H1665" s="14">
        <f>'Empleo Censo'!L1665</f>
        <v/>
      </c>
      <c r="I1665" s="14">
        <f>'Empleo Censo'!M1665</f>
        <v/>
      </c>
      <c r="J1665" s="14">
        <f>SUM('Empleo Censo'!N1665:AA1665)</f>
        <v/>
      </c>
      <c r="K1665" s="14">
        <f>SUM(C1665:J1665)</f>
        <v/>
      </c>
      <c r="L1665" s="15">
        <f>SUMPRODUCT(C1665:J1665,Factores!$B$3:$I$3)</f>
        <v/>
      </c>
      <c r="M1665" s="16">
        <f>'Empleo Censo'!E1665</f>
        <v/>
      </c>
      <c r="N1665" s="17">
        <f>IF(M1665&gt;0,L1665,Factores!$B$7)</f>
        <v/>
      </c>
      <c r="O1665">
        <f>IF(M1665&gt;0,"OK","sin PEA -&gt; peor")</f>
        <v/>
      </c>
    </row>
    <row r="1666">
      <c r="A1666" t="inlineStr">
        <is>
          <t>040809</t>
        </is>
      </c>
      <c r="B1666" t="inlineStr">
        <is>
          <t>TAURIA</t>
        </is>
      </c>
      <c r="C1666" s="14">
        <f>'Empleo Censo'!G1666-'Empleo Censo'!F1666</f>
        <v/>
      </c>
      <c r="D1666" s="14">
        <f>'Empleo Censo'!F1666</f>
        <v/>
      </c>
      <c r="E1666" s="14">
        <f>'Empleo Censo'!H1666</f>
        <v/>
      </c>
      <c r="F1666" s="14">
        <f>'Empleo Censo'!I1666</f>
        <v/>
      </c>
      <c r="G1666" s="14">
        <f>'Empleo Censo'!J1666+'Empleo Censo'!K1666</f>
        <v/>
      </c>
      <c r="H1666" s="14">
        <f>'Empleo Censo'!L1666</f>
        <v/>
      </c>
      <c r="I1666" s="14">
        <f>'Empleo Censo'!M1666</f>
        <v/>
      </c>
      <c r="J1666" s="14">
        <f>SUM('Empleo Censo'!N1666:AA1666)</f>
        <v/>
      </c>
      <c r="K1666" s="14">
        <f>SUM(C1666:J1666)</f>
        <v/>
      </c>
      <c r="L1666" s="15">
        <f>SUMPRODUCT(C1666:J1666,Factores!$B$3:$I$3)</f>
        <v/>
      </c>
      <c r="M1666" s="16">
        <f>'Empleo Censo'!E1666</f>
        <v/>
      </c>
      <c r="N1666" s="17">
        <f>IF(M1666&gt;0,L1666,Factores!$B$7)</f>
        <v/>
      </c>
      <c r="O1666">
        <f>IF(M1666&gt;0,"OK","sin PEA -&gt; peor")</f>
        <v/>
      </c>
    </row>
    <row r="1667">
      <c r="A1667" t="inlineStr">
        <is>
          <t>021008</t>
        </is>
      </c>
      <c r="B1667" t="inlineStr">
        <is>
          <t>HUANTAR</t>
        </is>
      </c>
      <c r="C1667" s="14">
        <f>'Empleo Censo'!G1667-'Empleo Censo'!F1667</f>
        <v/>
      </c>
      <c r="D1667" s="14">
        <f>'Empleo Censo'!F1667</f>
        <v/>
      </c>
      <c r="E1667" s="14">
        <f>'Empleo Censo'!H1667</f>
        <v/>
      </c>
      <c r="F1667" s="14">
        <f>'Empleo Censo'!I1667</f>
        <v/>
      </c>
      <c r="G1667" s="14">
        <f>'Empleo Censo'!J1667+'Empleo Censo'!K1667</f>
        <v/>
      </c>
      <c r="H1667" s="14">
        <f>'Empleo Censo'!L1667</f>
        <v/>
      </c>
      <c r="I1667" s="14">
        <f>'Empleo Censo'!M1667</f>
        <v/>
      </c>
      <c r="J1667" s="14">
        <f>SUM('Empleo Censo'!N1667:AA1667)</f>
        <v/>
      </c>
      <c r="K1667" s="14">
        <f>SUM(C1667:J1667)</f>
        <v/>
      </c>
      <c r="L1667" s="15">
        <f>SUMPRODUCT(C1667:J1667,Factores!$B$3:$I$3)</f>
        <v/>
      </c>
      <c r="M1667" s="16">
        <f>'Empleo Censo'!E1667</f>
        <v/>
      </c>
      <c r="N1667" s="17">
        <f>IF(M1667&gt;0,L1667,Factores!$B$7)</f>
        <v/>
      </c>
      <c r="O1667">
        <f>IF(M1667&gt;0,"OK","sin PEA -&gt; peor")</f>
        <v/>
      </c>
    </row>
    <row r="1668">
      <c r="A1668" t="inlineStr">
        <is>
          <t>021804</t>
        </is>
      </c>
      <c r="B1668" t="inlineStr">
        <is>
          <t>MACATE</t>
        </is>
      </c>
      <c r="C1668" s="14">
        <f>'Empleo Censo'!G1668-'Empleo Censo'!F1668</f>
        <v/>
      </c>
      <c r="D1668" s="14">
        <f>'Empleo Censo'!F1668</f>
        <v/>
      </c>
      <c r="E1668" s="14">
        <f>'Empleo Censo'!H1668</f>
        <v/>
      </c>
      <c r="F1668" s="14">
        <f>'Empleo Censo'!I1668</f>
        <v/>
      </c>
      <c r="G1668" s="14">
        <f>'Empleo Censo'!J1668+'Empleo Censo'!K1668</f>
        <v/>
      </c>
      <c r="H1668" s="14">
        <f>'Empleo Censo'!L1668</f>
        <v/>
      </c>
      <c r="I1668" s="14">
        <f>'Empleo Censo'!M1668</f>
        <v/>
      </c>
      <c r="J1668" s="14">
        <f>SUM('Empleo Censo'!N1668:AA1668)</f>
        <v/>
      </c>
      <c r="K1668" s="14">
        <f>SUM(C1668:J1668)</f>
        <v/>
      </c>
      <c r="L1668" s="15">
        <f>SUMPRODUCT(C1668:J1668,Factores!$B$3:$I$3)</f>
        <v/>
      </c>
      <c r="M1668" s="16">
        <f>'Empleo Censo'!E1668</f>
        <v/>
      </c>
      <c r="N1668" s="17">
        <f>IF(M1668&gt;0,L1668,Factores!$B$7)</f>
        <v/>
      </c>
      <c r="O1668">
        <f>IF(M1668&gt;0,"OK","sin PEA -&gt; peor")</f>
        <v/>
      </c>
    </row>
    <row r="1669">
      <c r="A1669" t="inlineStr">
        <is>
          <t>040808</t>
        </is>
      </c>
      <c r="B1669" t="inlineStr">
        <is>
          <t>SAYLA</t>
        </is>
      </c>
      <c r="C1669" s="14">
        <f>'Empleo Censo'!G1669-'Empleo Censo'!F1669</f>
        <v/>
      </c>
      <c r="D1669" s="14">
        <f>'Empleo Censo'!F1669</f>
        <v/>
      </c>
      <c r="E1669" s="14">
        <f>'Empleo Censo'!H1669</f>
        <v/>
      </c>
      <c r="F1669" s="14">
        <f>'Empleo Censo'!I1669</f>
        <v/>
      </c>
      <c r="G1669" s="14">
        <f>'Empleo Censo'!J1669+'Empleo Censo'!K1669</f>
        <v/>
      </c>
      <c r="H1669" s="14">
        <f>'Empleo Censo'!L1669</f>
        <v/>
      </c>
      <c r="I1669" s="14">
        <f>'Empleo Censo'!M1669</f>
        <v/>
      </c>
      <c r="J1669" s="14">
        <f>SUM('Empleo Censo'!N1669:AA1669)</f>
        <v/>
      </c>
      <c r="K1669" s="14">
        <f>SUM(C1669:J1669)</f>
        <v/>
      </c>
      <c r="L1669" s="15">
        <f>SUMPRODUCT(C1669:J1669,Factores!$B$3:$I$3)</f>
        <v/>
      </c>
      <c r="M1669" s="16">
        <f>'Empleo Censo'!E1669</f>
        <v/>
      </c>
      <c r="N1669" s="17">
        <f>IF(M1669&gt;0,L1669,Factores!$B$7)</f>
        <v/>
      </c>
      <c r="O1669">
        <f>IF(M1669&gt;0,"OK","sin PEA -&gt; peor")</f>
        <v/>
      </c>
    </row>
    <row r="1670">
      <c r="A1670" t="inlineStr">
        <is>
          <t>080605</t>
        </is>
      </c>
      <c r="B1670" t="inlineStr">
        <is>
          <t>PITUMARCA</t>
        </is>
      </c>
      <c r="C1670" s="14">
        <f>'Empleo Censo'!G1670-'Empleo Censo'!F1670</f>
        <v/>
      </c>
      <c r="D1670" s="14">
        <f>'Empleo Censo'!F1670</f>
        <v/>
      </c>
      <c r="E1670" s="14">
        <f>'Empleo Censo'!H1670</f>
        <v/>
      </c>
      <c r="F1670" s="14">
        <f>'Empleo Censo'!I1670</f>
        <v/>
      </c>
      <c r="G1670" s="14">
        <f>'Empleo Censo'!J1670+'Empleo Censo'!K1670</f>
        <v/>
      </c>
      <c r="H1670" s="14">
        <f>'Empleo Censo'!L1670</f>
        <v/>
      </c>
      <c r="I1670" s="14">
        <f>'Empleo Censo'!M1670</f>
        <v/>
      </c>
      <c r="J1670" s="14">
        <f>SUM('Empleo Censo'!N1670:AA1670)</f>
        <v/>
      </c>
      <c r="K1670" s="14">
        <f>SUM(C1670:J1670)</f>
        <v/>
      </c>
      <c r="L1670" s="15">
        <f>SUMPRODUCT(C1670:J1670,Factores!$B$3:$I$3)</f>
        <v/>
      </c>
      <c r="M1670" s="16">
        <f>'Empleo Censo'!E1670</f>
        <v/>
      </c>
      <c r="N1670" s="17">
        <f>IF(M1670&gt;0,L1670,Factores!$B$7)</f>
        <v/>
      </c>
      <c r="O1670">
        <f>IF(M1670&gt;0,"OK","sin PEA -&gt; peor")</f>
        <v/>
      </c>
    </row>
    <row r="1671">
      <c r="A1671" t="inlineStr">
        <is>
          <t>030709</t>
        </is>
      </c>
      <c r="B1671" t="inlineStr">
        <is>
          <t>SAN ANTONIO</t>
        </is>
      </c>
      <c r="C1671" s="14">
        <f>'Empleo Censo'!G1671-'Empleo Censo'!F1671</f>
        <v/>
      </c>
      <c r="D1671" s="14">
        <f>'Empleo Censo'!F1671</f>
        <v/>
      </c>
      <c r="E1671" s="14">
        <f>'Empleo Censo'!H1671</f>
        <v/>
      </c>
      <c r="F1671" s="14">
        <f>'Empleo Censo'!I1671</f>
        <v/>
      </c>
      <c r="G1671" s="14">
        <f>'Empleo Censo'!J1671+'Empleo Censo'!K1671</f>
        <v/>
      </c>
      <c r="H1671" s="14">
        <f>'Empleo Censo'!L1671</f>
        <v/>
      </c>
      <c r="I1671" s="14">
        <f>'Empleo Censo'!M1671</f>
        <v/>
      </c>
      <c r="J1671" s="14">
        <f>SUM('Empleo Censo'!N1671:AA1671)</f>
        <v/>
      </c>
      <c r="K1671" s="14">
        <f>SUM(C1671:J1671)</f>
        <v/>
      </c>
      <c r="L1671" s="15">
        <f>SUMPRODUCT(C1671:J1671,Factores!$B$3:$I$3)</f>
        <v/>
      </c>
      <c r="M1671" s="16">
        <f>'Empleo Censo'!E1671</f>
        <v/>
      </c>
      <c r="N1671" s="17">
        <f>IF(M1671&gt;0,L1671,Factores!$B$7)</f>
        <v/>
      </c>
      <c r="O1671">
        <f>IF(M1671&gt;0,"OK","sin PEA -&gt; peor")</f>
        <v/>
      </c>
    </row>
    <row r="1672">
      <c r="A1672" t="inlineStr">
        <is>
          <t>060418</t>
        </is>
      </c>
      <c r="B1672" t="inlineStr">
        <is>
          <t>TOCMOCHE</t>
        </is>
      </c>
      <c r="C1672" s="14">
        <f>'Empleo Censo'!G1672-'Empleo Censo'!F1672</f>
        <v/>
      </c>
      <c r="D1672" s="14">
        <f>'Empleo Censo'!F1672</f>
        <v/>
      </c>
      <c r="E1672" s="14">
        <f>'Empleo Censo'!H1672</f>
        <v/>
      </c>
      <c r="F1672" s="14">
        <f>'Empleo Censo'!I1672</f>
        <v/>
      </c>
      <c r="G1672" s="14">
        <f>'Empleo Censo'!J1672+'Empleo Censo'!K1672</f>
        <v/>
      </c>
      <c r="H1672" s="14">
        <f>'Empleo Censo'!L1672</f>
        <v/>
      </c>
      <c r="I1672" s="14">
        <f>'Empleo Censo'!M1672</f>
        <v/>
      </c>
      <c r="J1672" s="14">
        <f>SUM('Empleo Censo'!N1672:AA1672)</f>
        <v/>
      </c>
      <c r="K1672" s="14">
        <f>SUM(C1672:J1672)</f>
        <v/>
      </c>
      <c r="L1672" s="15">
        <f>SUMPRODUCT(C1672:J1672,Factores!$B$3:$I$3)</f>
        <v/>
      </c>
      <c r="M1672" s="16">
        <f>'Empleo Censo'!E1672</f>
        <v/>
      </c>
      <c r="N1672" s="17">
        <f>IF(M1672&gt;0,L1672,Factores!$B$7)</f>
        <v/>
      </c>
      <c r="O1672">
        <f>IF(M1672&gt;0,"OK","sin PEA -&gt; peor")</f>
        <v/>
      </c>
    </row>
    <row r="1673">
      <c r="A1673" t="inlineStr">
        <is>
          <t>050107</t>
        </is>
      </c>
      <c r="B1673" t="inlineStr">
        <is>
          <t>PACAYCASA</t>
        </is>
      </c>
      <c r="C1673" s="14">
        <f>'Empleo Censo'!G1673-'Empleo Censo'!F1673</f>
        <v/>
      </c>
      <c r="D1673" s="14">
        <f>'Empleo Censo'!F1673</f>
        <v/>
      </c>
      <c r="E1673" s="14">
        <f>'Empleo Censo'!H1673</f>
        <v/>
      </c>
      <c r="F1673" s="14">
        <f>'Empleo Censo'!I1673</f>
        <v/>
      </c>
      <c r="G1673" s="14">
        <f>'Empleo Censo'!J1673+'Empleo Censo'!K1673</f>
        <v/>
      </c>
      <c r="H1673" s="14">
        <f>'Empleo Censo'!L1673</f>
        <v/>
      </c>
      <c r="I1673" s="14">
        <f>'Empleo Censo'!M1673</f>
        <v/>
      </c>
      <c r="J1673" s="14">
        <f>SUM('Empleo Censo'!N1673:AA1673)</f>
        <v/>
      </c>
      <c r="K1673" s="14">
        <f>SUM(C1673:J1673)</f>
        <v/>
      </c>
      <c r="L1673" s="15">
        <f>SUMPRODUCT(C1673:J1673,Factores!$B$3:$I$3)</f>
        <v/>
      </c>
      <c r="M1673" s="16">
        <f>'Empleo Censo'!E1673</f>
        <v/>
      </c>
      <c r="N1673" s="17">
        <f>IF(M1673&gt;0,L1673,Factores!$B$7)</f>
        <v/>
      </c>
      <c r="O1673">
        <f>IF(M1673&gt;0,"OK","sin PEA -&gt; peor")</f>
        <v/>
      </c>
    </row>
    <row r="1674">
      <c r="A1674" t="inlineStr">
        <is>
          <t>010105</t>
        </is>
      </c>
      <c r="B1674" t="inlineStr">
        <is>
          <t>CHILIQUIN</t>
        </is>
      </c>
      <c r="C1674" s="14">
        <f>'Empleo Censo'!G1674-'Empleo Censo'!F1674</f>
        <v/>
      </c>
      <c r="D1674" s="14">
        <f>'Empleo Censo'!F1674</f>
        <v/>
      </c>
      <c r="E1674" s="14">
        <f>'Empleo Censo'!H1674</f>
        <v/>
      </c>
      <c r="F1674" s="14">
        <f>'Empleo Censo'!I1674</f>
        <v/>
      </c>
      <c r="G1674" s="14">
        <f>'Empleo Censo'!J1674+'Empleo Censo'!K1674</f>
        <v/>
      </c>
      <c r="H1674" s="14">
        <f>'Empleo Censo'!L1674</f>
        <v/>
      </c>
      <c r="I1674" s="14">
        <f>'Empleo Censo'!M1674</f>
        <v/>
      </c>
      <c r="J1674" s="14">
        <f>SUM('Empleo Censo'!N1674:AA1674)</f>
        <v/>
      </c>
      <c r="K1674" s="14">
        <f>SUM(C1674:J1674)</f>
        <v/>
      </c>
      <c r="L1674" s="15">
        <f>SUMPRODUCT(C1674:J1674,Factores!$B$3:$I$3)</f>
        <v/>
      </c>
      <c r="M1674" s="16">
        <f>'Empleo Censo'!E1674</f>
        <v/>
      </c>
      <c r="N1674" s="17">
        <f>IF(M1674&gt;0,L1674,Factores!$B$7)</f>
        <v/>
      </c>
      <c r="O1674">
        <f>IF(M1674&gt;0,"OK","sin PEA -&gt; peor")</f>
        <v/>
      </c>
    </row>
    <row r="1675">
      <c r="A1675" t="inlineStr">
        <is>
          <t>070106</t>
        </is>
      </c>
      <c r="B1675" t="inlineStr">
        <is>
          <t>VENTANILLA</t>
        </is>
      </c>
      <c r="C1675" s="14">
        <f>'Empleo Censo'!G1675-'Empleo Censo'!F1675</f>
        <v/>
      </c>
      <c r="D1675" s="14">
        <f>'Empleo Censo'!F1675</f>
        <v/>
      </c>
      <c r="E1675" s="14">
        <f>'Empleo Censo'!H1675</f>
        <v/>
      </c>
      <c r="F1675" s="14">
        <f>'Empleo Censo'!I1675</f>
        <v/>
      </c>
      <c r="G1675" s="14">
        <f>'Empleo Censo'!J1675+'Empleo Censo'!K1675</f>
        <v/>
      </c>
      <c r="H1675" s="14">
        <f>'Empleo Censo'!L1675</f>
        <v/>
      </c>
      <c r="I1675" s="14">
        <f>'Empleo Censo'!M1675</f>
        <v/>
      </c>
      <c r="J1675" s="14">
        <f>SUM('Empleo Censo'!N1675:AA1675)</f>
        <v/>
      </c>
      <c r="K1675" s="14">
        <f>SUM(C1675:J1675)</f>
        <v/>
      </c>
      <c r="L1675" s="15">
        <f>SUMPRODUCT(C1675:J1675,Factores!$B$3:$I$3)</f>
        <v/>
      </c>
      <c r="M1675" s="16">
        <f>'Empleo Censo'!E1675</f>
        <v/>
      </c>
      <c r="N1675" s="17">
        <f>IF(M1675&gt;0,L1675,Factores!$B$7)</f>
        <v/>
      </c>
      <c r="O1675">
        <f>IF(M1675&gt;0,"OK","sin PEA -&gt; peor")</f>
        <v/>
      </c>
    </row>
    <row r="1676">
      <c r="A1676" t="inlineStr">
        <is>
          <t>010112</t>
        </is>
      </c>
      <c r="B1676" t="inlineStr">
        <is>
          <t>MAGDALENA</t>
        </is>
      </c>
      <c r="C1676" s="14">
        <f>'Empleo Censo'!G1676-'Empleo Censo'!F1676</f>
        <v/>
      </c>
      <c r="D1676" s="14">
        <f>'Empleo Censo'!F1676</f>
        <v/>
      </c>
      <c r="E1676" s="14">
        <f>'Empleo Censo'!H1676</f>
        <v/>
      </c>
      <c r="F1676" s="14">
        <f>'Empleo Censo'!I1676</f>
        <v/>
      </c>
      <c r="G1676" s="14">
        <f>'Empleo Censo'!J1676+'Empleo Censo'!K1676</f>
        <v/>
      </c>
      <c r="H1676" s="14">
        <f>'Empleo Censo'!L1676</f>
        <v/>
      </c>
      <c r="I1676" s="14">
        <f>'Empleo Censo'!M1676</f>
        <v/>
      </c>
      <c r="J1676" s="14">
        <f>SUM('Empleo Censo'!N1676:AA1676)</f>
        <v/>
      </c>
      <c r="K1676" s="14">
        <f>SUM(C1676:J1676)</f>
        <v/>
      </c>
      <c r="L1676" s="15">
        <f>SUMPRODUCT(C1676:J1676,Factores!$B$3:$I$3)</f>
        <v/>
      </c>
      <c r="M1676" s="16">
        <f>'Empleo Censo'!E1676</f>
        <v/>
      </c>
      <c r="N1676" s="17">
        <f>IF(M1676&gt;0,L1676,Factores!$B$7)</f>
        <v/>
      </c>
      <c r="O1676">
        <f>IF(M1676&gt;0,"OK","sin PEA -&gt; peor")</f>
        <v/>
      </c>
    </row>
    <row r="1677">
      <c r="A1677" t="inlineStr">
        <is>
          <t>040601</t>
        </is>
      </c>
      <c r="B1677" t="inlineStr">
        <is>
          <t>CHUQUIBAMBA</t>
        </is>
      </c>
      <c r="C1677" s="14">
        <f>'Empleo Censo'!G1677-'Empleo Censo'!F1677</f>
        <v/>
      </c>
      <c r="D1677" s="14">
        <f>'Empleo Censo'!F1677</f>
        <v/>
      </c>
      <c r="E1677" s="14">
        <f>'Empleo Censo'!H1677</f>
        <v/>
      </c>
      <c r="F1677" s="14">
        <f>'Empleo Censo'!I1677</f>
        <v/>
      </c>
      <c r="G1677" s="14">
        <f>'Empleo Censo'!J1677+'Empleo Censo'!K1677</f>
        <v/>
      </c>
      <c r="H1677" s="14">
        <f>'Empleo Censo'!L1677</f>
        <v/>
      </c>
      <c r="I1677" s="14">
        <f>'Empleo Censo'!M1677</f>
        <v/>
      </c>
      <c r="J1677" s="14">
        <f>SUM('Empleo Censo'!N1677:AA1677)</f>
        <v/>
      </c>
      <c r="K1677" s="14">
        <f>SUM(C1677:J1677)</f>
        <v/>
      </c>
      <c r="L1677" s="15">
        <f>SUMPRODUCT(C1677:J1677,Factores!$B$3:$I$3)</f>
        <v/>
      </c>
      <c r="M1677" s="16">
        <f>'Empleo Censo'!E1677</f>
        <v/>
      </c>
      <c r="N1677" s="17">
        <f>IF(M1677&gt;0,L1677,Factores!$B$7)</f>
        <v/>
      </c>
      <c r="O1677">
        <f>IF(M1677&gt;0,"OK","sin PEA -&gt; peor")</f>
        <v/>
      </c>
    </row>
    <row r="1678">
      <c r="A1678" t="inlineStr">
        <is>
          <t>021002</t>
        </is>
      </c>
      <c r="B1678" t="inlineStr">
        <is>
          <t>ANRA</t>
        </is>
      </c>
      <c r="C1678" s="14">
        <f>'Empleo Censo'!G1678-'Empleo Censo'!F1678</f>
        <v/>
      </c>
      <c r="D1678" s="14">
        <f>'Empleo Censo'!F1678</f>
        <v/>
      </c>
      <c r="E1678" s="14">
        <f>'Empleo Censo'!H1678</f>
        <v/>
      </c>
      <c r="F1678" s="14">
        <f>'Empleo Censo'!I1678</f>
        <v/>
      </c>
      <c r="G1678" s="14">
        <f>'Empleo Censo'!J1678+'Empleo Censo'!K1678</f>
        <v/>
      </c>
      <c r="H1678" s="14">
        <f>'Empleo Censo'!L1678</f>
        <v/>
      </c>
      <c r="I1678" s="14">
        <f>'Empleo Censo'!M1678</f>
        <v/>
      </c>
      <c r="J1678" s="14">
        <f>SUM('Empleo Censo'!N1678:AA1678)</f>
        <v/>
      </c>
      <c r="K1678" s="14">
        <f>SUM(C1678:J1678)</f>
        <v/>
      </c>
      <c r="L1678" s="15">
        <f>SUMPRODUCT(C1678:J1678,Factores!$B$3:$I$3)</f>
        <v/>
      </c>
      <c r="M1678" s="16">
        <f>'Empleo Censo'!E1678</f>
        <v/>
      </c>
      <c r="N1678" s="17">
        <f>IF(M1678&gt;0,L1678,Factores!$B$7)</f>
        <v/>
      </c>
      <c r="O1678">
        <f>IF(M1678&gt;0,"OK","sin PEA -&gt; peor")</f>
        <v/>
      </c>
    </row>
    <row r="1679">
      <c r="A1679" t="inlineStr">
        <is>
          <t>090723</t>
        </is>
      </c>
      <c r="B1679" t="inlineStr">
        <is>
          <t>SANTIAGO DE TUCUMA</t>
        </is>
      </c>
      <c r="C1679" s="14">
        <f>'Empleo Censo'!G1679-'Empleo Censo'!F1679</f>
        <v/>
      </c>
      <c r="D1679" s="14">
        <f>'Empleo Censo'!F1679</f>
        <v/>
      </c>
      <c r="E1679" s="14">
        <f>'Empleo Censo'!H1679</f>
        <v/>
      </c>
      <c r="F1679" s="14">
        <f>'Empleo Censo'!I1679</f>
        <v/>
      </c>
      <c r="G1679" s="14">
        <f>'Empleo Censo'!J1679+'Empleo Censo'!K1679</f>
        <v/>
      </c>
      <c r="H1679" s="14">
        <f>'Empleo Censo'!L1679</f>
        <v/>
      </c>
      <c r="I1679" s="14">
        <f>'Empleo Censo'!M1679</f>
        <v/>
      </c>
      <c r="J1679" s="14">
        <f>SUM('Empleo Censo'!N1679:AA1679)</f>
        <v/>
      </c>
      <c r="K1679" s="14">
        <f>SUM(C1679:J1679)</f>
        <v/>
      </c>
      <c r="L1679" s="15">
        <f>SUMPRODUCT(C1679:J1679,Factores!$B$3:$I$3)</f>
        <v/>
      </c>
      <c r="M1679" s="16">
        <f>'Empleo Censo'!E1679</f>
        <v/>
      </c>
      <c r="N1679" s="17">
        <f>IF(M1679&gt;0,L1679,Factores!$B$7)</f>
        <v/>
      </c>
      <c r="O1679">
        <f>IF(M1679&gt;0,"OK","sin PEA -&gt; peor")</f>
        <v/>
      </c>
    </row>
    <row r="1680">
      <c r="A1680" t="inlineStr">
        <is>
          <t>021208</t>
        </is>
      </c>
      <c r="B1680" t="inlineStr">
        <is>
          <t>SANTA CRUZ</t>
        </is>
      </c>
      <c r="C1680" s="14">
        <f>'Empleo Censo'!G1680-'Empleo Censo'!F1680</f>
        <v/>
      </c>
      <c r="D1680" s="14">
        <f>'Empleo Censo'!F1680</f>
        <v/>
      </c>
      <c r="E1680" s="14">
        <f>'Empleo Censo'!H1680</f>
        <v/>
      </c>
      <c r="F1680" s="14">
        <f>'Empleo Censo'!I1680</f>
        <v/>
      </c>
      <c r="G1680" s="14">
        <f>'Empleo Censo'!J1680+'Empleo Censo'!K1680</f>
        <v/>
      </c>
      <c r="H1680" s="14">
        <f>'Empleo Censo'!L1680</f>
        <v/>
      </c>
      <c r="I1680" s="14">
        <f>'Empleo Censo'!M1680</f>
        <v/>
      </c>
      <c r="J1680" s="14">
        <f>SUM('Empleo Censo'!N1680:AA1680)</f>
        <v/>
      </c>
      <c r="K1680" s="14">
        <f>SUM(C1680:J1680)</f>
        <v/>
      </c>
      <c r="L1680" s="15">
        <f>SUMPRODUCT(C1680:J1680,Factores!$B$3:$I$3)</f>
        <v/>
      </c>
      <c r="M1680" s="16">
        <f>'Empleo Censo'!E1680</f>
        <v/>
      </c>
      <c r="N1680" s="17">
        <f>IF(M1680&gt;0,L1680,Factores!$B$7)</f>
        <v/>
      </c>
      <c r="O1680">
        <f>IF(M1680&gt;0,"OK","sin PEA -&gt; peor")</f>
        <v/>
      </c>
    </row>
    <row r="1681">
      <c r="A1681" t="inlineStr">
        <is>
          <t>030711</t>
        </is>
      </c>
      <c r="B1681" t="inlineStr">
        <is>
          <t>TURPAY</t>
        </is>
      </c>
      <c r="C1681" s="14">
        <f>'Empleo Censo'!G1681-'Empleo Censo'!F1681</f>
        <v/>
      </c>
      <c r="D1681" s="14">
        <f>'Empleo Censo'!F1681</f>
        <v/>
      </c>
      <c r="E1681" s="14">
        <f>'Empleo Censo'!H1681</f>
        <v/>
      </c>
      <c r="F1681" s="14">
        <f>'Empleo Censo'!I1681</f>
        <v/>
      </c>
      <c r="G1681" s="14">
        <f>'Empleo Censo'!J1681+'Empleo Censo'!K1681</f>
        <v/>
      </c>
      <c r="H1681" s="14">
        <f>'Empleo Censo'!L1681</f>
        <v/>
      </c>
      <c r="I1681" s="14">
        <f>'Empleo Censo'!M1681</f>
        <v/>
      </c>
      <c r="J1681" s="14">
        <f>SUM('Empleo Censo'!N1681:AA1681)</f>
        <v/>
      </c>
      <c r="K1681" s="14">
        <f>SUM(C1681:J1681)</f>
        <v/>
      </c>
      <c r="L1681" s="15">
        <f>SUMPRODUCT(C1681:J1681,Factores!$B$3:$I$3)</f>
        <v/>
      </c>
      <c r="M1681" s="16">
        <f>'Empleo Censo'!E1681</f>
        <v/>
      </c>
      <c r="N1681" s="17">
        <f>IF(M1681&gt;0,L1681,Factores!$B$7)</f>
        <v/>
      </c>
      <c r="O1681">
        <f>IF(M1681&gt;0,"OK","sin PEA -&gt; peor")</f>
        <v/>
      </c>
    </row>
    <row r="1682">
      <c r="A1682" t="inlineStr">
        <is>
          <t>040516</t>
        </is>
      </c>
      <c r="B1682" t="inlineStr">
        <is>
          <t>TAPAY</t>
        </is>
      </c>
      <c r="C1682" s="14">
        <f>'Empleo Censo'!G1682-'Empleo Censo'!F1682</f>
        <v/>
      </c>
      <c r="D1682" s="14">
        <f>'Empleo Censo'!F1682</f>
        <v/>
      </c>
      <c r="E1682" s="14">
        <f>'Empleo Censo'!H1682</f>
        <v/>
      </c>
      <c r="F1682" s="14">
        <f>'Empleo Censo'!I1682</f>
        <v/>
      </c>
      <c r="G1682" s="14">
        <f>'Empleo Censo'!J1682+'Empleo Censo'!K1682</f>
        <v/>
      </c>
      <c r="H1682" s="14">
        <f>'Empleo Censo'!L1682</f>
        <v/>
      </c>
      <c r="I1682" s="14">
        <f>'Empleo Censo'!M1682</f>
        <v/>
      </c>
      <c r="J1682" s="14">
        <f>SUM('Empleo Censo'!N1682:AA1682)</f>
        <v/>
      </c>
      <c r="K1682" s="14">
        <f>SUM(C1682:J1682)</f>
        <v/>
      </c>
      <c r="L1682" s="15">
        <f>SUMPRODUCT(C1682:J1682,Factores!$B$3:$I$3)</f>
        <v/>
      </c>
      <c r="M1682" s="16">
        <f>'Empleo Censo'!E1682</f>
        <v/>
      </c>
      <c r="N1682" s="17">
        <f>IF(M1682&gt;0,L1682,Factores!$B$7)</f>
        <v/>
      </c>
      <c r="O1682">
        <f>IF(M1682&gt;0,"OK","sin PEA -&gt; peor")</f>
        <v/>
      </c>
    </row>
    <row r="1683">
      <c r="A1683" t="inlineStr">
        <is>
          <t>040513</t>
        </is>
      </c>
      <c r="B1683" t="inlineStr">
        <is>
          <t>MADRIGAL</t>
        </is>
      </c>
      <c r="C1683" s="14">
        <f>'Empleo Censo'!G1683-'Empleo Censo'!F1683</f>
        <v/>
      </c>
      <c r="D1683" s="14">
        <f>'Empleo Censo'!F1683</f>
        <v/>
      </c>
      <c r="E1683" s="14">
        <f>'Empleo Censo'!H1683</f>
        <v/>
      </c>
      <c r="F1683" s="14">
        <f>'Empleo Censo'!I1683</f>
        <v/>
      </c>
      <c r="G1683" s="14">
        <f>'Empleo Censo'!J1683+'Empleo Censo'!K1683</f>
        <v/>
      </c>
      <c r="H1683" s="14">
        <f>'Empleo Censo'!L1683</f>
        <v/>
      </c>
      <c r="I1683" s="14">
        <f>'Empleo Censo'!M1683</f>
        <v/>
      </c>
      <c r="J1683" s="14">
        <f>SUM('Empleo Censo'!N1683:AA1683)</f>
        <v/>
      </c>
      <c r="K1683" s="14">
        <f>SUM(C1683:J1683)</f>
        <v/>
      </c>
      <c r="L1683" s="15">
        <f>SUMPRODUCT(C1683:J1683,Factores!$B$3:$I$3)</f>
        <v/>
      </c>
      <c r="M1683" s="16">
        <f>'Empleo Censo'!E1683</f>
        <v/>
      </c>
      <c r="N1683" s="17">
        <f>IF(M1683&gt;0,L1683,Factores!$B$7)</f>
        <v/>
      </c>
      <c r="O1683">
        <f>IF(M1683&gt;0,"OK","sin PEA -&gt; peor")</f>
        <v/>
      </c>
    </row>
    <row r="1684">
      <c r="A1684" t="inlineStr">
        <is>
          <t>040408</t>
        </is>
      </c>
      <c r="B1684" t="inlineStr">
        <is>
          <t>MACHAGUAY</t>
        </is>
      </c>
      <c r="C1684" s="14">
        <f>'Empleo Censo'!G1684-'Empleo Censo'!F1684</f>
        <v/>
      </c>
      <c r="D1684" s="14">
        <f>'Empleo Censo'!F1684</f>
        <v/>
      </c>
      <c r="E1684" s="14">
        <f>'Empleo Censo'!H1684</f>
        <v/>
      </c>
      <c r="F1684" s="14">
        <f>'Empleo Censo'!I1684</f>
        <v/>
      </c>
      <c r="G1684" s="14">
        <f>'Empleo Censo'!J1684+'Empleo Censo'!K1684</f>
        <v/>
      </c>
      <c r="H1684" s="14">
        <f>'Empleo Censo'!L1684</f>
        <v/>
      </c>
      <c r="I1684" s="14">
        <f>'Empleo Censo'!M1684</f>
        <v/>
      </c>
      <c r="J1684" s="14">
        <f>SUM('Empleo Censo'!N1684:AA1684)</f>
        <v/>
      </c>
      <c r="K1684" s="14">
        <f>SUM(C1684:J1684)</f>
        <v/>
      </c>
      <c r="L1684" s="15">
        <f>SUMPRODUCT(C1684:J1684,Factores!$B$3:$I$3)</f>
        <v/>
      </c>
      <c r="M1684" s="16">
        <f>'Empleo Censo'!E1684</f>
        <v/>
      </c>
      <c r="N1684" s="17">
        <f>IF(M1684&gt;0,L1684,Factores!$B$7)</f>
        <v/>
      </c>
      <c r="O1684">
        <f>IF(M1684&gt;0,"OK","sin PEA -&gt; peor")</f>
        <v/>
      </c>
    </row>
    <row r="1685">
      <c r="A1685" t="inlineStr">
        <is>
          <t>040310</t>
        </is>
      </c>
      <c r="B1685" t="inlineStr">
        <is>
          <t>JAQUI</t>
        </is>
      </c>
      <c r="C1685" s="14">
        <f>'Empleo Censo'!G1685-'Empleo Censo'!F1685</f>
        <v/>
      </c>
      <c r="D1685" s="14">
        <f>'Empleo Censo'!F1685</f>
        <v/>
      </c>
      <c r="E1685" s="14">
        <f>'Empleo Censo'!H1685</f>
        <v/>
      </c>
      <c r="F1685" s="14">
        <f>'Empleo Censo'!I1685</f>
        <v/>
      </c>
      <c r="G1685" s="14">
        <f>'Empleo Censo'!J1685+'Empleo Censo'!K1685</f>
        <v/>
      </c>
      <c r="H1685" s="14">
        <f>'Empleo Censo'!L1685</f>
        <v/>
      </c>
      <c r="I1685" s="14">
        <f>'Empleo Censo'!M1685</f>
        <v/>
      </c>
      <c r="J1685" s="14">
        <f>SUM('Empleo Censo'!N1685:AA1685)</f>
        <v/>
      </c>
      <c r="K1685" s="14">
        <f>SUM(C1685:J1685)</f>
        <v/>
      </c>
      <c r="L1685" s="15">
        <f>SUMPRODUCT(C1685:J1685,Factores!$B$3:$I$3)</f>
        <v/>
      </c>
      <c r="M1685" s="16">
        <f>'Empleo Censo'!E1685</f>
        <v/>
      </c>
      <c r="N1685" s="17">
        <f>IF(M1685&gt;0,L1685,Factores!$B$7)</f>
        <v/>
      </c>
      <c r="O1685">
        <f>IF(M1685&gt;0,"OK","sin PEA -&gt; peor")</f>
        <v/>
      </c>
    </row>
    <row r="1686">
      <c r="A1686" t="inlineStr">
        <is>
          <t>040309</t>
        </is>
      </c>
      <c r="B1686" t="inlineStr">
        <is>
          <t>HUANUHUANU</t>
        </is>
      </c>
      <c r="C1686" s="14">
        <f>'Empleo Censo'!G1686-'Empleo Censo'!F1686</f>
        <v/>
      </c>
      <c r="D1686" s="14">
        <f>'Empleo Censo'!F1686</f>
        <v/>
      </c>
      <c r="E1686" s="14">
        <f>'Empleo Censo'!H1686</f>
        <v/>
      </c>
      <c r="F1686" s="14">
        <f>'Empleo Censo'!I1686</f>
        <v/>
      </c>
      <c r="G1686" s="14">
        <f>'Empleo Censo'!J1686+'Empleo Censo'!K1686</f>
        <v/>
      </c>
      <c r="H1686" s="14">
        <f>'Empleo Censo'!L1686</f>
        <v/>
      </c>
      <c r="I1686" s="14">
        <f>'Empleo Censo'!M1686</f>
        <v/>
      </c>
      <c r="J1686" s="14">
        <f>SUM('Empleo Censo'!N1686:AA1686)</f>
        <v/>
      </c>
      <c r="K1686" s="14">
        <f>SUM(C1686:J1686)</f>
        <v/>
      </c>
      <c r="L1686" s="15">
        <f>SUMPRODUCT(C1686:J1686,Factores!$B$3:$I$3)</f>
        <v/>
      </c>
      <c r="M1686" s="16">
        <f>'Empleo Censo'!E1686</f>
        <v/>
      </c>
      <c r="N1686" s="17">
        <f>IF(M1686&gt;0,L1686,Factores!$B$7)</f>
        <v/>
      </c>
      <c r="O1686">
        <f>IF(M1686&gt;0,"OK","sin PEA -&gt; peor")</f>
        <v/>
      </c>
    </row>
    <row r="1687">
      <c r="A1687" t="inlineStr">
        <is>
          <t>040401</t>
        </is>
      </c>
      <c r="B1687" t="inlineStr">
        <is>
          <t>APLAO</t>
        </is>
      </c>
      <c r="C1687" s="14">
        <f>'Empleo Censo'!G1687-'Empleo Censo'!F1687</f>
        <v/>
      </c>
      <c r="D1687" s="14">
        <f>'Empleo Censo'!F1687</f>
        <v/>
      </c>
      <c r="E1687" s="14">
        <f>'Empleo Censo'!H1687</f>
        <v/>
      </c>
      <c r="F1687" s="14">
        <f>'Empleo Censo'!I1687</f>
        <v/>
      </c>
      <c r="G1687" s="14">
        <f>'Empleo Censo'!J1687+'Empleo Censo'!K1687</f>
        <v/>
      </c>
      <c r="H1687" s="14">
        <f>'Empleo Censo'!L1687</f>
        <v/>
      </c>
      <c r="I1687" s="14">
        <f>'Empleo Censo'!M1687</f>
        <v/>
      </c>
      <c r="J1687" s="14">
        <f>SUM('Empleo Censo'!N1687:AA1687)</f>
        <v/>
      </c>
      <c r="K1687" s="14">
        <f>SUM(C1687:J1687)</f>
        <v/>
      </c>
      <c r="L1687" s="15">
        <f>SUMPRODUCT(C1687:J1687,Factores!$B$3:$I$3)</f>
        <v/>
      </c>
      <c r="M1687" s="16">
        <f>'Empleo Censo'!E1687</f>
        <v/>
      </c>
      <c r="N1687" s="17">
        <f>IF(M1687&gt;0,L1687,Factores!$B$7)</f>
        <v/>
      </c>
      <c r="O1687">
        <f>IF(M1687&gt;0,"OK","sin PEA -&gt; peor")</f>
        <v/>
      </c>
    </row>
    <row r="1688">
      <c r="A1688" t="inlineStr">
        <is>
          <t>081211</t>
        </is>
      </c>
      <c r="B1688" t="inlineStr">
        <is>
          <t>OROPESA</t>
        </is>
      </c>
      <c r="C1688" s="14">
        <f>'Empleo Censo'!G1688-'Empleo Censo'!F1688</f>
        <v/>
      </c>
      <c r="D1688" s="14">
        <f>'Empleo Censo'!F1688</f>
        <v/>
      </c>
      <c r="E1688" s="14">
        <f>'Empleo Censo'!H1688</f>
        <v/>
      </c>
      <c r="F1688" s="14">
        <f>'Empleo Censo'!I1688</f>
        <v/>
      </c>
      <c r="G1688" s="14">
        <f>'Empleo Censo'!J1688+'Empleo Censo'!K1688</f>
        <v/>
      </c>
      <c r="H1688" s="14">
        <f>'Empleo Censo'!L1688</f>
        <v/>
      </c>
      <c r="I1688" s="14">
        <f>'Empleo Censo'!M1688</f>
        <v/>
      </c>
      <c r="J1688" s="14">
        <f>SUM('Empleo Censo'!N1688:AA1688)</f>
        <v/>
      </c>
      <c r="K1688" s="14">
        <f>SUM(C1688:J1688)</f>
        <v/>
      </c>
      <c r="L1688" s="15">
        <f>SUMPRODUCT(C1688:J1688,Factores!$B$3:$I$3)</f>
        <v/>
      </c>
      <c r="M1688" s="16">
        <f>'Empleo Censo'!E1688</f>
        <v/>
      </c>
      <c r="N1688" s="17">
        <f>IF(M1688&gt;0,L1688,Factores!$B$7)</f>
        <v/>
      </c>
      <c r="O1688">
        <f>IF(M1688&gt;0,"OK","sin PEA -&gt; peor")</f>
        <v/>
      </c>
    </row>
    <row r="1689">
      <c r="A1689" t="inlineStr">
        <is>
          <t>081305</t>
        </is>
      </c>
      <c r="B1689" t="inlineStr">
        <is>
          <t>MARAS</t>
        </is>
      </c>
      <c r="C1689" s="14">
        <f>'Empleo Censo'!G1689-'Empleo Censo'!F1689</f>
        <v/>
      </c>
      <c r="D1689" s="14">
        <f>'Empleo Censo'!F1689</f>
        <v/>
      </c>
      <c r="E1689" s="14">
        <f>'Empleo Censo'!H1689</f>
        <v/>
      </c>
      <c r="F1689" s="14">
        <f>'Empleo Censo'!I1689</f>
        <v/>
      </c>
      <c r="G1689" s="14">
        <f>'Empleo Censo'!J1689+'Empleo Censo'!K1689</f>
        <v/>
      </c>
      <c r="H1689" s="14">
        <f>'Empleo Censo'!L1689</f>
        <v/>
      </c>
      <c r="I1689" s="14">
        <f>'Empleo Censo'!M1689</f>
        <v/>
      </c>
      <c r="J1689" s="14">
        <f>SUM('Empleo Censo'!N1689:AA1689)</f>
        <v/>
      </c>
      <c r="K1689" s="14">
        <f>SUM(C1689:J1689)</f>
        <v/>
      </c>
      <c r="L1689" s="15">
        <f>SUMPRODUCT(C1689:J1689,Factores!$B$3:$I$3)</f>
        <v/>
      </c>
      <c r="M1689" s="16">
        <f>'Empleo Censo'!E1689</f>
        <v/>
      </c>
      <c r="N1689" s="17">
        <f>IF(M1689&gt;0,L1689,Factores!$B$7)</f>
        <v/>
      </c>
      <c r="O1689">
        <f>IF(M1689&gt;0,"OK","sin PEA -&gt; peor")</f>
        <v/>
      </c>
    </row>
    <row r="1690">
      <c r="A1690" t="inlineStr">
        <is>
          <t>081102</t>
        </is>
      </c>
      <c r="B1690" t="inlineStr">
        <is>
          <t>CAICAY</t>
        </is>
      </c>
      <c r="C1690" s="14">
        <f>'Empleo Censo'!G1690-'Empleo Censo'!F1690</f>
        <v/>
      </c>
      <c r="D1690" s="14">
        <f>'Empleo Censo'!F1690</f>
        <v/>
      </c>
      <c r="E1690" s="14">
        <f>'Empleo Censo'!H1690</f>
        <v/>
      </c>
      <c r="F1690" s="14">
        <f>'Empleo Censo'!I1690</f>
        <v/>
      </c>
      <c r="G1690" s="14">
        <f>'Empleo Censo'!J1690+'Empleo Censo'!K1690</f>
        <v/>
      </c>
      <c r="H1690" s="14">
        <f>'Empleo Censo'!L1690</f>
        <v/>
      </c>
      <c r="I1690" s="14">
        <f>'Empleo Censo'!M1690</f>
        <v/>
      </c>
      <c r="J1690" s="14">
        <f>SUM('Empleo Censo'!N1690:AA1690)</f>
        <v/>
      </c>
      <c r="K1690" s="14">
        <f>SUM(C1690:J1690)</f>
        <v/>
      </c>
      <c r="L1690" s="15">
        <f>SUMPRODUCT(C1690:J1690,Factores!$B$3:$I$3)</f>
        <v/>
      </c>
      <c r="M1690" s="16">
        <f>'Empleo Censo'!E1690</f>
        <v/>
      </c>
      <c r="N1690" s="17">
        <f>IF(M1690&gt;0,L1690,Factores!$B$7)</f>
        <v/>
      </c>
      <c r="O1690">
        <f>IF(M1690&gt;0,"OK","sin PEA -&gt; peor")</f>
        <v/>
      </c>
    </row>
    <row r="1691">
      <c r="A1691" t="inlineStr">
        <is>
          <t>030412</t>
        </is>
      </c>
      <c r="B1691" t="inlineStr">
        <is>
          <t>SAÑAYCA</t>
        </is>
      </c>
      <c r="C1691" s="14">
        <f>'Empleo Censo'!G1691-'Empleo Censo'!F1691</f>
        <v/>
      </c>
      <c r="D1691" s="14">
        <f>'Empleo Censo'!F1691</f>
        <v/>
      </c>
      <c r="E1691" s="14">
        <f>'Empleo Censo'!H1691</f>
        <v/>
      </c>
      <c r="F1691" s="14">
        <f>'Empleo Censo'!I1691</f>
        <v/>
      </c>
      <c r="G1691" s="14">
        <f>'Empleo Censo'!J1691+'Empleo Censo'!K1691</f>
        <v/>
      </c>
      <c r="H1691" s="14">
        <f>'Empleo Censo'!L1691</f>
        <v/>
      </c>
      <c r="I1691" s="14">
        <f>'Empleo Censo'!M1691</f>
        <v/>
      </c>
      <c r="J1691" s="14">
        <f>SUM('Empleo Censo'!N1691:AA1691)</f>
        <v/>
      </c>
      <c r="K1691" s="14">
        <f>SUM(C1691:J1691)</f>
        <v/>
      </c>
      <c r="L1691" s="15">
        <f>SUMPRODUCT(C1691:J1691,Factores!$B$3:$I$3)</f>
        <v/>
      </c>
      <c r="M1691" s="16">
        <f>'Empleo Censo'!E1691</f>
        <v/>
      </c>
      <c r="N1691" s="17">
        <f>IF(M1691&gt;0,L1691,Factores!$B$7)</f>
        <v/>
      </c>
      <c r="O1691">
        <f>IF(M1691&gt;0,"OK","sin PEA -&gt; peor")</f>
        <v/>
      </c>
    </row>
    <row r="1692">
      <c r="A1692" t="inlineStr">
        <is>
          <t>021502</t>
        </is>
      </c>
      <c r="B1692" t="inlineStr">
        <is>
          <t>BOLOGNESI</t>
        </is>
      </c>
      <c r="C1692" s="14">
        <f>'Empleo Censo'!G1692-'Empleo Censo'!F1692</f>
        <v/>
      </c>
      <c r="D1692" s="14">
        <f>'Empleo Censo'!F1692</f>
        <v/>
      </c>
      <c r="E1692" s="14">
        <f>'Empleo Censo'!H1692</f>
        <v/>
      </c>
      <c r="F1692" s="14">
        <f>'Empleo Censo'!I1692</f>
        <v/>
      </c>
      <c r="G1692" s="14">
        <f>'Empleo Censo'!J1692+'Empleo Censo'!K1692</f>
        <v/>
      </c>
      <c r="H1692" s="14">
        <f>'Empleo Censo'!L1692</f>
        <v/>
      </c>
      <c r="I1692" s="14">
        <f>'Empleo Censo'!M1692</f>
        <v/>
      </c>
      <c r="J1692" s="14">
        <f>SUM('Empleo Censo'!N1692:AA1692)</f>
        <v/>
      </c>
      <c r="K1692" s="14">
        <f>SUM(C1692:J1692)</f>
        <v/>
      </c>
      <c r="L1692" s="15">
        <f>SUMPRODUCT(C1692:J1692,Factores!$B$3:$I$3)</f>
        <v/>
      </c>
      <c r="M1692" s="16">
        <f>'Empleo Censo'!E1692</f>
        <v/>
      </c>
      <c r="N1692" s="17">
        <f>IF(M1692&gt;0,L1692,Factores!$B$7)</f>
        <v/>
      </c>
      <c r="O1692">
        <f>IF(M1692&gt;0,"OK","sin PEA -&gt; peor")</f>
        <v/>
      </c>
    </row>
    <row r="1693">
      <c r="A1693" t="inlineStr">
        <is>
          <t>080603</t>
        </is>
      </c>
      <c r="B1693" t="inlineStr">
        <is>
          <t>COMBAPATA</t>
        </is>
      </c>
      <c r="C1693" s="14">
        <f>'Empleo Censo'!G1693-'Empleo Censo'!F1693</f>
        <v/>
      </c>
      <c r="D1693" s="14">
        <f>'Empleo Censo'!F1693</f>
        <v/>
      </c>
      <c r="E1693" s="14">
        <f>'Empleo Censo'!H1693</f>
        <v/>
      </c>
      <c r="F1693" s="14">
        <f>'Empleo Censo'!I1693</f>
        <v/>
      </c>
      <c r="G1693" s="14">
        <f>'Empleo Censo'!J1693+'Empleo Censo'!K1693</f>
        <v/>
      </c>
      <c r="H1693" s="14">
        <f>'Empleo Censo'!L1693</f>
        <v/>
      </c>
      <c r="I1693" s="14">
        <f>'Empleo Censo'!M1693</f>
        <v/>
      </c>
      <c r="J1693" s="14">
        <f>SUM('Empleo Censo'!N1693:AA1693)</f>
        <v/>
      </c>
      <c r="K1693" s="14">
        <f>SUM(C1693:J1693)</f>
        <v/>
      </c>
      <c r="L1693" s="15">
        <f>SUMPRODUCT(C1693:J1693,Factores!$B$3:$I$3)</f>
        <v/>
      </c>
      <c r="M1693" s="16">
        <f>'Empleo Censo'!E1693</f>
        <v/>
      </c>
      <c r="N1693" s="17">
        <f>IF(M1693&gt;0,L1693,Factores!$B$7)</f>
        <v/>
      </c>
      <c r="O1693">
        <f>IF(M1693&gt;0,"OK","sin PEA -&gt; peor")</f>
        <v/>
      </c>
    </row>
    <row r="1694">
      <c r="A1694" t="inlineStr">
        <is>
          <t>021006</t>
        </is>
      </c>
      <c r="B1694" t="inlineStr">
        <is>
          <t>HUACCHIS</t>
        </is>
      </c>
      <c r="C1694" s="14">
        <f>'Empleo Censo'!G1694-'Empleo Censo'!F1694</f>
        <v/>
      </c>
      <c r="D1694" s="14">
        <f>'Empleo Censo'!F1694</f>
        <v/>
      </c>
      <c r="E1694" s="14">
        <f>'Empleo Censo'!H1694</f>
        <v/>
      </c>
      <c r="F1694" s="14">
        <f>'Empleo Censo'!I1694</f>
        <v/>
      </c>
      <c r="G1694" s="14">
        <f>'Empleo Censo'!J1694+'Empleo Censo'!K1694</f>
        <v/>
      </c>
      <c r="H1694" s="14">
        <f>'Empleo Censo'!L1694</f>
        <v/>
      </c>
      <c r="I1694" s="14">
        <f>'Empleo Censo'!M1694</f>
        <v/>
      </c>
      <c r="J1694" s="14">
        <f>SUM('Empleo Censo'!N1694:AA1694)</f>
        <v/>
      </c>
      <c r="K1694" s="14">
        <f>SUM(C1694:J1694)</f>
        <v/>
      </c>
      <c r="L1694" s="15">
        <f>SUMPRODUCT(C1694:J1694,Factores!$B$3:$I$3)</f>
        <v/>
      </c>
      <c r="M1694" s="16">
        <f>'Empleo Censo'!E1694</f>
        <v/>
      </c>
      <c r="N1694" s="17">
        <f>IF(M1694&gt;0,L1694,Factores!$B$7)</f>
        <v/>
      </c>
      <c r="O1694">
        <f>IF(M1694&gt;0,"OK","sin PEA -&gt; peor")</f>
        <v/>
      </c>
    </row>
    <row r="1695">
      <c r="A1695" t="inlineStr">
        <is>
          <t>020611</t>
        </is>
      </c>
      <c r="B1695" t="inlineStr">
        <is>
          <t>YUNGAR</t>
        </is>
      </c>
      <c r="C1695" s="14">
        <f>'Empleo Censo'!G1695-'Empleo Censo'!F1695</f>
        <v/>
      </c>
      <c r="D1695" s="14">
        <f>'Empleo Censo'!F1695</f>
        <v/>
      </c>
      <c r="E1695" s="14">
        <f>'Empleo Censo'!H1695</f>
        <v/>
      </c>
      <c r="F1695" s="14">
        <f>'Empleo Censo'!I1695</f>
        <v/>
      </c>
      <c r="G1695" s="14">
        <f>'Empleo Censo'!J1695+'Empleo Censo'!K1695</f>
        <v/>
      </c>
      <c r="H1695" s="14">
        <f>'Empleo Censo'!L1695</f>
        <v/>
      </c>
      <c r="I1695" s="14">
        <f>'Empleo Censo'!M1695</f>
        <v/>
      </c>
      <c r="J1695" s="14">
        <f>SUM('Empleo Censo'!N1695:AA1695)</f>
        <v/>
      </c>
      <c r="K1695" s="14">
        <f>SUM(C1695:J1695)</f>
        <v/>
      </c>
      <c r="L1695" s="15">
        <f>SUMPRODUCT(C1695:J1695,Factores!$B$3:$I$3)</f>
        <v/>
      </c>
      <c r="M1695" s="16">
        <f>'Empleo Censo'!E1695</f>
        <v/>
      </c>
      <c r="N1695" s="17">
        <f>IF(M1695&gt;0,L1695,Factores!$B$7)</f>
        <v/>
      </c>
      <c r="O1695">
        <f>IF(M1695&gt;0,"OK","sin PEA -&gt; peor")</f>
        <v/>
      </c>
    </row>
    <row r="1696">
      <c r="A1696" t="inlineStr">
        <is>
          <t>030402</t>
        </is>
      </c>
      <c r="B1696" t="inlineStr">
        <is>
          <t>CAPAYA</t>
        </is>
      </c>
      <c r="C1696" s="14">
        <f>'Empleo Censo'!G1696-'Empleo Censo'!F1696</f>
        <v/>
      </c>
      <c r="D1696" s="14">
        <f>'Empleo Censo'!F1696</f>
        <v/>
      </c>
      <c r="E1696" s="14">
        <f>'Empleo Censo'!H1696</f>
        <v/>
      </c>
      <c r="F1696" s="14">
        <f>'Empleo Censo'!I1696</f>
        <v/>
      </c>
      <c r="G1696" s="14">
        <f>'Empleo Censo'!J1696+'Empleo Censo'!K1696</f>
        <v/>
      </c>
      <c r="H1696" s="14">
        <f>'Empleo Censo'!L1696</f>
        <v/>
      </c>
      <c r="I1696" s="14">
        <f>'Empleo Censo'!M1696</f>
        <v/>
      </c>
      <c r="J1696" s="14">
        <f>SUM('Empleo Censo'!N1696:AA1696)</f>
        <v/>
      </c>
      <c r="K1696" s="14">
        <f>SUM(C1696:J1696)</f>
        <v/>
      </c>
      <c r="L1696" s="15">
        <f>SUMPRODUCT(C1696:J1696,Factores!$B$3:$I$3)</f>
        <v/>
      </c>
      <c r="M1696" s="16">
        <f>'Empleo Censo'!E1696</f>
        <v/>
      </c>
      <c r="N1696" s="17">
        <f>IF(M1696&gt;0,L1696,Factores!$B$7)</f>
        <v/>
      </c>
      <c r="O1696">
        <f>IF(M1696&gt;0,"OK","sin PEA -&gt; peor")</f>
        <v/>
      </c>
    </row>
    <row r="1697">
      <c r="A1697" t="inlineStr">
        <is>
          <t>020304</t>
        </is>
      </c>
      <c r="B1697" t="inlineStr">
        <is>
          <t>CHINGAS</t>
        </is>
      </c>
      <c r="C1697" s="14">
        <f>'Empleo Censo'!G1697-'Empleo Censo'!F1697</f>
        <v/>
      </c>
      <c r="D1697" s="14">
        <f>'Empleo Censo'!F1697</f>
        <v/>
      </c>
      <c r="E1697" s="14">
        <f>'Empleo Censo'!H1697</f>
        <v/>
      </c>
      <c r="F1697" s="14">
        <f>'Empleo Censo'!I1697</f>
        <v/>
      </c>
      <c r="G1697" s="14">
        <f>'Empleo Censo'!J1697+'Empleo Censo'!K1697</f>
        <v/>
      </c>
      <c r="H1697" s="14">
        <f>'Empleo Censo'!L1697</f>
        <v/>
      </c>
      <c r="I1697" s="14">
        <f>'Empleo Censo'!M1697</f>
        <v/>
      </c>
      <c r="J1697" s="14">
        <f>SUM('Empleo Censo'!N1697:AA1697)</f>
        <v/>
      </c>
      <c r="K1697" s="14">
        <f>SUM(C1697:J1697)</f>
        <v/>
      </c>
      <c r="L1697" s="15">
        <f>SUMPRODUCT(C1697:J1697,Factores!$B$3:$I$3)</f>
        <v/>
      </c>
      <c r="M1697" s="16">
        <f>'Empleo Censo'!E1697</f>
        <v/>
      </c>
      <c r="N1697" s="17">
        <f>IF(M1697&gt;0,L1697,Factores!$B$7)</f>
        <v/>
      </c>
      <c r="O1697">
        <f>IF(M1697&gt;0,"OK","sin PEA -&gt; peor")</f>
        <v/>
      </c>
    </row>
    <row r="1698">
      <c r="A1698" t="inlineStr">
        <is>
          <t>020610</t>
        </is>
      </c>
      <c r="B1698" t="inlineStr">
        <is>
          <t>TINCO</t>
        </is>
      </c>
      <c r="C1698" s="14">
        <f>'Empleo Censo'!G1698-'Empleo Censo'!F1698</f>
        <v/>
      </c>
      <c r="D1698" s="14">
        <f>'Empleo Censo'!F1698</f>
        <v/>
      </c>
      <c r="E1698" s="14">
        <f>'Empleo Censo'!H1698</f>
        <v/>
      </c>
      <c r="F1698" s="14">
        <f>'Empleo Censo'!I1698</f>
        <v/>
      </c>
      <c r="G1698" s="14">
        <f>'Empleo Censo'!J1698+'Empleo Censo'!K1698</f>
        <v/>
      </c>
      <c r="H1698" s="14">
        <f>'Empleo Censo'!L1698</f>
        <v/>
      </c>
      <c r="I1698" s="14">
        <f>'Empleo Censo'!M1698</f>
        <v/>
      </c>
      <c r="J1698" s="14">
        <f>SUM('Empleo Censo'!N1698:AA1698)</f>
        <v/>
      </c>
      <c r="K1698" s="14">
        <f>SUM(C1698:J1698)</f>
        <v/>
      </c>
      <c r="L1698" s="15">
        <f>SUMPRODUCT(C1698:J1698,Factores!$B$3:$I$3)</f>
        <v/>
      </c>
      <c r="M1698" s="16">
        <f>'Empleo Censo'!E1698</f>
        <v/>
      </c>
      <c r="N1698" s="17">
        <f>IF(M1698&gt;0,L1698,Factores!$B$7)</f>
        <v/>
      </c>
      <c r="O1698">
        <f>IF(M1698&gt;0,"OK","sin PEA -&gt; peor")</f>
        <v/>
      </c>
    </row>
    <row r="1699">
      <c r="A1699" t="inlineStr">
        <is>
          <t>040706</t>
        </is>
      </c>
      <c r="B1699" t="inlineStr">
        <is>
          <t>PUNTA DE BOMBON</t>
        </is>
      </c>
      <c r="C1699" s="14">
        <f>'Empleo Censo'!G1699-'Empleo Censo'!F1699</f>
        <v/>
      </c>
      <c r="D1699" s="14">
        <f>'Empleo Censo'!F1699</f>
        <v/>
      </c>
      <c r="E1699" s="14">
        <f>'Empleo Censo'!H1699</f>
        <v/>
      </c>
      <c r="F1699" s="14">
        <f>'Empleo Censo'!I1699</f>
        <v/>
      </c>
      <c r="G1699" s="14">
        <f>'Empleo Censo'!J1699+'Empleo Censo'!K1699</f>
        <v/>
      </c>
      <c r="H1699" s="14">
        <f>'Empleo Censo'!L1699</f>
        <v/>
      </c>
      <c r="I1699" s="14">
        <f>'Empleo Censo'!M1699</f>
        <v/>
      </c>
      <c r="J1699" s="14">
        <f>SUM('Empleo Censo'!N1699:AA1699)</f>
        <v/>
      </c>
      <c r="K1699" s="14">
        <f>SUM(C1699:J1699)</f>
        <v/>
      </c>
      <c r="L1699" s="15">
        <f>SUMPRODUCT(C1699:J1699,Factores!$B$3:$I$3)</f>
        <v/>
      </c>
      <c r="M1699" s="16">
        <f>'Empleo Censo'!E1699</f>
        <v/>
      </c>
      <c r="N1699" s="17">
        <f>IF(M1699&gt;0,L1699,Factores!$B$7)</f>
        <v/>
      </c>
      <c r="O1699">
        <f>IF(M1699&gt;0,"OK","sin PEA -&gt; peor")</f>
        <v/>
      </c>
    </row>
    <row r="1700">
      <c r="A1700" t="inlineStr">
        <is>
          <t>021906</t>
        </is>
      </c>
      <c r="B1700" t="inlineStr">
        <is>
          <t>HUAYLLABAMBA</t>
        </is>
      </c>
      <c r="C1700" s="14">
        <f>'Empleo Censo'!G1700-'Empleo Censo'!F1700</f>
        <v/>
      </c>
      <c r="D1700" s="14">
        <f>'Empleo Censo'!F1700</f>
        <v/>
      </c>
      <c r="E1700" s="14">
        <f>'Empleo Censo'!H1700</f>
        <v/>
      </c>
      <c r="F1700" s="14">
        <f>'Empleo Censo'!I1700</f>
        <v/>
      </c>
      <c r="G1700" s="14">
        <f>'Empleo Censo'!J1700+'Empleo Censo'!K1700</f>
        <v/>
      </c>
      <c r="H1700" s="14">
        <f>'Empleo Censo'!L1700</f>
        <v/>
      </c>
      <c r="I1700" s="14">
        <f>'Empleo Censo'!M1700</f>
        <v/>
      </c>
      <c r="J1700" s="14">
        <f>SUM('Empleo Censo'!N1700:AA1700)</f>
        <v/>
      </c>
      <c r="K1700" s="14">
        <f>SUM(C1700:J1700)</f>
        <v/>
      </c>
      <c r="L1700" s="15">
        <f>SUMPRODUCT(C1700:J1700,Factores!$B$3:$I$3)</f>
        <v/>
      </c>
      <c r="M1700" s="16">
        <f>'Empleo Censo'!E1700</f>
        <v/>
      </c>
      <c r="N1700" s="17">
        <f>IF(M1700&gt;0,L1700,Factores!$B$7)</f>
        <v/>
      </c>
      <c r="O1700">
        <f>IF(M1700&gt;0,"OK","sin PEA -&gt; peor")</f>
        <v/>
      </c>
    </row>
    <row r="1701">
      <c r="A1701" t="inlineStr">
        <is>
          <t>021708</t>
        </is>
      </c>
      <c r="B1701" t="inlineStr">
        <is>
          <t>PARARIN</t>
        </is>
      </c>
      <c r="C1701" s="14">
        <f>'Empleo Censo'!G1701-'Empleo Censo'!F1701</f>
        <v/>
      </c>
      <c r="D1701" s="14">
        <f>'Empleo Censo'!F1701</f>
        <v/>
      </c>
      <c r="E1701" s="14">
        <f>'Empleo Censo'!H1701</f>
        <v/>
      </c>
      <c r="F1701" s="14">
        <f>'Empleo Censo'!I1701</f>
        <v/>
      </c>
      <c r="G1701" s="14">
        <f>'Empleo Censo'!J1701+'Empleo Censo'!K1701</f>
        <v/>
      </c>
      <c r="H1701" s="14">
        <f>'Empleo Censo'!L1701</f>
        <v/>
      </c>
      <c r="I1701" s="14">
        <f>'Empleo Censo'!M1701</f>
        <v/>
      </c>
      <c r="J1701" s="14">
        <f>SUM('Empleo Censo'!N1701:AA1701)</f>
        <v/>
      </c>
      <c r="K1701" s="14">
        <f>SUM(C1701:J1701)</f>
        <v/>
      </c>
      <c r="L1701" s="15">
        <f>SUMPRODUCT(C1701:J1701,Factores!$B$3:$I$3)</f>
        <v/>
      </c>
      <c r="M1701" s="16">
        <f>'Empleo Censo'!E1701</f>
        <v/>
      </c>
      <c r="N1701" s="17">
        <f>IF(M1701&gt;0,L1701,Factores!$B$7)</f>
        <v/>
      </c>
      <c r="O1701">
        <f>IF(M1701&gt;0,"OK","sin PEA -&gt; peor")</f>
        <v/>
      </c>
    </row>
    <row r="1702">
      <c r="A1702" t="inlineStr">
        <is>
          <t>010610</t>
        </is>
      </c>
      <c r="B1702" t="inlineStr">
        <is>
          <t>SANTA ROSA</t>
        </is>
      </c>
      <c r="C1702" s="14">
        <f>'Empleo Censo'!G1702-'Empleo Censo'!F1702</f>
        <v/>
      </c>
      <c r="D1702" s="14">
        <f>'Empleo Censo'!F1702</f>
        <v/>
      </c>
      <c r="E1702" s="14">
        <f>'Empleo Censo'!H1702</f>
        <v/>
      </c>
      <c r="F1702" s="14">
        <f>'Empleo Censo'!I1702</f>
        <v/>
      </c>
      <c r="G1702" s="14">
        <f>'Empleo Censo'!J1702+'Empleo Censo'!K1702</f>
        <v/>
      </c>
      <c r="H1702" s="14">
        <f>'Empleo Censo'!L1702</f>
        <v/>
      </c>
      <c r="I1702" s="14">
        <f>'Empleo Censo'!M1702</f>
        <v/>
      </c>
      <c r="J1702" s="14">
        <f>SUM('Empleo Censo'!N1702:AA1702)</f>
        <v/>
      </c>
      <c r="K1702" s="14">
        <f>SUM(C1702:J1702)</f>
        <v/>
      </c>
      <c r="L1702" s="15">
        <f>SUMPRODUCT(C1702:J1702,Factores!$B$3:$I$3)</f>
        <v/>
      </c>
      <c r="M1702" s="16">
        <f>'Empleo Censo'!E1702</f>
        <v/>
      </c>
      <c r="N1702" s="17">
        <f>IF(M1702&gt;0,L1702,Factores!$B$7)</f>
        <v/>
      </c>
      <c r="O1702">
        <f>IF(M1702&gt;0,"OK","sin PEA -&gt; peor")</f>
        <v/>
      </c>
    </row>
    <row r="1703">
      <c r="A1703" t="inlineStr">
        <is>
          <t>060608</t>
        </is>
      </c>
      <c r="B1703" t="inlineStr">
        <is>
          <t>SAN ANDRES DE CUTERVO</t>
        </is>
      </c>
      <c r="C1703" s="14">
        <f>'Empleo Censo'!G1703-'Empleo Censo'!F1703</f>
        <v/>
      </c>
      <c r="D1703" s="14">
        <f>'Empleo Censo'!F1703</f>
        <v/>
      </c>
      <c r="E1703" s="14">
        <f>'Empleo Censo'!H1703</f>
        <v/>
      </c>
      <c r="F1703" s="14">
        <f>'Empleo Censo'!I1703</f>
        <v/>
      </c>
      <c r="G1703" s="14">
        <f>'Empleo Censo'!J1703+'Empleo Censo'!K1703</f>
        <v/>
      </c>
      <c r="H1703" s="14">
        <f>'Empleo Censo'!L1703</f>
        <v/>
      </c>
      <c r="I1703" s="14">
        <f>'Empleo Censo'!M1703</f>
        <v/>
      </c>
      <c r="J1703" s="14">
        <f>SUM('Empleo Censo'!N1703:AA1703)</f>
        <v/>
      </c>
      <c r="K1703" s="14">
        <f>SUM(C1703:J1703)</f>
        <v/>
      </c>
      <c r="L1703" s="15">
        <f>SUMPRODUCT(C1703:J1703,Factores!$B$3:$I$3)</f>
        <v/>
      </c>
      <c r="M1703" s="16">
        <f>'Empleo Censo'!E1703</f>
        <v/>
      </c>
      <c r="N1703" s="17">
        <f>IF(M1703&gt;0,L1703,Factores!$B$7)</f>
        <v/>
      </c>
      <c r="O1703">
        <f>IF(M1703&gt;0,"OK","sin PEA -&gt; peor")</f>
        <v/>
      </c>
    </row>
    <row r="1704">
      <c r="A1704" t="inlineStr">
        <is>
          <t>021408</t>
        </is>
      </c>
      <c r="B1704" t="inlineStr">
        <is>
          <t>SAN CRISTOBAL DE RAJAN</t>
        </is>
      </c>
      <c r="C1704" s="14">
        <f>'Empleo Censo'!G1704-'Empleo Censo'!F1704</f>
        <v/>
      </c>
      <c r="D1704" s="14">
        <f>'Empleo Censo'!F1704</f>
        <v/>
      </c>
      <c r="E1704" s="14">
        <f>'Empleo Censo'!H1704</f>
        <v/>
      </c>
      <c r="F1704" s="14">
        <f>'Empleo Censo'!I1704</f>
        <v/>
      </c>
      <c r="G1704" s="14">
        <f>'Empleo Censo'!J1704+'Empleo Censo'!K1704</f>
        <v/>
      </c>
      <c r="H1704" s="14">
        <f>'Empleo Censo'!L1704</f>
        <v/>
      </c>
      <c r="I1704" s="14">
        <f>'Empleo Censo'!M1704</f>
        <v/>
      </c>
      <c r="J1704" s="14">
        <f>SUM('Empleo Censo'!N1704:AA1704)</f>
        <v/>
      </c>
      <c r="K1704" s="14">
        <f>SUM(C1704:J1704)</f>
        <v/>
      </c>
      <c r="L1704" s="15">
        <f>SUMPRODUCT(C1704:J1704,Factores!$B$3:$I$3)</f>
        <v/>
      </c>
      <c r="M1704" s="16">
        <f>'Empleo Censo'!E1704</f>
        <v/>
      </c>
      <c r="N1704" s="17">
        <f>IF(M1704&gt;0,L1704,Factores!$B$7)</f>
        <v/>
      </c>
      <c r="O1704">
        <f>IF(M1704&gt;0,"OK","sin PEA -&gt; peor")</f>
        <v/>
      </c>
    </row>
    <row r="1705">
      <c r="A1705" t="inlineStr">
        <is>
          <t>050614</t>
        </is>
      </c>
      <c r="B1705" t="inlineStr">
        <is>
          <t>SAISA</t>
        </is>
      </c>
      <c r="C1705" s="14">
        <f>'Empleo Censo'!G1705-'Empleo Censo'!F1705</f>
        <v/>
      </c>
      <c r="D1705" s="14">
        <f>'Empleo Censo'!F1705</f>
        <v/>
      </c>
      <c r="E1705" s="14">
        <f>'Empleo Censo'!H1705</f>
        <v/>
      </c>
      <c r="F1705" s="14">
        <f>'Empleo Censo'!I1705</f>
        <v/>
      </c>
      <c r="G1705" s="14">
        <f>'Empleo Censo'!J1705+'Empleo Censo'!K1705</f>
        <v/>
      </c>
      <c r="H1705" s="14">
        <f>'Empleo Censo'!L1705</f>
        <v/>
      </c>
      <c r="I1705" s="14">
        <f>'Empleo Censo'!M1705</f>
        <v/>
      </c>
      <c r="J1705" s="14">
        <f>SUM('Empleo Censo'!N1705:AA1705)</f>
        <v/>
      </c>
      <c r="K1705" s="14">
        <f>SUM(C1705:J1705)</f>
        <v/>
      </c>
      <c r="L1705" s="15">
        <f>SUMPRODUCT(C1705:J1705,Factores!$B$3:$I$3)</f>
        <v/>
      </c>
      <c r="M1705" s="16">
        <f>'Empleo Censo'!E1705</f>
        <v/>
      </c>
      <c r="N1705" s="17">
        <f>IF(M1705&gt;0,L1705,Factores!$B$7)</f>
        <v/>
      </c>
      <c r="O1705">
        <f>IF(M1705&gt;0,"OK","sin PEA -&gt; peor")</f>
        <v/>
      </c>
    </row>
    <row r="1706">
      <c r="A1706" t="inlineStr">
        <is>
          <t>040127</t>
        </is>
      </c>
      <c r="B1706" t="inlineStr">
        <is>
          <t>YARABAMBA</t>
        </is>
      </c>
      <c r="C1706" s="14">
        <f>'Empleo Censo'!G1706-'Empleo Censo'!F1706</f>
        <v/>
      </c>
      <c r="D1706" s="14">
        <f>'Empleo Censo'!F1706</f>
        <v/>
      </c>
      <c r="E1706" s="14">
        <f>'Empleo Censo'!H1706</f>
        <v/>
      </c>
      <c r="F1706" s="14">
        <f>'Empleo Censo'!I1706</f>
        <v/>
      </c>
      <c r="G1706" s="14">
        <f>'Empleo Censo'!J1706+'Empleo Censo'!K1706</f>
        <v/>
      </c>
      <c r="H1706" s="14">
        <f>'Empleo Censo'!L1706</f>
        <v/>
      </c>
      <c r="I1706" s="14">
        <f>'Empleo Censo'!M1706</f>
        <v/>
      </c>
      <c r="J1706" s="14">
        <f>SUM('Empleo Censo'!N1706:AA1706)</f>
        <v/>
      </c>
      <c r="K1706" s="14">
        <f>SUM(C1706:J1706)</f>
        <v/>
      </c>
      <c r="L1706" s="15">
        <f>SUMPRODUCT(C1706:J1706,Factores!$B$3:$I$3)</f>
        <v/>
      </c>
      <c r="M1706" s="16">
        <f>'Empleo Censo'!E1706</f>
        <v/>
      </c>
      <c r="N1706" s="17">
        <f>IF(M1706&gt;0,L1706,Factores!$B$7)</f>
        <v/>
      </c>
      <c r="O1706">
        <f>IF(M1706&gt;0,"OK","sin PEA -&gt; peor")</f>
        <v/>
      </c>
    </row>
    <row r="1707">
      <c r="A1707" t="inlineStr">
        <is>
          <t>081203</t>
        </is>
      </c>
      <c r="B1707" t="inlineStr">
        <is>
          <t>CAMANTI</t>
        </is>
      </c>
      <c r="C1707" s="14">
        <f>'Empleo Censo'!G1707-'Empleo Censo'!F1707</f>
        <v/>
      </c>
      <c r="D1707" s="14">
        <f>'Empleo Censo'!F1707</f>
        <v/>
      </c>
      <c r="E1707" s="14">
        <f>'Empleo Censo'!H1707</f>
        <v/>
      </c>
      <c r="F1707" s="14">
        <f>'Empleo Censo'!I1707</f>
        <v/>
      </c>
      <c r="G1707" s="14">
        <f>'Empleo Censo'!J1707+'Empleo Censo'!K1707</f>
        <v/>
      </c>
      <c r="H1707" s="14">
        <f>'Empleo Censo'!L1707</f>
        <v/>
      </c>
      <c r="I1707" s="14">
        <f>'Empleo Censo'!M1707</f>
        <v/>
      </c>
      <c r="J1707" s="14">
        <f>SUM('Empleo Censo'!N1707:AA1707)</f>
        <v/>
      </c>
      <c r="K1707" s="14">
        <f>SUM(C1707:J1707)</f>
        <v/>
      </c>
      <c r="L1707" s="15">
        <f>SUMPRODUCT(C1707:J1707,Factores!$B$3:$I$3)</f>
        <v/>
      </c>
      <c r="M1707" s="16">
        <f>'Empleo Censo'!E1707</f>
        <v/>
      </c>
      <c r="N1707" s="17">
        <f>IF(M1707&gt;0,L1707,Factores!$B$7)</f>
        <v/>
      </c>
      <c r="O1707">
        <f>IF(M1707&gt;0,"OK","sin PEA -&gt; peor")</f>
        <v/>
      </c>
    </row>
    <row r="1708">
      <c r="A1708" t="inlineStr">
        <is>
          <t>040515</t>
        </is>
      </c>
      <c r="B1708" t="inlineStr">
        <is>
          <t>SIBAYO</t>
        </is>
      </c>
      <c r="C1708" s="14">
        <f>'Empleo Censo'!G1708-'Empleo Censo'!F1708</f>
        <v/>
      </c>
      <c r="D1708" s="14">
        <f>'Empleo Censo'!F1708</f>
        <v/>
      </c>
      <c r="E1708" s="14">
        <f>'Empleo Censo'!H1708</f>
        <v/>
      </c>
      <c r="F1708" s="14">
        <f>'Empleo Censo'!I1708</f>
        <v/>
      </c>
      <c r="G1708" s="14">
        <f>'Empleo Censo'!J1708+'Empleo Censo'!K1708</f>
        <v/>
      </c>
      <c r="H1708" s="14">
        <f>'Empleo Censo'!L1708</f>
        <v/>
      </c>
      <c r="I1708" s="14">
        <f>'Empleo Censo'!M1708</f>
        <v/>
      </c>
      <c r="J1708" s="14">
        <f>SUM('Empleo Censo'!N1708:AA1708)</f>
        <v/>
      </c>
      <c r="K1708" s="14">
        <f>SUM(C1708:J1708)</f>
        <v/>
      </c>
      <c r="L1708" s="15">
        <f>SUMPRODUCT(C1708:J1708,Factores!$B$3:$I$3)</f>
        <v/>
      </c>
      <c r="M1708" s="16">
        <f>'Empleo Censo'!E1708</f>
        <v/>
      </c>
      <c r="N1708" s="17">
        <f>IF(M1708&gt;0,L1708,Factores!$B$7)</f>
        <v/>
      </c>
      <c r="O1708">
        <f>IF(M1708&gt;0,"OK","sin PEA -&gt; peor")</f>
        <v/>
      </c>
    </row>
    <row r="1709">
      <c r="A1709" t="inlineStr">
        <is>
          <t>081008</t>
        </is>
      </c>
      <c r="B1709" t="inlineStr">
        <is>
          <t>PILLPINTO</t>
        </is>
      </c>
      <c r="C1709" s="14">
        <f>'Empleo Censo'!G1709-'Empleo Censo'!F1709</f>
        <v/>
      </c>
      <c r="D1709" s="14">
        <f>'Empleo Censo'!F1709</f>
        <v/>
      </c>
      <c r="E1709" s="14">
        <f>'Empleo Censo'!H1709</f>
        <v/>
      </c>
      <c r="F1709" s="14">
        <f>'Empleo Censo'!I1709</f>
        <v/>
      </c>
      <c r="G1709" s="14">
        <f>'Empleo Censo'!J1709+'Empleo Censo'!K1709</f>
        <v/>
      </c>
      <c r="H1709" s="14">
        <f>'Empleo Censo'!L1709</f>
        <v/>
      </c>
      <c r="I1709" s="14">
        <f>'Empleo Censo'!M1709</f>
        <v/>
      </c>
      <c r="J1709" s="14">
        <f>SUM('Empleo Censo'!N1709:AA1709)</f>
        <v/>
      </c>
      <c r="K1709" s="14">
        <f>SUM(C1709:J1709)</f>
        <v/>
      </c>
      <c r="L1709" s="15">
        <f>SUMPRODUCT(C1709:J1709,Factores!$B$3:$I$3)</f>
        <v/>
      </c>
      <c r="M1709" s="16">
        <f>'Empleo Censo'!E1709</f>
        <v/>
      </c>
      <c r="N1709" s="17">
        <f>IF(M1709&gt;0,L1709,Factores!$B$7)</f>
        <v/>
      </c>
      <c r="O1709">
        <f>IF(M1709&gt;0,"OK","sin PEA -&gt; peor")</f>
        <v/>
      </c>
    </row>
    <row r="1710">
      <c r="A1710" t="inlineStr">
        <is>
          <t>030210</t>
        </is>
      </c>
      <c r="B1710" t="inlineStr">
        <is>
          <t>PAMPACHIRI</t>
        </is>
      </c>
      <c r="C1710" s="14">
        <f>'Empleo Censo'!G1710-'Empleo Censo'!F1710</f>
        <v/>
      </c>
      <c r="D1710" s="14">
        <f>'Empleo Censo'!F1710</f>
        <v/>
      </c>
      <c r="E1710" s="14">
        <f>'Empleo Censo'!H1710</f>
        <v/>
      </c>
      <c r="F1710" s="14">
        <f>'Empleo Censo'!I1710</f>
        <v/>
      </c>
      <c r="G1710" s="14">
        <f>'Empleo Censo'!J1710+'Empleo Censo'!K1710</f>
        <v/>
      </c>
      <c r="H1710" s="14">
        <f>'Empleo Censo'!L1710</f>
        <v/>
      </c>
      <c r="I1710" s="14">
        <f>'Empleo Censo'!M1710</f>
        <v/>
      </c>
      <c r="J1710" s="14">
        <f>SUM('Empleo Censo'!N1710:AA1710)</f>
        <v/>
      </c>
      <c r="K1710" s="14">
        <f>SUM(C1710:J1710)</f>
        <v/>
      </c>
      <c r="L1710" s="15">
        <f>SUMPRODUCT(C1710:J1710,Factores!$B$3:$I$3)</f>
        <v/>
      </c>
      <c r="M1710" s="16">
        <f>'Empleo Censo'!E1710</f>
        <v/>
      </c>
      <c r="N1710" s="17">
        <f>IF(M1710&gt;0,L1710,Factores!$B$7)</f>
        <v/>
      </c>
      <c r="O1710">
        <f>IF(M1710&gt;0,"OK","sin PEA -&gt; peor")</f>
        <v/>
      </c>
    </row>
    <row r="1711">
      <c r="A1711" t="inlineStr">
        <is>
          <t>021010</t>
        </is>
      </c>
      <c r="B1711" t="inlineStr">
        <is>
          <t>PAUCAS</t>
        </is>
      </c>
      <c r="C1711" s="14">
        <f>'Empleo Censo'!G1711-'Empleo Censo'!F1711</f>
        <v/>
      </c>
      <c r="D1711" s="14">
        <f>'Empleo Censo'!F1711</f>
        <v/>
      </c>
      <c r="E1711" s="14">
        <f>'Empleo Censo'!H1711</f>
        <v/>
      </c>
      <c r="F1711" s="14">
        <f>'Empleo Censo'!I1711</f>
        <v/>
      </c>
      <c r="G1711" s="14">
        <f>'Empleo Censo'!J1711+'Empleo Censo'!K1711</f>
        <v/>
      </c>
      <c r="H1711" s="14">
        <f>'Empleo Censo'!L1711</f>
        <v/>
      </c>
      <c r="I1711" s="14">
        <f>'Empleo Censo'!M1711</f>
        <v/>
      </c>
      <c r="J1711" s="14">
        <f>SUM('Empleo Censo'!N1711:AA1711)</f>
        <v/>
      </c>
      <c r="K1711" s="14">
        <f>SUM(C1711:J1711)</f>
        <v/>
      </c>
      <c r="L1711" s="15">
        <f>SUMPRODUCT(C1711:J1711,Factores!$B$3:$I$3)</f>
        <v/>
      </c>
      <c r="M1711" s="16">
        <f>'Empleo Censo'!E1711</f>
        <v/>
      </c>
      <c r="N1711" s="17">
        <f>IF(M1711&gt;0,L1711,Factores!$B$7)</f>
        <v/>
      </c>
      <c r="O1711">
        <f>IF(M1711&gt;0,"OK","sin PEA -&gt; peor")</f>
        <v/>
      </c>
    </row>
    <row r="1712">
      <c r="A1712" t="inlineStr">
        <is>
          <t>021410</t>
        </is>
      </c>
      <c r="B1712" t="inlineStr">
        <is>
          <t>SANTIAGO DE CHILCAS</t>
        </is>
      </c>
      <c r="C1712" s="14">
        <f>'Empleo Censo'!G1712-'Empleo Censo'!F1712</f>
        <v/>
      </c>
      <c r="D1712" s="14">
        <f>'Empleo Censo'!F1712</f>
        <v/>
      </c>
      <c r="E1712" s="14">
        <f>'Empleo Censo'!H1712</f>
        <v/>
      </c>
      <c r="F1712" s="14">
        <f>'Empleo Censo'!I1712</f>
        <v/>
      </c>
      <c r="G1712" s="14">
        <f>'Empleo Censo'!J1712+'Empleo Censo'!K1712</f>
        <v/>
      </c>
      <c r="H1712" s="14">
        <f>'Empleo Censo'!L1712</f>
        <v/>
      </c>
      <c r="I1712" s="14">
        <f>'Empleo Censo'!M1712</f>
        <v/>
      </c>
      <c r="J1712" s="14">
        <f>SUM('Empleo Censo'!N1712:AA1712)</f>
        <v/>
      </c>
      <c r="K1712" s="14">
        <f>SUM(C1712:J1712)</f>
        <v/>
      </c>
      <c r="L1712" s="15">
        <f>SUMPRODUCT(C1712:J1712,Factores!$B$3:$I$3)</f>
        <v/>
      </c>
      <c r="M1712" s="16">
        <f>'Empleo Censo'!E1712</f>
        <v/>
      </c>
      <c r="N1712" s="17">
        <f>IF(M1712&gt;0,L1712,Factores!$B$7)</f>
        <v/>
      </c>
      <c r="O1712">
        <f>IF(M1712&gt;0,"OK","sin PEA -&gt; peor")</f>
        <v/>
      </c>
    </row>
    <row r="1713">
      <c r="A1713" t="inlineStr">
        <is>
          <t>050413</t>
        </is>
      </c>
      <c r="B1713" t="inlineStr">
        <is>
          <t>PUTIS</t>
        </is>
      </c>
      <c r="C1713" s="14">
        <f>'Empleo Censo'!G1713-'Empleo Censo'!F1713</f>
        <v/>
      </c>
      <c r="D1713" s="14">
        <f>'Empleo Censo'!F1713</f>
        <v/>
      </c>
      <c r="E1713" s="14">
        <f>'Empleo Censo'!H1713</f>
        <v/>
      </c>
      <c r="F1713" s="14">
        <f>'Empleo Censo'!I1713</f>
        <v/>
      </c>
      <c r="G1713" s="14">
        <f>'Empleo Censo'!J1713+'Empleo Censo'!K1713</f>
        <v/>
      </c>
      <c r="H1713" s="14">
        <f>'Empleo Censo'!L1713</f>
        <v/>
      </c>
      <c r="I1713" s="14">
        <f>'Empleo Censo'!M1713</f>
        <v/>
      </c>
      <c r="J1713" s="14">
        <f>SUM('Empleo Censo'!N1713:AA1713)</f>
        <v/>
      </c>
      <c r="K1713" s="14">
        <f>SUM(C1713:J1713)</f>
        <v/>
      </c>
      <c r="L1713" s="15">
        <f>SUMPRODUCT(C1713:J1713,Factores!$B$3:$I$3)</f>
        <v/>
      </c>
      <c r="M1713" s="16">
        <f>'Empleo Censo'!E1713</f>
        <v/>
      </c>
      <c r="N1713" s="17">
        <f>IF(M1713&gt;0,L1713,Factores!$B$7)</f>
        <v/>
      </c>
      <c r="O1713">
        <f>IF(M1713&gt;0,"OK","sin PEA -&gt; peor")</f>
        <v/>
      </c>
    </row>
    <row r="1714">
      <c r="A1714" t="inlineStr">
        <is>
          <t>050515</t>
        </is>
      </c>
      <c r="B1714" t="inlineStr">
        <is>
          <t>PATIBAMBA</t>
        </is>
      </c>
      <c r="C1714" s="14">
        <f>'Empleo Censo'!G1714-'Empleo Censo'!F1714</f>
        <v/>
      </c>
      <c r="D1714" s="14">
        <f>'Empleo Censo'!F1714</f>
        <v/>
      </c>
      <c r="E1714" s="14">
        <f>'Empleo Censo'!H1714</f>
        <v/>
      </c>
      <c r="F1714" s="14">
        <f>'Empleo Censo'!I1714</f>
        <v/>
      </c>
      <c r="G1714" s="14">
        <f>'Empleo Censo'!J1714+'Empleo Censo'!K1714</f>
        <v/>
      </c>
      <c r="H1714" s="14">
        <f>'Empleo Censo'!L1714</f>
        <v/>
      </c>
      <c r="I1714" s="14">
        <f>'Empleo Censo'!M1714</f>
        <v/>
      </c>
      <c r="J1714" s="14">
        <f>SUM('Empleo Censo'!N1714:AA1714)</f>
        <v/>
      </c>
      <c r="K1714" s="14">
        <f>SUM(C1714:J1714)</f>
        <v/>
      </c>
      <c r="L1714" s="15">
        <f>SUMPRODUCT(C1714:J1714,Factores!$B$3:$I$3)</f>
        <v/>
      </c>
      <c r="M1714" s="16">
        <f>'Empleo Censo'!E1714</f>
        <v/>
      </c>
      <c r="N1714" s="17">
        <f>IF(M1714&gt;0,L1714,Factores!$B$7)</f>
        <v/>
      </c>
      <c r="O1714">
        <f>IF(M1714&gt;0,"OK","sin PEA -&gt; peor")</f>
        <v/>
      </c>
    </row>
    <row r="1715">
      <c r="A1715" t="inlineStr">
        <is>
          <t>080107</t>
        </is>
      </c>
      <c r="B1715" t="inlineStr">
        <is>
          <t>SAYLLA</t>
        </is>
      </c>
      <c r="C1715" s="14">
        <f>'Empleo Censo'!G1715-'Empleo Censo'!F1715</f>
        <v/>
      </c>
      <c r="D1715" s="14">
        <f>'Empleo Censo'!F1715</f>
        <v/>
      </c>
      <c r="E1715" s="14">
        <f>'Empleo Censo'!H1715</f>
        <v/>
      </c>
      <c r="F1715" s="14">
        <f>'Empleo Censo'!I1715</f>
        <v/>
      </c>
      <c r="G1715" s="14">
        <f>'Empleo Censo'!J1715+'Empleo Censo'!K1715</f>
        <v/>
      </c>
      <c r="H1715" s="14">
        <f>'Empleo Censo'!L1715</f>
        <v/>
      </c>
      <c r="I1715" s="14">
        <f>'Empleo Censo'!M1715</f>
        <v/>
      </c>
      <c r="J1715" s="14">
        <f>SUM('Empleo Censo'!N1715:AA1715)</f>
        <v/>
      </c>
      <c r="K1715" s="14">
        <f>SUM(C1715:J1715)</f>
        <v/>
      </c>
      <c r="L1715" s="15">
        <f>SUMPRODUCT(C1715:J1715,Factores!$B$3:$I$3)</f>
        <v/>
      </c>
      <c r="M1715" s="16">
        <f>'Empleo Censo'!E1715</f>
        <v/>
      </c>
      <c r="N1715" s="17">
        <f>IF(M1715&gt;0,L1715,Factores!$B$7)</f>
        <v/>
      </c>
      <c r="O1715">
        <f>IF(M1715&gt;0,"OK","sin PEA -&gt; peor")</f>
        <v/>
      </c>
    </row>
    <row r="1716">
      <c r="A1716" t="inlineStr">
        <is>
          <t>040118</t>
        </is>
      </c>
      <c r="B1716" t="inlineStr">
        <is>
          <t>SAN JUAN DE SIGUAS</t>
        </is>
      </c>
      <c r="C1716" s="14">
        <f>'Empleo Censo'!G1716-'Empleo Censo'!F1716</f>
        <v/>
      </c>
      <c r="D1716" s="14">
        <f>'Empleo Censo'!F1716</f>
        <v/>
      </c>
      <c r="E1716" s="14">
        <f>'Empleo Censo'!H1716</f>
        <v/>
      </c>
      <c r="F1716" s="14">
        <f>'Empleo Censo'!I1716</f>
        <v/>
      </c>
      <c r="G1716" s="14">
        <f>'Empleo Censo'!J1716+'Empleo Censo'!K1716</f>
        <v/>
      </c>
      <c r="H1716" s="14">
        <f>'Empleo Censo'!L1716</f>
        <v/>
      </c>
      <c r="I1716" s="14">
        <f>'Empleo Censo'!M1716</f>
        <v/>
      </c>
      <c r="J1716" s="14">
        <f>SUM('Empleo Censo'!N1716:AA1716)</f>
        <v/>
      </c>
      <c r="K1716" s="14">
        <f>SUM(C1716:J1716)</f>
        <v/>
      </c>
      <c r="L1716" s="15">
        <f>SUMPRODUCT(C1716:J1716,Factores!$B$3:$I$3)</f>
        <v/>
      </c>
      <c r="M1716" s="16">
        <f>'Empleo Censo'!E1716</f>
        <v/>
      </c>
      <c r="N1716" s="17">
        <f>IF(M1716&gt;0,L1716,Factores!$B$7)</f>
        <v/>
      </c>
      <c r="O1716">
        <f>IF(M1716&gt;0,"OK","sin PEA -&gt; peor")</f>
        <v/>
      </c>
    </row>
    <row r="1717">
      <c r="A1717" t="inlineStr">
        <is>
          <t>040204</t>
        </is>
      </c>
      <c r="B1717" t="inlineStr">
        <is>
          <t>MARISCAL CACERES</t>
        </is>
      </c>
      <c r="C1717" s="14">
        <f>'Empleo Censo'!G1717-'Empleo Censo'!F1717</f>
        <v/>
      </c>
      <c r="D1717" s="14">
        <f>'Empleo Censo'!F1717</f>
        <v/>
      </c>
      <c r="E1717" s="14">
        <f>'Empleo Censo'!H1717</f>
        <v/>
      </c>
      <c r="F1717" s="14">
        <f>'Empleo Censo'!I1717</f>
        <v/>
      </c>
      <c r="G1717" s="14">
        <f>'Empleo Censo'!J1717+'Empleo Censo'!K1717</f>
        <v/>
      </c>
      <c r="H1717" s="14">
        <f>'Empleo Censo'!L1717</f>
        <v/>
      </c>
      <c r="I1717" s="14">
        <f>'Empleo Censo'!M1717</f>
        <v/>
      </c>
      <c r="J1717" s="14">
        <f>SUM('Empleo Censo'!N1717:AA1717)</f>
        <v/>
      </c>
      <c r="K1717" s="14">
        <f>SUM(C1717:J1717)</f>
        <v/>
      </c>
      <c r="L1717" s="15">
        <f>SUMPRODUCT(C1717:J1717,Factores!$B$3:$I$3)</f>
        <v/>
      </c>
      <c r="M1717" s="16">
        <f>'Empleo Censo'!E1717</f>
        <v/>
      </c>
      <c r="N1717" s="17">
        <f>IF(M1717&gt;0,L1717,Factores!$B$7)</f>
        <v/>
      </c>
      <c r="O1717">
        <f>IF(M1717&gt;0,"OK","sin PEA -&gt; peor")</f>
        <v/>
      </c>
    </row>
    <row r="1718">
      <c r="A1718" t="inlineStr">
        <is>
          <t>010113</t>
        </is>
      </c>
      <c r="B1718" t="inlineStr">
        <is>
          <t>MARISCAL CASTILLA</t>
        </is>
      </c>
      <c r="C1718" s="14">
        <f>'Empleo Censo'!G1718-'Empleo Censo'!F1718</f>
        <v/>
      </c>
      <c r="D1718" s="14">
        <f>'Empleo Censo'!F1718</f>
        <v/>
      </c>
      <c r="E1718" s="14">
        <f>'Empleo Censo'!H1718</f>
        <v/>
      </c>
      <c r="F1718" s="14">
        <f>'Empleo Censo'!I1718</f>
        <v/>
      </c>
      <c r="G1718" s="14">
        <f>'Empleo Censo'!J1718+'Empleo Censo'!K1718</f>
        <v/>
      </c>
      <c r="H1718" s="14">
        <f>'Empleo Censo'!L1718</f>
        <v/>
      </c>
      <c r="I1718" s="14">
        <f>'Empleo Censo'!M1718</f>
        <v/>
      </c>
      <c r="J1718" s="14">
        <f>SUM('Empleo Censo'!N1718:AA1718)</f>
        <v/>
      </c>
      <c r="K1718" s="14">
        <f>SUM(C1718:J1718)</f>
        <v/>
      </c>
      <c r="L1718" s="15">
        <f>SUMPRODUCT(C1718:J1718,Factores!$B$3:$I$3)</f>
        <v/>
      </c>
      <c r="M1718" s="16">
        <f>'Empleo Censo'!E1718</f>
        <v/>
      </c>
      <c r="N1718" s="17">
        <f>IF(M1718&gt;0,L1718,Factores!$B$7)</f>
        <v/>
      </c>
      <c r="O1718">
        <f>IF(M1718&gt;0,"OK","sin PEA -&gt; peor")</f>
        <v/>
      </c>
    </row>
    <row r="1719">
      <c r="A1719" t="inlineStr">
        <is>
          <t>021705</t>
        </is>
      </c>
      <c r="B1719" t="inlineStr">
        <is>
          <t>LLACLLIN</t>
        </is>
      </c>
      <c r="C1719" s="14">
        <f>'Empleo Censo'!G1719-'Empleo Censo'!F1719</f>
        <v/>
      </c>
      <c r="D1719" s="14">
        <f>'Empleo Censo'!F1719</f>
        <v/>
      </c>
      <c r="E1719" s="14">
        <f>'Empleo Censo'!H1719</f>
        <v/>
      </c>
      <c r="F1719" s="14">
        <f>'Empleo Censo'!I1719</f>
        <v/>
      </c>
      <c r="G1719" s="14">
        <f>'Empleo Censo'!J1719+'Empleo Censo'!K1719</f>
        <v/>
      </c>
      <c r="H1719" s="14">
        <f>'Empleo Censo'!L1719</f>
        <v/>
      </c>
      <c r="I1719" s="14">
        <f>'Empleo Censo'!M1719</f>
        <v/>
      </c>
      <c r="J1719" s="14">
        <f>SUM('Empleo Censo'!N1719:AA1719)</f>
        <v/>
      </c>
      <c r="K1719" s="14">
        <f>SUM(C1719:J1719)</f>
        <v/>
      </c>
      <c r="L1719" s="15">
        <f>SUMPRODUCT(C1719:J1719,Factores!$B$3:$I$3)</f>
        <v/>
      </c>
      <c r="M1719" s="16">
        <f>'Empleo Censo'!E1719</f>
        <v/>
      </c>
      <c r="N1719" s="17">
        <f>IF(M1719&gt;0,L1719,Factores!$B$7)</f>
        <v/>
      </c>
      <c r="O1719">
        <f>IF(M1719&gt;0,"OK","sin PEA -&gt; peor")</f>
        <v/>
      </c>
    </row>
    <row r="1720">
      <c r="A1720" t="inlineStr">
        <is>
          <t>020505</t>
        </is>
      </c>
      <c r="B1720" t="inlineStr">
        <is>
          <t>CAJACAY</t>
        </is>
      </c>
      <c r="C1720" s="14">
        <f>'Empleo Censo'!G1720-'Empleo Censo'!F1720</f>
        <v/>
      </c>
      <c r="D1720" s="14">
        <f>'Empleo Censo'!F1720</f>
        <v/>
      </c>
      <c r="E1720" s="14">
        <f>'Empleo Censo'!H1720</f>
        <v/>
      </c>
      <c r="F1720" s="14">
        <f>'Empleo Censo'!I1720</f>
        <v/>
      </c>
      <c r="G1720" s="14">
        <f>'Empleo Censo'!J1720+'Empleo Censo'!K1720</f>
        <v/>
      </c>
      <c r="H1720" s="14">
        <f>'Empleo Censo'!L1720</f>
        <v/>
      </c>
      <c r="I1720" s="14">
        <f>'Empleo Censo'!M1720</f>
        <v/>
      </c>
      <c r="J1720" s="14">
        <f>SUM('Empleo Censo'!N1720:AA1720)</f>
        <v/>
      </c>
      <c r="K1720" s="14">
        <f>SUM(C1720:J1720)</f>
        <v/>
      </c>
      <c r="L1720" s="15">
        <f>SUMPRODUCT(C1720:J1720,Factores!$B$3:$I$3)</f>
        <v/>
      </c>
      <c r="M1720" s="16">
        <f>'Empleo Censo'!E1720</f>
        <v/>
      </c>
      <c r="N1720" s="17">
        <f>IF(M1720&gt;0,L1720,Factores!$B$7)</f>
        <v/>
      </c>
      <c r="O1720">
        <f>IF(M1720&gt;0,"OK","sin PEA -&gt; peor")</f>
        <v/>
      </c>
    </row>
    <row r="1721">
      <c r="A1721" t="inlineStr">
        <is>
          <t>090107</t>
        </is>
      </c>
      <c r="B1721" t="inlineStr">
        <is>
          <t>HUAYLLAHUARA</t>
        </is>
      </c>
      <c r="C1721" s="14">
        <f>'Empleo Censo'!G1721-'Empleo Censo'!F1721</f>
        <v/>
      </c>
      <c r="D1721" s="14">
        <f>'Empleo Censo'!F1721</f>
        <v/>
      </c>
      <c r="E1721" s="14">
        <f>'Empleo Censo'!H1721</f>
        <v/>
      </c>
      <c r="F1721" s="14">
        <f>'Empleo Censo'!I1721</f>
        <v/>
      </c>
      <c r="G1721" s="14">
        <f>'Empleo Censo'!J1721+'Empleo Censo'!K1721</f>
        <v/>
      </c>
      <c r="H1721" s="14">
        <f>'Empleo Censo'!L1721</f>
        <v/>
      </c>
      <c r="I1721" s="14">
        <f>'Empleo Censo'!M1721</f>
        <v/>
      </c>
      <c r="J1721" s="14">
        <f>SUM('Empleo Censo'!N1721:AA1721)</f>
        <v/>
      </c>
      <c r="K1721" s="14">
        <f>SUM(C1721:J1721)</f>
        <v/>
      </c>
      <c r="L1721" s="15">
        <f>SUMPRODUCT(C1721:J1721,Factores!$B$3:$I$3)</f>
        <v/>
      </c>
      <c r="M1721" s="16">
        <f>'Empleo Censo'!E1721</f>
        <v/>
      </c>
      <c r="N1721" s="17">
        <f>IF(M1721&gt;0,L1721,Factores!$B$7)</f>
        <v/>
      </c>
      <c r="O1721">
        <f>IF(M1721&gt;0,"OK","sin PEA -&gt; peor")</f>
        <v/>
      </c>
    </row>
    <row r="1722">
      <c r="A1722" t="inlineStr">
        <is>
          <t>020605</t>
        </is>
      </c>
      <c r="B1722" t="inlineStr">
        <is>
          <t>ATAQUERO</t>
        </is>
      </c>
      <c r="C1722" s="14">
        <f>'Empleo Censo'!G1722-'Empleo Censo'!F1722</f>
        <v/>
      </c>
      <c r="D1722" s="14">
        <f>'Empleo Censo'!F1722</f>
        <v/>
      </c>
      <c r="E1722" s="14">
        <f>'Empleo Censo'!H1722</f>
        <v/>
      </c>
      <c r="F1722" s="14">
        <f>'Empleo Censo'!I1722</f>
        <v/>
      </c>
      <c r="G1722" s="14">
        <f>'Empleo Censo'!J1722+'Empleo Censo'!K1722</f>
        <v/>
      </c>
      <c r="H1722" s="14">
        <f>'Empleo Censo'!L1722</f>
        <v/>
      </c>
      <c r="I1722" s="14">
        <f>'Empleo Censo'!M1722</f>
        <v/>
      </c>
      <c r="J1722" s="14">
        <f>SUM('Empleo Censo'!N1722:AA1722)</f>
        <v/>
      </c>
      <c r="K1722" s="14">
        <f>SUM(C1722:J1722)</f>
        <v/>
      </c>
      <c r="L1722" s="15">
        <f>SUMPRODUCT(C1722:J1722,Factores!$B$3:$I$3)</f>
        <v/>
      </c>
      <c r="M1722" s="16">
        <f>'Empleo Censo'!E1722</f>
        <v/>
      </c>
      <c r="N1722" s="17">
        <f>IF(M1722&gt;0,L1722,Factores!$B$7)</f>
        <v/>
      </c>
      <c r="O1722">
        <f>IF(M1722&gt;0,"OK","sin PEA -&gt; peor")</f>
        <v/>
      </c>
    </row>
    <row r="1723">
      <c r="A1723" t="inlineStr">
        <is>
          <t>021802</t>
        </is>
      </c>
      <c r="B1723" t="inlineStr">
        <is>
          <t>CACERES DEL PERU</t>
        </is>
      </c>
      <c r="C1723" s="14">
        <f>'Empleo Censo'!G1723-'Empleo Censo'!F1723</f>
        <v/>
      </c>
      <c r="D1723" s="14">
        <f>'Empleo Censo'!F1723</f>
        <v/>
      </c>
      <c r="E1723" s="14">
        <f>'Empleo Censo'!H1723</f>
        <v/>
      </c>
      <c r="F1723" s="14">
        <f>'Empleo Censo'!I1723</f>
        <v/>
      </c>
      <c r="G1723" s="14">
        <f>'Empleo Censo'!J1723+'Empleo Censo'!K1723</f>
        <v/>
      </c>
      <c r="H1723" s="14">
        <f>'Empleo Censo'!L1723</f>
        <v/>
      </c>
      <c r="I1723" s="14">
        <f>'Empleo Censo'!M1723</f>
        <v/>
      </c>
      <c r="J1723" s="14">
        <f>SUM('Empleo Censo'!N1723:AA1723)</f>
        <v/>
      </c>
      <c r="K1723" s="14">
        <f>SUM(C1723:J1723)</f>
        <v/>
      </c>
      <c r="L1723" s="15">
        <f>SUMPRODUCT(C1723:J1723,Factores!$B$3:$I$3)</f>
        <v/>
      </c>
      <c r="M1723" s="16">
        <f>'Empleo Censo'!E1723</f>
        <v/>
      </c>
      <c r="N1723" s="17">
        <f>IF(M1723&gt;0,L1723,Factores!$B$7)</f>
        <v/>
      </c>
      <c r="O1723">
        <f>IF(M1723&gt;0,"OK","sin PEA -&gt; peor")</f>
        <v/>
      </c>
    </row>
    <row r="1724">
      <c r="A1724" t="inlineStr">
        <is>
          <t>020901</t>
        </is>
      </c>
      <c r="B1724" t="inlineStr">
        <is>
          <t>CORONGO</t>
        </is>
      </c>
      <c r="C1724" s="14">
        <f>'Empleo Censo'!G1724-'Empleo Censo'!F1724</f>
        <v/>
      </c>
      <c r="D1724" s="14">
        <f>'Empleo Censo'!F1724</f>
        <v/>
      </c>
      <c r="E1724" s="14">
        <f>'Empleo Censo'!H1724</f>
        <v/>
      </c>
      <c r="F1724" s="14">
        <f>'Empleo Censo'!I1724</f>
        <v/>
      </c>
      <c r="G1724" s="14">
        <f>'Empleo Censo'!J1724+'Empleo Censo'!K1724</f>
        <v/>
      </c>
      <c r="H1724" s="14">
        <f>'Empleo Censo'!L1724</f>
        <v/>
      </c>
      <c r="I1724" s="14">
        <f>'Empleo Censo'!M1724</f>
        <v/>
      </c>
      <c r="J1724" s="14">
        <f>SUM('Empleo Censo'!N1724:AA1724)</f>
        <v/>
      </c>
      <c r="K1724" s="14">
        <f>SUM(C1724:J1724)</f>
        <v/>
      </c>
      <c r="L1724" s="15">
        <f>SUMPRODUCT(C1724:J1724,Factores!$B$3:$I$3)</f>
        <v/>
      </c>
      <c r="M1724" s="16">
        <f>'Empleo Censo'!E1724</f>
        <v/>
      </c>
      <c r="N1724" s="17">
        <f>IF(M1724&gt;0,L1724,Factores!$B$7)</f>
        <v/>
      </c>
      <c r="O1724">
        <f>IF(M1724&gt;0,"OK","sin PEA -&gt; peor")</f>
        <v/>
      </c>
    </row>
    <row r="1725">
      <c r="A1725" t="inlineStr">
        <is>
          <t>040312</t>
        </is>
      </c>
      <c r="B1725" t="inlineStr">
        <is>
          <t>QUICACHA</t>
        </is>
      </c>
      <c r="C1725" s="14">
        <f>'Empleo Censo'!G1725-'Empleo Censo'!F1725</f>
        <v/>
      </c>
      <c r="D1725" s="14">
        <f>'Empleo Censo'!F1725</f>
        <v/>
      </c>
      <c r="E1725" s="14">
        <f>'Empleo Censo'!H1725</f>
        <v/>
      </c>
      <c r="F1725" s="14">
        <f>'Empleo Censo'!I1725</f>
        <v/>
      </c>
      <c r="G1725" s="14">
        <f>'Empleo Censo'!J1725+'Empleo Censo'!K1725</f>
        <v/>
      </c>
      <c r="H1725" s="14">
        <f>'Empleo Censo'!L1725</f>
        <v/>
      </c>
      <c r="I1725" s="14">
        <f>'Empleo Censo'!M1725</f>
        <v/>
      </c>
      <c r="J1725" s="14">
        <f>SUM('Empleo Censo'!N1725:AA1725)</f>
        <v/>
      </c>
      <c r="K1725" s="14">
        <f>SUM(C1725:J1725)</f>
        <v/>
      </c>
      <c r="L1725" s="15">
        <f>SUMPRODUCT(C1725:J1725,Factores!$B$3:$I$3)</f>
        <v/>
      </c>
      <c r="M1725" s="16">
        <f>'Empleo Censo'!E1725</f>
        <v/>
      </c>
      <c r="N1725" s="17">
        <f>IF(M1725&gt;0,L1725,Factores!$B$7)</f>
        <v/>
      </c>
      <c r="O1725">
        <f>IF(M1725&gt;0,"OK","sin PEA -&gt; peor")</f>
        <v/>
      </c>
    </row>
    <row r="1726">
      <c r="A1726" t="inlineStr">
        <is>
          <t>040301</t>
        </is>
      </c>
      <c r="B1726" t="inlineStr">
        <is>
          <t>CARAVELI</t>
        </is>
      </c>
      <c r="C1726" s="14">
        <f>'Empleo Censo'!G1726-'Empleo Censo'!F1726</f>
        <v/>
      </c>
      <c r="D1726" s="14">
        <f>'Empleo Censo'!F1726</f>
        <v/>
      </c>
      <c r="E1726" s="14">
        <f>'Empleo Censo'!H1726</f>
        <v/>
      </c>
      <c r="F1726" s="14">
        <f>'Empleo Censo'!I1726</f>
        <v/>
      </c>
      <c r="G1726" s="14">
        <f>'Empleo Censo'!J1726+'Empleo Censo'!K1726</f>
        <v/>
      </c>
      <c r="H1726" s="14">
        <f>'Empleo Censo'!L1726</f>
        <v/>
      </c>
      <c r="I1726" s="14">
        <f>'Empleo Censo'!M1726</f>
        <v/>
      </c>
      <c r="J1726" s="14">
        <f>SUM('Empleo Censo'!N1726:AA1726)</f>
        <v/>
      </c>
      <c r="K1726" s="14">
        <f>SUM(C1726:J1726)</f>
        <v/>
      </c>
      <c r="L1726" s="15">
        <f>SUMPRODUCT(C1726:J1726,Factores!$B$3:$I$3)</f>
        <v/>
      </c>
      <c r="M1726" s="16">
        <f>'Empleo Censo'!E1726</f>
        <v/>
      </c>
      <c r="N1726" s="17">
        <f>IF(M1726&gt;0,L1726,Factores!$B$7)</f>
        <v/>
      </c>
      <c r="O1726">
        <f>IF(M1726&gt;0,"OK","sin PEA -&gt; peor")</f>
        <v/>
      </c>
    </row>
    <row r="1727">
      <c r="A1727" t="inlineStr">
        <is>
          <t>040502</t>
        </is>
      </c>
      <c r="B1727" t="inlineStr">
        <is>
          <t>ACHOMA</t>
        </is>
      </c>
      <c r="C1727" s="14">
        <f>'Empleo Censo'!G1727-'Empleo Censo'!F1727</f>
        <v/>
      </c>
      <c r="D1727" s="14">
        <f>'Empleo Censo'!F1727</f>
        <v/>
      </c>
      <c r="E1727" s="14">
        <f>'Empleo Censo'!H1727</f>
        <v/>
      </c>
      <c r="F1727" s="14">
        <f>'Empleo Censo'!I1727</f>
        <v/>
      </c>
      <c r="G1727" s="14">
        <f>'Empleo Censo'!J1727+'Empleo Censo'!K1727</f>
        <v/>
      </c>
      <c r="H1727" s="14">
        <f>'Empleo Censo'!L1727</f>
        <v/>
      </c>
      <c r="I1727" s="14">
        <f>'Empleo Censo'!M1727</f>
        <v/>
      </c>
      <c r="J1727" s="14">
        <f>SUM('Empleo Censo'!N1727:AA1727)</f>
        <v/>
      </c>
      <c r="K1727" s="14">
        <f>SUM(C1727:J1727)</f>
        <v/>
      </c>
      <c r="L1727" s="15">
        <f>SUMPRODUCT(C1727:J1727,Factores!$B$3:$I$3)</f>
        <v/>
      </c>
      <c r="M1727" s="16">
        <f>'Empleo Censo'!E1727</f>
        <v/>
      </c>
      <c r="N1727" s="17">
        <f>IF(M1727&gt;0,L1727,Factores!$B$7)</f>
        <v/>
      </c>
      <c r="O1727">
        <f>IF(M1727&gt;0,"OK","sin PEA -&gt; peor")</f>
        <v/>
      </c>
    </row>
    <row r="1728">
      <c r="A1728" t="inlineStr">
        <is>
          <t>080914</t>
        </is>
      </c>
      <c r="B1728" t="inlineStr">
        <is>
          <t>MEGANTONI</t>
        </is>
      </c>
      <c r="C1728" s="14">
        <f>'Empleo Censo'!G1728-'Empleo Censo'!F1728</f>
        <v/>
      </c>
      <c r="D1728" s="14">
        <f>'Empleo Censo'!F1728</f>
        <v/>
      </c>
      <c r="E1728" s="14">
        <f>'Empleo Censo'!H1728</f>
        <v/>
      </c>
      <c r="F1728" s="14">
        <f>'Empleo Censo'!I1728</f>
        <v/>
      </c>
      <c r="G1728" s="14">
        <f>'Empleo Censo'!J1728+'Empleo Censo'!K1728</f>
        <v/>
      </c>
      <c r="H1728" s="14">
        <f>'Empleo Censo'!L1728</f>
        <v/>
      </c>
      <c r="I1728" s="14">
        <f>'Empleo Censo'!M1728</f>
        <v/>
      </c>
      <c r="J1728" s="14">
        <f>SUM('Empleo Censo'!N1728:AA1728)</f>
        <v/>
      </c>
      <c r="K1728" s="14">
        <f>SUM(C1728:J1728)</f>
        <v/>
      </c>
      <c r="L1728" s="15">
        <f>SUMPRODUCT(C1728:J1728,Factores!$B$3:$I$3)</f>
        <v/>
      </c>
      <c r="M1728" s="16">
        <f>'Empleo Censo'!E1728</f>
        <v/>
      </c>
      <c r="N1728" s="17">
        <f>IF(M1728&gt;0,L1728,Factores!$B$7)</f>
        <v/>
      </c>
      <c r="O1728">
        <f>IF(M1728&gt;0,"OK","sin PEA -&gt; peor")</f>
        <v/>
      </c>
    </row>
    <row r="1729">
      <c r="A1729" t="inlineStr">
        <is>
          <t>040116</t>
        </is>
      </c>
      <c r="B1729" t="inlineStr">
        <is>
          <t>SABANDIA</t>
        </is>
      </c>
      <c r="C1729" s="14">
        <f>'Empleo Censo'!G1729-'Empleo Censo'!F1729</f>
        <v/>
      </c>
      <c r="D1729" s="14">
        <f>'Empleo Censo'!F1729</f>
        <v/>
      </c>
      <c r="E1729" s="14">
        <f>'Empleo Censo'!H1729</f>
        <v/>
      </c>
      <c r="F1729" s="14">
        <f>'Empleo Censo'!I1729</f>
        <v/>
      </c>
      <c r="G1729" s="14">
        <f>'Empleo Censo'!J1729+'Empleo Censo'!K1729</f>
        <v/>
      </c>
      <c r="H1729" s="14">
        <f>'Empleo Censo'!L1729</f>
        <v/>
      </c>
      <c r="I1729" s="14">
        <f>'Empleo Censo'!M1729</f>
        <v/>
      </c>
      <c r="J1729" s="14">
        <f>SUM('Empleo Censo'!N1729:AA1729)</f>
        <v/>
      </c>
      <c r="K1729" s="14">
        <f>SUM(C1729:J1729)</f>
        <v/>
      </c>
      <c r="L1729" s="15">
        <f>SUMPRODUCT(C1729:J1729,Factores!$B$3:$I$3)</f>
        <v/>
      </c>
      <c r="M1729" s="16">
        <f>'Empleo Censo'!E1729</f>
        <v/>
      </c>
      <c r="N1729" s="17">
        <f>IF(M1729&gt;0,L1729,Factores!$B$7)</f>
        <v/>
      </c>
      <c r="O1729">
        <f>IF(M1729&gt;0,"OK","sin PEA -&gt; peor")</f>
        <v/>
      </c>
    </row>
    <row r="1730">
      <c r="A1730" t="inlineStr">
        <is>
          <t>030205</t>
        </is>
      </c>
      <c r="B1730" t="inlineStr">
        <is>
          <t>HUANCARAY</t>
        </is>
      </c>
      <c r="C1730" s="14">
        <f>'Empleo Censo'!G1730-'Empleo Censo'!F1730</f>
        <v/>
      </c>
      <c r="D1730" s="14">
        <f>'Empleo Censo'!F1730</f>
        <v/>
      </c>
      <c r="E1730" s="14">
        <f>'Empleo Censo'!H1730</f>
        <v/>
      </c>
      <c r="F1730" s="14">
        <f>'Empleo Censo'!I1730</f>
        <v/>
      </c>
      <c r="G1730" s="14">
        <f>'Empleo Censo'!J1730+'Empleo Censo'!K1730</f>
        <v/>
      </c>
      <c r="H1730" s="14">
        <f>'Empleo Censo'!L1730</f>
        <v/>
      </c>
      <c r="I1730" s="14">
        <f>'Empleo Censo'!M1730</f>
        <v/>
      </c>
      <c r="J1730" s="14">
        <f>SUM('Empleo Censo'!N1730:AA1730)</f>
        <v/>
      </c>
      <c r="K1730" s="14">
        <f>SUM(C1730:J1730)</f>
        <v/>
      </c>
      <c r="L1730" s="15">
        <f>SUMPRODUCT(C1730:J1730,Factores!$B$3:$I$3)</f>
        <v/>
      </c>
      <c r="M1730" s="16">
        <f>'Empleo Censo'!E1730</f>
        <v/>
      </c>
      <c r="N1730" s="17">
        <f>IF(M1730&gt;0,L1730,Factores!$B$7)</f>
        <v/>
      </c>
      <c r="O1730">
        <f>IF(M1730&gt;0,"OK","sin PEA -&gt; peor")</f>
        <v/>
      </c>
    </row>
    <row r="1731">
      <c r="A1731" t="inlineStr">
        <is>
          <t>020906</t>
        </is>
      </c>
      <c r="B1731" t="inlineStr">
        <is>
          <t>YANAC</t>
        </is>
      </c>
      <c r="C1731" s="14">
        <f>'Empleo Censo'!G1731-'Empleo Censo'!F1731</f>
        <v/>
      </c>
      <c r="D1731" s="14">
        <f>'Empleo Censo'!F1731</f>
        <v/>
      </c>
      <c r="E1731" s="14">
        <f>'Empleo Censo'!H1731</f>
        <v/>
      </c>
      <c r="F1731" s="14">
        <f>'Empleo Censo'!I1731</f>
        <v/>
      </c>
      <c r="G1731" s="14">
        <f>'Empleo Censo'!J1731+'Empleo Censo'!K1731</f>
        <v/>
      </c>
      <c r="H1731" s="14">
        <f>'Empleo Censo'!L1731</f>
        <v/>
      </c>
      <c r="I1731" s="14">
        <f>'Empleo Censo'!M1731</f>
        <v/>
      </c>
      <c r="J1731" s="14">
        <f>SUM('Empleo Censo'!N1731:AA1731)</f>
        <v/>
      </c>
      <c r="K1731" s="14">
        <f>SUM(C1731:J1731)</f>
        <v/>
      </c>
      <c r="L1731" s="15">
        <f>SUMPRODUCT(C1731:J1731,Factores!$B$3:$I$3)</f>
        <v/>
      </c>
      <c r="M1731" s="16">
        <f>'Empleo Censo'!E1731</f>
        <v/>
      </c>
      <c r="N1731" s="17">
        <f>IF(M1731&gt;0,L1731,Factores!$B$7)</f>
        <v/>
      </c>
      <c r="O1731">
        <f>IF(M1731&gt;0,"OK","sin PEA -&gt; peor")</f>
        <v/>
      </c>
    </row>
    <row r="1732">
      <c r="A1732" t="inlineStr">
        <is>
          <t>021801</t>
        </is>
      </c>
      <c r="B1732" t="inlineStr">
        <is>
          <t>CHIMBOTE</t>
        </is>
      </c>
      <c r="C1732" s="14">
        <f>'Empleo Censo'!G1732-'Empleo Censo'!F1732</f>
        <v/>
      </c>
      <c r="D1732" s="14">
        <f>'Empleo Censo'!F1732</f>
        <v/>
      </c>
      <c r="E1732" s="14">
        <f>'Empleo Censo'!H1732</f>
        <v/>
      </c>
      <c r="F1732" s="14">
        <f>'Empleo Censo'!I1732</f>
        <v/>
      </c>
      <c r="G1732" s="14">
        <f>'Empleo Censo'!J1732+'Empleo Censo'!K1732</f>
        <v/>
      </c>
      <c r="H1732" s="14">
        <f>'Empleo Censo'!L1732</f>
        <v/>
      </c>
      <c r="I1732" s="14">
        <f>'Empleo Censo'!M1732</f>
        <v/>
      </c>
      <c r="J1732" s="14">
        <f>SUM('Empleo Censo'!N1732:AA1732)</f>
        <v/>
      </c>
      <c r="K1732" s="14">
        <f>SUM(C1732:J1732)</f>
        <v/>
      </c>
      <c r="L1732" s="15">
        <f>SUMPRODUCT(C1732:J1732,Factores!$B$3:$I$3)</f>
        <v/>
      </c>
      <c r="M1732" s="16">
        <f>'Empleo Censo'!E1732</f>
        <v/>
      </c>
      <c r="N1732" s="17">
        <f>IF(M1732&gt;0,L1732,Factores!$B$7)</f>
        <v/>
      </c>
      <c r="O1732">
        <f>IF(M1732&gt;0,"OK","sin PEA -&gt; peor")</f>
        <v/>
      </c>
    </row>
    <row r="1733">
      <c r="A1733" t="inlineStr">
        <is>
          <t>020511</t>
        </is>
      </c>
      <c r="B1733" t="inlineStr">
        <is>
          <t>LA PRIMAVERA</t>
        </is>
      </c>
      <c r="C1733" s="14">
        <f>'Empleo Censo'!G1733-'Empleo Censo'!F1733</f>
        <v/>
      </c>
      <c r="D1733" s="14">
        <f>'Empleo Censo'!F1733</f>
        <v/>
      </c>
      <c r="E1733" s="14">
        <f>'Empleo Censo'!H1733</f>
        <v/>
      </c>
      <c r="F1733" s="14">
        <f>'Empleo Censo'!I1733</f>
        <v/>
      </c>
      <c r="G1733" s="14">
        <f>'Empleo Censo'!J1733+'Empleo Censo'!K1733</f>
        <v/>
      </c>
      <c r="H1733" s="14">
        <f>'Empleo Censo'!L1733</f>
        <v/>
      </c>
      <c r="I1733" s="14">
        <f>'Empleo Censo'!M1733</f>
        <v/>
      </c>
      <c r="J1733" s="14">
        <f>SUM('Empleo Censo'!N1733:AA1733)</f>
        <v/>
      </c>
      <c r="K1733" s="14">
        <f>SUM(C1733:J1733)</f>
        <v/>
      </c>
      <c r="L1733" s="15">
        <f>SUMPRODUCT(C1733:J1733,Factores!$B$3:$I$3)</f>
        <v/>
      </c>
      <c r="M1733" s="16">
        <f>'Empleo Censo'!E1733</f>
        <v/>
      </c>
      <c r="N1733" s="17">
        <f>IF(M1733&gt;0,L1733,Factores!$B$7)</f>
        <v/>
      </c>
      <c r="O1733">
        <f>IF(M1733&gt;0,"OK","sin PEA -&gt; peor")</f>
        <v/>
      </c>
    </row>
    <row r="1734">
      <c r="A1734" t="inlineStr">
        <is>
          <t>060416</t>
        </is>
      </c>
      <c r="B1734" t="inlineStr">
        <is>
          <t>SAN JUAN DE LICUPIS</t>
        </is>
      </c>
      <c r="C1734" s="14">
        <f>'Empleo Censo'!G1734-'Empleo Censo'!F1734</f>
        <v/>
      </c>
      <c r="D1734" s="14">
        <f>'Empleo Censo'!F1734</f>
        <v/>
      </c>
      <c r="E1734" s="14">
        <f>'Empleo Censo'!H1734</f>
        <v/>
      </c>
      <c r="F1734" s="14">
        <f>'Empleo Censo'!I1734</f>
        <v/>
      </c>
      <c r="G1734" s="14">
        <f>'Empleo Censo'!J1734+'Empleo Censo'!K1734</f>
        <v/>
      </c>
      <c r="H1734" s="14">
        <f>'Empleo Censo'!L1734</f>
        <v/>
      </c>
      <c r="I1734" s="14">
        <f>'Empleo Censo'!M1734</f>
        <v/>
      </c>
      <c r="J1734" s="14">
        <f>SUM('Empleo Censo'!N1734:AA1734)</f>
        <v/>
      </c>
      <c r="K1734" s="14">
        <f>SUM(C1734:J1734)</f>
        <v/>
      </c>
      <c r="L1734" s="15">
        <f>SUMPRODUCT(C1734:J1734,Factores!$B$3:$I$3)</f>
        <v/>
      </c>
      <c r="M1734" s="16">
        <f>'Empleo Censo'!E1734</f>
        <v/>
      </c>
      <c r="N1734" s="17">
        <f>IF(M1734&gt;0,L1734,Factores!$B$7)</f>
        <v/>
      </c>
      <c r="O1734">
        <f>IF(M1734&gt;0,"OK","sin PEA -&gt; peor")</f>
        <v/>
      </c>
    </row>
    <row r="1735">
      <c r="A1735" t="inlineStr">
        <is>
          <t>081004</t>
        </is>
      </c>
      <c r="B1735" t="inlineStr">
        <is>
          <t>COLCHA</t>
        </is>
      </c>
      <c r="C1735" s="14">
        <f>'Empleo Censo'!G1735-'Empleo Censo'!F1735</f>
        <v/>
      </c>
      <c r="D1735" s="14">
        <f>'Empleo Censo'!F1735</f>
        <v/>
      </c>
      <c r="E1735" s="14">
        <f>'Empleo Censo'!H1735</f>
        <v/>
      </c>
      <c r="F1735" s="14">
        <f>'Empleo Censo'!I1735</f>
        <v/>
      </c>
      <c r="G1735" s="14">
        <f>'Empleo Censo'!J1735+'Empleo Censo'!K1735</f>
        <v/>
      </c>
      <c r="H1735" s="14">
        <f>'Empleo Censo'!L1735</f>
        <v/>
      </c>
      <c r="I1735" s="14">
        <f>'Empleo Censo'!M1735</f>
        <v/>
      </c>
      <c r="J1735" s="14">
        <f>SUM('Empleo Censo'!N1735:AA1735)</f>
        <v/>
      </c>
      <c r="K1735" s="14">
        <f>SUM(C1735:J1735)</f>
        <v/>
      </c>
      <c r="L1735" s="15">
        <f>SUMPRODUCT(C1735:J1735,Factores!$B$3:$I$3)</f>
        <v/>
      </c>
      <c r="M1735" s="16">
        <f>'Empleo Censo'!E1735</f>
        <v/>
      </c>
      <c r="N1735" s="17">
        <f>IF(M1735&gt;0,L1735,Factores!$B$7)</f>
        <v/>
      </c>
      <c r="O1735">
        <f>IF(M1735&gt;0,"OK","sin PEA -&gt; peor")</f>
        <v/>
      </c>
    </row>
    <row r="1736">
      <c r="A1736" t="inlineStr">
        <is>
          <t>020502</t>
        </is>
      </c>
      <c r="B1736" t="inlineStr">
        <is>
          <t>ABELARDO PARDO LEZAMETA</t>
        </is>
      </c>
      <c r="C1736" s="14">
        <f>'Empleo Censo'!G1736-'Empleo Censo'!F1736</f>
        <v/>
      </c>
      <c r="D1736" s="14">
        <f>'Empleo Censo'!F1736</f>
        <v/>
      </c>
      <c r="E1736" s="14">
        <f>'Empleo Censo'!H1736</f>
        <v/>
      </c>
      <c r="F1736" s="14">
        <f>'Empleo Censo'!I1736</f>
        <v/>
      </c>
      <c r="G1736" s="14">
        <f>'Empleo Censo'!J1736+'Empleo Censo'!K1736</f>
        <v/>
      </c>
      <c r="H1736" s="14">
        <f>'Empleo Censo'!L1736</f>
        <v/>
      </c>
      <c r="I1736" s="14">
        <f>'Empleo Censo'!M1736</f>
        <v/>
      </c>
      <c r="J1736" s="14">
        <f>SUM('Empleo Censo'!N1736:AA1736)</f>
        <v/>
      </c>
      <c r="K1736" s="14">
        <f>SUM(C1736:J1736)</f>
        <v/>
      </c>
      <c r="L1736" s="15">
        <f>SUMPRODUCT(C1736:J1736,Factores!$B$3:$I$3)</f>
        <v/>
      </c>
      <c r="M1736" s="16">
        <f>'Empleo Censo'!E1736</f>
        <v/>
      </c>
      <c r="N1736" s="17">
        <f>IF(M1736&gt;0,L1736,Factores!$B$7)</f>
        <v/>
      </c>
      <c r="O1736">
        <f>IF(M1736&gt;0,"OK","sin PEA -&gt; peor")</f>
        <v/>
      </c>
    </row>
    <row r="1737">
      <c r="A1737" t="inlineStr">
        <is>
          <t>021409</t>
        </is>
      </c>
      <c r="B1737" t="inlineStr">
        <is>
          <t>SAN PEDRO</t>
        </is>
      </c>
      <c r="C1737" s="14">
        <f>'Empleo Censo'!G1737-'Empleo Censo'!F1737</f>
        <v/>
      </c>
      <c r="D1737" s="14">
        <f>'Empleo Censo'!F1737</f>
        <v/>
      </c>
      <c r="E1737" s="14">
        <f>'Empleo Censo'!H1737</f>
        <v/>
      </c>
      <c r="F1737" s="14">
        <f>'Empleo Censo'!I1737</f>
        <v/>
      </c>
      <c r="G1737" s="14">
        <f>'Empleo Censo'!J1737+'Empleo Censo'!K1737</f>
        <v/>
      </c>
      <c r="H1737" s="14">
        <f>'Empleo Censo'!L1737</f>
        <v/>
      </c>
      <c r="I1737" s="14">
        <f>'Empleo Censo'!M1737</f>
        <v/>
      </c>
      <c r="J1737" s="14">
        <f>SUM('Empleo Censo'!N1737:AA1737)</f>
        <v/>
      </c>
      <c r="K1737" s="14">
        <f>SUM(C1737:J1737)</f>
        <v/>
      </c>
      <c r="L1737" s="15">
        <f>SUMPRODUCT(C1737:J1737,Factores!$B$3:$I$3)</f>
        <v/>
      </c>
      <c r="M1737" s="16">
        <f>'Empleo Censo'!E1737</f>
        <v/>
      </c>
      <c r="N1737" s="17">
        <f>IF(M1737&gt;0,L1737,Factores!$B$7)</f>
        <v/>
      </c>
      <c r="O1737">
        <f>IF(M1737&gt;0,"OK","sin PEA -&gt; peor")</f>
        <v/>
      </c>
    </row>
    <row r="1738">
      <c r="A1738" t="inlineStr">
        <is>
          <t>040113</t>
        </is>
      </c>
      <c r="B1738" t="inlineStr">
        <is>
          <t>POCSI</t>
        </is>
      </c>
      <c r="C1738" s="14">
        <f>'Empleo Censo'!G1738-'Empleo Censo'!F1738</f>
        <v/>
      </c>
      <c r="D1738" s="14">
        <f>'Empleo Censo'!F1738</f>
        <v/>
      </c>
      <c r="E1738" s="14">
        <f>'Empleo Censo'!H1738</f>
        <v/>
      </c>
      <c r="F1738" s="14">
        <f>'Empleo Censo'!I1738</f>
        <v/>
      </c>
      <c r="G1738" s="14">
        <f>'Empleo Censo'!J1738+'Empleo Censo'!K1738</f>
        <v/>
      </c>
      <c r="H1738" s="14">
        <f>'Empleo Censo'!L1738</f>
        <v/>
      </c>
      <c r="I1738" s="14">
        <f>'Empleo Censo'!M1738</f>
        <v/>
      </c>
      <c r="J1738" s="14">
        <f>SUM('Empleo Censo'!N1738:AA1738)</f>
        <v/>
      </c>
      <c r="K1738" s="14">
        <f>SUM(C1738:J1738)</f>
        <v/>
      </c>
      <c r="L1738" s="15">
        <f>SUMPRODUCT(C1738:J1738,Factores!$B$3:$I$3)</f>
        <v/>
      </c>
      <c r="M1738" s="16">
        <f>'Empleo Censo'!E1738</f>
        <v/>
      </c>
      <c r="N1738" s="17">
        <f>IF(M1738&gt;0,L1738,Factores!$B$7)</f>
        <v/>
      </c>
      <c r="O1738">
        <f>IF(M1738&gt;0,"OK","sin PEA -&gt; peor")</f>
        <v/>
      </c>
    </row>
    <row r="1739">
      <c r="A1739" t="inlineStr">
        <is>
          <t>030213</t>
        </is>
      </c>
      <c r="B1739" t="inlineStr">
        <is>
          <t>SAN JERONIMO</t>
        </is>
      </c>
      <c r="C1739" s="14">
        <f>'Empleo Censo'!G1739-'Empleo Censo'!F1739</f>
        <v/>
      </c>
      <c r="D1739" s="14">
        <f>'Empleo Censo'!F1739</f>
        <v/>
      </c>
      <c r="E1739" s="14">
        <f>'Empleo Censo'!H1739</f>
        <v/>
      </c>
      <c r="F1739" s="14">
        <f>'Empleo Censo'!I1739</f>
        <v/>
      </c>
      <c r="G1739" s="14">
        <f>'Empleo Censo'!J1739+'Empleo Censo'!K1739</f>
        <v/>
      </c>
      <c r="H1739" s="14">
        <f>'Empleo Censo'!L1739</f>
        <v/>
      </c>
      <c r="I1739" s="14">
        <f>'Empleo Censo'!M1739</f>
        <v/>
      </c>
      <c r="J1739" s="14">
        <f>SUM('Empleo Censo'!N1739:AA1739)</f>
        <v/>
      </c>
      <c r="K1739" s="14">
        <f>SUM(C1739:J1739)</f>
        <v/>
      </c>
      <c r="L1739" s="15">
        <f>SUMPRODUCT(C1739:J1739,Factores!$B$3:$I$3)</f>
        <v/>
      </c>
      <c r="M1739" s="16">
        <f>'Empleo Censo'!E1739</f>
        <v/>
      </c>
      <c r="N1739" s="17">
        <f>IF(M1739&gt;0,L1739,Factores!$B$7)</f>
        <v/>
      </c>
      <c r="O1739">
        <f>IF(M1739&gt;0,"OK","sin PEA -&gt; peor")</f>
        <v/>
      </c>
    </row>
    <row r="1740">
      <c r="A1740" t="inlineStr">
        <is>
          <t>040302</t>
        </is>
      </c>
      <c r="B1740" t="inlineStr">
        <is>
          <t>ACARI</t>
        </is>
      </c>
      <c r="C1740" s="14">
        <f>'Empleo Censo'!G1740-'Empleo Censo'!F1740</f>
        <v/>
      </c>
      <c r="D1740" s="14">
        <f>'Empleo Censo'!F1740</f>
        <v/>
      </c>
      <c r="E1740" s="14">
        <f>'Empleo Censo'!H1740</f>
        <v/>
      </c>
      <c r="F1740" s="14">
        <f>'Empleo Censo'!I1740</f>
        <v/>
      </c>
      <c r="G1740" s="14">
        <f>'Empleo Censo'!J1740+'Empleo Censo'!K1740</f>
        <v/>
      </c>
      <c r="H1740" s="14">
        <f>'Empleo Censo'!L1740</f>
        <v/>
      </c>
      <c r="I1740" s="14">
        <f>'Empleo Censo'!M1740</f>
        <v/>
      </c>
      <c r="J1740" s="14">
        <f>SUM('Empleo Censo'!N1740:AA1740)</f>
        <v/>
      </c>
      <c r="K1740" s="14">
        <f>SUM(C1740:J1740)</f>
        <v/>
      </c>
      <c r="L1740" s="15">
        <f>SUMPRODUCT(C1740:J1740,Factores!$B$3:$I$3)</f>
        <v/>
      </c>
      <c r="M1740" s="16">
        <f>'Empleo Censo'!E1740</f>
        <v/>
      </c>
      <c r="N1740" s="17">
        <f>IF(M1740&gt;0,L1740,Factores!$B$7)</f>
        <v/>
      </c>
      <c r="O1740">
        <f>IF(M1740&gt;0,"OK","sin PEA -&gt; peor")</f>
        <v/>
      </c>
    </row>
    <row r="1741">
      <c r="A1741" t="inlineStr">
        <is>
          <t>040115</t>
        </is>
      </c>
      <c r="B1741" t="inlineStr">
        <is>
          <t>QUEQUEÑA</t>
        </is>
      </c>
      <c r="C1741" s="14">
        <f>'Empleo Censo'!G1741-'Empleo Censo'!F1741</f>
        <v/>
      </c>
      <c r="D1741" s="14">
        <f>'Empleo Censo'!F1741</f>
        <v/>
      </c>
      <c r="E1741" s="14">
        <f>'Empleo Censo'!H1741</f>
        <v/>
      </c>
      <c r="F1741" s="14">
        <f>'Empleo Censo'!I1741</f>
        <v/>
      </c>
      <c r="G1741" s="14">
        <f>'Empleo Censo'!J1741+'Empleo Censo'!K1741</f>
        <v/>
      </c>
      <c r="H1741" s="14">
        <f>'Empleo Censo'!L1741</f>
        <v/>
      </c>
      <c r="I1741" s="14">
        <f>'Empleo Censo'!M1741</f>
        <v/>
      </c>
      <c r="J1741" s="14">
        <f>SUM('Empleo Censo'!N1741:AA1741)</f>
        <v/>
      </c>
      <c r="K1741" s="14">
        <f>SUM(C1741:J1741)</f>
        <v/>
      </c>
      <c r="L1741" s="15">
        <f>SUMPRODUCT(C1741:J1741,Factores!$B$3:$I$3)</f>
        <v/>
      </c>
      <c r="M1741" s="16">
        <f>'Empleo Censo'!E1741</f>
        <v/>
      </c>
      <c r="N1741" s="17">
        <f>IF(M1741&gt;0,L1741,Factores!$B$7)</f>
        <v/>
      </c>
      <c r="O1741">
        <f>IF(M1741&gt;0,"OK","sin PEA -&gt; peor")</f>
        <v/>
      </c>
    </row>
    <row r="1742">
      <c r="A1742" t="inlineStr">
        <is>
          <t>040305</t>
        </is>
      </c>
      <c r="B1742" t="inlineStr">
        <is>
          <t>BELLA UNION</t>
        </is>
      </c>
      <c r="C1742" s="14">
        <f>'Empleo Censo'!G1742-'Empleo Censo'!F1742</f>
        <v/>
      </c>
      <c r="D1742" s="14">
        <f>'Empleo Censo'!F1742</f>
        <v/>
      </c>
      <c r="E1742" s="14">
        <f>'Empleo Censo'!H1742</f>
        <v/>
      </c>
      <c r="F1742" s="14">
        <f>'Empleo Censo'!I1742</f>
        <v/>
      </c>
      <c r="G1742" s="14">
        <f>'Empleo Censo'!J1742+'Empleo Censo'!K1742</f>
        <v/>
      </c>
      <c r="H1742" s="14">
        <f>'Empleo Censo'!L1742</f>
        <v/>
      </c>
      <c r="I1742" s="14">
        <f>'Empleo Censo'!M1742</f>
        <v/>
      </c>
      <c r="J1742" s="14">
        <f>SUM('Empleo Censo'!N1742:AA1742)</f>
        <v/>
      </c>
      <c r="K1742" s="14">
        <f>SUM(C1742:J1742)</f>
        <v/>
      </c>
      <c r="L1742" s="15">
        <f>SUMPRODUCT(C1742:J1742,Factores!$B$3:$I$3)</f>
        <v/>
      </c>
      <c r="M1742" s="16">
        <f>'Empleo Censo'!E1742</f>
        <v/>
      </c>
      <c r="N1742" s="17">
        <f>IF(M1742&gt;0,L1742,Factores!$B$7)</f>
        <v/>
      </c>
      <c r="O1742">
        <f>IF(M1742&gt;0,"OK","sin PEA -&gt; peor")</f>
        <v/>
      </c>
    </row>
    <row r="1743">
      <c r="A1743" t="inlineStr">
        <is>
          <t>080302</t>
        </is>
      </c>
      <c r="B1743" t="inlineStr">
        <is>
          <t>ANCAHUASI</t>
        </is>
      </c>
      <c r="C1743" s="14">
        <f>'Empleo Censo'!G1743-'Empleo Censo'!F1743</f>
        <v/>
      </c>
      <c r="D1743" s="14">
        <f>'Empleo Censo'!F1743</f>
        <v/>
      </c>
      <c r="E1743" s="14">
        <f>'Empleo Censo'!H1743</f>
        <v/>
      </c>
      <c r="F1743" s="14">
        <f>'Empleo Censo'!I1743</f>
        <v/>
      </c>
      <c r="G1743" s="14">
        <f>'Empleo Censo'!J1743+'Empleo Censo'!K1743</f>
        <v/>
      </c>
      <c r="H1743" s="14">
        <f>'Empleo Censo'!L1743</f>
        <v/>
      </c>
      <c r="I1743" s="14">
        <f>'Empleo Censo'!M1743</f>
        <v/>
      </c>
      <c r="J1743" s="14">
        <f>SUM('Empleo Censo'!N1743:AA1743)</f>
        <v/>
      </c>
      <c r="K1743" s="14">
        <f>SUM(C1743:J1743)</f>
        <v/>
      </c>
      <c r="L1743" s="15">
        <f>SUMPRODUCT(C1743:J1743,Factores!$B$3:$I$3)</f>
        <v/>
      </c>
      <c r="M1743" s="16">
        <f>'Empleo Censo'!E1743</f>
        <v/>
      </c>
      <c r="N1743" s="17">
        <f>IF(M1743&gt;0,L1743,Factores!$B$7)</f>
        <v/>
      </c>
      <c r="O1743">
        <f>IF(M1743&gt;0,"OK","sin PEA -&gt; peor")</f>
        <v/>
      </c>
    </row>
    <row r="1744">
      <c r="A1744" t="inlineStr">
        <is>
          <t>010302</t>
        </is>
      </c>
      <c r="B1744" t="inlineStr">
        <is>
          <t>CHISQUILLA</t>
        </is>
      </c>
      <c r="C1744" s="14">
        <f>'Empleo Censo'!G1744-'Empleo Censo'!F1744</f>
        <v/>
      </c>
      <c r="D1744" s="14">
        <f>'Empleo Censo'!F1744</f>
        <v/>
      </c>
      <c r="E1744" s="14">
        <f>'Empleo Censo'!H1744</f>
        <v/>
      </c>
      <c r="F1744" s="14">
        <f>'Empleo Censo'!I1744</f>
        <v/>
      </c>
      <c r="G1744" s="14">
        <f>'Empleo Censo'!J1744+'Empleo Censo'!K1744</f>
        <v/>
      </c>
      <c r="H1744" s="14">
        <f>'Empleo Censo'!L1744</f>
        <v/>
      </c>
      <c r="I1744" s="14">
        <f>'Empleo Censo'!M1744</f>
        <v/>
      </c>
      <c r="J1744" s="14">
        <f>SUM('Empleo Censo'!N1744:AA1744)</f>
        <v/>
      </c>
      <c r="K1744" s="14">
        <f>SUM(C1744:J1744)</f>
        <v/>
      </c>
      <c r="L1744" s="15">
        <f>SUMPRODUCT(C1744:J1744,Factores!$B$3:$I$3)</f>
        <v/>
      </c>
      <c r="M1744" s="16">
        <f>'Empleo Censo'!E1744</f>
        <v/>
      </c>
      <c r="N1744" s="17">
        <f>IF(M1744&gt;0,L1744,Factores!$B$7)</f>
        <v/>
      </c>
      <c r="O1744">
        <f>IF(M1744&gt;0,"OK","sin PEA -&gt; peor")</f>
        <v/>
      </c>
    </row>
    <row r="1745">
      <c r="A1745" t="inlineStr">
        <is>
          <t>021903</t>
        </is>
      </c>
      <c r="B1745" t="inlineStr">
        <is>
          <t>ALFONSO UGARTE</t>
        </is>
      </c>
      <c r="C1745" s="14">
        <f>'Empleo Censo'!G1745-'Empleo Censo'!F1745</f>
        <v/>
      </c>
      <c r="D1745" s="14">
        <f>'Empleo Censo'!F1745</f>
        <v/>
      </c>
      <c r="E1745" s="14">
        <f>'Empleo Censo'!H1745</f>
        <v/>
      </c>
      <c r="F1745" s="14">
        <f>'Empleo Censo'!I1745</f>
        <v/>
      </c>
      <c r="G1745" s="14">
        <f>'Empleo Censo'!J1745+'Empleo Censo'!K1745</f>
        <v/>
      </c>
      <c r="H1745" s="14">
        <f>'Empleo Censo'!L1745</f>
        <v/>
      </c>
      <c r="I1745" s="14">
        <f>'Empleo Censo'!M1745</f>
        <v/>
      </c>
      <c r="J1745" s="14">
        <f>SUM('Empleo Censo'!N1745:AA1745)</f>
        <v/>
      </c>
      <c r="K1745" s="14">
        <f>SUM(C1745:J1745)</f>
        <v/>
      </c>
      <c r="L1745" s="15">
        <f>SUMPRODUCT(C1745:J1745,Factores!$B$3:$I$3)</f>
        <v/>
      </c>
      <c r="M1745" s="16">
        <f>'Empleo Censo'!E1745</f>
        <v/>
      </c>
      <c r="N1745" s="17">
        <f>IF(M1745&gt;0,L1745,Factores!$B$7)</f>
        <v/>
      </c>
      <c r="O1745">
        <f>IF(M1745&gt;0,"OK","sin PEA -&gt; peor")</f>
        <v/>
      </c>
    </row>
    <row r="1746">
      <c r="A1746" t="inlineStr">
        <is>
          <t>061310</t>
        </is>
      </c>
      <c r="B1746" t="inlineStr">
        <is>
          <t>UTICYACU</t>
        </is>
      </c>
      <c r="C1746" s="14">
        <f>'Empleo Censo'!G1746-'Empleo Censo'!F1746</f>
        <v/>
      </c>
      <c r="D1746" s="14">
        <f>'Empleo Censo'!F1746</f>
        <v/>
      </c>
      <c r="E1746" s="14">
        <f>'Empleo Censo'!H1746</f>
        <v/>
      </c>
      <c r="F1746" s="14">
        <f>'Empleo Censo'!I1746</f>
        <v/>
      </c>
      <c r="G1746" s="14">
        <f>'Empleo Censo'!J1746+'Empleo Censo'!K1746</f>
        <v/>
      </c>
      <c r="H1746" s="14">
        <f>'Empleo Censo'!L1746</f>
        <v/>
      </c>
      <c r="I1746" s="14">
        <f>'Empleo Censo'!M1746</f>
        <v/>
      </c>
      <c r="J1746" s="14">
        <f>SUM('Empleo Censo'!N1746:AA1746)</f>
        <v/>
      </c>
      <c r="K1746" s="14">
        <f>SUM(C1746:J1746)</f>
        <v/>
      </c>
      <c r="L1746" s="15">
        <f>SUMPRODUCT(C1746:J1746,Factores!$B$3:$I$3)</f>
        <v/>
      </c>
      <c r="M1746" s="16">
        <f>'Empleo Censo'!E1746</f>
        <v/>
      </c>
      <c r="N1746" s="17">
        <f>IF(M1746&gt;0,L1746,Factores!$B$7)</f>
        <v/>
      </c>
      <c r="O1746">
        <f>IF(M1746&gt;0,"OK","sin PEA -&gt; peor")</f>
        <v/>
      </c>
    </row>
    <row r="1747">
      <c r="A1747" t="inlineStr">
        <is>
          <t>090104</t>
        </is>
      </c>
      <c r="B1747" t="inlineStr">
        <is>
          <t>CONAYCA</t>
        </is>
      </c>
      <c r="C1747" s="14">
        <f>'Empleo Censo'!G1747-'Empleo Censo'!F1747</f>
        <v/>
      </c>
      <c r="D1747" s="14">
        <f>'Empleo Censo'!F1747</f>
        <v/>
      </c>
      <c r="E1747" s="14">
        <f>'Empleo Censo'!H1747</f>
        <v/>
      </c>
      <c r="F1747" s="14">
        <f>'Empleo Censo'!I1747</f>
        <v/>
      </c>
      <c r="G1747" s="14">
        <f>'Empleo Censo'!J1747+'Empleo Censo'!K1747</f>
        <v/>
      </c>
      <c r="H1747" s="14">
        <f>'Empleo Censo'!L1747</f>
        <v/>
      </c>
      <c r="I1747" s="14">
        <f>'Empleo Censo'!M1747</f>
        <v/>
      </c>
      <c r="J1747" s="14">
        <f>SUM('Empleo Censo'!N1747:AA1747)</f>
        <v/>
      </c>
      <c r="K1747" s="14">
        <f>SUM(C1747:J1747)</f>
        <v/>
      </c>
      <c r="L1747" s="15">
        <f>SUMPRODUCT(C1747:J1747,Factores!$B$3:$I$3)</f>
        <v/>
      </c>
      <c r="M1747" s="16">
        <f>'Empleo Censo'!E1747</f>
        <v/>
      </c>
      <c r="N1747" s="17">
        <f>IF(M1747&gt;0,L1747,Factores!$B$7)</f>
        <v/>
      </c>
      <c r="O1747">
        <f>IF(M1747&gt;0,"OK","sin PEA -&gt; peor")</f>
        <v/>
      </c>
    </row>
    <row r="1748">
      <c r="A1748" t="inlineStr">
        <is>
          <t>050905</t>
        </is>
      </c>
      <c r="B1748" t="inlineStr">
        <is>
          <t>HUACAÑA</t>
        </is>
      </c>
      <c r="C1748" s="14">
        <f>'Empleo Censo'!G1748-'Empleo Censo'!F1748</f>
        <v/>
      </c>
      <c r="D1748" s="14">
        <f>'Empleo Censo'!F1748</f>
        <v/>
      </c>
      <c r="E1748" s="14">
        <f>'Empleo Censo'!H1748</f>
        <v/>
      </c>
      <c r="F1748" s="14">
        <f>'Empleo Censo'!I1748</f>
        <v/>
      </c>
      <c r="G1748" s="14">
        <f>'Empleo Censo'!J1748+'Empleo Censo'!K1748</f>
        <v/>
      </c>
      <c r="H1748" s="14">
        <f>'Empleo Censo'!L1748</f>
        <v/>
      </c>
      <c r="I1748" s="14">
        <f>'Empleo Censo'!M1748</f>
        <v/>
      </c>
      <c r="J1748" s="14">
        <f>SUM('Empleo Censo'!N1748:AA1748)</f>
        <v/>
      </c>
      <c r="K1748" s="14">
        <f>SUM(C1748:J1748)</f>
        <v/>
      </c>
      <c r="L1748" s="15">
        <f>SUMPRODUCT(C1748:J1748,Factores!$B$3:$I$3)</f>
        <v/>
      </c>
      <c r="M1748" s="16">
        <f>'Empleo Censo'!E1748</f>
        <v/>
      </c>
      <c r="N1748" s="17">
        <f>IF(M1748&gt;0,L1748,Factores!$B$7)</f>
        <v/>
      </c>
      <c r="O1748">
        <f>IF(M1748&gt;0,"OK","sin PEA -&gt; peor")</f>
        <v/>
      </c>
    </row>
    <row r="1749">
      <c r="A1749" t="inlineStr">
        <is>
          <t>081302</t>
        </is>
      </c>
      <c r="B1749" t="inlineStr">
        <is>
          <t>CHINCHERO</t>
        </is>
      </c>
      <c r="C1749" s="14">
        <f>'Empleo Censo'!G1749-'Empleo Censo'!F1749</f>
        <v/>
      </c>
      <c r="D1749" s="14">
        <f>'Empleo Censo'!F1749</f>
        <v/>
      </c>
      <c r="E1749" s="14">
        <f>'Empleo Censo'!H1749</f>
        <v/>
      </c>
      <c r="F1749" s="14">
        <f>'Empleo Censo'!I1749</f>
        <v/>
      </c>
      <c r="G1749" s="14">
        <f>'Empleo Censo'!J1749+'Empleo Censo'!K1749</f>
        <v/>
      </c>
      <c r="H1749" s="14">
        <f>'Empleo Censo'!L1749</f>
        <v/>
      </c>
      <c r="I1749" s="14">
        <f>'Empleo Censo'!M1749</f>
        <v/>
      </c>
      <c r="J1749" s="14">
        <f>SUM('Empleo Censo'!N1749:AA1749)</f>
        <v/>
      </c>
      <c r="K1749" s="14">
        <f>SUM(C1749:J1749)</f>
        <v/>
      </c>
      <c r="L1749" s="15">
        <f>SUMPRODUCT(C1749:J1749,Factores!$B$3:$I$3)</f>
        <v/>
      </c>
      <c r="M1749" s="16">
        <f>'Empleo Censo'!E1749</f>
        <v/>
      </c>
      <c r="N1749" s="17">
        <f>IF(M1749&gt;0,L1749,Factores!$B$7)</f>
        <v/>
      </c>
      <c r="O1749">
        <f>IF(M1749&gt;0,"OK","sin PEA -&gt; peor")</f>
        <v/>
      </c>
    </row>
    <row r="1750">
      <c r="A1750" t="inlineStr">
        <is>
          <t>051103</t>
        </is>
      </c>
      <c r="B1750" t="inlineStr">
        <is>
          <t>CARHUANCA</t>
        </is>
      </c>
      <c r="C1750" s="14">
        <f>'Empleo Censo'!G1750-'Empleo Censo'!F1750</f>
        <v/>
      </c>
      <c r="D1750" s="14">
        <f>'Empleo Censo'!F1750</f>
        <v/>
      </c>
      <c r="E1750" s="14">
        <f>'Empleo Censo'!H1750</f>
        <v/>
      </c>
      <c r="F1750" s="14">
        <f>'Empleo Censo'!I1750</f>
        <v/>
      </c>
      <c r="G1750" s="14">
        <f>'Empleo Censo'!J1750+'Empleo Censo'!K1750</f>
        <v/>
      </c>
      <c r="H1750" s="14">
        <f>'Empleo Censo'!L1750</f>
        <v/>
      </c>
      <c r="I1750" s="14">
        <f>'Empleo Censo'!M1750</f>
        <v/>
      </c>
      <c r="J1750" s="14">
        <f>SUM('Empleo Censo'!N1750:AA1750)</f>
        <v/>
      </c>
      <c r="K1750" s="14">
        <f>SUM(C1750:J1750)</f>
        <v/>
      </c>
      <c r="L1750" s="15">
        <f>SUMPRODUCT(C1750:J1750,Factores!$B$3:$I$3)</f>
        <v/>
      </c>
      <c r="M1750" s="16">
        <f>'Empleo Censo'!E1750</f>
        <v/>
      </c>
      <c r="N1750" s="17">
        <f>IF(M1750&gt;0,L1750,Factores!$B$7)</f>
        <v/>
      </c>
      <c r="O1750">
        <f>IF(M1750&gt;0,"OK","sin PEA -&gt; peor")</f>
        <v/>
      </c>
    </row>
    <row r="1751">
      <c r="A1751" t="inlineStr">
        <is>
          <t>021013</t>
        </is>
      </c>
      <c r="B1751" t="inlineStr">
        <is>
          <t>RAPAYAN</t>
        </is>
      </c>
      <c r="C1751" s="14">
        <f>'Empleo Censo'!G1751-'Empleo Censo'!F1751</f>
        <v/>
      </c>
      <c r="D1751" s="14">
        <f>'Empleo Censo'!F1751</f>
        <v/>
      </c>
      <c r="E1751" s="14">
        <f>'Empleo Censo'!H1751</f>
        <v/>
      </c>
      <c r="F1751" s="14">
        <f>'Empleo Censo'!I1751</f>
        <v/>
      </c>
      <c r="G1751" s="14">
        <f>'Empleo Censo'!J1751+'Empleo Censo'!K1751</f>
        <v/>
      </c>
      <c r="H1751" s="14">
        <f>'Empleo Censo'!L1751</f>
        <v/>
      </c>
      <c r="I1751" s="14">
        <f>'Empleo Censo'!M1751</f>
        <v/>
      </c>
      <c r="J1751" s="14">
        <f>SUM('Empleo Censo'!N1751:AA1751)</f>
        <v/>
      </c>
      <c r="K1751" s="14">
        <f>SUM(C1751:J1751)</f>
        <v/>
      </c>
      <c r="L1751" s="15">
        <f>SUMPRODUCT(C1751:J1751,Factores!$B$3:$I$3)</f>
        <v/>
      </c>
      <c r="M1751" s="16">
        <f>'Empleo Censo'!E1751</f>
        <v/>
      </c>
      <c r="N1751" s="17">
        <f>IF(M1751&gt;0,L1751,Factores!$B$7)</f>
        <v/>
      </c>
      <c r="O1751">
        <f>IF(M1751&gt;0,"OK","sin PEA -&gt; peor")</f>
        <v/>
      </c>
    </row>
    <row r="1752">
      <c r="A1752" t="inlineStr">
        <is>
          <t>022002</t>
        </is>
      </c>
      <c r="B1752" t="inlineStr">
        <is>
          <t>CASCAPARA</t>
        </is>
      </c>
      <c r="C1752" s="14">
        <f>'Empleo Censo'!G1752-'Empleo Censo'!F1752</f>
        <v/>
      </c>
      <c r="D1752" s="14">
        <f>'Empleo Censo'!F1752</f>
        <v/>
      </c>
      <c r="E1752" s="14">
        <f>'Empleo Censo'!H1752</f>
        <v/>
      </c>
      <c r="F1752" s="14">
        <f>'Empleo Censo'!I1752</f>
        <v/>
      </c>
      <c r="G1752" s="14">
        <f>'Empleo Censo'!J1752+'Empleo Censo'!K1752</f>
        <v/>
      </c>
      <c r="H1752" s="14">
        <f>'Empleo Censo'!L1752</f>
        <v/>
      </c>
      <c r="I1752" s="14">
        <f>'Empleo Censo'!M1752</f>
        <v/>
      </c>
      <c r="J1752" s="14">
        <f>SUM('Empleo Censo'!N1752:AA1752)</f>
        <v/>
      </c>
      <c r="K1752" s="14">
        <f>SUM(C1752:J1752)</f>
        <v/>
      </c>
      <c r="L1752" s="15">
        <f>SUMPRODUCT(C1752:J1752,Factores!$B$3:$I$3)</f>
        <v/>
      </c>
      <c r="M1752" s="16">
        <f>'Empleo Censo'!E1752</f>
        <v/>
      </c>
      <c r="N1752" s="17">
        <f>IF(M1752&gt;0,L1752,Factores!$B$7)</f>
        <v/>
      </c>
      <c r="O1752">
        <f>IF(M1752&gt;0,"OK","sin PEA -&gt; peor")</f>
        <v/>
      </c>
    </row>
    <row r="1753">
      <c r="A1753" t="inlineStr">
        <is>
          <t>080506</t>
        </is>
      </c>
      <c r="B1753" t="inlineStr">
        <is>
          <t>PAMPAMARCA</t>
        </is>
      </c>
      <c r="C1753" s="14">
        <f>'Empleo Censo'!G1753-'Empleo Censo'!F1753</f>
        <v/>
      </c>
      <c r="D1753" s="14">
        <f>'Empleo Censo'!F1753</f>
        <v/>
      </c>
      <c r="E1753" s="14">
        <f>'Empleo Censo'!H1753</f>
        <v/>
      </c>
      <c r="F1753" s="14">
        <f>'Empleo Censo'!I1753</f>
        <v/>
      </c>
      <c r="G1753" s="14">
        <f>'Empleo Censo'!J1753+'Empleo Censo'!K1753</f>
        <v/>
      </c>
      <c r="H1753" s="14">
        <f>'Empleo Censo'!L1753</f>
        <v/>
      </c>
      <c r="I1753" s="14">
        <f>'Empleo Censo'!M1753</f>
        <v/>
      </c>
      <c r="J1753" s="14">
        <f>SUM('Empleo Censo'!N1753:AA1753)</f>
        <v/>
      </c>
      <c r="K1753" s="14">
        <f>SUM(C1753:J1753)</f>
        <v/>
      </c>
      <c r="L1753" s="15">
        <f>SUMPRODUCT(C1753:J1753,Factores!$B$3:$I$3)</f>
        <v/>
      </c>
      <c r="M1753" s="16">
        <f>'Empleo Censo'!E1753</f>
        <v/>
      </c>
      <c r="N1753" s="17">
        <f>IF(M1753&gt;0,L1753,Factores!$B$7)</f>
        <v/>
      </c>
      <c r="O1753">
        <f>IF(M1753&gt;0,"OK","sin PEA -&gt; peor")</f>
        <v/>
      </c>
    </row>
    <row r="1754">
      <c r="A1754" t="inlineStr">
        <is>
          <t>040202</t>
        </is>
      </c>
      <c r="B1754" t="inlineStr">
        <is>
          <t>JOSE MARIA QUIMPER</t>
        </is>
      </c>
      <c r="C1754" s="14">
        <f>'Empleo Censo'!G1754-'Empleo Censo'!F1754</f>
        <v/>
      </c>
      <c r="D1754" s="14">
        <f>'Empleo Censo'!F1754</f>
        <v/>
      </c>
      <c r="E1754" s="14">
        <f>'Empleo Censo'!H1754</f>
        <v/>
      </c>
      <c r="F1754" s="14">
        <f>'Empleo Censo'!I1754</f>
        <v/>
      </c>
      <c r="G1754" s="14">
        <f>'Empleo Censo'!J1754+'Empleo Censo'!K1754</f>
        <v/>
      </c>
      <c r="H1754" s="14">
        <f>'Empleo Censo'!L1754</f>
        <v/>
      </c>
      <c r="I1754" s="14">
        <f>'Empleo Censo'!M1754</f>
        <v/>
      </c>
      <c r="J1754" s="14">
        <f>SUM('Empleo Censo'!N1754:AA1754)</f>
        <v/>
      </c>
      <c r="K1754" s="14">
        <f>SUM(C1754:J1754)</f>
        <v/>
      </c>
      <c r="L1754" s="15">
        <f>SUMPRODUCT(C1754:J1754,Factores!$B$3:$I$3)</f>
        <v/>
      </c>
      <c r="M1754" s="16">
        <f>'Empleo Censo'!E1754</f>
        <v/>
      </c>
      <c r="N1754" s="17">
        <f>IF(M1754&gt;0,L1754,Factores!$B$7)</f>
        <v/>
      </c>
      <c r="O1754">
        <f>IF(M1754&gt;0,"OK","sin PEA -&gt; peor")</f>
        <v/>
      </c>
    </row>
    <row r="1755">
      <c r="A1755" t="inlineStr">
        <is>
          <t>010117</t>
        </is>
      </c>
      <c r="B1755" t="inlineStr">
        <is>
          <t>QUINJALCA</t>
        </is>
      </c>
      <c r="C1755" s="14">
        <f>'Empleo Censo'!G1755-'Empleo Censo'!F1755</f>
        <v/>
      </c>
      <c r="D1755" s="14">
        <f>'Empleo Censo'!F1755</f>
        <v/>
      </c>
      <c r="E1755" s="14">
        <f>'Empleo Censo'!H1755</f>
        <v/>
      </c>
      <c r="F1755" s="14">
        <f>'Empleo Censo'!I1755</f>
        <v/>
      </c>
      <c r="G1755" s="14">
        <f>'Empleo Censo'!J1755+'Empleo Censo'!K1755</f>
        <v/>
      </c>
      <c r="H1755" s="14">
        <f>'Empleo Censo'!L1755</f>
        <v/>
      </c>
      <c r="I1755" s="14">
        <f>'Empleo Censo'!M1755</f>
        <v/>
      </c>
      <c r="J1755" s="14">
        <f>SUM('Empleo Censo'!N1755:AA1755)</f>
        <v/>
      </c>
      <c r="K1755" s="14">
        <f>SUM(C1755:J1755)</f>
        <v/>
      </c>
      <c r="L1755" s="15">
        <f>SUMPRODUCT(C1755:J1755,Factores!$B$3:$I$3)</f>
        <v/>
      </c>
      <c r="M1755" s="16">
        <f>'Empleo Censo'!E1755</f>
        <v/>
      </c>
      <c r="N1755" s="17">
        <f>IF(M1755&gt;0,L1755,Factores!$B$7)</f>
        <v/>
      </c>
      <c r="O1755">
        <f>IF(M1755&gt;0,"OK","sin PEA -&gt; peor")</f>
        <v/>
      </c>
    </row>
    <row r="1756">
      <c r="A1756" t="inlineStr">
        <is>
          <t>080303</t>
        </is>
      </c>
      <c r="B1756" t="inlineStr">
        <is>
          <t>CACHIMAYO</t>
        </is>
      </c>
      <c r="C1756" s="14">
        <f>'Empleo Censo'!G1756-'Empleo Censo'!F1756</f>
        <v/>
      </c>
      <c r="D1756" s="14">
        <f>'Empleo Censo'!F1756</f>
        <v/>
      </c>
      <c r="E1756" s="14">
        <f>'Empleo Censo'!H1756</f>
        <v/>
      </c>
      <c r="F1756" s="14">
        <f>'Empleo Censo'!I1756</f>
        <v/>
      </c>
      <c r="G1756" s="14">
        <f>'Empleo Censo'!J1756+'Empleo Censo'!K1756</f>
        <v/>
      </c>
      <c r="H1756" s="14">
        <f>'Empleo Censo'!L1756</f>
        <v/>
      </c>
      <c r="I1756" s="14">
        <f>'Empleo Censo'!M1756</f>
        <v/>
      </c>
      <c r="J1756" s="14">
        <f>SUM('Empleo Censo'!N1756:AA1756)</f>
        <v/>
      </c>
      <c r="K1756" s="14">
        <f>SUM(C1756:J1756)</f>
        <v/>
      </c>
      <c r="L1756" s="15">
        <f>SUMPRODUCT(C1756:J1756,Factores!$B$3:$I$3)</f>
        <v/>
      </c>
      <c r="M1756" s="16">
        <f>'Empleo Censo'!E1756</f>
        <v/>
      </c>
      <c r="N1756" s="17">
        <f>IF(M1756&gt;0,L1756,Factores!$B$7)</f>
        <v/>
      </c>
      <c r="O1756">
        <f>IF(M1756&gt;0,"OK","sin PEA -&gt; peor")</f>
        <v/>
      </c>
    </row>
    <row r="1757">
      <c r="A1757" t="inlineStr">
        <is>
          <t>020506</t>
        </is>
      </c>
      <c r="B1757" t="inlineStr">
        <is>
          <t>CANIS</t>
        </is>
      </c>
      <c r="C1757" s="14">
        <f>'Empleo Censo'!G1757-'Empleo Censo'!F1757</f>
        <v/>
      </c>
      <c r="D1757" s="14">
        <f>'Empleo Censo'!F1757</f>
        <v/>
      </c>
      <c r="E1757" s="14">
        <f>'Empleo Censo'!H1757</f>
        <v/>
      </c>
      <c r="F1757" s="14">
        <f>'Empleo Censo'!I1757</f>
        <v/>
      </c>
      <c r="G1757" s="14">
        <f>'Empleo Censo'!J1757+'Empleo Censo'!K1757</f>
        <v/>
      </c>
      <c r="H1757" s="14">
        <f>'Empleo Censo'!L1757</f>
        <v/>
      </c>
      <c r="I1757" s="14">
        <f>'Empleo Censo'!M1757</f>
        <v/>
      </c>
      <c r="J1757" s="14">
        <f>SUM('Empleo Censo'!N1757:AA1757)</f>
        <v/>
      </c>
      <c r="K1757" s="14">
        <f>SUM(C1757:J1757)</f>
        <v/>
      </c>
      <c r="L1757" s="15">
        <f>SUMPRODUCT(C1757:J1757,Factores!$B$3:$I$3)</f>
        <v/>
      </c>
      <c r="M1757" s="16">
        <f>'Empleo Censo'!E1757</f>
        <v/>
      </c>
      <c r="N1757" s="17">
        <f>IF(M1757&gt;0,L1757,Factores!$B$7)</f>
        <v/>
      </c>
      <c r="O1757">
        <f>IF(M1757&gt;0,"OK","sin PEA -&gt; peor")</f>
        <v/>
      </c>
    </row>
    <row r="1758">
      <c r="A1758" t="inlineStr">
        <is>
          <t>040308</t>
        </is>
      </c>
      <c r="B1758" t="inlineStr">
        <is>
          <t>CHAPARRA</t>
        </is>
      </c>
      <c r="C1758" s="14">
        <f>'Empleo Censo'!G1758-'Empleo Censo'!F1758</f>
        <v/>
      </c>
      <c r="D1758" s="14">
        <f>'Empleo Censo'!F1758</f>
        <v/>
      </c>
      <c r="E1758" s="14">
        <f>'Empleo Censo'!H1758</f>
        <v/>
      </c>
      <c r="F1758" s="14">
        <f>'Empleo Censo'!I1758</f>
        <v/>
      </c>
      <c r="G1758" s="14">
        <f>'Empleo Censo'!J1758+'Empleo Censo'!K1758</f>
        <v/>
      </c>
      <c r="H1758" s="14">
        <f>'Empleo Censo'!L1758</f>
        <v/>
      </c>
      <c r="I1758" s="14">
        <f>'Empleo Censo'!M1758</f>
        <v/>
      </c>
      <c r="J1758" s="14">
        <f>SUM('Empleo Censo'!N1758:AA1758)</f>
        <v/>
      </c>
      <c r="K1758" s="14">
        <f>SUM(C1758:J1758)</f>
        <v/>
      </c>
      <c r="L1758" s="15">
        <f>SUMPRODUCT(C1758:J1758,Factores!$B$3:$I$3)</f>
        <v/>
      </c>
      <c r="M1758" s="16">
        <f>'Empleo Censo'!E1758</f>
        <v/>
      </c>
      <c r="N1758" s="17">
        <f>IF(M1758&gt;0,L1758,Factores!$B$7)</f>
        <v/>
      </c>
      <c r="O1758">
        <f>IF(M1758&gt;0,"OK","sin PEA -&gt; peor")</f>
        <v/>
      </c>
    </row>
    <row r="1759">
      <c r="A1759" t="inlineStr">
        <is>
          <t>060615</t>
        </is>
      </c>
      <c r="B1759" t="inlineStr">
        <is>
          <t>TORIBIO CASANOVA</t>
        </is>
      </c>
      <c r="C1759" s="14">
        <f>'Empleo Censo'!G1759-'Empleo Censo'!F1759</f>
        <v/>
      </c>
      <c r="D1759" s="14">
        <f>'Empleo Censo'!F1759</f>
        <v/>
      </c>
      <c r="E1759" s="14">
        <f>'Empleo Censo'!H1759</f>
        <v/>
      </c>
      <c r="F1759" s="14">
        <f>'Empleo Censo'!I1759</f>
        <v/>
      </c>
      <c r="G1759" s="14">
        <f>'Empleo Censo'!J1759+'Empleo Censo'!K1759</f>
        <v/>
      </c>
      <c r="H1759" s="14">
        <f>'Empleo Censo'!L1759</f>
        <v/>
      </c>
      <c r="I1759" s="14">
        <f>'Empleo Censo'!M1759</f>
        <v/>
      </c>
      <c r="J1759" s="14">
        <f>SUM('Empleo Censo'!N1759:AA1759)</f>
        <v/>
      </c>
      <c r="K1759" s="14">
        <f>SUM(C1759:J1759)</f>
        <v/>
      </c>
      <c r="L1759" s="15">
        <f>SUMPRODUCT(C1759:J1759,Factores!$B$3:$I$3)</f>
        <v/>
      </c>
      <c r="M1759" s="16">
        <f>'Empleo Censo'!E1759</f>
        <v/>
      </c>
      <c r="N1759" s="17">
        <f>IF(M1759&gt;0,L1759,Factores!$B$7)</f>
        <v/>
      </c>
      <c r="O1759">
        <f>IF(M1759&gt;0,"OK","sin PEA -&gt; peor")</f>
        <v/>
      </c>
    </row>
    <row r="1760">
      <c r="A1760" t="inlineStr">
        <is>
          <t>050404</t>
        </is>
      </c>
      <c r="B1760" t="inlineStr">
        <is>
          <t>IGUAIN</t>
        </is>
      </c>
      <c r="C1760" s="14">
        <f>'Empleo Censo'!G1760-'Empleo Censo'!F1760</f>
        <v/>
      </c>
      <c r="D1760" s="14">
        <f>'Empleo Censo'!F1760</f>
        <v/>
      </c>
      <c r="E1760" s="14">
        <f>'Empleo Censo'!H1760</f>
        <v/>
      </c>
      <c r="F1760" s="14">
        <f>'Empleo Censo'!I1760</f>
        <v/>
      </c>
      <c r="G1760" s="14">
        <f>'Empleo Censo'!J1760+'Empleo Censo'!K1760</f>
        <v/>
      </c>
      <c r="H1760" s="14">
        <f>'Empleo Censo'!L1760</f>
        <v/>
      </c>
      <c r="I1760" s="14">
        <f>'Empleo Censo'!M1760</f>
        <v/>
      </c>
      <c r="J1760" s="14">
        <f>SUM('Empleo Censo'!N1760:AA1760)</f>
        <v/>
      </c>
      <c r="K1760" s="14">
        <f>SUM(C1760:J1760)</f>
        <v/>
      </c>
      <c r="L1760" s="15">
        <f>SUMPRODUCT(C1760:J1760,Factores!$B$3:$I$3)</f>
        <v/>
      </c>
      <c r="M1760" s="16">
        <f>'Empleo Censo'!E1760</f>
        <v/>
      </c>
      <c r="N1760" s="17">
        <f>IF(M1760&gt;0,L1760,Factores!$B$7)</f>
        <v/>
      </c>
      <c r="O1760">
        <f>IF(M1760&gt;0,"OK","sin PEA -&gt; peor")</f>
        <v/>
      </c>
    </row>
    <row r="1761">
      <c r="A1761" t="inlineStr">
        <is>
          <t>081009</t>
        </is>
      </c>
      <c r="B1761" t="inlineStr">
        <is>
          <t>YAURISQUE</t>
        </is>
      </c>
      <c r="C1761" s="14">
        <f>'Empleo Censo'!G1761-'Empleo Censo'!F1761</f>
        <v/>
      </c>
      <c r="D1761" s="14">
        <f>'Empleo Censo'!F1761</f>
        <v/>
      </c>
      <c r="E1761" s="14">
        <f>'Empleo Censo'!H1761</f>
        <v/>
      </c>
      <c r="F1761" s="14">
        <f>'Empleo Censo'!I1761</f>
        <v/>
      </c>
      <c r="G1761" s="14">
        <f>'Empleo Censo'!J1761+'Empleo Censo'!K1761</f>
        <v/>
      </c>
      <c r="H1761" s="14">
        <f>'Empleo Censo'!L1761</f>
        <v/>
      </c>
      <c r="I1761" s="14">
        <f>'Empleo Censo'!M1761</f>
        <v/>
      </c>
      <c r="J1761" s="14">
        <f>SUM('Empleo Censo'!N1761:AA1761)</f>
        <v/>
      </c>
      <c r="K1761" s="14">
        <f>SUM(C1761:J1761)</f>
        <v/>
      </c>
      <c r="L1761" s="15">
        <f>SUMPRODUCT(C1761:J1761,Factores!$B$3:$I$3)</f>
        <v/>
      </c>
      <c r="M1761" s="16">
        <f>'Empleo Censo'!E1761</f>
        <v/>
      </c>
      <c r="N1761" s="17">
        <f>IF(M1761&gt;0,L1761,Factores!$B$7)</f>
        <v/>
      </c>
      <c r="O1761">
        <f>IF(M1761&gt;0,"OK","sin PEA -&gt; peor")</f>
        <v/>
      </c>
    </row>
    <row r="1762">
      <c r="A1762" t="inlineStr">
        <is>
          <t>040102</t>
        </is>
      </c>
      <c r="B1762" t="inlineStr">
        <is>
          <t>ALTO SELVA ALEGRE</t>
        </is>
      </c>
      <c r="C1762" s="14">
        <f>'Empleo Censo'!G1762-'Empleo Censo'!F1762</f>
        <v/>
      </c>
      <c r="D1762" s="14">
        <f>'Empleo Censo'!F1762</f>
        <v/>
      </c>
      <c r="E1762" s="14">
        <f>'Empleo Censo'!H1762</f>
        <v/>
      </c>
      <c r="F1762" s="14">
        <f>'Empleo Censo'!I1762</f>
        <v/>
      </c>
      <c r="G1762" s="14">
        <f>'Empleo Censo'!J1762+'Empleo Censo'!K1762</f>
        <v/>
      </c>
      <c r="H1762" s="14">
        <f>'Empleo Censo'!L1762</f>
        <v/>
      </c>
      <c r="I1762" s="14">
        <f>'Empleo Censo'!M1762</f>
        <v/>
      </c>
      <c r="J1762" s="14">
        <f>SUM('Empleo Censo'!N1762:AA1762)</f>
        <v/>
      </c>
      <c r="K1762" s="14">
        <f>SUM(C1762:J1762)</f>
        <v/>
      </c>
      <c r="L1762" s="15">
        <f>SUMPRODUCT(C1762:J1762,Factores!$B$3:$I$3)</f>
        <v/>
      </c>
      <c r="M1762" s="16">
        <f>'Empleo Censo'!E1762</f>
        <v/>
      </c>
      <c r="N1762" s="17">
        <f>IF(M1762&gt;0,L1762,Factores!$B$7)</f>
        <v/>
      </c>
      <c r="O1762">
        <f>IF(M1762&gt;0,"OK","sin PEA -&gt; peor")</f>
        <v/>
      </c>
    </row>
    <row r="1763">
      <c r="A1763" t="inlineStr">
        <is>
          <t>080405</t>
        </is>
      </c>
      <c r="B1763" t="inlineStr">
        <is>
          <t>PISAC</t>
        </is>
      </c>
      <c r="C1763" s="14">
        <f>'Empleo Censo'!G1763-'Empleo Censo'!F1763</f>
        <v/>
      </c>
      <c r="D1763" s="14">
        <f>'Empleo Censo'!F1763</f>
        <v/>
      </c>
      <c r="E1763" s="14">
        <f>'Empleo Censo'!H1763</f>
        <v/>
      </c>
      <c r="F1763" s="14">
        <f>'Empleo Censo'!I1763</f>
        <v/>
      </c>
      <c r="G1763" s="14">
        <f>'Empleo Censo'!J1763+'Empleo Censo'!K1763</f>
        <v/>
      </c>
      <c r="H1763" s="14">
        <f>'Empleo Censo'!L1763</f>
        <v/>
      </c>
      <c r="I1763" s="14">
        <f>'Empleo Censo'!M1763</f>
        <v/>
      </c>
      <c r="J1763" s="14">
        <f>SUM('Empleo Censo'!N1763:AA1763)</f>
        <v/>
      </c>
      <c r="K1763" s="14">
        <f>SUM(C1763:J1763)</f>
        <v/>
      </c>
      <c r="L1763" s="15">
        <f>SUMPRODUCT(C1763:J1763,Factores!$B$3:$I$3)</f>
        <v/>
      </c>
      <c r="M1763" s="16">
        <f>'Empleo Censo'!E1763</f>
        <v/>
      </c>
      <c r="N1763" s="17">
        <f>IF(M1763&gt;0,L1763,Factores!$B$7)</f>
        <v/>
      </c>
      <c r="O1763">
        <f>IF(M1763&gt;0,"OK","sin PEA -&gt; peor")</f>
        <v/>
      </c>
    </row>
    <row r="1764">
      <c r="A1764" t="inlineStr">
        <is>
          <t>061307</t>
        </is>
      </c>
      <c r="B1764" t="inlineStr">
        <is>
          <t>PULAN</t>
        </is>
      </c>
      <c r="C1764" s="14">
        <f>'Empleo Censo'!G1764-'Empleo Censo'!F1764</f>
        <v/>
      </c>
      <c r="D1764" s="14">
        <f>'Empleo Censo'!F1764</f>
        <v/>
      </c>
      <c r="E1764" s="14">
        <f>'Empleo Censo'!H1764</f>
        <v/>
      </c>
      <c r="F1764" s="14">
        <f>'Empleo Censo'!I1764</f>
        <v/>
      </c>
      <c r="G1764" s="14">
        <f>'Empleo Censo'!J1764+'Empleo Censo'!K1764</f>
        <v/>
      </c>
      <c r="H1764" s="14">
        <f>'Empleo Censo'!L1764</f>
        <v/>
      </c>
      <c r="I1764" s="14">
        <f>'Empleo Censo'!M1764</f>
        <v/>
      </c>
      <c r="J1764" s="14">
        <f>SUM('Empleo Censo'!N1764:AA1764)</f>
        <v/>
      </c>
      <c r="K1764" s="14">
        <f>SUM(C1764:J1764)</f>
        <v/>
      </c>
      <c r="L1764" s="15">
        <f>SUMPRODUCT(C1764:J1764,Factores!$B$3:$I$3)</f>
        <v/>
      </c>
      <c r="M1764" s="16">
        <f>'Empleo Censo'!E1764</f>
        <v/>
      </c>
      <c r="N1764" s="17">
        <f>IF(M1764&gt;0,L1764,Factores!$B$7)</f>
        <v/>
      </c>
      <c r="O1764">
        <f>IF(M1764&gt;0,"OK","sin PEA -&gt; peor")</f>
        <v/>
      </c>
    </row>
    <row r="1765">
      <c r="A1765" t="inlineStr">
        <is>
          <t>050620</t>
        </is>
      </c>
      <c r="B1765" t="inlineStr">
        <is>
          <t>SANTA ANA DE HUAYCAHUACHO</t>
        </is>
      </c>
      <c r="C1765" s="14">
        <f>'Empleo Censo'!G1765-'Empleo Censo'!F1765</f>
        <v/>
      </c>
      <c r="D1765" s="14">
        <f>'Empleo Censo'!F1765</f>
        <v/>
      </c>
      <c r="E1765" s="14">
        <f>'Empleo Censo'!H1765</f>
        <v/>
      </c>
      <c r="F1765" s="14">
        <f>'Empleo Censo'!I1765</f>
        <v/>
      </c>
      <c r="G1765" s="14">
        <f>'Empleo Censo'!J1765+'Empleo Censo'!K1765</f>
        <v/>
      </c>
      <c r="H1765" s="14">
        <f>'Empleo Censo'!L1765</f>
        <v/>
      </c>
      <c r="I1765" s="14">
        <f>'Empleo Censo'!M1765</f>
        <v/>
      </c>
      <c r="J1765" s="14">
        <f>SUM('Empleo Censo'!N1765:AA1765)</f>
        <v/>
      </c>
      <c r="K1765" s="14">
        <f>SUM(C1765:J1765)</f>
        <v/>
      </c>
      <c r="L1765" s="15">
        <f>SUMPRODUCT(C1765:J1765,Factores!$B$3:$I$3)</f>
        <v/>
      </c>
      <c r="M1765" s="16">
        <f>'Empleo Censo'!E1765</f>
        <v/>
      </c>
      <c r="N1765" s="17">
        <f>IF(M1765&gt;0,L1765,Factores!$B$7)</f>
        <v/>
      </c>
      <c r="O1765">
        <f>IF(M1765&gt;0,"OK","sin PEA -&gt; peor")</f>
        <v/>
      </c>
    </row>
    <row r="1766">
      <c r="A1766" t="inlineStr">
        <is>
          <t>020905</t>
        </is>
      </c>
      <c r="B1766" t="inlineStr">
        <is>
          <t>LA PAMPA</t>
        </is>
      </c>
      <c r="C1766" s="14">
        <f>'Empleo Censo'!G1766-'Empleo Censo'!F1766</f>
        <v/>
      </c>
      <c r="D1766" s="14">
        <f>'Empleo Censo'!F1766</f>
        <v/>
      </c>
      <c r="E1766" s="14">
        <f>'Empleo Censo'!H1766</f>
        <v/>
      </c>
      <c r="F1766" s="14">
        <f>'Empleo Censo'!I1766</f>
        <v/>
      </c>
      <c r="G1766" s="14">
        <f>'Empleo Censo'!J1766+'Empleo Censo'!K1766</f>
        <v/>
      </c>
      <c r="H1766" s="14">
        <f>'Empleo Censo'!L1766</f>
        <v/>
      </c>
      <c r="I1766" s="14">
        <f>'Empleo Censo'!M1766</f>
        <v/>
      </c>
      <c r="J1766" s="14">
        <f>SUM('Empleo Censo'!N1766:AA1766)</f>
        <v/>
      </c>
      <c r="K1766" s="14">
        <f>SUM(C1766:J1766)</f>
        <v/>
      </c>
      <c r="L1766" s="15">
        <f>SUMPRODUCT(C1766:J1766,Factores!$B$3:$I$3)</f>
        <v/>
      </c>
      <c r="M1766" s="16">
        <f>'Empleo Censo'!E1766</f>
        <v/>
      </c>
      <c r="N1766" s="17">
        <f>IF(M1766&gt;0,L1766,Factores!$B$7)</f>
        <v/>
      </c>
      <c r="O1766">
        <f>IF(M1766&gt;0,"OK","sin PEA -&gt; peor")</f>
        <v/>
      </c>
    </row>
    <row r="1767">
      <c r="A1767" t="inlineStr">
        <is>
          <t>020306</t>
        </is>
      </c>
      <c r="B1767" t="inlineStr">
        <is>
          <t>SAN JUAN DE RONTOY</t>
        </is>
      </c>
      <c r="C1767" s="14">
        <f>'Empleo Censo'!G1767-'Empleo Censo'!F1767</f>
        <v/>
      </c>
      <c r="D1767" s="14">
        <f>'Empleo Censo'!F1767</f>
        <v/>
      </c>
      <c r="E1767" s="14">
        <f>'Empleo Censo'!H1767</f>
        <v/>
      </c>
      <c r="F1767" s="14">
        <f>'Empleo Censo'!I1767</f>
        <v/>
      </c>
      <c r="G1767" s="14">
        <f>'Empleo Censo'!J1767+'Empleo Censo'!K1767</f>
        <v/>
      </c>
      <c r="H1767" s="14">
        <f>'Empleo Censo'!L1767</f>
        <v/>
      </c>
      <c r="I1767" s="14">
        <f>'Empleo Censo'!M1767</f>
        <v/>
      </c>
      <c r="J1767" s="14">
        <f>SUM('Empleo Censo'!N1767:AA1767)</f>
        <v/>
      </c>
      <c r="K1767" s="14">
        <f>SUM(C1767:J1767)</f>
        <v/>
      </c>
      <c r="L1767" s="15">
        <f>SUMPRODUCT(C1767:J1767,Factores!$B$3:$I$3)</f>
        <v/>
      </c>
      <c r="M1767" s="16">
        <f>'Empleo Censo'!E1767</f>
        <v/>
      </c>
      <c r="N1767" s="17">
        <f>IF(M1767&gt;0,L1767,Factores!$B$7)</f>
        <v/>
      </c>
      <c r="O1767">
        <f>IF(M1767&gt;0,"OK","sin PEA -&gt; peor")</f>
        <v/>
      </c>
    </row>
    <row r="1768">
      <c r="A1768" t="inlineStr">
        <is>
          <t>081206</t>
        </is>
      </c>
      <c r="B1768" t="inlineStr">
        <is>
          <t>CUSIPATA</t>
        </is>
      </c>
      <c r="C1768" s="14">
        <f>'Empleo Censo'!G1768-'Empleo Censo'!F1768</f>
        <v/>
      </c>
      <c r="D1768" s="14">
        <f>'Empleo Censo'!F1768</f>
        <v/>
      </c>
      <c r="E1768" s="14">
        <f>'Empleo Censo'!H1768</f>
        <v/>
      </c>
      <c r="F1768" s="14">
        <f>'Empleo Censo'!I1768</f>
        <v/>
      </c>
      <c r="G1768" s="14">
        <f>'Empleo Censo'!J1768+'Empleo Censo'!K1768</f>
        <v/>
      </c>
      <c r="H1768" s="14">
        <f>'Empleo Censo'!L1768</f>
        <v/>
      </c>
      <c r="I1768" s="14">
        <f>'Empleo Censo'!M1768</f>
        <v/>
      </c>
      <c r="J1768" s="14">
        <f>SUM('Empleo Censo'!N1768:AA1768)</f>
        <v/>
      </c>
      <c r="K1768" s="14">
        <f>SUM(C1768:J1768)</f>
        <v/>
      </c>
      <c r="L1768" s="15">
        <f>SUMPRODUCT(C1768:J1768,Factores!$B$3:$I$3)</f>
        <v/>
      </c>
      <c r="M1768" s="16">
        <f>'Empleo Censo'!E1768</f>
        <v/>
      </c>
      <c r="N1768" s="17">
        <f>IF(M1768&gt;0,L1768,Factores!$B$7)</f>
        <v/>
      </c>
      <c r="O1768">
        <f>IF(M1768&gt;0,"OK","sin PEA -&gt; peor")</f>
        <v/>
      </c>
    </row>
    <row r="1769">
      <c r="A1769" t="inlineStr">
        <is>
          <t>021507</t>
        </is>
      </c>
      <c r="B1769" t="inlineStr">
        <is>
          <t>LLAPO</t>
        </is>
      </c>
      <c r="C1769" s="14">
        <f>'Empleo Censo'!G1769-'Empleo Censo'!F1769</f>
        <v/>
      </c>
      <c r="D1769" s="14">
        <f>'Empleo Censo'!F1769</f>
        <v/>
      </c>
      <c r="E1769" s="14">
        <f>'Empleo Censo'!H1769</f>
        <v/>
      </c>
      <c r="F1769" s="14">
        <f>'Empleo Censo'!I1769</f>
        <v/>
      </c>
      <c r="G1769" s="14">
        <f>'Empleo Censo'!J1769+'Empleo Censo'!K1769</f>
        <v/>
      </c>
      <c r="H1769" s="14">
        <f>'Empleo Censo'!L1769</f>
        <v/>
      </c>
      <c r="I1769" s="14">
        <f>'Empleo Censo'!M1769</f>
        <v/>
      </c>
      <c r="J1769" s="14">
        <f>SUM('Empleo Censo'!N1769:AA1769)</f>
        <v/>
      </c>
      <c r="K1769" s="14">
        <f>SUM(C1769:J1769)</f>
        <v/>
      </c>
      <c r="L1769" s="15">
        <f>SUMPRODUCT(C1769:J1769,Factores!$B$3:$I$3)</f>
        <v/>
      </c>
      <c r="M1769" s="16">
        <f>'Empleo Censo'!E1769</f>
        <v/>
      </c>
      <c r="N1769" s="17">
        <f>IF(M1769&gt;0,L1769,Factores!$B$7)</f>
        <v/>
      </c>
      <c r="O1769">
        <f>IF(M1769&gt;0,"OK","sin PEA -&gt; peor")</f>
        <v/>
      </c>
    </row>
    <row r="1770">
      <c r="A1770" t="inlineStr">
        <is>
          <t>010111</t>
        </is>
      </c>
      <c r="B1770" t="inlineStr">
        <is>
          <t>LEVANTO</t>
        </is>
      </c>
      <c r="C1770" s="14">
        <f>'Empleo Censo'!G1770-'Empleo Censo'!F1770</f>
        <v/>
      </c>
      <c r="D1770" s="14">
        <f>'Empleo Censo'!F1770</f>
        <v/>
      </c>
      <c r="E1770" s="14">
        <f>'Empleo Censo'!H1770</f>
        <v/>
      </c>
      <c r="F1770" s="14">
        <f>'Empleo Censo'!I1770</f>
        <v/>
      </c>
      <c r="G1770" s="14">
        <f>'Empleo Censo'!J1770+'Empleo Censo'!K1770</f>
        <v/>
      </c>
      <c r="H1770" s="14">
        <f>'Empleo Censo'!L1770</f>
        <v/>
      </c>
      <c r="I1770" s="14">
        <f>'Empleo Censo'!M1770</f>
        <v/>
      </c>
      <c r="J1770" s="14">
        <f>SUM('Empleo Censo'!N1770:AA1770)</f>
        <v/>
      </c>
      <c r="K1770" s="14">
        <f>SUM(C1770:J1770)</f>
        <v/>
      </c>
      <c r="L1770" s="15">
        <f>SUMPRODUCT(C1770:J1770,Factores!$B$3:$I$3)</f>
        <v/>
      </c>
      <c r="M1770" s="16">
        <f>'Empleo Censo'!E1770</f>
        <v/>
      </c>
      <c r="N1770" s="17">
        <f>IF(M1770&gt;0,L1770,Factores!$B$7)</f>
        <v/>
      </c>
      <c r="O1770">
        <f>IF(M1770&gt;0,"OK","sin PEA -&gt; peor")</f>
        <v/>
      </c>
    </row>
    <row r="1771">
      <c r="A1771" t="inlineStr">
        <is>
          <t>021904</t>
        </is>
      </c>
      <c r="B1771" t="inlineStr">
        <is>
          <t>CASHAPAMPA</t>
        </is>
      </c>
      <c r="C1771" s="14">
        <f>'Empleo Censo'!G1771-'Empleo Censo'!F1771</f>
        <v/>
      </c>
      <c r="D1771" s="14">
        <f>'Empleo Censo'!F1771</f>
        <v/>
      </c>
      <c r="E1771" s="14">
        <f>'Empleo Censo'!H1771</f>
        <v/>
      </c>
      <c r="F1771" s="14">
        <f>'Empleo Censo'!I1771</f>
        <v/>
      </c>
      <c r="G1771" s="14">
        <f>'Empleo Censo'!J1771+'Empleo Censo'!K1771</f>
        <v/>
      </c>
      <c r="H1771" s="14">
        <f>'Empleo Censo'!L1771</f>
        <v/>
      </c>
      <c r="I1771" s="14">
        <f>'Empleo Censo'!M1771</f>
        <v/>
      </c>
      <c r="J1771" s="14">
        <f>SUM('Empleo Censo'!N1771:AA1771)</f>
        <v/>
      </c>
      <c r="K1771" s="14">
        <f>SUM(C1771:J1771)</f>
        <v/>
      </c>
      <c r="L1771" s="15">
        <f>SUMPRODUCT(C1771:J1771,Factores!$B$3:$I$3)</f>
        <v/>
      </c>
      <c r="M1771" s="16">
        <f>'Empleo Censo'!E1771</f>
        <v/>
      </c>
      <c r="N1771" s="17">
        <f>IF(M1771&gt;0,L1771,Factores!$B$7)</f>
        <v/>
      </c>
      <c r="O1771">
        <f>IF(M1771&gt;0,"OK","sin PEA -&gt; peor")</f>
        <v/>
      </c>
    </row>
    <row r="1772">
      <c r="A1772" t="inlineStr">
        <is>
          <t>040114</t>
        </is>
      </c>
      <c r="B1772" t="inlineStr">
        <is>
          <t>POLOBAYA</t>
        </is>
      </c>
      <c r="C1772" s="14">
        <f>'Empleo Censo'!G1772-'Empleo Censo'!F1772</f>
        <v/>
      </c>
      <c r="D1772" s="14">
        <f>'Empleo Censo'!F1772</f>
        <v/>
      </c>
      <c r="E1772" s="14">
        <f>'Empleo Censo'!H1772</f>
        <v/>
      </c>
      <c r="F1772" s="14">
        <f>'Empleo Censo'!I1772</f>
        <v/>
      </c>
      <c r="G1772" s="14">
        <f>'Empleo Censo'!J1772+'Empleo Censo'!K1772</f>
        <v/>
      </c>
      <c r="H1772" s="14">
        <f>'Empleo Censo'!L1772</f>
        <v/>
      </c>
      <c r="I1772" s="14">
        <f>'Empleo Censo'!M1772</f>
        <v/>
      </c>
      <c r="J1772" s="14">
        <f>SUM('Empleo Censo'!N1772:AA1772)</f>
        <v/>
      </c>
      <c r="K1772" s="14">
        <f>SUM(C1772:J1772)</f>
        <v/>
      </c>
      <c r="L1772" s="15">
        <f>SUMPRODUCT(C1772:J1772,Factores!$B$3:$I$3)</f>
        <v/>
      </c>
      <c r="M1772" s="16">
        <f>'Empleo Censo'!E1772</f>
        <v/>
      </c>
      <c r="N1772" s="17">
        <f>IF(M1772&gt;0,L1772,Factores!$B$7)</f>
        <v/>
      </c>
      <c r="O1772">
        <f>IF(M1772&gt;0,"OK","sin PEA -&gt; peor")</f>
        <v/>
      </c>
    </row>
    <row r="1773">
      <c r="A1773" t="inlineStr">
        <is>
          <t>021406</t>
        </is>
      </c>
      <c r="B1773" t="inlineStr">
        <is>
          <t>CONGAS</t>
        </is>
      </c>
      <c r="C1773" s="14">
        <f>'Empleo Censo'!G1773-'Empleo Censo'!F1773</f>
        <v/>
      </c>
      <c r="D1773" s="14">
        <f>'Empleo Censo'!F1773</f>
        <v/>
      </c>
      <c r="E1773" s="14">
        <f>'Empleo Censo'!H1773</f>
        <v/>
      </c>
      <c r="F1773" s="14">
        <f>'Empleo Censo'!I1773</f>
        <v/>
      </c>
      <c r="G1773" s="14">
        <f>'Empleo Censo'!J1773+'Empleo Censo'!K1773</f>
        <v/>
      </c>
      <c r="H1773" s="14">
        <f>'Empleo Censo'!L1773</f>
        <v/>
      </c>
      <c r="I1773" s="14">
        <f>'Empleo Censo'!M1773</f>
        <v/>
      </c>
      <c r="J1773" s="14">
        <f>SUM('Empleo Censo'!N1773:AA1773)</f>
        <v/>
      </c>
      <c r="K1773" s="14">
        <f>SUM(C1773:J1773)</f>
        <v/>
      </c>
      <c r="L1773" s="15">
        <f>SUMPRODUCT(C1773:J1773,Factores!$B$3:$I$3)</f>
        <v/>
      </c>
      <c r="M1773" s="16">
        <f>'Empleo Censo'!E1773</f>
        <v/>
      </c>
      <c r="N1773" s="17">
        <f>IF(M1773&gt;0,L1773,Factores!$B$7)</f>
        <v/>
      </c>
      <c r="O1773">
        <f>IF(M1773&gt;0,"OK","sin PEA -&gt; peor")</f>
        <v/>
      </c>
    </row>
    <row r="1774">
      <c r="A1774" t="inlineStr">
        <is>
          <t>040111</t>
        </is>
      </c>
      <c r="B1774" t="inlineStr">
        <is>
          <t>MOLLEBAYA</t>
        </is>
      </c>
      <c r="C1774" s="14">
        <f>'Empleo Censo'!G1774-'Empleo Censo'!F1774</f>
        <v/>
      </c>
      <c r="D1774" s="14">
        <f>'Empleo Censo'!F1774</f>
        <v/>
      </c>
      <c r="E1774" s="14">
        <f>'Empleo Censo'!H1774</f>
        <v/>
      </c>
      <c r="F1774" s="14">
        <f>'Empleo Censo'!I1774</f>
        <v/>
      </c>
      <c r="G1774" s="14">
        <f>'Empleo Censo'!J1774+'Empleo Censo'!K1774</f>
        <v/>
      </c>
      <c r="H1774" s="14">
        <f>'Empleo Censo'!L1774</f>
        <v/>
      </c>
      <c r="I1774" s="14">
        <f>'Empleo Censo'!M1774</f>
        <v/>
      </c>
      <c r="J1774" s="14">
        <f>SUM('Empleo Censo'!N1774:AA1774)</f>
        <v/>
      </c>
      <c r="K1774" s="14">
        <f>SUM(C1774:J1774)</f>
        <v/>
      </c>
      <c r="L1774" s="15">
        <f>SUMPRODUCT(C1774:J1774,Factores!$B$3:$I$3)</f>
        <v/>
      </c>
      <c r="M1774" s="16">
        <f>'Empleo Censo'!E1774</f>
        <v/>
      </c>
      <c r="N1774" s="17">
        <f>IF(M1774&gt;0,L1774,Factores!$B$7)</f>
        <v/>
      </c>
      <c r="O1774">
        <f>IF(M1774&gt;0,"OK","sin PEA -&gt; peor")</f>
        <v/>
      </c>
    </row>
    <row r="1775">
      <c r="A1775" t="inlineStr">
        <is>
          <t>040313</t>
        </is>
      </c>
      <c r="B1775" t="inlineStr">
        <is>
          <t>YAUCA</t>
        </is>
      </c>
      <c r="C1775" s="14">
        <f>'Empleo Censo'!G1775-'Empleo Censo'!F1775</f>
        <v/>
      </c>
      <c r="D1775" s="14">
        <f>'Empleo Censo'!F1775</f>
        <v/>
      </c>
      <c r="E1775" s="14">
        <f>'Empleo Censo'!H1775</f>
        <v/>
      </c>
      <c r="F1775" s="14">
        <f>'Empleo Censo'!I1775</f>
        <v/>
      </c>
      <c r="G1775" s="14">
        <f>'Empleo Censo'!J1775+'Empleo Censo'!K1775</f>
        <v/>
      </c>
      <c r="H1775" s="14">
        <f>'Empleo Censo'!L1775</f>
        <v/>
      </c>
      <c r="I1775" s="14">
        <f>'Empleo Censo'!M1775</f>
        <v/>
      </c>
      <c r="J1775" s="14">
        <f>SUM('Empleo Censo'!N1775:AA1775)</f>
        <v/>
      </c>
      <c r="K1775" s="14">
        <f>SUM(C1775:J1775)</f>
        <v/>
      </c>
      <c r="L1775" s="15">
        <f>SUMPRODUCT(C1775:J1775,Factores!$B$3:$I$3)</f>
        <v/>
      </c>
      <c r="M1775" s="16">
        <f>'Empleo Censo'!E1775</f>
        <v/>
      </c>
      <c r="N1775" s="17">
        <f>IF(M1775&gt;0,L1775,Factores!$B$7)</f>
        <v/>
      </c>
      <c r="O1775">
        <f>IF(M1775&gt;0,"OK","sin PEA -&gt; peor")</f>
        <v/>
      </c>
    </row>
    <row r="1776">
      <c r="A1776" t="inlineStr">
        <is>
          <t>040108</t>
        </is>
      </c>
      <c r="B1776" t="inlineStr">
        <is>
          <t>LA JOYA</t>
        </is>
      </c>
      <c r="C1776" s="14">
        <f>'Empleo Censo'!G1776-'Empleo Censo'!F1776</f>
        <v/>
      </c>
      <c r="D1776" s="14">
        <f>'Empleo Censo'!F1776</f>
        <v/>
      </c>
      <c r="E1776" s="14">
        <f>'Empleo Censo'!H1776</f>
        <v/>
      </c>
      <c r="F1776" s="14">
        <f>'Empleo Censo'!I1776</f>
        <v/>
      </c>
      <c r="G1776" s="14">
        <f>'Empleo Censo'!J1776+'Empleo Censo'!K1776</f>
        <v/>
      </c>
      <c r="H1776" s="14">
        <f>'Empleo Censo'!L1776</f>
        <v/>
      </c>
      <c r="I1776" s="14">
        <f>'Empleo Censo'!M1776</f>
        <v/>
      </c>
      <c r="J1776" s="14">
        <f>SUM('Empleo Censo'!N1776:AA1776)</f>
        <v/>
      </c>
      <c r="K1776" s="14">
        <f>SUM(C1776:J1776)</f>
        <v/>
      </c>
      <c r="L1776" s="15">
        <f>SUMPRODUCT(C1776:J1776,Factores!$B$3:$I$3)</f>
        <v/>
      </c>
      <c r="M1776" s="16">
        <f>'Empleo Censo'!E1776</f>
        <v/>
      </c>
      <c r="N1776" s="17">
        <f>IF(M1776&gt;0,L1776,Factores!$B$7)</f>
        <v/>
      </c>
      <c r="O1776">
        <f>IF(M1776&gt;0,"OK","sin PEA -&gt; peor")</f>
        <v/>
      </c>
    </row>
    <row r="1777">
      <c r="A1777" t="inlineStr">
        <is>
          <t>020801</t>
        </is>
      </c>
      <c r="B1777" t="inlineStr">
        <is>
          <t>CASMA</t>
        </is>
      </c>
      <c r="C1777" s="14">
        <f>'Empleo Censo'!G1777-'Empleo Censo'!F1777</f>
        <v/>
      </c>
      <c r="D1777" s="14">
        <f>'Empleo Censo'!F1777</f>
        <v/>
      </c>
      <c r="E1777" s="14">
        <f>'Empleo Censo'!H1777</f>
        <v/>
      </c>
      <c r="F1777" s="14">
        <f>'Empleo Censo'!I1777</f>
        <v/>
      </c>
      <c r="G1777" s="14">
        <f>'Empleo Censo'!J1777+'Empleo Censo'!K1777</f>
        <v/>
      </c>
      <c r="H1777" s="14">
        <f>'Empleo Censo'!L1777</f>
        <v/>
      </c>
      <c r="I1777" s="14">
        <f>'Empleo Censo'!M1777</f>
        <v/>
      </c>
      <c r="J1777" s="14">
        <f>SUM('Empleo Censo'!N1777:AA1777)</f>
        <v/>
      </c>
      <c r="K1777" s="14">
        <f>SUM(C1777:J1777)</f>
        <v/>
      </c>
      <c r="L1777" s="15">
        <f>SUMPRODUCT(C1777:J1777,Factores!$B$3:$I$3)</f>
        <v/>
      </c>
      <c r="M1777" s="16">
        <f>'Empleo Censo'!E1777</f>
        <v/>
      </c>
      <c r="N1777" s="17">
        <f>IF(M1777&gt;0,L1777,Factores!$B$7)</f>
        <v/>
      </c>
      <c r="O1777">
        <f>IF(M1777&gt;0,"OK","sin PEA -&gt; peor")</f>
        <v/>
      </c>
    </row>
    <row r="1778">
      <c r="A1778" t="inlineStr">
        <is>
          <t>080504</t>
        </is>
      </c>
      <c r="B1778" t="inlineStr">
        <is>
          <t>LANGUI</t>
        </is>
      </c>
      <c r="C1778" s="14">
        <f>'Empleo Censo'!G1778-'Empleo Censo'!F1778</f>
        <v/>
      </c>
      <c r="D1778" s="14">
        <f>'Empleo Censo'!F1778</f>
        <v/>
      </c>
      <c r="E1778" s="14">
        <f>'Empleo Censo'!H1778</f>
        <v/>
      </c>
      <c r="F1778" s="14">
        <f>'Empleo Censo'!I1778</f>
        <v/>
      </c>
      <c r="G1778" s="14">
        <f>'Empleo Censo'!J1778+'Empleo Censo'!K1778</f>
        <v/>
      </c>
      <c r="H1778" s="14">
        <f>'Empleo Censo'!L1778</f>
        <v/>
      </c>
      <c r="I1778" s="14">
        <f>'Empleo Censo'!M1778</f>
        <v/>
      </c>
      <c r="J1778" s="14">
        <f>SUM('Empleo Censo'!N1778:AA1778)</f>
        <v/>
      </c>
      <c r="K1778" s="14">
        <f>SUM(C1778:J1778)</f>
        <v/>
      </c>
      <c r="L1778" s="15">
        <f>SUMPRODUCT(C1778:J1778,Factores!$B$3:$I$3)</f>
        <v/>
      </c>
      <c r="M1778" s="16">
        <f>'Empleo Censo'!E1778</f>
        <v/>
      </c>
      <c r="N1778" s="17">
        <f>IF(M1778&gt;0,L1778,Factores!$B$7)</f>
        <v/>
      </c>
      <c r="O1778">
        <f>IF(M1778&gt;0,"OK","sin PEA -&gt; peor")</f>
        <v/>
      </c>
    </row>
    <row r="1779">
      <c r="A1779" t="inlineStr">
        <is>
          <t>030706</t>
        </is>
      </c>
      <c r="B1779" t="inlineStr">
        <is>
          <t>MICAELA BASTIDAS</t>
        </is>
      </c>
      <c r="C1779" s="14">
        <f>'Empleo Censo'!G1779-'Empleo Censo'!F1779</f>
        <v/>
      </c>
      <c r="D1779" s="14">
        <f>'Empleo Censo'!F1779</f>
        <v/>
      </c>
      <c r="E1779" s="14">
        <f>'Empleo Censo'!H1779</f>
        <v/>
      </c>
      <c r="F1779" s="14">
        <f>'Empleo Censo'!I1779</f>
        <v/>
      </c>
      <c r="G1779" s="14">
        <f>'Empleo Censo'!J1779+'Empleo Censo'!K1779</f>
        <v/>
      </c>
      <c r="H1779" s="14">
        <f>'Empleo Censo'!L1779</f>
        <v/>
      </c>
      <c r="I1779" s="14">
        <f>'Empleo Censo'!M1779</f>
        <v/>
      </c>
      <c r="J1779" s="14">
        <f>SUM('Empleo Censo'!N1779:AA1779)</f>
        <v/>
      </c>
      <c r="K1779" s="14">
        <f>SUM(C1779:J1779)</f>
        <v/>
      </c>
      <c r="L1779" s="15">
        <f>SUMPRODUCT(C1779:J1779,Factores!$B$3:$I$3)</f>
        <v/>
      </c>
      <c r="M1779" s="16">
        <f>'Empleo Censo'!E1779</f>
        <v/>
      </c>
      <c r="N1779" s="17">
        <f>IF(M1779&gt;0,L1779,Factores!$B$7)</f>
        <v/>
      </c>
      <c r="O1779">
        <f>IF(M1779&gt;0,"OK","sin PEA -&gt; peor")</f>
        <v/>
      </c>
    </row>
    <row r="1780">
      <c r="A1780" t="inlineStr">
        <is>
          <t>080204</t>
        </is>
      </c>
      <c r="B1780" t="inlineStr">
        <is>
          <t>MOSOC LLACTA</t>
        </is>
      </c>
      <c r="C1780" s="14">
        <f>'Empleo Censo'!G1780-'Empleo Censo'!F1780</f>
        <v/>
      </c>
      <c r="D1780" s="14">
        <f>'Empleo Censo'!F1780</f>
        <v/>
      </c>
      <c r="E1780" s="14">
        <f>'Empleo Censo'!H1780</f>
        <v/>
      </c>
      <c r="F1780" s="14">
        <f>'Empleo Censo'!I1780</f>
        <v/>
      </c>
      <c r="G1780" s="14">
        <f>'Empleo Censo'!J1780+'Empleo Censo'!K1780</f>
        <v/>
      </c>
      <c r="H1780" s="14">
        <f>'Empleo Censo'!L1780</f>
        <v/>
      </c>
      <c r="I1780" s="14">
        <f>'Empleo Censo'!M1780</f>
        <v/>
      </c>
      <c r="J1780" s="14">
        <f>SUM('Empleo Censo'!N1780:AA1780)</f>
        <v/>
      </c>
      <c r="K1780" s="14">
        <f>SUM(C1780:J1780)</f>
        <v/>
      </c>
      <c r="L1780" s="15">
        <f>SUMPRODUCT(C1780:J1780,Factores!$B$3:$I$3)</f>
        <v/>
      </c>
      <c r="M1780" s="16">
        <f>'Empleo Censo'!E1780</f>
        <v/>
      </c>
      <c r="N1780" s="17">
        <f>IF(M1780&gt;0,L1780,Factores!$B$7)</f>
        <v/>
      </c>
      <c r="O1780">
        <f>IF(M1780&gt;0,"OK","sin PEA -&gt; peor")</f>
        <v/>
      </c>
    </row>
    <row r="1781">
      <c r="A1781" t="inlineStr">
        <is>
          <t>021707</t>
        </is>
      </c>
      <c r="B1781" t="inlineStr">
        <is>
          <t>PAMPAS CHICO</t>
        </is>
      </c>
      <c r="C1781" s="14">
        <f>'Empleo Censo'!G1781-'Empleo Censo'!F1781</f>
        <v/>
      </c>
      <c r="D1781" s="14">
        <f>'Empleo Censo'!F1781</f>
        <v/>
      </c>
      <c r="E1781" s="14">
        <f>'Empleo Censo'!H1781</f>
        <v/>
      </c>
      <c r="F1781" s="14">
        <f>'Empleo Censo'!I1781</f>
        <v/>
      </c>
      <c r="G1781" s="14">
        <f>'Empleo Censo'!J1781+'Empleo Censo'!K1781</f>
        <v/>
      </c>
      <c r="H1781" s="14">
        <f>'Empleo Censo'!L1781</f>
        <v/>
      </c>
      <c r="I1781" s="14">
        <f>'Empleo Censo'!M1781</f>
        <v/>
      </c>
      <c r="J1781" s="14">
        <f>SUM('Empleo Censo'!N1781:AA1781)</f>
        <v/>
      </c>
      <c r="K1781" s="14">
        <f>SUM(C1781:J1781)</f>
        <v/>
      </c>
      <c r="L1781" s="15">
        <f>SUMPRODUCT(C1781:J1781,Factores!$B$3:$I$3)</f>
        <v/>
      </c>
      <c r="M1781" s="16">
        <f>'Empleo Censo'!E1781</f>
        <v/>
      </c>
      <c r="N1781" s="17">
        <f>IF(M1781&gt;0,L1781,Factores!$B$7)</f>
        <v/>
      </c>
      <c r="O1781">
        <f>IF(M1781&gt;0,"OK","sin PEA -&gt; peor")</f>
        <v/>
      </c>
    </row>
    <row r="1782">
      <c r="A1782" t="inlineStr">
        <is>
          <t>080607</t>
        </is>
      </c>
      <c r="B1782" t="inlineStr">
        <is>
          <t>SAN PEDRO</t>
        </is>
      </c>
      <c r="C1782" s="14">
        <f>'Empleo Censo'!G1782-'Empleo Censo'!F1782</f>
        <v/>
      </c>
      <c r="D1782" s="14">
        <f>'Empleo Censo'!F1782</f>
        <v/>
      </c>
      <c r="E1782" s="14">
        <f>'Empleo Censo'!H1782</f>
        <v/>
      </c>
      <c r="F1782" s="14">
        <f>'Empleo Censo'!I1782</f>
        <v/>
      </c>
      <c r="G1782" s="14">
        <f>'Empleo Censo'!J1782+'Empleo Censo'!K1782</f>
        <v/>
      </c>
      <c r="H1782" s="14">
        <f>'Empleo Censo'!L1782</f>
        <v/>
      </c>
      <c r="I1782" s="14">
        <f>'Empleo Censo'!M1782</f>
        <v/>
      </c>
      <c r="J1782" s="14">
        <f>SUM('Empleo Censo'!N1782:AA1782)</f>
        <v/>
      </c>
      <c r="K1782" s="14">
        <f>SUM(C1782:J1782)</f>
        <v/>
      </c>
      <c r="L1782" s="15">
        <f>SUMPRODUCT(C1782:J1782,Factores!$B$3:$I$3)</f>
        <v/>
      </c>
      <c r="M1782" s="16">
        <f>'Empleo Censo'!E1782</f>
        <v/>
      </c>
      <c r="N1782" s="17">
        <f>IF(M1782&gt;0,L1782,Factores!$B$7)</f>
        <v/>
      </c>
      <c r="O1782">
        <f>IF(M1782&gt;0,"OK","sin PEA -&gt; peor")</f>
        <v/>
      </c>
    </row>
    <row r="1783">
      <c r="A1783" t="inlineStr">
        <is>
          <t>060408</t>
        </is>
      </c>
      <c r="B1783" t="inlineStr">
        <is>
          <t>CONCHAN</t>
        </is>
      </c>
      <c r="C1783" s="14">
        <f>'Empleo Censo'!G1783-'Empleo Censo'!F1783</f>
        <v/>
      </c>
      <c r="D1783" s="14">
        <f>'Empleo Censo'!F1783</f>
        <v/>
      </c>
      <c r="E1783" s="14">
        <f>'Empleo Censo'!H1783</f>
        <v/>
      </c>
      <c r="F1783" s="14">
        <f>'Empleo Censo'!I1783</f>
        <v/>
      </c>
      <c r="G1783" s="14">
        <f>'Empleo Censo'!J1783+'Empleo Censo'!K1783</f>
        <v/>
      </c>
      <c r="H1783" s="14">
        <f>'Empleo Censo'!L1783</f>
        <v/>
      </c>
      <c r="I1783" s="14">
        <f>'Empleo Censo'!M1783</f>
        <v/>
      </c>
      <c r="J1783" s="14">
        <f>SUM('Empleo Censo'!N1783:AA1783)</f>
        <v/>
      </c>
      <c r="K1783" s="14">
        <f>SUM(C1783:J1783)</f>
        <v/>
      </c>
      <c r="L1783" s="15">
        <f>SUMPRODUCT(C1783:J1783,Factores!$B$3:$I$3)</f>
        <v/>
      </c>
      <c r="M1783" s="16">
        <f>'Empleo Censo'!E1783</f>
        <v/>
      </c>
      <c r="N1783" s="17">
        <f>IF(M1783&gt;0,L1783,Factores!$B$7)</f>
        <v/>
      </c>
      <c r="O1783">
        <f>IF(M1783&gt;0,"OK","sin PEA -&gt; peor")</f>
        <v/>
      </c>
    </row>
    <row r="1784">
      <c r="A1784" t="inlineStr">
        <is>
          <t>080805</t>
        </is>
      </c>
      <c r="B1784" t="inlineStr">
        <is>
          <t>PALLPATA</t>
        </is>
      </c>
      <c r="C1784" s="14">
        <f>'Empleo Censo'!G1784-'Empleo Censo'!F1784</f>
        <v/>
      </c>
      <c r="D1784" s="14">
        <f>'Empleo Censo'!F1784</f>
        <v/>
      </c>
      <c r="E1784" s="14">
        <f>'Empleo Censo'!H1784</f>
        <v/>
      </c>
      <c r="F1784" s="14">
        <f>'Empleo Censo'!I1784</f>
        <v/>
      </c>
      <c r="G1784" s="14">
        <f>'Empleo Censo'!J1784+'Empleo Censo'!K1784</f>
        <v/>
      </c>
      <c r="H1784" s="14">
        <f>'Empleo Censo'!L1784</f>
        <v/>
      </c>
      <c r="I1784" s="14">
        <f>'Empleo Censo'!M1784</f>
        <v/>
      </c>
      <c r="J1784" s="14">
        <f>SUM('Empleo Censo'!N1784:AA1784)</f>
        <v/>
      </c>
      <c r="K1784" s="14">
        <f>SUM(C1784:J1784)</f>
        <v/>
      </c>
      <c r="L1784" s="15">
        <f>SUMPRODUCT(C1784:J1784,Factores!$B$3:$I$3)</f>
        <v/>
      </c>
      <c r="M1784" s="16">
        <f>'Empleo Censo'!E1784</f>
        <v/>
      </c>
      <c r="N1784" s="17">
        <f>IF(M1784&gt;0,L1784,Factores!$B$7)</f>
        <v/>
      </c>
      <c r="O1784">
        <f>IF(M1784&gt;0,"OK","sin PEA -&gt; peor")</f>
        <v/>
      </c>
    </row>
    <row r="1785">
      <c r="A1785" t="inlineStr">
        <is>
          <t>021809</t>
        </is>
      </c>
      <c r="B1785" t="inlineStr">
        <is>
          <t>NUEVO CHIMBOTE</t>
        </is>
      </c>
      <c r="C1785" s="14">
        <f>'Empleo Censo'!G1785-'Empleo Censo'!F1785</f>
        <v/>
      </c>
      <c r="D1785" s="14">
        <f>'Empleo Censo'!F1785</f>
        <v/>
      </c>
      <c r="E1785" s="14">
        <f>'Empleo Censo'!H1785</f>
        <v/>
      </c>
      <c r="F1785" s="14">
        <f>'Empleo Censo'!I1785</f>
        <v/>
      </c>
      <c r="G1785" s="14">
        <f>'Empleo Censo'!J1785+'Empleo Censo'!K1785</f>
        <v/>
      </c>
      <c r="H1785" s="14">
        <f>'Empleo Censo'!L1785</f>
        <v/>
      </c>
      <c r="I1785" s="14">
        <f>'Empleo Censo'!M1785</f>
        <v/>
      </c>
      <c r="J1785" s="14">
        <f>SUM('Empleo Censo'!N1785:AA1785)</f>
        <v/>
      </c>
      <c r="K1785" s="14">
        <f>SUM(C1785:J1785)</f>
        <v/>
      </c>
      <c r="L1785" s="15">
        <f>SUMPRODUCT(C1785:J1785,Factores!$B$3:$I$3)</f>
        <v/>
      </c>
      <c r="M1785" s="16">
        <f>'Empleo Censo'!E1785</f>
        <v/>
      </c>
      <c r="N1785" s="17">
        <f>IF(M1785&gt;0,L1785,Factores!$B$7)</f>
        <v/>
      </c>
      <c r="O1785">
        <f>IF(M1785&gt;0,"OK","sin PEA -&gt; peor")</f>
        <v/>
      </c>
    </row>
    <row r="1786">
      <c r="A1786" t="inlineStr">
        <is>
          <t>021805</t>
        </is>
      </c>
      <c r="B1786" t="inlineStr">
        <is>
          <t>MORO</t>
        </is>
      </c>
      <c r="C1786" s="14">
        <f>'Empleo Censo'!G1786-'Empleo Censo'!F1786</f>
        <v/>
      </c>
      <c r="D1786" s="14">
        <f>'Empleo Censo'!F1786</f>
        <v/>
      </c>
      <c r="E1786" s="14">
        <f>'Empleo Censo'!H1786</f>
        <v/>
      </c>
      <c r="F1786" s="14">
        <f>'Empleo Censo'!I1786</f>
        <v/>
      </c>
      <c r="G1786" s="14">
        <f>'Empleo Censo'!J1786+'Empleo Censo'!K1786</f>
        <v/>
      </c>
      <c r="H1786" s="14">
        <f>'Empleo Censo'!L1786</f>
        <v/>
      </c>
      <c r="I1786" s="14">
        <f>'Empleo Censo'!M1786</f>
        <v/>
      </c>
      <c r="J1786" s="14">
        <f>SUM('Empleo Censo'!N1786:AA1786)</f>
        <v/>
      </c>
      <c r="K1786" s="14">
        <f>SUM(C1786:J1786)</f>
        <v/>
      </c>
      <c r="L1786" s="15">
        <f>SUMPRODUCT(C1786:J1786,Factores!$B$3:$I$3)</f>
        <v/>
      </c>
      <c r="M1786" s="16">
        <f>'Empleo Censo'!E1786</f>
        <v/>
      </c>
      <c r="N1786" s="17">
        <f>IF(M1786&gt;0,L1786,Factores!$B$7)</f>
        <v/>
      </c>
      <c r="O1786">
        <f>IF(M1786&gt;0,"OK","sin PEA -&gt; peor")</f>
        <v/>
      </c>
    </row>
    <row r="1787">
      <c r="A1787" t="inlineStr">
        <is>
          <t>060702</t>
        </is>
      </c>
      <c r="B1787" t="inlineStr">
        <is>
          <t>CHUGUR</t>
        </is>
      </c>
      <c r="C1787" s="14">
        <f>'Empleo Censo'!G1787-'Empleo Censo'!F1787</f>
        <v/>
      </c>
      <c r="D1787" s="14">
        <f>'Empleo Censo'!F1787</f>
        <v/>
      </c>
      <c r="E1787" s="14">
        <f>'Empleo Censo'!H1787</f>
        <v/>
      </c>
      <c r="F1787" s="14">
        <f>'Empleo Censo'!I1787</f>
        <v/>
      </c>
      <c r="G1787" s="14">
        <f>'Empleo Censo'!J1787+'Empleo Censo'!K1787</f>
        <v/>
      </c>
      <c r="H1787" s="14">
        <f>'Empleo Censo'!L1787</f>
        <v/>
      </c>
      <c r="I1787" s="14">
        <f>'Empleo Censo'!M1787</f>
        <v/>
      </c>
      <c r="J1787" s="14">
        <f>SUM('Empleo Censo'!N1787:AA1787)</f>
        <v/>
      </c>
      <c r="K1787" s="14">
        <f>SUM(C1787:J1787)</f>
        <v/>
      </c>
      <c r="L1787" s="15">
        <f>SUMPRODUCT(C1787:J1787,Factores!$B$3:$I$3)</f>
        <v/>
      </c>
      <c r="M1787" s="16">
        <f>'Empleo Censo'!E1787</f>
        <v/>
      </c>
      <c r="N1787" s="17">
        <f>IF(M1787&gt;0,L1787,Factores!$B$7)</f>
        <v/>
      </c>
      <c r="O1787">
        <f>IF(M1787&gt;0,"OK","sin PEA -&gt; peor")</f>
        <v/>
      </c>
    </row>
    <row r="1788">
      <c r="A1788" t="inlineStr">
        <is>
          <t>010523</t>
        </is>
      </c>
      <c r="B1788" t="inlineStr">
        <is>
          <t>TRITA</t>
        </is>
      </c>
      <c r="C1788" s="14">
        <f>'Empleo Censo'!G1788-'Empleo Censo'!F1788</f>
        <v/>
      </c>
      <c r="D1788" s="14">
        <f>'Empleo Censo'!F1788</f>
        <v/>
      </c>
      <c r="E1788" s="14">
        <f>'Empleo Censo'!H1788</f>
        <v/>
      </c>
      <c r="F1788" s="14">
        <f>'Empleo Censo'!I1788</f>
        <v/>
      </c>
      <c r="G1788" s="14">
        <f>'Empleo Censo'!J1788+'Empleo Censo'!K1788</f>
        <v/>
      </c>
      <c r="H1788" s="14">
        <f>'Empleo Censo'!L1788</f>
        <v/>
      </c>
      <c r="I1788" s="14">
        <f>'Empleo Censo'!M1788</f>
        <v/>
      </c>
      <c r="J1788" s="14">
        <f>SUM('Empleo Censo'!N1788:AA1788)</f>
        <v/>
      </c>
      <c r="K1788" s="14">
        <f>SUM(C1788:J1788)</f>
        <v/>
      </c>
      <c r="L1788" s="15">
        <f>SUMPRODUCT(C1788:J1788,Factores!$B$3:$I$3)</f>
        <v/>
      </c>
      <c r="M1788" s="16">
        <f>'Empleo Censo'!E1788</f>
        <v/>
      </c>
      <c r="N1788" s="17">
        <f>IF(M1788&gt;0,L1788,Factores!$B$7)</f>
        <v/>
      </c>
      <c r="O1788">
        <f>IF(M1788&gt;0,"OK","sin PEA -&gt; peor")</f>
        <v/>
      </c>
    </row>
    <row r="1789">
      <c r="A1789" t="inlineStr">
        <is>
          <t>040208</t>
        </is>
      </c>
      <c r="B1789" t="inlineStr">
        <is>
          <t>SAMUEL PASTOR</t>
        </is>
      </c>
      <c r="C1789" s="14">
        <f>'Empleo Censo'!G1789-'Empleo Censo'!F1789</f>
        <v/>
      </c>
      <c r="D1789" s="14">
        <f>'Empleo Censo'!F1789</f>
        <v/>
      </c>
      <c r="E1789" s="14">
        <f>'Empleo Censo'!H1789</f>
        <v/>
      </c>
      <c r="F1789" s="14">
        <f>'Empleo Censo'!I1789</f>
        <v/>
      </c>
      <c r="G1789" s="14">
        <f>'Empleo Censo'!J1789+'Empleo Censo'!K1789</f>
        <v/>
      </c>
      <c r="H1789" s="14">
        <f>'Empleo Censo'!L1789</f>
        <v/>
      </c>
      <c r="I1789" s="14">
        <f>'Empleo Censo'!M1789</f>
        <v/>
      </c>
      <c r="J1789" s="14">
        <f>SUM('Empleo Censo'!N1789:AA1789)</f>
        <v/>
      </c>
      <c r="K1789" s="14">
        <f>SUM(C1789:J1789)</f>
        <v/>
      </c>
      <c r="L1789" s="15">
        <f>SUMPRODUCT(C1789:J1789,Factores!$B$3:$I$3)</f>
        <v/>
      </c>
      <c r="M1789" s="16">
        <f>'Empleo Censo'!E1789</f>
        <v/>
      </c>
      <c r="N1789" s="17">
        <f>IF(M1789&gt;0,L1789,Factores!$B$7)</f>
        <v/>
      </c>
      <c r="O1789">
        <f>IF(M1789&gt;0,"OK","sin PEA -&gt; peor")</f>
        <v/>
      </c>
    </row>
    <row r="1790">
      <c r="A1790" t="inlineStr">
        <is>
          <t>010506</t>
        </is>
      </c>
      <c r="B1790" t="inlineStr">
        <is>
          <t>INGUILPATA</t>
        </is>
      </c>
      <c r="C1790" s="14">
        <f>'Empleo Censo'!G1790-'Empleo Censo'!F1790</f>
        <v/>
      </c>
      <c r="D1790" s="14">
        <f>'Empleo Censo'!F1790</f>
        <v/>
      </c>
      <c r="E1790" s="14">
        <f>'Empleo Censo'!H1790</f>
        <v/>
      </c>
      <c r="F1790" s="14">
        <f>'Empleo Censo'!I1790</f>
        <v/>
      </c>
      <c r="G1790" s="14">
        <f>'Empleo Censo'!J1790+'Empleo Censo'!K1790</f>
        <v/>
      </c>
      <c r="H1790" s="14">
        <f>'Empleo Censo'!L1790</f>
        <v/>
      </c>
      <c r="I1790" s="14">
        <f>'Empleo Censo'!M1790</f>
        <v/>
      </c>
      <c r="J1790" s="14">
        <f>SUM('Empleo Censo'!N1790:AA1790)</f>
        <v/>
      </c>
      <c r="K1790" s="14">
        <f>SUM(C1790:J1790)</f>
        <v/>
      </c>
      <c r="L1790" s="15">
        <f>SUMPRODUCT(C1790:J1790,Factores!$B$3:$I$3)</f>
        <v/>
      </c>
      <c r="M1790" s="16">
        <f>'Empleo Censo'!E1790</f>
        <v/>
      </c>
      <c r="N1790" s="17">
        <f>IF(M1790&gt;0,L1790,Factores!$B$7)</f>
        <v/>
      </c>
      <c r="O1790">
        <f>IF(M1790&gt;0,"OK","sin PEA -&gt; peor")</f>
        <v/>
      </c>
    </row>
    <row r="1791">
      <c r="A1791" t="inlineStr">
        <is>
          <t>020802</t>
        </is>
      </c>
      <c r="B1791" t="inlineStr">
        <is>
          <t>BUENA VISTA ALTA</t>
        </is>
      </c>
      <c r="C1791" s="14">
        <f>'Empleo Censo'!G1791-'Empleo Censo'!F1791</f>
        <v/>
      </c>
      <c r="D1791" s="14">
        <f>'Empleo Censo'!F1791</f>
        <v/>
      </c>
      <c r="E1791" s="14">
        <f>'Empleo Censo'!H1791</f>
        <v/>
      </c>
      <c r="F1791" s="14">
        <f>'Empleo Censo'!I1791</f>
        <v/>
      </c>
      <c r="G1791" s="14">
        <f>'Empleo Censo'!J1791+'Empleo Censo'!K1791</f>
        <v/>
      </c>
      <c r="H1791" s="14">
        <f>'Empleo Censo'!L1791</f>
        <v/>
      </c>
      <c r="I1791" s="14">
        <f>'Empleo Censo'!M1791</f>
        <v/>
      </c>
      <c r="J1791" s="14">
        <f>SUM('Empleo Censo'!N1791:AA1791)</f>
        <v/>
      </c>
      <c r="K1791" s="14">
        <f>SUM(C1791:J1791)</f>
        <v/>
      </c>
      <c r="L1791" s="15">
        <f>SUMPRODUCT(C1791:J1791,Factores!$B$3:$I$3)</f>
        <v/>
      </c>
      <c r="M1791" s="16">
        <f>'Empleo Censo'!E1791</f>
        <v/>
      </c>
      <c r="N1791" s="17">
        <f>IF(M1791&gt;0,L1791,Factores!$B$7)</f>
        <v/>
      </c>
      <c r="O1791">
        <f>IF(M1791&gt;0,"OK","sin PEA -&gt; peor")</f>
        <v/>
      </c>
    </row>
    <row r="1792">
      <c r="A1792" t="inlineStr">
        <is>
          <t>010608</t>
        </is>
      </c>
      <c r="B1792" t="inlineStr">
        <is>
          <t>MILPUC</t>
        </is>
      </c>
      <c r="C1792" s="14">
        <f>'Empleo Censo'!G1792-'Empleo Censo'!F1792</f>
        <v/>
      </c>
      <c r="D1792" s="14">
        <f>'Empleo Censo'!F1792</f>
        <v/>
      </c>
      <c r="E1792" s="14">
        <f>'Empleo Censo'!H1792</f>
        <v/>
      </c>
      <c r="F1792" s="14">
        <f>'Empleo Censo'!I1792</f>
        <v/>
      </c>
      <c r="G1792" s="14">
        <f>'Empleo Censo'!J1792+'Empleo Censo'!K1792</f>
        <v/>
      </c>
      <c r="H1792" s="14">
        <f>'Empleo Censo'!L1792</f>
        <v/>
      </c>
      <c r="I1792" s="14">
        <f>'Empleo Censo'!M1792</f>
        <v/>
      </c>
      <c r="J1792" s="14">
        <f>SUM('Empleo Censo'!N1792:AA1792)</f>
        <v/>
      </c>
      <c r="K1792" s="14">
        <f>SUM(C1792:J1792)</f>
        <v/>
      </c>
      <c r="L1792" s="15">
        <f>SUMPRODUCT(C1792:J1792,Factores!$B$3:$I$3)</f>
        <v/>
      </c>
      <c r="M1792" s="16">
        <f>'Empleo Censo'!E1792</f>
        <v/>
      </c>
      <c r="N1792" s="17">
        <f>IF(M1792&gt;0,L1792,Factores!$B$7)</f>
        <v/>
      </c>
      <c r="O1792">
        <f>IF(M1792&gt;0,"OK","sin PEA -&gt; peor")</f>
        <v/>
      </c>
    </row>
    <row r="1793">
      <c r="A1793" t="inlineStr">
        <is>
          <t>010304</t>
        </is>
      </c>
      <c r="B1793" t="inlineStr">
        <is>
          <t>COROSHA</t>
        </is>
      </c>
      <c r="C1793" s="14">
        <f>'Empleo Censo'!G1793-'Empleo Censo'!F1793</f>
        <v/>
      </c>
      <c r="D1793" s="14">
        <f>'Empleo Censo'!F1793</f>
        <v/>
      </c>
      <c r="E1793" s="14">
        <f>'Empleo Censo'!H1793</f>
        <v/>
      </c>
      <c r="F1793" s="14">
        <f>'Empleo Censo'!I1793</f>
        <v/>
      </c>
      <c r="G1793" s="14">
        <f>'Empleo Censo'!J1793+'Empleo Censo'!K1793</f>
        <v/>
      </c>
      <c r="H1793" s="14">
        <f>'Empleo Censo'!L1793</f>
        <v/>
      </c>
      <c r="I1793" s="14">
        <f>'Empleo Censo'!M1793</f>
        <v/>
      </c>
      <c r="J1793" s="14">
        <f>SUM('Empleo Censo'!N1793:AA1793)</f>
        <v/>
      </c>
      <c r="K1793" s="14">
        <f>SUM(C1793:J1793)</f>
        <v/>
      </c>
      <c r="L1793" s="15">
        <f>SUMPRODUCT(C1793:J1793,Factores!$B$3:$I$3)</f>
        <v/>
      </c>
      <c r="M1793" s="16">
        <f>'Empleo Censo'!E1793</f>
        <v/>
      </c>
      <c r="N1793" s="17">
        <f>IF(M1793&gt;0,L1793,Factores!$B$7)</f>
        <v/>
      </c>
      <c r="O1793">
        <f>IF(M1793&gt;0,"OK","sin PEA -&gt; peor")</f>
        <v/>
      </c>
    </row>
    <row r="1794">
      <c r="A1794" t="inlineStr">
        <is>
          <t>040117</t>
        </is>
      </c>
      <c r="B1794" t="inlineStr">
        <is>
          <t>SACHACA</t>
        </is>
      </c>
      <c r="C1794" s="14">
        <f>'Empleo Censo'!G1794-'Empleo Censo'!F1794</f>
        <v/>
      </c>
      <c r="D1794" s="14">
        <f>'Empleo Censo'!F1794</f>
        <v/>
      </c>
      <c r="E1794" s="14">
        <f>'Empleo Censo'!H1794</f>
        <v/>
      </c>
      <c r="F1794" s="14">
        <f>'Empleo Censo'!I1794</f>
        <v/>
      </c>
      <c r="G1794" s="14">
        <f>'Empleo Censo'!J1794+'Empleo Censo'!K1794</f>
        <v/>
      </c>
      <c r="H1794" s="14">
        <f>'Empleo Censo'!L1794</f>
        <v/>
      </c>
      <c r="I1794" s="14">
        <f>'Empleo Censo'!M1794</f>
        <v/>
      </c>
      <c r="J1794" s="14">
        <f>SUM('Empleo Censo'!N1794:AA1794)</f>
        <v/>
      </c>
      <c r="K1794" s="14">
        <f>SUM(C1794:J1794)</f>
        <v/>
      </c>
      <c r="L1794" s="15">
        <f>SUMPRODUCT(C1794:J1794,Factores!$B$3:$I$3)</f>
        <v/>
      </c>
      <c r="M1794" s="16">
        <f>'Empleo Censo'!E1794</f>
        <v/>
      </c>
      <c r="N1794" s="17">
        <f>IF(M1794&gt;0,L1794,Factores!$B$7)</f>
        <v/>
      </c>
      <c r="O1794">
        <f>IF(M1794&gt;0,"OK","sin PEA -&gt; peor")</f>
        <v/>
      </c>
    </row>
    <row r="1795">
      <c r="A1795" t="inlineStr">
        <is>
          <t>040126</t>
        </is>
      </c>
      <c r="B1795" t="inlineStr">
        <is>
          <t>YANAHUARA</t>
        </is>
      </c>
      <c r="C1795" s="14">
        <f>'Empleo Censo'!G1795-'Empleo Censo'!F1795</f>
        <v/>
      </c>
      <c r="D1795" s="14">
        <f>'Empleo Censo'!F1795</f>
        <v/>
      </c>
      <c r="E1795" s="14">
        <f>'Empleo Censo'!H1795</f>
        <v/>
      </c>
      <c r="F1795" s="14">
        <f>'Empleo Censo'!I1795</f>
        <v/>
      </c>
      <c r="G1795" s="14">
        <f>'Empleo Censo'!J1795+'Empleo Censo'!K1795</f>
        <v/>
      </c>
      <c r="H1795" s="14">
        <f>'Empleo Censo'!L1795</f>
        <v/>
      </c>
      <c r="I1795" s="14">
        <f>'Empleo Censo'!M1795</f>
        <v/>
      </c>
      <c r="J1795" s="14">
        <f>SUM('Empleo Censo'!N1795:AA1795)</f>
        <v/>
      </c>
      <c r="K1795" s="14">
        <f>SUM(C1795:J1795)</f>
        <v/>
      </c>
      <c r="L1795" s="15">
        <f>SUMPRODUCT(C1795:J1795,Factores!$B$3:$I$3)</f>
        <v/>
      </c>
      <c r="M1795" s="16">
        <f>'Empleo Censo'!E1795</f>
        <v/>
      </c>
      <c r="N1795" s="17">
        <f>IF(M1795&gt;0,L1795,Factores!$B$7)</f>
        <v/>
      </c>
      <c r="O1795">
        <f>IF(M1795&gt;0,"OK","sin PEA -&gt; peor")</f>
        <v/>
      </c>
    </row>
    <row r="1796">
      <c r="A1796" t="inlineStr">
        <is>
          <t>040105</t>
        </is>
      </c>
      <c r="B1796" t="inlineStr">
        <is>
          <t>CHARACATO</t>
        </is>
      </c>
      <c r="C1796" s="14">
        <f>'Empleo Censo'!G1796-'Empleo Censo'!F1796</f>
        <v/>
      </c>
      <c r="D1796" s="14">
        <f>'Empleo Censo'!F1796</f>
        <v/>
      </c>
      <c r="E1796" s="14">
        <f>'Empleo Censo'!H1796</f>
        <v/>
      </c>
      <c r="F1796" s="14">
        <f>'Empleo Censo'!I1796</f>
        <v/>
      </c>
      <c r="G1796" s="14">
        <f>'Empleo Censo'!J1796+'Empleo Censo'!K1796</f>
        <v/>
      </c>
      <c r="H1796" s="14">
        <f>'Empleo Censo'!L1796</f>
        <v/>
      </c>
      <c r="I1796" s="14">
        <f>'Empleo Censo'!M1796</f>
        <v/>
      </c>
      <c r="J1796" s="14">
        <f>SUM('Empleo Censo'!N1796:AA1796)</f>
        <v/>
      </c>
      <c r="K1796" s="14">
        <f>SUM(C1796:J1796)</f>
        <v/>
      </c>
      <c r="L1796" s="15">
        <f>SUMPRODUCT(C1796:J1796,Factores!$B$3:$I$3)</f>
        <v/>
      </c>
      <c r="M1796" s="16">
        <f>'Empleo Censo'!E1796</f>
        <v/>
      </c>
      <c r="N1796" s="17">
        <f>IF(M1796&gt;0,L1796,Factores!$B$7)</f>
        <v/>
      </c>
      <c r="O1796">
        <f>IF(M1796&gt;0,"OK","sin PEA -&gt; peor")</f>
        <v/>
      </c>
    </row>
    <row r="1797">
      <c r="A1797" t="inlineStr">
        <is>
          <t>040605</t>
        </is>
      </c>
      <c r="B1797" t="inlineStr">
        <is>
          <t>IRAY</t>
        </is>
      </c>
      <c r="C1797" s="14">
        <f>'Empleo Censo'!G1797-'Empleo Censo'!F1797</f>
        <v/>
      </c>
      <c r="D1797" s="14">
        <f>'Empleo Censo'!F1797</f>
        <v/>
      </c>
      <c r="E1797" s="14">
        <f>'Empleo Censo'!H1797</f>
        <v/>
      </c>
      <c r="F1797" s="14">
        <f>'Empleo Censo'!I1797</f>
        <v/>
      </c>
      <c r="G1797" s="14">
        <f>'Empleo Censo'!J1797+'Empleo Censo'!K1797</f>
        <v/>
      </c>
      <c r="H1797" s="14">
        <f>'Empleo Censo'!L1797</f>
        <v/>
      </c>
      <c r="I1797" s="14">
        <f>'Empleo Censo'!M1797</f>
        <v/>
      </c>
      <c r="J1797" s="14">
        <f>SUM('Empleo Censo'!N1797:AA1797)</f>
        <v/>
      </c>
      <c r="K1797" s="14">
        <f>SUM(C1797:J1797)</f>
        <v/>
      </c>
      <c r="L1797" s="15">
        <f>SUMPRODUCT(C1797:J1797,Factores!$B$3:$I$3)</f>
        <v/>
      </c>
      <c r="M1797" s="16">
        <f>'Empleo Censo'!E1797</f>
        <v/>
      </c>
      <c r="N1797" s="17">
        <f>IF(M1797&gt;0,L1797,Factores!$B$7)</f>
        <v/>
      </c>
      <c r="O1797">
        <f>IF(M1797&gt;0,"OK","sin PEA -&gt; peor")</f>
        <v/>
      </c>
    </row>
    <row r="1798">
      <c r="A1798" t="inlineStr">
        <is>
          <t>030417</t>
        </is>
      </c>
      <c r="B1798" t="inlineStr">
        <is>
          <t>YANACA</t>
        </is>
      </c>
      <c r="C1798" s="14">
        <f>'Empleo Censo'!G1798-'Empleo Censo'!F1798</f>
        <v/>
      </c>
      <c r="D1798" s="14">
        <f>'Empleo Censo'!F1798</f>
        <v/>
      </c>
      <c r="E1798" s="14">
        <f>'Empleo Censo'!H1798</f>
        <v/>
      </c>
      <c r="F1798" s="14">
        <f>'Empleo Censo'!I1798</f>
        <v/>
      </c>
      <c r="G1798" s="14">
        <f>'Empleo Censo'!J1798+'Empleo Censo'!K1798</f>
        <v/>
      </c>
      <c r="H1798" s="14">
        <f>'Empleo Censo'!L1798</f>
        <v/>
      </c>
      <c r="I1798" s="14">
        <f>'Empleo Censo'!M1798</f>
        <v/>
      </c>
      <c r="J1798" s="14">
        <f>SUM('Empleo Censo'!N1798:AA1798)</f>
        <v/>
      </c>
      <c r="K1798" s="14">
        <f>SUM(C1798:J1798)</f>
        <v/>
      </c>
      <c r="L1798" s="15">
        <f>SUMPRODUCT(C1798:J1798,Factores!$B$3:$I$3)</f>
        <v/>
      </c>
      <c r="M1798" s="16">
        <f>'Empleo Censo'!E1798</f>
        <v/>
      </c>
      <c r="N1798" s="17">
        <f>IF(M1798&gt;0,L1798,Factores!$B$7)</f>
        <v/>
      </c>
      <c r="O1798">
        <f>IF(M1798&gt;0,"OK","sin PEA -&gt; peor")</f>
        <v/>
      </c>
    </row>
    <row r="1799">
      <c r="A1799" t="inlineStr">
        <is>
          <t>021205</t>
        </is>
      </c>
      <c r="B1799" t="inlineStr">
        <is>
          <t>MATO</t>
        </is>
      </c>
      <c r="C1799" s="14">
        <f>'Empleo Censo'!G1799-'Empleo Censo'!F1799</f>
        <v/>
      </c>
      <c r="D1799" s="14">
        <f>'Empleo Censo'!F1799</f>
        <v/>
      </c>
      <c r="E1799" s="14">
        <f>'Empleo Censo'!H1799</f>
        <v/>
      </c>
      <c r="F1799" s="14">
        <f>'Empleo Censo'!I1799</f>
        <v/>
      </c>
      <c r="G1799" s="14">
        <f>'Empleo Censo'!J1799+'Empleo Censo'!K1799</f>
        <v/>
      </c>
      <c r="H1799" s="14">
        <f>'Empleo Censo'!L1799</f>
        <v/>
      </c>
      <c r="I1799" s="14">
        <f>'Empleo Censo'!M1799</f>
        <v/>
      </c>
      <c r="J1799" s="14">
        <f>SUM('Empleo Censo'!N1799:AA1799)</f>
        <v/>
      </c>
      <c r="K1799" s="14">
        <f>SUM(C1799:J1799)</f>
        <v/>
      </c>
      <c r="L1799" s="15">
        <f>SUMPRODUCT(C1799:J1799,Factores!$B$3:$I$3)</f>
        <v/>
      </c>
      <c r="M1799" s="16">
        <f>'Empleo Censo'!E1799</f>
        <v/>
      </c>
      <c r="N1799" s="17">
        <f>IF(M1799&gt;0,L1799,Factores!$B$7)</f>
        <v/>
      </c>
      <c r="O1799">
        <f>IF(M1799&gt;0,"OK","sin PEA -&gt; peor")</f>
        <v/>
      </c>
    </row>
    <row r="1800">
      <c r="A1800" t="inlineStr">
        <is>
          <t>030707</t>
        </is>
      </c>
      <c r="B1800" t="inlineStr">
        <is>
          <t>PATAYPAMPA</t>
        </is>
      </c>
      <c r="C1800" s="14">
        <f>'Empleo Censo'!G1800-'Empleo Censo'!F1800</f>
        <v/>
      </c>
      <c r="D1800" s="14">
        <f>'Empleo Censo'!F1800</f>
        <v/>
      </c>
      <c r="E1800" s="14">
        <f>'Empleo Censo'!H1800</f>
        <v/>
      </c>
      <c r="F1800" s="14">
        <f>'Empleo Censo'!I1800</f>
        <v/>
      </c>
      <c r="G1800" s="14">
        <f>'Empleo Censo'!J1800+'Empleo Censo'!K1800</f>
        <v/>
      </c>
      <c r="H1800" s="14">
        <f>'Empleo Censo'!L1800</f>
        <v/>
      </c>
      <c r="I1800" s="14">
        <f>'Empleo Censo'!M1800</f>
        <v/>
      </c>
      <c r="J1800" s="14">
        <f>SUM('Empleo Censo'!N1800:AA1800)</f>
        <v/>
      </c>
      <c r="K1800" s="14">
        <f>SUM(C1800:J1800)</f>
        <v/>
      </c>
      <c r="L1800" s="15">
        <f>SUMPRODUCT(C1800:J1800,Factores!$B$3:$I$3)</f>
        <v/>
      </c>
      <c r="M1800" s="16">
        <f>'Empleo Censo'!E1800</f>
        <v/>
      </c>
      <c r="N1800" s="17">
        <f>IF(M1800&gt;0,L1800,Factores!$B$7)</f>
        <v/>
      </c>
      <c r="O1800">
        <f>IF(M1800&gt;0,"OK","sin PEA -&gt; peor")</f>
        <v/>
      </c>
    </row>
    <row r="1801">
      <c r="A1801" t="inlineStr">
        <is>
          <t>081207</t>
        </is>
      </c>
      <c r="B1801" t="inlineStr">
        <is>
          <t>HUARO</t>
        </is>
      </c>
      <c r="C1801" s="14">
        <f>'Empleo Censo'!G1801-'Empleo Censo'!F1801</f>
        <v/>
      </c>
      <c r="D1801" s="14">
        <f>'Empleo Censo'!F1801</f>
        <v/>
      </c>
      <c r="E1801" s="14">
        <f>'Empleo Censo'!H1801</f>
        <v/>
      </c>
      <c r="F1801" s="14">
        <f>'Empleo Censo'!I1801</f>
        <v/>
      </c>
      <c r="G1801" s="14">
        <f>'Empleo Censo'!J1801+'Empleo Censo'!K1801</f>
        <v/>
      </c>
      <c r="H1801" s="14">
        <f>'Empleo Censo'!L1801</f>
        <v/>
      </c>
      <c r="I1801" s="14">
        <f>'Empleo Censo'!M1801</f>
        <v/>
      </c>
      <c r="J1801" s="14">
        <f>SUM('Empleo Censo'!N1801:AA1801)</f>
        <v/>
      </c>
      <c r="K1801" s="14">
        <f>SUM(C1801:J1801)</f>
        <v/>
      </c>
      <c r="L1801" s="15">
        <f>SUMPRODUCT(C1801:J1801,Factores!$B$3:$I$3)</f>
        <v/>
      </c>
      <c r="M1801" s="16">
        <f>'Empleo Censo'!E1801</f>
        <v/>
      </c>
      <c r="N1801" s="17">
        <f>IF(M1801&gt;0,L1801,Factores!$B$7)</f>
        <v/>
      </c>
      <c r="O1801">
        <f>IF(M1801&gt;0,"OK","sin PEA -&gt; peor")</f>
        <v/>
      </c>
    </row>
    <row r="1802">
      <c r="A1802" t="inlineStr">
        <is>
          <t>080304</t>
        </is>
      </c>
      <c r="B1802" t="inlineStr">
        <is>
          <t>CHINCHAYPUJIO</t>
        </is>
      </c>
      <c r="C1802" s="14">
        <f>'Empleo Censo'!G1802-'Empleo Censo'!F1802</f>
        <v/>
      </c>
      <c r="D1802" s="14">
        <f>'Empleo Censo'!F1802</f>
        <v/>
      </c>
      <c r="E1802" s="14">
        <f>'Empleo Censo'!H1802</f>
        <v/>
      </c>
      <c r="F1802" s="14">
        <f>'Empleo Censo'!I1802</f>
        <v/>
      </c>
      <c r="G1802" s="14">
        <f>'Empleo Censo'!J1802+'Empleo Censo'!K1802</f>
        <v/>
      </c>
      <c r="H1802" s="14">
        <f>'Empleo Censo'!L1802</f>
        <v/>
      </c>
      <c r="I1802" s="14">
        <f>'Empleo Censo'!M1802</f>
        <v/>
      </c>
      <c r="J1802" s="14">
        <f>SUM('Empleo Censo'!N1802:AA1802)</f>
        <v/>
      </c>
      <c r="K1802" s="14">
        <f>SUM(C1802:J1802)</f>
        <v/>
      </c>
      <c r="L1802" s="15">
        <f>SUMPRODUCT(C1802:J1802,Factores!$B$3:$I$3)</f>
        <v/>
      </c>
      <c r="M1802" s="16">
        <f>'Empleo Censo'!E1802</f>
        <v/>
      </c>
      <c r="N1802" s="17">
        <f>IF(M1802&gt;0,L1802,Factores!$B$7)</f>
        <v/>
      </c>
      <c r="O1802">
        <f>IF(M1802&gt;0,"OK","sin PEA -&gt; peor")</f>
        <v/>
      </c>
    </row>
    <row r="1803">
      <c r="A1803" t="inlineStr">
        <is>
          <t>080804</t>
        </is>
      </c>
      <c r="B1803" t="inlineStr">
        <is>
          <t>OCORURO</t>
        </is>
      </c>
      <c r="C1803" s="14">
        <f>'Empleo Censo'!G1803-'Empleo Censo'!F1803</f>
        <v/>
      </c>
      <c r="D1803" s="14">
        <f>'Empleo Censo'!F1803</f>
        <v/>
      </c>
      <c r="E1803" s="14">
        <f>'Empleo Censo'!H1803</f>
        <v/>
      </c>
      <c r="F1803" s="14">
        <f>'Empleo Censo'!I1803</f>
        <v/>
      </c>
      <c r="G1803" s="14">
        <f>'Empleo Censo'!J1803+'Empleo Censo'!K1803</f>
        <v/>
      </c>
      <c r="H1803" s="14">
        <f>'Empleo Censo'!L1803</f>
        <v/>
      </c>
      <c r="I1803" s="14">
        <f>'Empleo Censo'!M1803</f>
        <v/>
      </c>
      <c r="J1803" s="14">
        <f>SUM('Empleo Censo'!N1803:AA1803)</f>
        <v/>
      </c>
      <c r="K1803" s="14">
        <f>SUM(C1803:J1803)</f>
        <v/>
      </c>
      <c r="L1803" s="15">
        <f>SUMPRODUCT(C1803:J1803,Factores!$B$3:$I$3)</f>
        <v/>
      </c>
      <c r="M1803" s="16">
        <f>'Empleo Censo'!E1803</f>
        <v/>
      </c>
      <c r="N1803" s="17">
        <f>IF(M1803&gt;0,L1803,Factores!$B$7)</f>
        <v/>
      </c>
      <c r="O1803">
        <f>IF(M1803&gt;0,"OK","sin PEA -&gt; peor")</f>
        <v/>
      </c>
    </row>
    <row r="1804">
      <c r="A1804" t="inlineStr">
        <is>
          <t>021105</t>
        </is>
      </c>
      <c r="B1804" t="inlineStr">
        <is>
          <t>MALVAS</t>
        </is>
      </c>
      <c r="C1804" s="14">
        <f>'Empleo Censo'!G1804-'Empleo Censo'!F1804</f>
        <v/>
      </c>
      <c r="D1804" s="14">
        <f>'Empleo Censo'!F1804</f>
        <v/>
      </c>
      <c r="E1804" s="14">
        <f>'Empleo Censo'!H1804</f>
        <v/>
      </c>
      <c r="F1804" s="14">
        <f>'Empleo Censo'!I1804</f>
        <v/>
      </c>
      <c r="G1804" s="14">
        <f>'Empleo Censo'!J1804+'Empleo Censo'!K1804</f>
        <v/>
      </c>
      <c r="H1804" s="14">
        <f>'Empleo Censo'!L1804</f>
        <v/>
      </c>
      <c r="I1804" s="14">
        <f>'Empleo Censo'!M1804</f>
        <v/>
      </c>
      <c r="J1804" s="14">
        <f>SUM('Empleo Censo'!N1804:AA1804)</f>
        <v/>
      </c>
      <c r="K1804" s="14">
        <f>SUM(C1804:J1804)</f>
        <v/>
      </c>
      <c r="L1804" s="15">
        <f>SUMPRODUCT(C1804:J1804,Factores!$B$3:$I$3)</f>
        <v/>
      </c>
      <c r="M1804" s="16">
        <f>'Empleo Censo'!E1804</f>
        <v/>
      </c>
      <c r="N1804" s="17">
        <f>IF(M1804&gt;0,L1804,Factores!$B$7)</f>
        <v/>
      </c>
      <c r="O1804">
        <f>IF(M1804&gt;0,"OK","sin PEA -&gt; peor")</f>
        <v/>
      </c>
    </row>
    <row r="1805">
      <c r="A1805" t="inlineStr">
        <is>
          <t>020107</t>
        </is>
      </c>
      <c r="B1805" t="inlineStr">
        <is>
          <t>LA LIBERTAD</t>
        </is>
      </c>
      <c r="C1805" s="14">
        <f>'Empleo Censo'!G1805-'Empleo Censo'!F1805</f>
        <v/>
      </c>
      <c r="D1805" s="14">
        <f>'Empleo Censo'!F1805</f>
        <v/>
      </c>
      <c r="E1805" s="14">
        <f>'Empleo Censo'!H1805</f>
        <v/>
      </c>
      <c r="F1805" s="14">
        <f>'Empleo Censo'!I1805</f>
        <v/>
      </c>
      <c r="G1805" s="14">
        <f>'Empleo Censo'!J1805+'Empleo Censo'!K1805</f>
        <v/>
      </c>
      <c r="H1805" s="14">
        <f>'Empleo Censo'!L1805</f>
        <v/>
      </c>
      <c r="I1805" s="14">
        <f>'Empleo Censo'!M1805</f>
        <v/>
      </c>
      <c r="J1805" s="14">
        <f>SUM('Empleo Censo'!N1805:AA1805)</f>
        <v/>
      </c>
      <c r="K1805" s="14">
        <f>SUM(C1805:J1805)</f>
        <v/>
      </c>
      <c r="L1805" s="15">
        <f>SUMPRODUCT(C1805:J1805,Factores!$B$3:$I$3)</f>
        <v/>
      </c>
      <c r="M1805" s="16">
        <f>'Empleo Censo'!E1805</f>
        <v/>
      </c>
      <c r="N1805" s="17">
        <f>IF(M1805&gt;0,L1805,Factores!$B$7)</f>
        <v/>
      </c>
      <c r="O1805">
        <f>IF(M1805&gt;0,"OK","sin PEA -&gt; peor")</f>
        <v/>
      </c>
    </row>
    <row r="1806">
      <c r="A1806" t="inlineStr">
        <is>
          <t>080807</t>
        </is>
      </c>
      <c r="B1806" t="inlineStr">
        <is>
          <t>SUYCKUTAMBO</t>
        </is>
      </c>
      <c r="C1806" s="14">
        <f>'Empleo Censo'!G1806-'Empleo Censo'!F1806</f>
        <v/>
      </c>
      <c r="D1806" s="14">
        <f>'Empleo Censo'!F1806</f>
        <v/>
      </c>
      <c r="E1806" s="14">
        <f>'Empleo Censo'!H1806</f>
        <v/>
      </c>
      <c r="F1806" s="14">
        <f>'Empleo Censo'!I1806</f>
        <v/>
      </c>
      <c r="G1806" s="14">
        <f>'Empleo Censo'!J1806+'Empleo Censo'!K1806</f>
        <v/>
      </c>
      <c r="H1806" s="14">
        <f>'Empleo Censo'!L1806</f>
        <v/>
      </c>
      <c r="I1806" s="14">
        <f>'Empleo Censo'!M1806</f>
        <v/>
      </c>
      <c r="J1806" s="14">
        <f>SUM('Empleo Censo'!N1806:AA1806)</f>
        <v/>
      </c>
      <c r="K1806" s="14">
        <f>SUM(C1806:J1806)</f>
        <v/>
      </c>
      <c r="L1806" s="15">
        <f>SUMPRODUCT(C1806:J1806,Factores!$B$3:$I$3)</f>
        <v/>
      </c>
      <c r="M1806" s="16">
        <f>'Empleo Censo'!E1806</f>
        <v/>
      </c>
      <c r="N1806" s="17">
        <f>IF(M1806&gt;0,L1806,Factores!$B$7)</f>
        <v/>
      </c>
      <c r="O1806">
        <f>IF(M1806&gt;0,"OK","sin PEA -&gt; peor")</f>
        <v/>
      </c>
    </row>
    <row r="1807">
      <c r="A1807" t="inlineStr">
        <is>
          <t>040123</t>
        </is>
      </c>
      <c r="B1807" t="inlineStr">
        <is>
          <t>TIABAYA</t>
        </is>
      </c>
      <c r="C1807" s="14">
        <f>'Empleo Censo'!G1807-'Empleo Censo'!F1807</f>
        <v/>
      </c>
      <c r="D1807" s="14">
        <f>'Empleo Censo'!F1807</f>
        <v/>
      </c>
      <c r="E1807" s="14">
        <f>'Empleo Censo'!H1807</f>
        <v/>
      </c>
      <c r="F1807" s="14">
        <f>'Empleo Censo'!I1807</f>
        <v/>
      </c>
      <c r="G1807" s="14">
        <f>'Empleo Censo'!J1807+'Empleo Censo'!K1807</f>
        <v/>
      </c>
      <c r="H1807" s="14">
        <f>'Empleo Censo'!L1807</f>
        <v/>
      </c>
      <c r="I1807" s="14">
        <f>'Empleo Censo'!M1807</f>
        <v/>
      </c>
      <c r="J1807" s="14">
        <f>SUM('Empleo Censo'!N1807:AA1807)</f>
        <v/>
      </c>
      <c r="K1807" s="14">
        <f>SUM(C1807:J1807)</f>
        <v/>
      </c>
      <c r="L1807" s="15">
        <f>SUMPRODUCT(C1807:J1807,Factores!$B$3:$I$3)</f>
        <v/>
      </c>
      <c r="M1807" s="16">
        <f>'Empleo Censo'!E1807</f>
        <v/>
      </c>
      <c r="N1807" s="17">
        <f>IF(M1807&gt;0,L1807,Factores!$B$7)</f>
        <v/>
      </c>
      <c r="O1807">
        <f>IF(M1807&gt;0,"OK","sin PEA -&gt; peor")</f>
        <v/>
      </c>
    </row>
    <row r="1808">
      <c r="A1808" t="inlineStr">
        <is>
          <t>021404</t>
        </is>
      </c>
      <c r="B1808" t="inlineStr">
        <is>
          <t>CARHUAPAMPA</t>
        </is>
      </c>
      <c r="C1808" s="14">
        <f>'Empleo Censo'!G1808-'Empleo Censo'!F1808</f>
        <v/>
      </c>
      <c r="D1808" s="14">
        <f>'Empleo Censo'!F1808</f>
        <v/>
      </c>
      <c r="E1808" s="14">
        <f>'Empleo Censo'!H1808</f>
        <v/>
      </c>
      <c r="F1808" s="14">
        <f>'Empleo Censo'!I1808</f>
        <v/>
      </c>
      <c r="G1808" s="14">
        <f>'Empleo Censo'!J1808+'Empleo Censo'!K1808</f>
        <v/>
      </c>
      <c r="H1808" s="14">
        <f>'Empleo Censo'!L1808</f>
        <v/>
      </c>
      <c r="I1808" s="14">
        <f>'Empleo Censo'!M1808</f>
        <v/>
      </c>
      <c r="J1808" s="14">
        <f>SUM('Empleo Censo'!N1808:AA1808)</f>
        <v/>
      </c>
      <c r="K1808" s="14">
        <f>SUM(C1808:J1808)</f>
        <v/>
      </c>
      <c r="L1808" s="15">
        <f>SUMPRODUCT(C1808:J1808,Factores!$B$3:$I$3)</f>
        <v/>
      </c>
      <c r="M1808" s="16">
        <f>'Empleo Censo'!E1808</f>
        <v/>
      </c>
      <c r="N1808" s="17">
        <f>IF(M1808&gt;0,L1808,Factores!$B$7)</f>
        <v/>
      </c>
      <c r="O1808">
        <f>IF(M1808&gt;0,"OK","sin PEA -&gt; peor")</f>
        <v/>
      </c>
    </row>
    <row r="1809">
      <c r="A1809" t="inlineStr">
        <is>
          <t>021709</t>
        </is>
      </c>
      <c r="B1809" t="inlineStr">
        <is>
          <t>TAPACOCHA</t>
        </is>
      </c>
      <c r="C1809" s="14">
        <f>'Empleo Censo'!G1809-'Empleo Censo'!F1809</f>
        <v/>
      </c>
      <c r="D1809" s="14">
        <f>'Empleo Censo'!F1809</f>
        <v/>
      </c>
      <c r="E1809" s="14">
        <f>'Empleo Censo'!H1809</f>
        <v/>
      </c>
      <c r="F1809" s="14">
        <f>'Empleo Censo'!I1809</f>
        <v/>
      </c>
      <c r="G1809" s="14">
        <f>'Empleo Censo'!J1809+'Empleo Censo'!K1809</f>
        <v/>
      </c>
      <c r="H1809" s="14">
        <f>'Empleo Censo'!L1809</f>
        <v/>
      </c>
      <c r="I1809" s="14">
        <f>'Empleo Censo'!M1809</f>
        <v/>
      </c>
      <c r="J1809" s="14">
        <f>SUM('Empleo Censo'!N1809:AA1809)</f>
        <v/>
      </c>
      <c r="K1809" s="14">
        <f>SUM(C1809:J1809)</f>
        <v/>
      </c>
      <c r="L1809" s="15">
        <f>SUMPRODUCT(C1809:J1809,Factores!$B$3:$I$3)</f>
        <v/>
      </c>
      <c r="M1809" s="16">
        <f>'Empleo Censo'!E1809</f>
        <v/>
      </c>
      <c r="N1809" s="17">
        <f>IF(M1809&gt;0,L1809,Factores!$B$7)</f>
        <v/>
      </c>
      <c r="O1809">
        <f>IF(M1809&gt;0,"OK","sin PEA -&gt; peor")</f>
        <v/>
      </c>
    </row>
    <row r="1810">
      <c r="A1810" t="inlineStr">
        <is>
          <t>010108</t>
        </is>
      </c>
      <c r="B1810" t="inlineStr">
        <is>
          <t>HUANCAS</t>
        </is>
      </c>
      <c r="C1810" s="14">
        <f>'Empleo Censo'!G1810-'Empleo Censo'!F1810</f>
        <v/>
      </c>
      <c r="D1810" s="14">
        <f>'Empleo Censo'!F1810</f>
        <v/>
      </c>
      <c r="E1810" s="14">
        <f>'Empleo Censo'!H1810</f>
        <v/>
      </c>
      <c r="F1810" s="14">
        <f>'Empleo Censo'!I1810</f>
        <v/>
      </c>
      <c r="G1810" s="14">
        <f>'Empleo Censo'!J1810+'Empleo Censo'!K1810</f>
        <v/>
      </c>
      <c r="H1810" s="14">
        <f>'Empleo Censo'!L1810</f>
        <v/>
      </c>
      <c r="I1810" s="14">
        <f>'Empleo Censo'!M1810</f>
        <v/>
      </c>
      <c r="J1810" s="14">
        <f>SUM('Empleo Censo'!N1810:AA1810)</f>
        <v/>
      </c>
      <c r="K1810" s="14">
        <f>SUM(C1810:J1810)</f>
        <v/>
      </c>
      <c r="L1810" s="15">
        <f>SUMPRODUCT(C1810:J1810,Factores!$B$3:$I$3)</f>
        <v/>
      </c>
      <c r="M1810" s="16">
        <f>'Empleo Censo'!E1810</f>
        <v/>
      </c>
      <c r="N1810" s="17">
        <f>IF(M1810&gt;0,L1810,Factores!$B$7)</f>
        <v/>
      </c>
      <c r="O1810">
        <f>IF(M1810&gt;0,"OK","sin PEA -&gt; peor")</f>
        <v/>
      </c>
    </row>
    <row r="1811">
      <c r="A1811" t="inlineStr">
        <is>
          <t>010519</t>
        </is>
      </c>
      <c r="B1811" t="inlineStr">
        <is>
          <t>SAN JUAN DE LOPECANCHA</t>
        </is>
      </c>
      <c r="C1811" s="14">
        <f>'Empleo Censo'!G1811-'Empleo Censo'!F1811</f>
        <v/>
      </c>
      <c r="D1811" s="14">
        <f>'Empleo Censo'!F1811</f>
        <v/>
      </c>
      <c r="E1811" s="14">
        <f>'Empleo Censo'!H1811</f>
        <v/>
      </c>
      <c r="F1811" s="14">
        <f>'Empleo Censo'!I1811</f>
        <v/>
      </c>
      <c r="G1811" s="14">
        <f>'Empleo Censo'!J1811+'Empleo Censo'!K1811</f>
        <v/>
      </c>
      <c r="H1811" s="14">
        <f>'Empleo Censo'!L1811</f>
        <v/>
      </c>
      <c r="I1811" s="14">
        <f>'Empleo Censo'!M1811</f>
        <v/>
      </c>
      <c r="J1811" s="14">
        <f>SUM('Empleo Censo'!N1811:AA1811)</f>
        <v/>
      </c>
      <c r="K1811" s="14">
        <f>SUM(C1811:J1811)</f>
        <v/>
      </c>
      <c r="L1811" s="15">
        <f>SUMPRODUCT(C1811:J1811,Factores!$B$3:$I$3)</f>
        <v/>
      </c>
      <c r="M1811" s="16">
        <f>'Empleo Censo'!E1811</f>
        <v/>
      </c>
      <c r="N1811" s="17">
        <f>IF(M1811&gt;0,L1811,Factores!$B$7)</f>
        <v/>
      </c>
      <c r="O1811">
        <f>IF(M1811&gt;0,"OK","sin PEA -&gt; peor")</f>
        <v/>
      </c>
    </row>
    <row r="1812">
      <c r="A1812" t="inlineStr">
        <is>
          <t>040514</t>
        </is>
      </c>
      <c r="B1812" t="inlineStr">
        <is>
          <t>SAN ANTONIO DE CHUCA</t>
        </is>
      </c>
      <c r="C1812" s="14">
        <f>'Empleo Censo'!G1812-'Empleo Censo'!F1812</f>
        <v/>
      </c>
      <c r="D1812" s="14">
        <f>'Empleo Censo'!F1812</f>
        <v/>
      </c>
      <c r="E1812" s="14">
        <f>'Empleo Censo'!H1812</f>
        <v/>
      </c>
      <c r="F1812" s="14">
        <f>'Empleo Censo'!I1812</f>
        <v/>
      </c>
      <c r="G1812" s="14">
        <f>'Empleo Censo'!J1812+'Empleo Censo'!K1812</f>
        <v/>
      </c>
      <c r="H1812" s="14">
        <f>'Empleo Censo'!L1812</f>
        <v/>
      </c>
      <c r="I1812" s="14">
        <f>'Empleo Censo'!M1812</f>
        <v/>
      </c>
      <c r="J1812" s="14">
        <f>SUM('Empleo Censo'!N1812:AA1812)</f>
        <v/>
      </c>
      <c r="K1812" s="14">
        <f>SUM(C1812:J1812)</f>
        <v/>
      </c>
      <c r="L1812" s="15">
        <f>SUMPRODUCT(C1812:J1812,Factores!$B$3:$I$3)</f>
        <v/>
      </c>
      <c r="M1812" s="16">
        <f>'Empleo Censo'!E1812</f>
        <v/>
      </c>
      <c r="N1812" s="17">
        <f>IF(M1812&gt;0,L1812,Factores!$B$7)</f>
        <v/>
      </c>
      <c r="O1812">
        <f>IF(M1812&gt;0,"OK","sin PEA -&gt; peor")</f>
        <v/>
      </c>
    </row>
    <row r="1813">
      <c r="A1813" t="inlineStr">
        <is>
          <t>081301</t>
        </is>
      </c>
      <c r="B1813" t="inlineStr">
        <is>
          <t>URUBAMBA</t>
        </is>
      </c>
      <c r="C1813" s="14">
        <f>'Empleo Censo'!G1813-'Empleo Censo'!F1813</f>
        <v/>
      </c>
      <c r="D1813" s="14">
        <f>'Empleo Censo'!F1813</f>
        <v/>
      </c>
      <c r="E1813" s="14">
        <f>'Empleo Censo'!H1813</f>
        <v/>
      </c>
      <c r="F1813" s="14">
        <f>'Empleo Censo'!I1813</f>
        <v/>
      </c>
      <c r="G1813" s="14">
        <f>'Empleo Censo'!J1813+'Empleo Censo'!K1813</f>
        <v/>
      </c>
      <c r="H1813" s="14">
        <f>'Empleo Censo'!L1813</f>
        <v/>
      </c>
      <c r="I1813" s="14">
        <f>'Empleo Censo'!M1813</f>
        <v/>
      </c>
      <c r="J1813" s="14">
        <f>SUM('Empleo Censo'!N1813:AA1813)</f>
        <v/>
      </c>
      <c r="K1813" s="14">
        <f>SUM(C1813:J1813)</f>
        <v/>
      </c>
      <c r="L1813" s="15">
        <f>SUMPRODUCT(C1813:J1813,Factores!$B$3:$I$3)</f>
        <v/>
      </c>
      <c r="M1813" s="16">
        <f>'Empleo Censo'!E1813</f>
        <v/>
      </c>
      <c r="N1813" s="17">
        <f>IF(M1813&gt;0,L1813,Factores!$B$7)</f>
        <v/>
      </c>
      <c r="O1813">
        <f>IF(M1813&gt;0,"OK","sin PEA -&gt; peor")</f>
        <v/>
      </c>
    </row>
    <row r="1814">
      <c r="A1814" t="inlineStr">
        <is>
          <t>040303</t>
        </is>
      </c>
      <c r="B1814" t="inlineStr">
        <is>
          <t>ATICO</t>
        </is>
      </c>
      <c r="C1814" s="14">
        <f>'Empleo Censo'!G1814-'Empleo Censo'!F1814</f>
        <v/>
      </c>
      <c r="D1814" s="14">
        <f>'Empleo Censo'!F1814</f>
        <v/>
      </c>
      <c r="E1814" s="14">
        <f>'Empleo Censo'!H1814</f>
        <v/>
      </c>
      <c r="F1814" s="14">
        <f>'Empleo Censo'!I1814</f>
        <v/>
      </c>
      <c r="G1814" s="14">
        <f>'Empleo Censo'!J1814+'Empleo Censo'!K1814</f>
        <v/>
      </c>
      <c r="H1814" s="14">
        <f>'Empleo Censo'!L1814</f>
        <v/>
      </c>
      <c r="I1814" s="14">
        <f>'Empleo Censo'!M1814</f>
        <v/>
      </c>
      <c r="J1814" s="14">
        <f>SUM('Empleo Censo'!N1814:AA1814)</f>
        <v/>
      </c>
      <c r="K1814" s="14">
        <f>SUM(C1814:J1814)</f>
        <v/>
      </c>
      <c r="L1814" s="15">
        <f>SUMPRODUCT(C1814:J1814,Factores!$B$3:$I$3)</f>
        <v/>
      </c>
      <c r="M1814" s="16">
        <f>'Empleo Censo'!E1814</f>
        <v/>
      </c>
      <c r="N1814" s="17">
        <f>IF(M1814&gt;0,L1814,Factores!$B$7)</f>
        <v/>
      </c>
      <c r="O1814">
        <f>IF(M1814&gt;0,"OK","sin PEA -&gt; peor")</f>
        <v/>
      </c>
    </row>
    <row r="1815">
      <c r="A1815" t="inlineStr">
        <is>
          <t>080104</t>
        </is>
      </c>
      <c r="B1815" t="inlineStr">
        <is>
          <t>SAN JERONIMO</t>
        </is>
      </c>
      <c r="C1815" s="14">
        <f>'Empleo Censo'!G1815-'Empleo Censo'!F1815</f>
        <v/>
      </c>
      <c r="D1815" s="14">
        <f>'Empleo Censo'!F1815</f>
        <v/>
      </c>
      <c r="E1815" s="14">
        <f>'Empleo Censo'!H1815</f>
        <v/>
      </c>
      <c r="F1815" s="14">
        <f>'Empleo Censo'!I1815</f>
        <v/>
      </c>
      <c r="G1815" s="14">
        <f>'Empleo Censo'!J1815+'Empleo Censo'!K1815</f>
        <v/>
      </c>
      <c r="H1815" s="14">
        <f>'Empleo Censo'!L1815</f>
        <v/>
      </c>
      <c r="I1815" s="14">
        <f>'Empleo Censo'!M1815</f>
        <v/>
      </c>
      <c r="J1815" s="14">
        <f>SUM('Empleo Censo'!N1815:AA1815)</f>
        <v/>
      </c>
      <c r="K1815" s="14">
        <f>SUM(C1815:J1815)</f>
        <v/>
      </c>
      <c r="L1815" s="15">
        <f>SUMPRODUCT(C1815:J1815,Factores!$B$3:$I$3)</f>
        <v/>
      </c>
      <c r="M1815" s="16">
        <f>'Empleo Censo'!E1815</f>
        <v/>
      </c>
      <c r="N1815" s="17">
        <f>IF(M1815&gt;0,L1815,Factores!$B$7)</f>
        <v/>
      </c>
      <c r="O1815">
        <f>IF(M1815&gt;0,"OK","sin PEA -&gt; peor")</f>
        <v/>
      </c>
    </row>
    <row r="1816">
      <c r="A1816" t="inlineStr">
        <is>
          <t>080403</t>
        </is>
      </c>
      <c r="B1816" t="inlineStr">
        <is>
          <t>LAMAY</t>
        </is>
      </c>
      <c r="C1816" s="14">
        <f>'Empleo Censo'!G1816-'Empleo Censo'!F1816</f>
        <v/>
      </c>
      <c r="D1816" s="14">
        <f>'Empleo Censo'!F1816</f>
        <v/>
      </c>
      <c r="E1816" s="14">
        <f>'Empleo Censo'!H1816</f>
        <v/>
      </c>
      <c r="F1816" s="14">
        <f>'Empleo Censo'!I1816</f>
        <v/>
      </c>
      <c r="G1816" s="14">
        <f>'Empleo Censo'!J1816+'Empleo Censo'!K1816</f>
        <v/>
      </c>
      <c r="H1816" s="14">
        <f>'Empleo Censo'!L1816</f>
        <v/>
      </c>
      <c r="I1816" s="14">
        <f>'Empleo Censo'!M1816</f>
        <v/>
      </c>
      <c r="J1816" s="14">
        <f>SUM('Empleo Censo'!N1816:AA1816)</f>
        <v/>
      </c>
      <c r="K1816" s="14">
        <f>SUM(C1816:J1816)</f>
        <v/>
      </c>
      <c r="L1816" s="15">
        <f>SUMPRODUCT(C1816:J1816,Factores!$B$3:$I$3)</f>
        <v/>
      </c>
      <c r="M1816" s="16">
        <f>'Empleo Censo'!E1816</f>
        <v/>
      </c>
      <c r="N1816" s="17">
        <f>IF(M1816&gt;0,L1816,Factores!$B$7)</f>
        <v/>
      </c>
      <c r="O1816">
        <f>IF(M1816&gt;0,"OK","sin PEA -&gt; peor")</f>
        <v/>
      </c>
    </row>
    <row r="1817">
      <c r="A1817" t="inlineStr">
        <is>
          <t>080202</t>
        </is>
      </c>
      <c r="B1817" t="inlineStr">
        <is>
          <t>ACOPIA</t>
        </is>
      </c>
      <c r="C1817" s="14">
        <f>'Empleo Censo'!G1817-'Empleo Censo'!F1817</f>
        <v/>
      </c>
      <c r="D1817" s="14">
        <f>'Empleo Censo'!F1817</f>
        <v/>
      </c>
      <c r="E1817" s="14">
        <f>'Empleo Censo'!H1817</f>
        <v/>
      </c>
      <c r="F1817" s="14">
        <f>'Empleo Censo'!I1817</f>
        <v/>
      </c>
      <c r="G1817" s="14">
        <f>'Empleo Censo'!J1817+'Empleo Censo'!K1817</f>
        <v/>
      </c>
      <c r="H1817" s="14">
        <f>'Empleo Censo'!L1817</f>
        <v/>
      </c>
      <c r="I1817" s="14">
        <f>'Empleo Censo'!M1817</f>
        <v/>
      </c>
      <c r="J1817" s="14">
        <f>SUM('Empleo Censo'!N1817:AA1817)</f>
        <v/>
      </c>
      <c r="K1817" s="14">
        <f>SUM(C1817:J1817)</f>
        <v/>
      </c>
      <c r="L1817" s="15">
        <f>SUMPRODUCT(C1817:J1817,Factores!$B$3:$I$3)</f>
        <v/>
      </c>
      <c r="M1817" s="16">
        <f>'Empleo Censo'!E1817</f>
        <v/>
      </c>
      <c r="N1817" s="17">
        <f>IF(M1817&gt;0,L1817,Factores!$B$7)</f>
        <v/>
      </c>
      <c r="O1817">
        <f>IF(M1817&gt;0,"OK","sin PEA -&gt; peor")</f>
        <v/>
      </c>
    </row>
    <row r="1818">
      <c r="A1818" t="inlineStr">
        <is>
          <t>021104</t>
        </is>
      </c>
      <c r="B1818" t="inlineStr">
        <is>
          <t>HUAYAN</t>
        </is>
      </c>
      <c r="C1818" s="14">
        <f>'Empleo Censo'!G1818-'Empleo Censo'!F1818</f>
        <v/>
      </c>
      <c r="D1818" s="14">
        <f>'Empleo Censo'!F1818</f>
        <v/>
      </c>
      <c r="E1818" s="14">
        <f>'Empleo Censo'!H1818</f>
        <v/>
      </c>
      <c r="F1818" s="14">
        <f>'Empleo Censo'!I1818</f>
        <v/>
      </c>
      <c r="G1818" s="14">
        <f>'Empleo Censo'!J1818+'Empleo Censo'!K1818</f>
        <v/>
      </c>
      <c r="H1818" s="14">
        <f>'Empleo Censo'!L1818</f>
        <v/>
      </c>
      <c r="I1818" s="14">
        <f>'Empleo Censo'!M1818</f>
        <v/>
      </c>
      <c r="J1818" s="14">
        <f>SUM('Empleo Censo'!N1818:AA1818)</f>
        <v/>
      </c>
      <c r="K1818" s="14">
        <f>SUM(C1818:J1818)</f>
        <v/>
      </c>
      <c r="L1818" s="15">
        <f>SUMPRODUCT(C1818:J1818,Factores!$B$3:$I$3)</f>
        <v/>
      </c>
      <c r="M1818" s="16">
        <f>'Empleo Censo'!E1818</f>
        <v/>
      </c>
      <c r="N1818" s="17">
        <f>IF(M1818&gt;0,L1818,Factores!$B$7)</f>
        <v/>
      </c>
      <c r="O1818">
        <f>IF(M1818&gt;0,"OK","sin PEA -&gt; peor")</f>
        <v/>
      </c>
    </row>
    <row r="1819">
      <c r="A1819" t="inlineStr">
        <is>
          <t>020907</t>
        </is>
      </c>
      <c r="B1819" t="inlineStr">
        <is>
          <t>YUPAN</t>
        </is>
      </c>
      <c r="C1819" s="14">
        <f>'Empleo Censo'!G1819-'Empleo Censo'!F1819</f>
        <v/>
      </c>
      <c r="D1819" s="14">
        <f>'Empleo Censo'!F1819</f>
        <v/>
      </c>
      <c r="E1819" s="14">
        <f>'Empleo Censo'!H1819</f>
        <v/>
      </c>
      <c r="F1819" s="14">
        <f>'Empleo Censo'!I1819</f>
        <v/>
      </c>
      <c r="G1819" s="14">
        <f>'Empleo Censo'!J1819+'Empleo Censo'!K1819</f>
        <v/>
      </c>
      <c r="H1819" s="14">
        <f>'Empleo Censo'!L1819</f>
        <v/>
      </c>
      <c r="I1819" s="14">
        <f>'Empleo Censo'!M1819</f>
        <v/>
      </c>
      <c r="J1819" s="14">
        <f>SUM('Empleo Censo'!N1819:AA1819)</f>
        <v/>
      </c>
      <c r="K1819" s="14">
        <f>SUM(C1819:J1819)</f>
        <v/>
      </c>
      <c r="L1819" s="15">
        <f>SUMPRODUCT(C1819:J1819,Factores!$B$3:$I$3)</f>
        <v/>
      </c>
      <c r="M1819" s="16">
        <f>'Empleo Censo'!E1819</f>
        <v/>
      </c>
      <c r="N1819" s="17">
        <f>IF(M1819&gt;0,L1819,Factores!$B$7)</f>
        <v/>
      </c>
      <c r="O1819">
        <f>IF(M1819&gt;0,"OK","sin PEA -&gt; peor")</f>
        <v/>
      </c>
    </row>
    <row r="1820">
      <c r="A1820" t="inlineStr">
        <is>
          <t>010516</t>
        </is>
      </c>
      <c r="B1820" t="inlineStr">
        <is>
          <t>SAN CRISTOBAL</t>
        </is>
      </c>
      <c r="C1820" s="14">
        <f>'Empleo Censo'!G1820-'Empleo Censo'!F1820</f>
        <v/>
      </c>
      <c r="D1820" s="14">
        <f>'Empleo Censo'!F1820</f>
        <v/>
      </c>
      <c r="E1820" s="14">
        <f>'Empleo Censo'!H1820</f>
        <v/>
      </c>
      <c r="F1820" s="14">
        <f>'Empleo Censo'!I1820</f>
        <v/>
      </c>
      <c r="G1820" s="14">
        <f>'Empleo Censo'!J1820+'Empleo Censo'!K1820</f>
        <v/>
      </c>
      <c r="H1820" s="14">
        <f>'Empleo Censo'!L1820</f>
        <v/>
      </c>
      <c r="I1820" s="14">
        <f>'Empleo Censo'!M1820</f>
        <v/>
      </c>
      <c r="J1820" s="14">
        <f>SUM('Empleo Censo'!N1820:AA1820)</f>
        <v/>
      </c>
      <c r="K1820" s="14">
        <f>SUM(C1820:J1820)</f>
        <v/>
      </c>
      <c r="L1820" s="15">
        <f>SUMPRODUCT(C1820:J1820,Factores!$B$3:$I$3)</f>
        <v/>
      </c>
      <c r="M1820" s="16">
        <f>'Empleo Censo'!E1820</f>
        <v/>
      </c>
      <c r="N1820" s="17">
        <f>IF(M1820&gt;0,L1820,Factores!$B$7)</f>
        <v/>
      </c>
      <c r="O1820">
        <f>IF(M1820&gt;0,"OK","sin PEA -&gt; peor")</f>
        <v/>
      </c>
    </row>
    <row r="1821">
      <c r="A1821" t="inlineStr">
        <is>
          <t>020804</t>
        </is>
      </c>
      <c r="B1821" t="inlineStr">
        <is>
          <t>YAUTAN</t>
        </is>
      </c>
      <c r="C1821" s="14">
        <f>'Empleo Censo'!G1821-'Empleo Censo'!F1821</f>
        <v/>
      </c>
      <c r="D1821" s="14">
        <f>'Empleo Censo'!F1821</f>
        <v/>
      </c>
      <c r="E1821" s="14">
        <f>'Empleo Censo'!H1821</f>
        <v/>
      </c>
      <c r="F1821" s="14">
        <f>'Empleo Censo'!I1821</f>
        <v/>
      </c>
      <c r="G1821" s="14">
        <f>'Empleo Censo'!J1821+'Empleo Censo'!K1821</f>
        <v/>
      </c>
      <c r="H1821" s="14">
        <f>'Empleo Censo'!L1821</f>
        <v/>
      </c>
      <c r="I1821" s="14">
        <f>'Empleo Censo'!M1821</f>
        <v/>
      </c>
      <c r="J1821" s="14">
        <f>SUM('Empleo Censo'!N1821:AA1821)</f>
        <v/>
      </c>
      <c r="K1821" s="14">
        <f>SUM(C1821:J1821)</f>
        <v/>
      </c>
      <c r="L1821" s="15">
        <f>SUMPRODUCT(C1821:J1821,Factores!$B$3:$I$3)</f>
        <v/>
      </c>
      <c r="M1821" s="16">
        <f>'Empleo Censo'!E1821</f>
        <v/>
      </c>
      <c r="N1821" s="17">
        <f>IF(M1821&gt;0,L1821,Factores!$B$7)</f>
        <v/>
      </c>
      <c r="O1821">
        <f>IF(M1821&gt;0,"OK","sin PEA -&gt; peor")</f>
        <v/>
      </c>
    </row>
    <row r="1822">
      <c r="A1822" t="inlineStr">
        <is>
          <t>020503</t>
        </is>
      </c>
      <c r="B1822" t="inlineStr">
        <is>
          <t>ANTONIO RAYMONDI</t>
        </is>
      </c>
      <c r="C1822" s="14">
        <f>'Empleo Censo'!G1822-'Empleo Censo'!F1822</f>
        <v/>
      </c>
      <c r="D1822" s="14">
        <f>'Empleo Censo'!F1822</f>
        <v/>
      </c>
      <c r="E1822" s="14">
        <f>'Empleo Censo'!H1822</f>
        <v/>
      </c>
      <c r="F1822" s="14">
        <f>'Empleo Censo'!I1822</f>
        <v/>
      </c>
      <c r="G1822" s="14">
        <f>'Empleo Censo'!J1822+'Empleo Censo'!K1822</f>
        <v/>
      </c>
      <c r="H1822" s="14">
        <f>'Empleo Censo'!L1822</f>
        <v/>
      </c>
      <c r="I1822" s="14">
        <f>'Empleo Censo'!M1822</f>
        <v/>
      </c>
      <c r="J1822" s="14">
        <f>SUM('Empleo Censo'!N1822:AA1822)</f>
        <v/>
      </c>
      <c r="K1822" s="14">
        <f>SUM(C1822:J1822)</f>
        <v/>
      </c>
      <c r="L1822" s="15">
        <f>SUMPRODUCT(C1822:J1822,Factores!$B$3:$I$3)</f>
        <v/>
      </c>
      <c r="M1822" s="16">
        <f>'Empleo Censo'!E1822</f>
        <v/>
      </c>
      <c r="N1822" s="17">
        <f>IF(M1822&gt;0,L1822,Factores!$B$7)</f>
        <v/>
      </c>
      <c r="O1822">
        <f>IF(M1822&gt;0,"OK","sin PEA -&gt; peor")</f>
        <v/>
      </c>
    </row>
    <row r="1823">
      <c r="A1823" t="inlineStr">
        <is>
          <t>021403</t>
        </is>
      </c>
      <c r="B1823" t="inlineStr">
        <is>
          <t>CAJAMARQUILLA</t>
        </is>
      </c>
      <c r="C1823" s="14">
        <f>'Empleo Censo'!G1823-'Empleo Censo'!F1823</f>
        <v/>
      </c>
      <c r="D1823" s="14">
        <f>'Empleo Censo'!F1823</f>
        <v/>
      </c>
      <c r="E1823" s="14">
        <f>'Empleo Censo'!H1823</f>
        <v/>
      </c>
      <c r="F1823" s="14">
        <f>'Empleo Censo'!I1823</f>
        <v/>
      </c>
      <c r="G1823" s="14">
        <f>'Empleo Censo'!J1823+'Empleo Censo'!K1823</f>
        <v/>
      </c>
      <c r="H1823" s="14">
        <f>'Empleo Censo'!L1823</f>
        <v/>
      </c>
      <c r="I1823" s="14">
        <f>'Empleo Censo'!M1823</f>
        <v/>
      </c>
      <c r="J1823" s="14">
        <f>SUM('Empleo Censo'!N1823:AA1823)</f>
        <v/>
      </c>
      <c r="K1823" s="14">
        <f>SUM(C1823:J1823)</f>
        <v/>
      </c>
      <c r="L1823" s="15">
        <f>SUMPRODUCT(C1823:J1823,Factores!$B$3:$I$3)</f>
        <v/>
      </c>
      <c r="M1823" s="16">
        <f>'Empleo Censo'!E1823</f>
        <v/>
      </c>
      <c r="N1823" s="17">
        <f>IF(M1823&gt;0,L1823,Factores!$B$7)</f>
        <v/>
      </c>
      <c r="O1823">
        <f>IF(M1823&gt;0,"OK","sin PEA -&gt; peor")</f>
        <v/>
      </c>
    </row>
    <row r="1824">
      <c r="A1824" t="inlineStr">
        <is>
          <t>010308</t>
        </is>
      </c>
      <c r="B1824" t="inlineStr">
        <is>
          <t>RECTA</t>
        </is>
      </c>
      <c r="C1824" s="14">
        <f>'Empleo Censo'!G1824-'Empleo Censo'!F1824</f>
        <v/>
      </c>
      <c r="D1824" s="14">
        <f>'Empleo Censo'!F1824</f>
        <v/>
      </c>
      <c r="E1824" s="14">
        <f>'Empleo Censo'!H1824</f>
        <v/>
      </c>
      <c r="F1824" s="14">
        <f>'Empleo Censo'!I1824</f>
        <v/>
      </c>
      <c r="G1824" s="14">
        <f>'Empleo Censo'!J1824+'Empleo Censo'!K1824</f>
        <v/>
      </c>
      <c r="H1824" s="14">
        <f>'Empleo Censo'!L1824</f>
        <v/>
      </c>
      <c r="I1824" s="14">
        <f>'Empleo Censo'!M1824</f>
        <v/>
      </c>
      <c r="J1824" s="14">
        <f>SUM('Empleo Censo'!N1824:AA1824)</f>
        <v/>
      </c>
      <c r="K1824" s="14">
        <f>SUM(C1824:J1824)</f>
        <v/>
      </c>
      <c r="L1824" s="15">
        <f>SUMPRODUCT(C1824:J1824,Factores!$B$3:$I$3)</f>
        <v/>
      </c>
      <c r="M1824" s="16">
        <f>'Empleo Censo'!E1824</f>
        <v/>
      </c>
      <c r="N1824" s="17">
        <f>IF(M1824&gt;0,L1824,Factores!$B$7)</f>
        <v/>
      </c>
      <c r="O1824">
        <f>IF(M1824&gt;0,"OK","sin PEA -&gt; peor")</f>
        <v/>
      </c>
    </row>
    <row r="1825">
      <c r="A1825" t="inlineStr">
        <is>
          <t>010510</t>
        </is>
      </c>
      <c r="B1825" t="inlineStr">
        <is>
          <t>LUYA VIEJO</t>
        </is>
      </c>
      <c r="C1825" s="14">
        <f>'Empleo Censo'!G1825-'Empleo Censo'!F1825</f>
        <v/>
      </c>
      <c r="D1825" s="14">
        <f>'Empleo Censo'!F1825</f>
        <v/>
      </c>
      <c r="E1825" s="14">
        <f>'Empleo Censo'!H1825</f>
        <v/>
      </c>
      <c r="F1825" s="14">
        <f>'Empleo Censo'!I1825</f>
        <v/>
      </c>
      <c r="G1825" s="14">
        <f>'Empleo Censo'!J1825+'Empleo Censo'!K1825</f>
        <v/>
      </c>
      <c r="H1825" s="14">
        <f>'Empleo Censo'!L1825</f>
        <v/>
      </c>
      <c r="I1825" s="14">
        <f>'Empleo Censo'!M1825</f>
        <v/>
      </c>
      <c r="J1825" s="14">
        <f>SUM('Empleo Censo'!N1825:AA1825)</f>
        <v/>
      </c>
      <c r="K1825" s="14">
        <f>SUM(C1825:J1825)</f>
        <v/>
      </c>
      <c r="L1825" s="15">
        <f>SUMPRODUCT(C1825:J1825,Factores!$B$3:$I$3)</f>
        <v/>
      </c>
      <c r="M1825" s="16">
        <f>'Empleo Censo'!E1825</f>
        <v/>
      </c>
      <c r="N1825" s="17">
        <f>IF(M1825&gt;0,L1825,Factores!$B$7)</f>
        <v/>
      </c>
      <c r="O1825">
        <f>IF(M1825&gt;0,"OK","sin PEA -&gt; peor")</f>
        <v/>
      </c>
    </row>
    <row r="1826">
      <c r="A1826" t="inlineStr">
        <is>
          <t>040103</t>
        </is>
      </c>
      <c r="B1826" t="inlineStr">
        <is>
          <t>CAYMA</t>
        </is>
      </c>
      <c r="C1826" s="14">
        <f>'Empleo Censo'!G1826-'Empleo Censo'!F1826</f>
        <v/>
      </c>
      <c r="D1826" s="14">
        <f>'Empleo Censo'!F1826</f>
        <v/>
      </c>
      <c r="E1826" s="14">
        <f>'Empleo Censo'!H1826</f>
        <v/>
      </c>
      <c r="F1826" s="14">
        <f>'Empleo Censo'!I1826</f>
        <v/>
      </c>
      <c r="G1826" s="14">
        <f>'Empleo Censo'!J1826+'Empleo Censo'!K1826</f>
        <v/>
      </c>
      <c r="H1826" s="14">
        <f>'Empleo Censo'!L1826</f>
        <v/>
      </c>
      <c r="I1826" s="14">
        <f>'Empleo Censo'!M1826</f>
        <v/>
      </c>
      <c r="J1826" s="14">
        <f>SUM('Empleo Censo'!N1826:AA1826)</f>
        <v/>
      </c>
      <c r="K1826" s="14">
        <f>SUM(C1826:J1826)</f>
        <v/>
      </c>
      <c r="L1826" s="15">
        <f>SUMPRODUCT(C1826:J1826,Factores!$B$3:$I$3)</f>
        <v/>
      </c>
      <c r="M1826" s="16">
        <f>'Empleo Censo'!E1826</f>
        <v/>
      </c>
      <c r="N1826" s="17">
        <f>IF(M1826&gt;0,L1826,Factores!$B$7)</f>
        <v/>
      </c>
      <c r="O1826">
        <f>IF(M1826&gt;0,"OK","sin PEA -&gt; peor")</f>
        <v/>
      </c>
    </row>
    <row r="1827">
      <c r="A1827" t="inlineStr">
        <is>
          <t>040109</t>
        </is>
      </c>
      <c r="B1827" t="inlineStr">
        <is>
          <t>MARIANO MELGAR</t>
        </is>
      </c>
      <c r="C1827" s="14">
        <f>'Empleo Censo'!G1827-'Empleo Censo'!F1827</f>
        <v/>
      </c>
      <c r="D1827" s="14">
        <f>'Empleo Censo'!F1827</f>
        <v/>
      </c>
      <c r="E1827" s="14">
        <f>'Empleo Censo'!H1827</f>
        <v/>
      </c>
      <c r="F1827" s="14">
        <f>'Empleo Censo'!I1827</f>
        <v/>
      </c>
      <c r="G1827" s="14">
        <f>'Empleo Censo'!J1827+'Empleo Censo'!K1827</f>
        <v/>
      </c>
      <c r="H1827" s="14">
        <f>'Empleo Censo'!L1827</f>
        <v/>
      </c>
      <c r="I1827" s="14">
        <f>'Empleo Censo'!M1827</f>
        <v/>
      </c>
      <c r="J1827" s="14">
        <f>SUM('Empleo Censo'!N1827:AA1827)</f>
        <v/>
      </c>
      <c r="K1827" s="14">
        <f>SUM(C1827:J1827)</f>
        <v/>
      </c>
      <c r="L1827" s="15">
        <f>SUMPRODUCT(C1827:J1827,Factores!$B$3:$I$3)</f>
        <v/>
      </c>
      <c r="M1827" s="16">
        <f>'Empleo Censo'!E1827</f>
        <v/>
      </c>
      <c r="N1827" s="17">
        <f>IF(M1827&gt;0,L1827,Factores!$B$7)</f>
        <v/>
      </c>
      <c r="O1827">
        <f>IF(M1827&gt;0,"OK","sin PEA -&gt; peor")</f>
        <v/>
      </c>
    </row>
    <row r="1828">
      <c r="A1828" t="inlineStr">
        <is>
          <t>081202</t>
        </is>
      </c>
      <c r="B1828" t="inlineStr">
        <is>
          <t>ANDAHUAYLILLAS</t>
        </is>
      </c>
      <c r="C1828" s="14">
        <f>'Empleo Censo'!G1828-'Empleo Censo'!F1828</f>
        <v/>
      </c>
      <c r="D1828" s="14">
        <f>'Empleo Censo'!F1828</f>
        <v/>
      </c>
      <c r="E1828" s="14">
        <f>'Empleo Censo'!H1828</f>
        <v/>
      </c>
      <c r="F1828" s="14">
        <f>'Empleo Censo'!I1828</f>
        <v/>
      </c>
      <c r="G1828" s="14">
        <f>'Empleo Censo'!J1828+'Empleo Censo'!K1828</f>
        <v/>
      </c>
      <c r="H1828" s="14">
        <f>'Empleo Censo'!L1828</f>
        <v/>
      </c>
      <c r="I1828" s="14">
        <f>'Empleo Censo'!M1828</f>
        <v/>
      </c>
      <c r="J1828" s="14">
        <f>SUM('Empleo Censo'!N1828:AA1828)</f>
        <v/>
      </c>
      <c r="K1828" s="14">
        <f>SUM(C1828:J1828)</f>
        <v/>
      </c>
      <c r="L1828" s="15">
        <f>SUMPRODUCT(C1828:J1828,Factores!$B$3:$I$3)</f>
        <v/>
      </c>
      <c r="M1828" s="16">
        <f>'Empleo Censo'!E1828</f>
        <v/>
      </c>
      <c r="N1828" s="17">
        <f>IF(M1828&gt;0,L1828,Factores!$B$7)</f>
        <v/>
      </c>
      <c r="O1828">
        <f>IF(M1828&gt;0,"OK","sin PEA -&gt; peor")</f>
        <v/>
      </c>
    </row>
    <row r="1829">
      <c r="A1829" t="inlineStr">
        <is>
          <t>040124</t>
        </is>
      </c>
      <c r="B1829" t="inlineStr">
        <is>
          <t>UCHUMAYO</t>
        </is>
      </c>
      <c r="C1829" s="14">
        <f>'Empleo Censo'!G1829-'Empleo Censo'!F1829</f>
        <v/>
      </c>
      <c r="D1829" s="14">
        <f>'Empleo Censo'!F1829</f>
        <v/>
      </c>
      <c r="E1829" s="14">
        <f>'Empleo Censo'!H1829</f>
        <v/>
      </c>
      <c r="F1829" s="14">
        <f>'Empleo Censo'!I1829</f>
        <v/>
      </c>
      <c r="G1829" s="14">
        <f>'Empleo Censo'!J1829+'Empleo Censo'!K1829</f>
        <v/>
      </c>
      <c r="H1829" s="14">
        <f>'Empleo Censo'!L1829</f>
        <v/>
      </c>
      <c r="I1829" s="14">
        <f>'Empleo Censo'!M1829</f>
        <v/>
      </c>
      <c r="J1829" s="14">
        <f>SUM('Empleo Censo'!N1829:AA1829)</f>
        <v/>
      </c>
      <c r="K1829" s="14">
        <f>SUM(C1829:J1829)</f>
        <v/>
      </c>
      <c r="L1829" s="15">
        <f>SUMPRODUCT(C1829:J1829,Factores!$B$3:$I$3)</f>
        <v/>
      </c>
      <c r="M1829" s="16">
        <f>'Empleo Censo'!E1829</f>
        <v/>
      </c>
      <c r="N1829" s="17">
        <f>IF(M1829&gt;0,L1829,Factores!$B$7)</f>
        <v/>
      </c>
      <c r="O1829">
        <f>IF(M1829&gt;0,"OK","sin PEA -&gt; peor")</f>
        <v/>
      </c>
    </row>
    <row r="1830">
      <c r="A1830" t="inlineStr">
        <is>
          <t>040101</t>
        </is>
      </c>
      <c r="B1830" t="inlineStr">
        <is>
          <t>AREQUIPA</t>
        </is>
      </c>
      <c r="C1830" s="14">
        <f>'Empleo Censo'!G1830-'Empleo Censo'!F1830</f>
        <v/>
      </c>
      <c r="D1830" s="14">
        <f>'Empleo Censo'!F1830</f>
        <v/>
      </c>
      <c r="E1830" s="14">
        <f>'Empleo Censo'!H1830</f>
        <v/>
      </c>
      <c r="F1830" s="14">
        <f>'Empleo Censo'!I1830</f>
        <v/>
      </c>
      <c r="G1830" s="14">
        <f>'Empleo Censo'!J1830+'Empleo Censo'!K1830</f>
        <v/>
      </c>
      <c r="H1830" s="14">
        <f>'Empleo Censo'!L1830</f>
        <v/>
      </c>
      <c r="I1830" s="14">
        <f>'Empleo Censo'!M1830</f>
        <v/>
      </c>
      <c r="J1830" s="14">
        <f>SUM('Empleo Censo'!N1830:AA1830)</f>
        <v/>
      </c>
      <c r="K1830" s="14">
        <f>SUM(C1830:J1830)</f>
        <v/>
      </c>
      <c r="L1830" s="15">
        <f>SUMPRODUCT(C1830:J1830,Factores!$B$3:$I$3)</f>
        <v/>
      </c>
      <c r="M1830" s="16">
        <f>'Empleo Censo'!E1830</f>
        <v/>
      </c>
      <c r="N1830" s="17">
        <f>IF(M1830&gt;0,L1830,Factores!$B$7)</f>
        <v/>
      </c>
      <c r="O1830">
        <f>IF(M1830&gt;0,"OK","sin PEA -&gt; peor")</f>
        <v/>
      </c>
    </row>
    <row r="1831">
      <c r="A1831" t="inlineStr">
        <is>
          <t>040703</t>
        </is>
      </c>
      <c r="B1831" t="inlineStr">
        <is>
          <t>DEAN VALDIVIA</t>
        </is>
      </c>
      <c r="C1831" s="14">
        <f>'Empleo Censo'!G1831-'Empleo Censo'!F1831</f>
        <v/>
      </c>
      <c r="D1831" s="14">
        <f>'Empleo Censo'!F1831</f>
        <v/>
      </c>
      <c r="E1831" s="14">
        <f>'Empleo Censo'!H1831</f>
        <v/>
      </c>
      <c r="F1831" s="14">
        <f>'Empleo Censo'!I1831</f>
        <v/>
      </c>
      <c r="G1831" s="14">
        <f>'Empleo Censo'!J1831+'Empleo Censo'!K1831</f>
        <v/>
      </c>
      <c r="H1831" s="14">
        <f>'Empleo Censo'!L1831</f>
        <v/>
      </c>
      <c r="I1831" s="14">
        <f>'Empleo Censo'!M1831</f>
        <v/>
      </c>
      <c r="J1831" s="14">
        <f>SUM('Empleo Censo'!N1831:AA1831)</f>
        <v/>
      </c>
      <c r="K1831" s="14">
        <f>SUM(C1831:J1831)</f>
        <v/>
      </c>
      <c r="L1831" s="15">
        <f>SUMPRODUCT(C1831:J1831,Factores!$B$3:$I$3)</f>
        <v/>
      </c>
      <c r="M1831" s="16">
        <f>'Empleo Censo'!E1831</f>
        <v/>
      </c>
      <c r="N1831" s="17">
        <f>IF(M1831&gt;0,L1831,Factores!$B$7)</f>
        <v/>
      </c>
      <c r="O1831">
        <f>IF(M1831&gt;0,"OK","sin PEA -&gt; peor")</f>
        <v/>
      </c>
    </row>
    <row r="1832">
      <c r="A1832" t="inlineStr">
        <is>
          <t>080308</t>
        </is>
      </c>
      <c r="B1832" t="inlineStr">
        <is>
          <t>PUCYURA</t>
        </is>
      </c>
      <c r="C1832" s="14">
        <f>'Empleo Censo'!G1832-'Empleo Censo'!F1832</f>
        <v/>
      </c>
      <c r="D1832" s="14">
        <f>'Empleo Censo'!F1832</f>
        <v/>
      </c>
      <c r="E1832" s="14">
        <f>'Empleo Censo'!H1832</f>
        <v/>
      </c>
      <c r="F1832" s="14">
        <f>'Empleo Censo'!I1832</f>
        <v/>
      </c>
      <c r="G1832" s="14">
        <f>'Empleo Censo'!J1832+'Empleo Censo'!K1832</f>
        <v/>
      </c>
      <c r="H1832" s="14">
        <f>'Empleo Censo'!L1832</f>
        <v/>
      </c>
      <c r="I1832" s="14">
        <f>'Empleo Censo'!M1832</f>
        <v/>
      </c>
      <c r="J1832" s="14">
        <f>SUM('Empleo Censo'!N1832:AA1832)</f>
        <v/>
      </c>
      <c r="K1832" s="14">
        <f>SUM(C1832:J1832)</f>
        <v/>
      </c>
      <c r="L1832" s="15">
        <f>SUMPRODUCT(C1832:J1832,Factores!$B$3:$I$3)</f>
        <v/>
      </c>
      <c r="M1832" s="16">
        <f>'Empleo Censo'!E1832</f>
        <v/>
      </c>
      <c r="N1832" s="17">
        <f>IF(M1832&gt;0,L1832,Factores!$B$7)</f>
        <v/>
      </c>
      <c r="O1832">
        <f>IF(M1832&gt;0,"OK","sin PEA -&gt; peor")</f>
        <v/>
      </c>
    </row>
    <row r="1833">
      <c r="A1833" t="inlineStr">
        <is>
          <t>070107</t>
        </is>
      </c>
      <c r="B1833" t="inlineStr">
        <is>
          <t>MI PERU</t>
        </is>
      </c>
      <c r="C1833" s="14">
        <f>'Empleo Censo'!G1833-'Empleo Censo'!F1833</f>
        <v/>
      </c>
      <c r="D1833" s="14">
        <f>'Empleo Censo'!F1833</f>
        <v/>
      </c>
      <c r="E1833" s="14">
        <f>'Empleo Censo'!H1833</f>
        <v/>
      </c>
      <c r="F1833" s="14">
        <f>'Empleo Censo'!I1833</f>
        <v/>
      </c>
      <c r="G1833" s="14">
        <f>'Empleo Censo'!J1833+'Empleo Censo'!K1833</f>
        <v/>
      </c>
      <c r="H1833" s="14">
        <f>'Empleo Censo'!L1833</f>
        <v/>
      </c>
      <c r="I1833" s="14">
        <f>'Empleo Censo'!M1833</f>
        <v/>
      </c>
      <c r="J1833" s="14">
        <f>SUM('Empleo Censo'!N1833:AA1833)</f>
        <v/>
      </c>
      <c r="K1833" s="14">
        <f>SUM(C1833:J1833)</f>
        <v/>
      </c>
      <c r="L1833" s="15">
        <f>SUMPRODUCT(C1833:J1833,Factores!$B$3:$I$3)</f>
        <v/>
      </c>
      <c r="M1833" s="16">
        <f>'Empleo Censo'!E1833</f>
        <v/>
      </c>
      <c r="N1833" s="17">
        <f>IF(M1833&gt;0,L1833,Factores!$B$7)</f>
        <v/>
      </c>
      <c r="O1833">
        <f>IF(M1833&gt;0,"OK","sin PEA -&gt; peor")</f>
        <v/>
      </c>
    </row>
    <row r="1834">
      <c r="A1834" t="inlineStr">
        <is>
          <t>020902</t>
        </is>
      </c>
      <c r="B1834" t="inlineStr">
        <is>
          <t>ACO</t>
        </is>
      </c>
      <c r="C1834" s="14">
        <f>'Empleo Censo'!G1834-'Empleo Censo'!F1834</f>
        <v/>
      </c>
      <c r="D1834" s="14">
        <f>'Empleo Censo'!F1834</f>
        <v/>
      </c>
      <c r="E1834" s="14">
        <f>'Empleo Censo'!H1834</f>
        <v/>
      </c>
      <c r="F1834" s="14">
        <f>'Empleo Censo'!I1834</f>
        <v/>
      </c>
      <c r="G1834" s="14">
        <f>'Empleo Censo'!J1834+'Empleo Censo'!K1834</f>
        <v/>
      </c>
      <c r="H1834" s="14">
        <f>'Empleo Censo'!L1834</f>
        <v/>
      </c>
      <c r="I1834" s="14">
        <f>'Empleo Censo'!M1834</f>
        <v/>
      </c>
      <c r="J1834" s="14">
        <f>SUM('Empleo Censo'!N1834:AA1834)</f>
        <v/>
      </c>
      <c r="K1834" s="14">
        <f>SUM(C1834:J1834)</f>
        <v/>
      </c>
      <c r="L1834" s="15">
        <f>SUMPRODUCT(C1834:J1834,Factores!$B$3:$I$3)</f>
        <v/>
      </c>
      <c r="M1834" s="16">
        <f>'Empleo Censo'!E1834</f>
        <v/>
      </c>
      <c r="N1834" s="17">
        <f>IF(M1834&gt;0,L1834,Factores!$B$7)</f>
        <v/>
      </c>
      <c r="O1834">
        <f>IF(M1834&gt;0,"OK","sin PEA -&gt; peor")</f>
        <v/>
      </c>
    </row>
    <row r="1835">
      <c r="A1835" t="inlineStr">
        <is>
          <t>061106</t>
        </is>
      </c>
      <c r="B1835" t="inlineStr">
        <is>
          <t>LA FLORIDA</t>
        </is>
      </c>
      <c r="C1835" s="14">
        <f>'Empleo Censo'!G1835-'Empleo Censo'!F1835</f>
        <v/>
      </c>
      <c r="D1835" s="14">
        <f>'Empleo Censo'!F1835</f>
        <v/>
      </c>
      <c r="E1835" s="14">
        <f>'Empleo Censo'!H1835</f>
        <v/>
      </c>
      <c r="F1835" s="14">
        <f>'Empleo Censo'!I1835</f>
        <v/>
      </c>
      <c r="G1835" s="14">
        <f>'Empleo Censo'!J1835+'Empleo Censo'!K1835</f>
        <v/>
      </c>
      <c r="H1835" s="14">
        <f>'Empleo Censo'!L1835</f>
        <v/>
      </c>
      <c r="I1835" s="14">
        <f>'Empleo Censo'!M1835</f>
        <v/>
      </c>
      <c r="J1835" s="14">
        <f>SUM('Empleo Censo'!N1835:AA1835)</f>
        <v/>
      </c>
      <c r="K1835" s="14">
        <f>SUM(C1835:J1835)</f>
        <v/>
      </c>
      <c r="L1835" s="15">
        <f>SUMPRODUCT(C1835:J1835,Factores!$B$3:$I$3)</f>
        <v/>
      </c>
      <c r="M1835" s="16">
        <f>'Empleo Censo'!E1835</f>
        <v/>
      </c>
      <c r="N1835" s="17">
        <f>IF(M1835&gt;0,L1835,Factores!$B$7)</f>
        <v/>
      </c>
      <c r="O1835">
        <f>IF(M1835&gt;0,"OK","sin PEA -&gt; peor")</f>
        <v/>
      </c>
    </row>
    <row r="1836">
      <c r="A1836" t="inlineStr">
        <is>
          <t>080203</t>
        </is>
      </c>
      <c r="B1836" t="inlineStr">
        <is>
          <t>ACOS</t>
        </is>
      </c>
      <c r="C1836" s="14">
        <f>'Empleo Censo'!G1836-'Empleo Censo'!F1836</f>
        <v/>
      </c>
      <c r="D1836" s="14">
        <f>'Empleo Censo'!F1836</f>
        <v/>
      </c>
      <c r="E1836" s="14">
        <f>'Empleo Censo'!H1836</f>
        <v/>
      </c>
      <c r="F1836" s="14">
        <f>'Empleo Censo'!I1836</f>
        <v/>
      </c>
      <c r="G1836" s="14">
        <f>'Empleo Censo'!J1836+'Empleo Censo'!K1836</f>
        <v/>
      </c>
      <c r="H1836" s="14">
        <f>'Empleo Censo'!L1836</f>
        <v/>
      </c>
      <c r="I1836" s="14">
        <f>'Empleo Censo'!M1836</f>
        <v/>
      </c>
      <c r="J1836" s="14">
        <f>SUM('Empleo Censo'!N1836:AA1836)</f>
        <v/>
      </c>
      <c r="K1836" s="14">
        <f>SUM(C1836:J1836)</f>
        <v/>
      </c>
      <c r="L1836" s="15">
        <f>SUMPRODUCT(C1836:J1836,Factores!$B$3:$I$3)</f>
        <v/>
      </c>
      <c r="M1836" s="16">
        <f>'Empleo Censo'!E1836</f>
        <v/>
      </c>
      <c r="N1836" s="17">
        <f>IF(M1836&gt;0,L1836,Factores!$B$7)</f>
        <v/>
      </c>
      <c r="O1836">
        <f>IF(M1836&gt;0,"OK","sin PEA -&gt; peor")</f>
        <v/>
      </c>
    </row>
    <row r="1837">
      <c r="A1837" t="inlineStr">
        <is>
          <t>080608</t>
        </is>
      </c>
      <c r="B1837" t="inlineStr">
        <is>
          <t>TINTA</t>
        </is>
      </c>
      <c r="C1837" s="14">
        <f>'Empleo Censo'!G1837-'Empleo Censo'!F1837</f>
        <v/>
      </c>
      <c r="D1837" s="14">
        <f>'Empleo Censo'!F1837</f>
        <v/>
      </c>
      <c r="E1837" s="14">
        <f>'Empleo Censo'!H1837</f>
        <v/>
      </c>
      <c r="F1837" s="14">
        <f>'Empleo Censo'!I1837</f>
        <v/>
      </c>
      <c r="G1837" s="14">
        <f>'Empleo Censo'!J1837+'Empleo Censo'!K1837</f>
        <v/>
      </c>
      <c r="H1837" s="14">
        <f>'Empleo Censo'!L1837</f>
        <v/>
      </c>
      <c r="I1837" s="14">
        <f>'Empleo Censo'!M1837</f>
        <v/>
      </c>
      <c r="J1837" s="14">
        <f>SUM('Empleo Censo'!N1837:AA1837)</f>
        <v/>
      </c>
      <c r="K1837" s="14">
        <f>SUM(C1837:J1837)</f>
        <v/>
      </c>
      <c r="L1837" s="15">
        <f>SUMPRODUCT(C1837:J1837,Factores!$B$3:$I$3)</f>
        <v/>
      </c>
      <c r="M1837" s="16">
        <f>'Empleo Censo'!E1837</f>
        <v/>
      </c>
      <c r="N1837" s="17">
        <f>IF(M1837&gt;0,L1837,Factores!$B$7)</f>
        <v/>
      </c>
      <c r="O1837">
        <f>IF(M1837&gt;0,"OK","sin PEA -&gt; peor")</f>
        <v/>
      </c>
    </row>
    <row r="1838">
      <c r="A1838" t="inlineStr">
        <is>
          <t>040304</t>
        </is>
      </c>
      <c r="B1838" t="inlineStr">
        <is>
          <t>ATIQUIPA</t>
        </is>
      </c>
      <c r="C1838" s="14">
        <f>'Empleo Censo'!G1838-'Empleo Censo'!F1838</f>
        <v/>
      </c>
      <c r="D1838" s="14">
        <f>'Empleo Censo'!F1838</f>
        <v/>
      </c>
      <c r="E1838" s="14">
        <f>'Empleo Censo'!H1838</f>
        <v/>
      </c>
      <c r="F1838" s="14">
        <f>'Empleo Censo'!I1838</f>
        <v/>
      </c>
      <c r="G1838" s="14">
        <f>'Empleo Censo'!J1838+'Empleo Censo'!K1838</f>
        <v/>
      </c>
      <c r="H1838" s="14">
        <f>'Empleo Censo'!L1838</f>
        <v/>
      </c>
      <c r="I1838" s="14">
        <f>'Empleo Censo'!M1838</f>
        <v/>
      </c>
      <c r="J1838" s="14">
        <f>SUM('Empleo Censo'!N1838:AA1838)</f>
        <v/>
      </c>
      <c r="K1838" s="14">
        <f>SUM(C1838:J1838)</f>
        <v/>
      </c>
      <c r="L1838" s="15">
        <f>SUMPRODUCT(C1838:J1838,Factores!$B$3:$I$3)</f>
        <v/>
      </c>
      <c r="M1838" s="16">
        <f>'Empleo Censo'!E1838</f>
        <v/>
      </c>
      <c r="N1838" s="17">
        <f>IF(M1838&gt;0,L1838,Factores!$B$7)</f>
        <v/>
      </c>
      <c r="O1838">
        <f>IF(M1838&gt;0,"OK","sin PEA -&gt; peor")</f>
        <v/>
      </c>
    </row>
    <row r="1839">
      <c r="A1839" t="inlineStr">
        <is>
          <t>010305</t>
        </is>
      </c>
      <c r="B1839" t="inlineStr">
        <is>
          <t>CUISPES</t>
        </is>
      </c>
      <c r="C1839" s="14">
        <f>'Empleo Censo'!G1839-'Empleo Censo'!F1839</f>
        <v/>
      </c>
      <c r="D1839" s="14">
        <f>'Empleo Censo'!F1839</f>
        <v/>
      </c>
      <c r="E1839" s="14">
        <f>'Empleo Censo'!H1839</f>
        <v/>
      </c>
      <c r="F1839" s="14">
        <f>'Empleo Censo'!I1839</f>
        <v/>
      </c>
      <c r="G1839" s="14">
        <f>'Empleo Censo'!J1839+'Empleo Censo'!K1839</f>
        <v/>
      </c>
      <c r="H1839" s="14">
        <f>'Empleo Censo'!L1839</f>
        <v/>
      </c>
      <c r="I1839" s="14">
        <f>'Empleo Censo'!M1839</f>
        <v/>
      </c>
      <c r="J1839" s="14">
        <f>SUM('Empleo Censo'!N1839:AA1839)</f>
        <v/>
      </c>
      <c r="K1839" s="14">
        <f>SUM(C1839:J1839)</f>
        <v/>
      </c>
      <c r="L1839" s="15">
        <f>SUMPRODUCT(C1839:J1839,Factores!$B$3:$I$3)</f>
        <v/>
      </c>
      <c r="M1839" s="16">
        <f>'Empleo Censo'!E1839</f>
        <v/>
      </c>
      <c r="N1839" s="17">
        <f>IF(M1839&gt;0,L1839,Factores!$B$7)</f>
        <v/>
      </c>
      <c r="O1839">
        <f>IF(M1839&gt;0,"OK","sin PEA -&gt; peor")</f>
        <v/>
      </c>
    </row>
    <row r="1840">
      <c r="A1840" t="inlineStr">
        <is>
          <t>020104</t>
        </is>
      </c>
      <c r="B1840" t="inlineStr">
        <is>
          <t>HUANCHAY</t>
        </is>
      </c>
      <c r="C1840" s="14">
        <f>'Empleo Censo'!G1840-'Empleo Censo'!F1840</f>
        <v/>
      </c>
      <c r="D1840" s="14">
        <f>'Empleo Censo'!F1840</f>
        <v/>
      </c>
      <c r="E1840" s="14">
        <f>'Empleo Censo'!H1840</f>
        <v/>
      </c>
      <c r="F1840" s="14">
        <f>'Empleo Censo'!I1840</f>
        <v/>
      </c>
      <c r="G1840" s="14">
        <f>'Empleo Censo'!J1840+'Empleo Censo'!K1840</f>
        <v/>
      </c>
      <c r="H1840" s="14">
        <f>'Empleo Censo'!L1840</f>
        <v/>
      </c>
      <c r="I1840" s="14">
        <f>'Empleo Censo'!M1840</f>
        <v/>
      </c>
      <c r="J1840" s="14">
        <f>SUM('Empleo Censo'!N1840:AA1840)</f>
        <v/>
      </c>
      <c r="K1840" s="14">
        <f>SUM(C1840:J1840)</f>
        <v/>
      </c>
      <c r="L1840" s="15">
        <f>SUMPRODUCT(C1840:J1840,Factores!$B$3:$I$3)</f>
        <v/>
      </c>
      <c r="M1840" s="16">
        <f>'Empleo Censo'!E1840</f>
        <v/>
      </c>
      <c r="N1840" s="17">
        <f>IF(M1840&gt;0,L1840,Factores!$B$7)</f>
        <v/>
      </c>
      <c r="O1840">
        <f>IF(M1840&gt;0,"OK","sin PEA -&gt; peor")</f>
        <v/>
      </c>
    </row>
    <row r="1841">
      <c r="A1841" t="inlineStr">
        <is>
          <t>010611</t>
        </is>
      </c>
      <c r="B1841" t="inlineStr">
        <is>
          <t>TOTORA</t>
        </is>
      </c>
      <c r="C1841" s="14">
        <f>'Empleo Censo'!G1841-'Empleo Censo'!F1841</f>
        <v/>
      </c>
      <c r="D1841" s="14">
        <f>'Empleo Censo'!F1841</f>
        <v/>
      </c>
      <c r="E1841" s="14">
        <f>'Empleo Censo'!H1841</f>
        <v/>
      </c>
      <c r="F1841" s="14">
        <f>'Empleo Censo'!I1841</f>
        <v/>
      </c>
      <c r="G1841" s="14">
        <f>'Empleo Censo'!J1841+'Empleo Censo'!K1841</f>
        <v/>
      </c>
      <c r="H1841" s="14">
        <f>'Empleo Censo'!L1841</f>
        <v/>
      </c>
      <c r="I1841" s="14">
        <f>'Empleo Censo'!M1841</f>
        <v/>
      </c>
      <c r="J1841" s="14">
        <f>SUM('Empleo Censo'!N1841:AA1841)</f>
        <v/>
      </c>
      <c r="K1841" s="14">
        <f>SUM(C1841:J1841)</f>
        <v/>
      </c>
      <c r="L1841" s="15">
        <f>SUMPRODUCT(C1841:J1841,Factores!$B$3:$I$3)</f>
        <v/>
      </c>
      <c r="M1841" s="16">
        <f>'Empleo Censo'!E1841</f>
        <v/>
      </c>
      <c r="N1841" s="17">
        <f>IF(M1841&gt;0,L1841,Factores!$B$7)</f>
        <v/>
      </c>
      <c r="O1841">
        <f>IF(M1841&gt;0,"OK","sin PEA -&gt; peor")</f>
        <v/>
      </c>
    </row>
    <row r="1842">
      <c r="A1842" t="inlineStr">
        <is>
          <t>021402</t>
        </is>
      </c>
      <c r="B1842" t="inlineStr">
        <is>
          <t>ACAS</t>
        </is>
      </c>
      <c r="C1842" s="14">
        <f>'Empleo Censo'!G1842-'Empleo Censo'!F1842</f>
        <v/>
      </c>
      <c r="D1842" s="14">
        <f>'Empleo Censo'!F1842</f>
        <v/>
      </c>
      <c r="E1842" s="14">
        <f>'Empleo Censo'!H1842</f>
        <v/>
      </c>
      <c r="F1842" s="14">
        <f>'Empleo Censo'!I1842</f>
        <v/>
      </c>
      <c r="G1842" s="14">
        <f>'Empleo Censo'!J1842+'Empleo Censo'!K1842</f>
        <v/>
      </c>
      <c r="H1842" s="14">
        <f>'Empleo Censo'!L1842</f>
        <v/>
      </c>
      <c r="I1842" s="14">
        <f>'Empleo Censo'!M1842</f>
        <v/>
      </c>
      <c r="J1842" s="14">
        <f>SUM('Empleo Censo'!N1842:AA1842)</f>
        <v/>
      </c>
      <c r="K1842" s="14">
        <f>SUM(C1842:J1842)</f>
        <v/>
      </c>
      <c r="L1842" s="15">
        <f>SUMPRODUCT(C1842:J1842,Factores!$B$3:$I$3)</f>
        <v/>
      </c>
      <c r="M1842" s="16">
        <f>'Empleo Censo'!E1842</f>
        <v/>
      </c>
      <c r="N1842" s="17">
        <f>IF(M1842&gt;0,L1842,Factores!$B$7)</f>
        <v/>
      </c>
      <c r="O1842">
        <f>IF(M1842&gt;0,"OK","sin PEA -&gt; peor")</f>
        <v/>
      </c>
    </row>
    <row r="1843">
      <c r="A1843" t="inlineStr">
        <is>
          <t>080407</t>
        </is>
      </c>
      <c r="B1843" t="inlineStr">
        <is>
          <t>TARAY</t>
        </is>
      </c>
      <c r="C1843" s="14">
        <f>'Empleo Censo'!G1843-'Empleo Censo'!F1843</f>
        <v/>
      </c>
      <c r="D1843" s="14">
        <f>'Empleo Censo'!F1843</f>
        <v/>
      </c>
      <c r="E1843" s="14">
        <f>'Empleo Censo'!H1843</f>
        <v/>
      </c>
      <c r="F1843" s="14">
        <f>'Empleo Censo'!I1843</f>
        <v/>
      </c>
      <c r="G1843" s="14">
        <f>'Empleo Censo'!J1843+'Empleo Censo'!K1843</f>
        <v/>
      </c>
      <c r="H1843" s="14">
        <f>'Empleo Censo'!L1843</f>
        <v/>
      </c>
      <c r="I1843" s="14">
        <f>'Empleo Censo'!M1843</f>
        <v/>
      </c>
      <c r="J1843" s="14">
        <f>SUM('Empleo Censo'!N1843:AA1843)</f>
        <v/>
      </c>
      <c r="K1843" s="14">
        <f>SUM(C1843:J1843)</f>
        <v/>
      </c>
      <c r="L1843" s="15">
        <f>SUMPRODUCT(C1843:J1843,Factores!$B$3:$I$3)</f>
        <v/>
      </c>
      <c r="M1843" s="16">
        <f>'Empleo Censo'!E1843</f>
        <v/>
      </c>
      <c r="N1843" s="17">
        <f>IF(M1843&gt;0,L1843,Factores!$B$7)</f>
        <v/>
      </c>
      <c r="O1843">
        <f>IF(M1843&gt;0,"OK","sin PEA -&gt; peor")</f>
        <v/>
      </c>
    </row>
    <row r="1844">
      <c r="A1844" t="inlineStr">
        <is>
          <t>010309</t>
        </is>
      </c>
      <c r="B1844" t="inlineStr">
        <is>
          <t>SAN CARLOS</t>
        </is>
      </c>
      <c r="C1844" s="14">
        <f>'Empleo Censo'!G1844-'Empleo Censo'!F1844</f>
        <v/>
      </c>
      <c r="D1844" s="14">
        <f>'Empleo Censo'!F1844</f>
        <v/>
      </c>
      <c r="E1844" s="14">
        <f>'Empleo Censo'!H1844</f>
        <v/>
      </c>
      <c r="F1844" s="14">
        <f>'Empleo Censo'!I1844</f>
        <v/>
      </c>
      <c r="G1844" s="14">
        <f>'Empleo Censo'!J1844+'Empleo Censo'!K1844</f>
        <v/>
      </c>
      <c r="H1844" s="14">
        <f>'Empleo Censo'!L1844</f>
        <v/>
      </c>
      <c r="I1844" s="14">
        <f>'Empleo Censo'!M1844</f>
        <v/>
      </c>
      <c r="J1844" s="14">
        <f>SUM('Empleo Censo'!N1844:AA1844)</f>
        <v/>
      </c>
      <c r="K1844" s="14">
        <f>SUM(C1844:J1844)</f>
        <v/>
      </c>
      <c r="L1844" s="15">
        <f>SUMPRODUCT(C1844:J1844,Factores!$B$3:$I$3)</f>
        <v/>
      </c>
      <c r="M1844" s="16">
        <f>'Empleo Censo'!E1844</f>
        <v/>
      </c>
      <c r="N1844" s="17">
        <f>IF(M1844&gt;0,L1844,Factores!$B$7)</f>
        <v/>
      </c>
      <c r="O1844">
        <f>IF(M1844&gt;0,"OK","sin PEA -&gt; peor")</f>
        <v/>
      </c>
    </row>
    <row r="1845">
      <c r="A1845" t="inlineStr">
        <is>
          <t>021706</t>
        </is>
      </c>
      <c r="B1845" t="inlineStr">
        <is>
          <t>MARCA</t>
        </is>
      </c>
      <c r="C1845" s="14">
        <f>'Empleo Censo'!G1845-'Empleo Censo'!F1845</f>
        <v/>
      </c>
      <c r="D1845" s="14">
        <f>'Empleo Censo'!F1845</f>
        <v/>
      </c>
      <c r="E1845" s="14">
        <f>'Empleo Censo'!H1845</f>
        <v/>
      </c>
      <c r="F1845" s="14">
        <f>'Empleo Censo'!I1845</f>
        <v/>
      </c>
      <c r="G1845" s="14">
        <f>'Empleo Censo'!J1845+'Empleo Censo'!K1845</f>
        <v/>
      </c>
      <c r="H1845" s="14">
        <f>'Empleo Censo'!L1845</f>
        <v/>
      </c>
      <c r="I1845" s="14">
        <f>'Empleo Censo'!M1845</f>
        <v/>
      </c>
      <c r="J1845" s="14">
        <f>SUM('Empleo Censo'!N1845:AA1845)</f>
        <v/>
      </c>
      <c r="K1845" s="14">
        <f>SUM(C1845:J1845)</f>
        <v/>
      </c>
      <c r="L1845" s="15">
        <f>SUMPRODUCT(C1845:J1845,Factores!$B$3:$I$3)</f>
        <v/>
      </c>
      <c r="M1845" s="16">
        <f>'Empleo Censo'!E1845</f>
        <v/>
      </c>
      <c r="N1845" s="17">
        <f>IF(M1845&gt;0,L1845,Factores!$B$7)</f>
        <v/>
      </c>
      <c r="O1845">
        <f>IF(M1845&gt;0,"OK","sin PEA -&gt; peor")</f>
        <v/>
      </c>
    </row>
    <row r="1846">
      <c r="A1846" t="inlineStr">
        <is>
          <t>040307</t>
        </is>
      </c>
      <c r="B1846" t="inlineStr">
        <is>
          <t>CHALA</t>
        </is>
      </c>
      <c r="C1846" s="14">
        <f>'Empleo Censo'!G1846-'Empleo Censo'!F1846</f>
        <v/>
      </c>
      <c r="D1846" s="14">
        <f>'Empleo Censo'!F1846</f>
        <v/>
      </c>
      <c r="E1846" s="14">
        <f>'Empleo Censo'!H1846</f>
        <v/>
      </c>
      <c r="F1846" s="14">
        <f>'Empleo Censo'!I1846</f>
        <v/>
      </c>
      <c r="G1846" s="14">
        <f>'Empleo Censo'!J1846+'Empleo Censo'!K1846</f>
        <v/>
      </c>
      <c r="H1846" s="14">
        <f>'Empleo Censo'!L1846</f>
        <v/>
      </c>
      <c r="I1846" s="14">
        <f>'Empleo Censo'!M1846</f>
        <v/>
      </c>
      <c r="J1846" s="14">
        <f>SUM('Empleo Censo'!N1846:AA1846)</f>
        <v/>
      </c>
      <c r="K1846" s="14">
        <f>SUM(C1846:J1846)</f>
        <v/>
      </c>
      <c r="L1846" s="15">
        <f>SUMPRODUCT(C1846:J1846,Factores!$B$3:$I$3)</f>
        <v/>
      </c>
      <c r="M1846" s="16">
        <f>'Empleo Censo'!E1846</f>
        <v/>
      </c>
      <c r="N1846" s="17">
        <f>IF(M1846&gt;0,L1846,Factores!$B$7)</f>
        <v/>
      </c>
      <c r="O1846">
        <f>IF(M1846&gt;0,"OK","sin PEA -&gt; peor")</f>
        <v/>
      </c>
    </row>
    <row r="1847">
      <c r="A1847" t="inlineStr">
        <is>
          <t>010612</t>
        </is>
      </c>
      <c r="B1847" t="inlineStr">
        <is>
          <t>VISTA ALEGRE</t>
        </is>
      </c>
      <c r="C1847" s="14">
        <f>'Empleo Censo'!G1847-'Empleo Censo'!F1847</f>
        <v/>
      </c>
      <c r="D1847" s="14">
        <f>'Empleo Censo'!F1847</f>
        <v/>
      </c>
      <c r="E1847" s="14">
        <f>'Empleo Censo'!H1847</f>
        <v/>
      </c>
      <c r="F1847" s="14">
        <f>'Empleo Censo'!I1847</f>
        <v/>
      </c>
      <c r="G1847" s="14">
        <f>'Empleo Censo'!J1847+'Empleo Censo'!K1847</f>
        <v/>
      </c>
      <c r="H1847" s="14">
        <f>'Empleo Censo'!L1847</f>
        <v/>
      </c>
      <c r="I1847" s="14">
        <f>'Empleo Censo'!M1847</f>
        <v/>
      </c>
      <c r="J1847" s="14">
        <f>SUM('Empleo Censo'!N1847:AA1847)</f>
        <v/>
      </c>
      <c r="K1847" s="14">
        <f>SUM(C1847:J1847)</f>
        <v/>
      </c>
      <c r="L1847" s="15">
        <f>SUMPRODUCT(C1847:J1847,Factores!$B$3:$I$3)</f>
        <v/>
      </c>
      <c r="M1847" s="16">
        <f>'Empleo Censo'!E1847</f>
        <v/>
      </c>
      <c r="N1847" s="17">
        <f>IF(M1847&gt;0,L1847,Factores!$B$7)</f>
        <v/>
      </c>
      <c r="O1847">
        <f>IF(M1847&gt;0,"OK","sin PEA -&gt; peor")</f>
        <v/>
      </c>
    </row>
    <row r="1848">
      <c r="A1848" t="inlineStr">
        <is>
          <t>020602</t>
        </is>
      </c>
      <c r="B1848" t="inlineStr">
        <is>
          <t>ACOPAMPA</t>
        </is>
      </c>
      <c r="C1848" s="14">
        <f>'Empleo Censo'!G1848-'Empleo Censo'!F1848</f>
        <v/>
      </c>
      <c r="D1848" s="14">
        <f>'Empleo Censo'!F1848</f>
        <v/>
      </c>
      <c r="E1848" s="14">
        <f>'Empleo Censo'!H1848</f>
        <v/>
      </c>
      <c r="F1848" s="14">
        <f>'Empleo Censo'!I1848</f>
        <v/>
      </c>
      <c r="G1848" s="14">
        <f>'Empleo Censo'!J1848+'Empleo Censo'!K1848</f>
        <v/>
      </c>
      <c r="H1848" s="14">
        <f>'Empleo Censo'!L1848</f>
        <v/>
      </c>
      <c r="I1848" s="14">
        <f>'Empleo Censo'!M1848</f>
        <v/>
      </c>
      <c r="J1848" s="14">
        <f>SUM('Empleo Censo'!N1848:AA1848)</f>
        <v/>
      </c>
      <c r="K1848" s="14">
        <f>SUM(C1848:J1848)</f>
        <v/>
      </c>
      <c r="L1848" s="15">
        <f>SUMPRODUCT(C1848:J1848,Factores!$B$3:$I$3)</f>
        <v/>
      </c>
      <c r="M1848" s="16">
        <f>'Empleo Censo'!E1848</f>
        <v/>
      </c>
      <c r="N1848" s="17">
        <f>IF(M1848&gt;0,L1848,Factores!$B$7)</f>
        <v/>
      </c>
      <c r="O1848">
        <f>IF(M1848&gt;0,"OK","sin PEA -&gt; peor")</f>
        <v/>
      </c>
    </row>
    <row r="1849">
      <c r="A1849" t="inlineStr">
        <is>
          <t>020903</t>
        </is>
      </c>
      <c r="B1849" t="inlineStr">
        <is>
          <t>BAMBAS</t>
        </is>
      </c>
      <c r="C1849" s="14">
        <f>'Empleo Censo'!G1849-'Empleo Censo'!F1849</f>
        <v/>
      </c>
      <c r="D1849" s="14">
        <f>'Empleo Censo'!F1849</f>
        <v/>
      </c>
      <c r="E1849" s="14">
        <f>'Empleo Censo'!H1849</f>
        <v/>
      </c>
      <c r="F1849" s="14">
        <f>'Empleo Censo'!I1849</f>
        <v/>
      </c>
      <c r="G1849" s="14">
        <f>'Empleo Censo'!J1849+'Empleo Censo'!K1849</f>
        <v/>
      </c>
      <c r="H1849" s="14">
        <f>'Empleo Censo'!L1849</f>
        <v/>
      </c>
      <c r="I1849" s="14">
        <f>'Empleo Censo'!M1849</f>
        <v/>
      </c>
      <c r="J1849" s="14">
        <f>SUM('Empleo Censo'!N1849:AA1849)</f>
        <v/>
      </c>
      <c r="K1849" s="14">
        <f>SUM(C1849:J1849)</f>
        <v/>
      </c>
      <c r="L1849" s="15">
        <f>SUMPRODUCT(C1849:J1849,Factores!$B$3:$I$3)</f>
        <v/>
      </c>
      <c r="M1849" s="16">
        <f>'Empleo Censo'!E1849</f>
        <v/>
      </c>
      <c r="N1849" s="17">
        <f>IF(M1849&gt;0,L1849,Factores!$B$7)</f>
        <v/>
      </c>
      <c r="O1849">
        <f>IF(M1849&gt;0,"OK","sin PEA -&gt; peor")</f>
        <v/>
      </c>
    </row>
    <row r="1850">
      <c r="A1850" t="inlineStr">
        <is>
          <t>021504</t>
        </is>
      </c>
      <c r="B1850" t="inlineStr">
        <is>
          <t>HUACASCHUQUE</t>
        </is>
      </c>
      <c r="C1850" s="14">
        <f>'Empleo Censo'!G1850-'Empleo Censo'!F1850</f>
        <v/>
      </c>
      <c r="D1850" s="14">
        <f>'Empleo Censo'!F1850</f>
        <v/>
      </c>
      <c r="E1850" s="14">
        <f>'Empleo Censo'!H1850</f>
        <v/>
      </c>
      <c r="F1850" s="14">
        <f>'Empleo Censo'!I1850</f>
        <v/>
      </c>
      <c r="G1850" s="14">
        <f>'Empleo Censo'!J1850+'Empleo Censo'!K1850</f>
        <v/>
      </c>
      <c r="H1850" s="14">
        <f>'Empleo Censo'!L1850</f>
        <v/>
      </c>
      <c r="I1850" s="14">
        <f>'Empleo Censo'!M1850</f>
        <v/>
      </c>
      <c r="J1850" s="14">
        <f>SUM('Empleo Censo'!N1850:AA1850)</f>
        <v/>
      </c>
      <c r="K1850" s="14">
        <f>SUM(C1850:J1850)</f>
        <v/>
      </c>
      <c r="L1850" s="15">
        <f>SUMPRODUCT(C1850:J1850,Factores!$B$3:$I$3)</f>
        <v/>
      </c>
      <c r="M1850" s="16">
        <f>'Empleo Censo'!E1850</f>
        <v/>
      </c>
      <c r="N1850" s="17">
        <f>IF(M1850&gt;0,L1850,Factores!$B$7)</f>
        <v/>
      </c>
      <c r="O1850">
        <f>IF(M1850&gt;0,"OK","sin PEA -&gt; peor")</f>
        <v/>
      </c>
    </row>
    <row r="1851">
      <c r="A1851" t="inlineStr">
        <is>
          <t>010121</t>
        </is>
      </c>
      <c r="B1851" t="inlineStr">
        <is>
          <t>SONCHE</t>
        </is>
      </c>
      <c r="C1851" s="14">
        <f>'Empleo Censo'!G1851-'Empleo Censo'!F1851</f>
        <v/>
      </c>
      <c r="D1851" s="14">
        <f>'Empleo Censo'!F1851</f>
        <v/>
      </c>
      <c r="E1851" s="14">
        <f>'Empleo Censo'!H1851</f>
        <v/>
      </c>
      <c r="F1851" s="14">
        <f>'Empleo Censo'!I1851</f>
        <v/>
      </c>
      <c r="G1851" s="14">
        <f>'Empleo Censo'!J1851+'Empleo Censo'!K1851</f>
        <v/>
      </c>
      <c r="H1851" s="14">
        <f>'Empleo Censo'!L1851</f>
        <v/>
      </c>
      <c r="I1851" s="14">
        <f>'Empleo Censo'!M1851</f>
        <v/>
      </c>
      <c r="J1851" s="14">
        <f>SUM('Empleo Censo'!N1851:AA1851)</f>
        <v/>
      </c>
      <c r="K1851" s="14">
        <f>SUM(C1851:J1851)</f>
        <v/>
      </c>
      <c r="L1851" s="15">
        <f>SUMPRODUCT(C1851:J1851,Factores!$B$3:$I$3)</f>
        <v/>
      </c>
      <c r="M1851" s="16">
        <f>'Empleo Censo'!E1851</f>
        <v/>
      </c>
      <c r="N1851" s="17">
        <f>IF(M1851&gt;0,L1851,Factores!$B$7)</f>
        <v/>
      </c>
      <c r="O1851">
        <f>IF(M1851&gt;0,"OK","sin PEA -&gt; peor")</f>
        <v/>
      </c>
    </row>
    <row r="1852">
      <c r="A1852" t="inlineStr">
        <is>
          <t>081208</t>
        </is>
      </c>
      <c r="B1852" t="inlineStr">
        <is>
          <t>LUCRE</t>
        </is>
      </c>
      <c r="C1852" s="14">
        <f>'Empleo Censo'!G1852-'Empleo Censo'!F1852</f>
        <v/>
      </c>
      <c r="D1852" s="14">
        <f>'Empleo Censo'!F1852</f>
        <v/>
      </c>
      <c r="E1852" s="14">
        <f>'Empleo Censo'!H1852</f>
        <v/>
      </c>
      <c r="F1852" s="14">
        <f>'Empleo Censo'!I1852</f>
        <v/>
      </c>
      <c r="G1852" s="14">
        <f>'Empleo Censo'!J1852+'Empleo Censo'!K1852</f>
        <v/>
      </c>
      <c r="H1852" s="14">
        <f>'Empleo Censo'!L1852</f>
        <v/>
      </c>
      <c r="I1852" s="14">
        <f>'Empleo Censo'!M1852</f>
        <v/>
      </c>
      <c r="J1852" s="14">
        <f>SUM('Empleo Censo'!N1852:AA1852)</f>
        <v/>
      </c>
      <c r="K1852" s="14">
        <f>SUM(C1852:J1852)</f>
        <v/>
      </c>
      <c r="L1852" s="15">
        <f>SUMPRODUCT(C1852:J1852,Factores!$B$3:$I$3)</f>
        <v/>
      </c>
      <c r="M1852" s="16">
        <f>'Empleo Censo'!E1852</f>
        <v/>
      </c>
      <c r="N1852" s="17">
        <f>IF(M1852&gt;0,L1852,Factores!$B$7)</f>
        <v/>
      </c>
      <c r="O1852">
        <f>IF(M1852&gt;0,"OK","sin PEA -&gt; peor")</f>
        <v/>
      </c>
    </row>
    <row r="1853">
      <c r="A1853" t="inlineStr">
        <is>
          <t>020203</t>
        </is>
      </c>
      <c r="B1853" t="inlineStr">
        <is>
          <t>HUACLLAN</t>
        </is>
      </c>
      <c r="C1853" s="14">
        <f>'Empleo Censo'!G1853-'Empleo Censo'!F1853</f>
        <v/>
      </c>
      <c r="D1853" s="14">
        <f>'Empleo Censo'!F1853</f>
        <v/>
      </c>
      <c r="E1853" s="14">
        <f>'Empleo Censo'!H1853</f>
        <v/>
      </c>
      <c r="F1853" s="14">
        <f>'Empleo Censo'!I1853</f>
        <v/>
      </c>
      <c r="G1853" s="14">
        <f>'Empleo Censo'!J1853+'Empleo Censo'!K1853</f>
        <v/>
      </c>
      <c r="H1853" s="14">
        <f>'Empleo Censo'!L1853</f>
        <v/>
      </c>
      <c r="I1853" s="14">
        <f>'Empleo Censo'!M1853</f>
        <v/>
      </c>
      <c r="J1853" s="14">
        <f>SUM('Empleo Censo'!N1853:AA1853)</f>
        <v/>
      </c>
      <c r="K1853" s="14">
        <f>SUM(C1853:J1853)</f>
        <v/>
      </c>
      <c r="L1853" s="15">
        <f>SUMPRODUCT(C1853:J1853,Factores!$B$3:$I$3)</f>
        <v/>
      </c>
      <c r="M1853" s="16">
        <f>'Empleo Censo'!E1853</f>
        <v/>
      </c>
      <c r="N1853" s="17">
        <f>IF(M1853&gt;0,L1853,Factores!$B$7)</f>
        <v/>
      </c>
      <c r="O1853">
        <f>IF(M1853&gt;0,"OK","sin PEA -&gt; peor")</f>
        <v/>
      </c>
    </row>
    <row r="1854">
      <c r="A1854" t="inlineStr">
        <is>
          <t>040704</t>
        </is>
      </c>
      <c r="B1854" t="inlineStr">
        <is>
          <t>ISLAY</t>
        </is>
      </c>
      <c r="C1854" s="14">
        <f>'Empleo Censo'!G1854-'Empleo Censo'!F1854</f>
        <v/>
      </c>
      <c r="D1854" s="14">
        <f>'Empleo Censo'!F1854</f>
        <v/>
      </c>
      <c r="E1854" s="14">
        <f>'Empleo Censo'!H1854</f>
        <v/>
      </c>
      <c r="F1854" s="14">
        <f>'Empleo Censo'!I1854</f>
        <v/>
      </c>
      <c r="G1854" s="14">
        <f>'Empleo Censo'!J1854+'Empleo Censo'!K1854</f>
        <v/>
      </c>
      <c r="H1854" s="14">
        <f>'Empleo Censo'!L1854</f>
        <v/>
      </c>
      <c r="I1854" s="14">
        <f>'Empleo Censo'!M1854</f>
        <v/>
      </c>
      <c r="J1854" s="14">
        <f>SUM('Empleo Censo'!N1854:AA1854)</f>
        <v/>
      </c>
      <c r="K1854" s="14">
        <f>SUM(C1854:J1854)</f>
        <v/>
      </c>
      <c r="L1854" s="15">
        <f>SUMPRODUCT(C1854:J1854,Factores!$B$3:$I$3)</f>
        <v/>
      </c>
      <c r="M1854" s="16">
        <f>'Empleo Censo'!E1854</f>
        <v/>
      </c>
      <c r="N1854" s="17">
        <f>IF(M1854&gt;0,L1854,Factores!$B$7)</f>
        <v/>
      </c>
      <c r="O1854">
        <f>IF(M1854&gt;0,"OK","sin PEA -&gt; peor")</f>
        <v/>
      </c>
    </row>
    <row r="1855">
      <c r="A1855" t="inlineStr">
        <is>
          <t>080207</t>
        </is>
      </c>
      <c r="B1855" t="inlineStr">
        <is>
          <t>SANGARARA</t>
        </is>
      </c>
      <c r="C1855" s="14">
        <f>'Empleo Censo'!G1855-'Empleo Censo'!F1855</f>
        <v/>
      </c>
      <c r="D1855" s="14">
        <f>'Empleo Censo'!F1855</f>
        <v/>
      </c>
      <c r="E1855" s="14">
        <f>'Empleo Censo'!H1855</f>
        <v/>
      </c>
      <c r="F1855" s="14">
        <f>'Empleo Censo'!I1855</f>
        <v/>
      </c>
      <c r="G1855" s="14">
        <f>'Empleo Censo'!J1855+'Empleo Censo'!K1855</f>
        <v/>
      </c>
      <c r="H1855" s="14">
        <f>'Empleo Censo'!L1855</f>
        <v/>
      </c>
      <c r="I1855" s="14">
        <f>'Empleo Censo'!M1855</f>
        <v/>
      </c>
      <c r="J1855" s="14">
        <f>SUM('Empleo Censo'!N1855:AA1855)</f>
        <v/>
      </c>
      <c r="K1855" s="14">
        <f>SUM(C1855:J1855)</f>
        <v/>
      </c>
      <c r="L1855" s="15">
        <f>SUMPRODUCT(C1855:J1855,Factores!$B$3:$I$3)</f>
        <v/>
      </c>
      <c r="M1855" s="16">
        <f>'Empleo Censo'!E1855</f>
        <v/>
      </c>
      <c r="N1855" s="17">
        <f>IF(M1855&gt;0,L1855,Factores!$B$7)</f>
        <v/>
      </c>
      <c r="O1855">
        <f>IF(M1855&gt;0,"OK","sin PEA -&gt; peor")</f>
        <v/>
      </c>
    </row>
    <row r="1856">
      <c r="A1856" t="inlineStr">
        <is>
          <t>080406</t>
        </is>
      </c>
      <c r="B1856" t="inlineStr">
        <is>
          <t>SAN SALVADOR</t>
        </is>
      </c>
      <c r="C1856" s="14">
        <f>'Empleo Censo'!G1856-'Empleo Censo'!F1856</f>
        <v/>
      </c>
      <c r="D1856" s="14">
        <f>'Empleo Censo'!F1856</f>
        <v/>
      </c>
      <c r="E1856" s="14">
        <f>'Empleo Censo'!H1856</f>
        <v/>
      </c>
      <c r="F1856" s="14">
        <f>'Empleo Censo'!I1856</f>
        <v/>
      </c>
      <c r="G1856" s="14">
        <f>'Empleo Censo'!J1856+'Empleo Censo'!K1856</f>
        <v/>
      </c>
      <c r="H1856" s="14">
        <f>'Empleo Censo'!L1856</f>
        <v/>
      </c>
      <c r="I1856" s="14">
        <f>'Empleo Censo'!M1856</f>
        <v/>
      </c>
      <c r="J1856" s="14">
        <f>SUM('Empleo Censo'!N1856:AA1856)</f>
        <v/>
      </c>
      <c r="K1856" s="14">
        <f>SUM(C1856:J1856)</f>
        <v/>
      </c>
      <c r="L1856" s="15">
        <f>SUMPRODUCT(C1856:J1856,Factores!$B$3:$I$3)</f>
        <v/>
      </c>
      <c r="M1856" s="16">
        <f>'Empleo Censo'!E1856</f>
        <v/>
      </c>
      <c r="N1856" s="17">
        <f>IF(M1856&gt;0,L1856,Factores!$B$7)</f>
        <v/>
      </c>
      <c r="O1856">
        <f>IF(M1856&gt;0,"OK","sin PEA -&gt; peor")</f>
        <v/>
      </c>
    </row>
    <row r="1857">
      <c r="A1857" t="inlineStr">
        <is>
          <t>020507</t>
        </is>
      </c>
      <c r="B1857" t="inlineStr">
        <is>
          <t>COLQUIOC</t>
        </is>
      </c>
      <c r="C1857" s="14">
        <f>'Empleo Censo'!G1857-'Empleo Censo'!F1857</f>
        <v/>
      </c>
      <c r="D1857" s="14">
        <f>'Empleo Censo'!F1857</f>
        <v/>
      </c>
      <c r="E1857" s="14">
        <f>'Empleo Censo'!H1857</f>
        <v/>
      </c>
      <c r="F1857" s="14">
        <f>'Empleo Censo'!I1857</f>
        <v/>
      </c>
      <c r="G1857" s="14">
        <f>'Empleo Censo'!J1857+'Empleo Censo'!K1857</f>
        <v/>
      </c>
      <c r="H1857" s="14">
        <f>'Empleo Censo'!L1857</f>
        <v/>
      </c>
      <c r="I1857" s="14">
        <f>'Empleo Censo'!M1857</f>
        <v/>
      </c>
      <c r="J1857" s="14">
        <f>SUM('Empleo Censo'!N1857:AA1857)</f>
        <v/>
      </c>
      <c r="K1857" s="14">
        <f>SUM(C1857:J1857)</f>
        <v/>
      </c>
      <c r="L1857" s="15">
        <f>SUMPRODUCT(C1857:J1857,Factores!$B$3:$I$3)</f>
        <v/>
      </c>
      <c r="M1857" s="16">
        <f>'Empleo Censo'!E1857</f>
        <v/>
      </c>
      <c r="N1857" s="17">
        <f>IF(M1857&gt;0,L1857,Factores!$B$7)</f>
        <v/>
      </c>
      <c r="O1857">
        <f>IF(M1857&gt;0,"OK","sin PEA -&gt; peor")</f>
        <v/>
      </c>
    </row>
    <row r="1858">
      <c r="A1858" t="inlineStr">
        <is>
          <t>021806</t>
        </is>
      </c>
      <c r="B1858" t="inlineStr">
        <is>
          <t>NEPEÑA</t>
        </is>
      </c>
      <c r="C1858" s="14">
        <f>'Empleo Censo'!G1858-'Empleo Censo'!F1858</f>
        <v/>
      </c>
      <c r="D1858" s="14">
        <f>'Empleo Censo'!F1858</f>
        <v/>
      </c>
      <c r="E1858" s="14">
        <f>'Empleo Censo'!H1858</f>
        <v/>
      </c>
      <c r="F1858" s="14">
        <f>'Empleo Censo'!I1858</f>
        <v/>
      </c>
      <c r="G1858" s="14">
        <f>'Empleo Censo'!J1858+'Empleo Censo'!K1858</f>
        <v/>
      </c>
      <c r="H1858" s="14">
        <f>'Empleo Censo'!L1858</f>
        <v/>
      </c>
      <c r="I1858" s="14">
        <f>'Empleo Censo'!M1858</f>
        <v/>
      </c>
      <c r="J1858" s="14">
        <f>SUM('Empleo Censo'!N1858:AA1858)</f>
        <v/>
      </c>
      <c r="K1858" s="14">
        <f>SUM(C1858:J1858)</f>
        <v/>
      </c>
      <c r="L1858" s="15">
        <f>SUMPRODUCT(C1858:J1858,Factores!$B$3:$I$3)</f>
        <v/>
      </c>
      <c r="M1858" s="16">
        <f>'Empleo Censo'!E1858</f>
        <v/>
      </c>
      <c r="N1858" s="17">
        <f>IF(M1858&gt;0,L1858,Factores!$B$7)</f>
        <v/>
      </c>
      <c r="O1858">
        <f>IF(M1858&gt;0,"OK","sin PEA -&gt; peor")</f>
        <v/>
      </c>
    </row>
    <row r="1859">
      <c r="A1859" t="inlineStr">
        <is>
          <t>020103</t>
        </is>
      </c>
      <c r="B1859" t="inlineStr">
        <is>
          <t>COLCABAMBA</t>
        </is>
      </c>
      <c r="C1859" s="14">
        <f>'Empleo Censo'!G1859-'Empleo Censo'!F1859</f>
        <v/>
      </c>
      <c r="D1859" s="14">
        <f>'Empleo Censo'!F1859</f>
        <v/>
      </c>
      <c r="E1859" s="14">
        <f>'Empleo Censo'!H1859</f>
        <v/>
      </c>
      <c r="F1859" s="14">
        <f>'Empleo Censo'!I1859</f>
        <v/>
      </c>
      <c r="G1859" s="14">
        <f>'Empleo Censo'!J1859+'Empleo Censo'!K1859</f>
        <v/>
      </c>
      <c r="H1859" s="14">
        <f>'Empleo Censo'!L1859</f>
        <v/>
      </c>
      <c r="I1859" s="14">
        <f>'Empleo Censo'!M1859</f>
        <v/>
      </c>
      <c r="J1859" s="14">
        <f>SUM('Empleo Censo'!N1859:AA1859)</f>
        <v/>
      </c>
      <c r="K1859" s="14">
        <f>SUM(C1859:J1859)</f>
        <v/>
      </c>
      <c r="L1859" s="15">
        <f>SUMPRODUCT(C1859:J1859,Factores!$B$3:$I$3)</f>
        <v/>
      </c>
      <c r="M1859" s="16">
        <f>'Empleo Censo'!E1859</f>
        <v/>
      </c>
      <c r="N1859" s="17">
        <f>IF(M1859&gt;0,L1859,Factores!$B$7)</f>
        <v/>
      </c>
      <c r="O1859">
        <f>IF(M1859&gt;0,"OK","sin PEA -&gt; peor")</f>
        <v/>
      </c>
    </row>
    <row r="1860">
      <c r="A1860" t="inlineStr">
        <is>
          <t>021103</t>
        </is>
      </c>
      <c r="B1860" t="inlineStr">
        <is>
          <t>CULEBRAS</t>
        </is>
      </c>
      <c r="C1860" s="14">
        <f>'Empleo Censo'!G1860-'Empleo Censo'!F1860</f>
        <v/>
      </c>
      <c r="D1860" s="14">
        <f>'Empleo Censo'!F1860</f>
        <v/>
      </c>
      <c r="E1860" s="14">
        <f>'Empleo Censo'!H1860</f>
        <v/>
      </c>
      <c r="F1860" s="14">
        <f>'Empleo Censo'!I1860</f>
        <v/>
      </c>
      <c r="G1860" s="14">
        <f>'Empleo Censo'!J1860+'Empleo Censo'!K1860</f>
        <v/>
      </c>
      <c r="H1860" s="14">
        <f>'Empleo Censo'!L1860</f>
        <v/>
      </c>
      <c r="I1860" s="14">
        <f>'Empleo Censo'!M1860</f>
        <v/>
      </c>
      <c r="J1860" s="14">
        <f>SUM('Empleo Censo'!N1860:AA1860)</f>
        <v/>
      </c>
      <c r="K1860" s="14">
        <f>SUM(C1860:J1860)</f>
        <v/>
      </c>
      <c r="L1860" s="15">
        <f>SUMPRODUCT(C1860:J1860,Factores!$B$3:$I$3)</f>
        <v/>
      </c>
      <c r="M1860" s="16">
        <f>'Empleo Censo'!E1860</f>
        <v/>
      </c>
      <c r="N1860" s="17">
        <f>IF(M1860&gt;0,L1860,Factores!$B$7)</f>
        <v/>
      </c>
      <c r="O1860">
        <f>IF(M1860&gt;0,"OK","sin PEA -&gt; peor")</f>
        <v/>
      </c>
    </row>
    <row r="1861">
      <c r="A1861" t="inlineStr">
        <is>
          <t>021203</t>
        </is>
      </c>
      <c r="B1861" t="inlineStr">
        <is>
          <t>HUATA</t>
        </is>
      </c>
      <c r="C1861" s="14">
        <f>'Empleo Censo'!G1861-'Empleo Censo'!F1861</f>
        <v/>
      </c>
      <c r="D1861" s="14">
        <f>'Empleo Censo'!F1861</f>
        <v/>
      </c>
      <c r="E1861" s="14">
        <f>'Empleo Censo'!H1861</f>
        <v/>
      </c>
      <c r="F1861" s="14">
        <f>'Empleo Censo'!I1861</f>
        <v/>
      </c>
      <c r="G1861" s="14">
        <f>'Empleo Censo'!J1861+'Empleo Censo'!K1861</f>
        <v/>
      </c>
      <c r="H1861" s="14">
        <f>'Empleo Censo'!L1861</f>
        <v/>
      </c>
      <c r="I1861" s="14">
        <f>'Empleo Censo'!M1861</f>
        <v/>
      </c>
      <c r="J1861" s="14">
        <f>SUM('Empleo Censo'!N1861:AA1861)</f>
        <v/>
      </c>
      <c r="K1861" s="14">
        <f>SUM(C1861:J1861)</f>
        <v/>
      </c>
      <c r="L1861" s="15">
        <f>SUMPRODUCT(C1861:J1861,Factores!$B$3:$I$3)</f>
        <v/>
      </c>
      <c r="M1861" s="16">
        <f>'Empleo Censo'!E1861</f>
        <v/>
      </c>
      <c r="N1861" s="17">
        <f>IF(M1861&gt;0,L1861,Factores!$B$7)</f>
        <v/>
      </c>
      <c r="O1861">
        <f>IF(M1861&gt;0,"OK","sin PEA -&gt; peor")</f>
        <v/>
      </c>
    </row>
    <row r="1862">
      <c r="A1862" t="inlineStr">
        <is>
          <t>021803</t>
        </is>
      </c>
      <c r="B1862" t="inlineStr">
        <is>
          <t>COISHCO</t>
        </is>
      </c>
      <c r="C1862" s="14">
        <f>'Empleo Censo'!G1862-'Empleo Censo'!F1862</f>
        <v/>
      </c>
      <c r="D1862" s="14">
        <f>'Empleo Censo'!F1862</f>
        <v/>
      </c>
      <c r="E1862" s="14">
        <f>'Empleo Censo'!H1862</f>
        <v/>
      </c>
      <c r="F1862" s="14">
        <f>'Empleo Censo'!I1862</f>
        <v/>
      </c>
      <c r="G1862" s="14">
        <f>'Empleo Censo'!J1862+'Empleo Censo'!K1862</f>
        <v/>
      </c>
      <c r="H1862" s="14">
        <f>'Empleo Censo'!L1862</f>
        <v/>
      </c>
      <c r="I1862" s="14">
        <f>'Empleo Censo'!M1862</f>
        <v/>
      </c>
      <c r="J1862" s="14">
        <f>SUM('Empleo Censo'!N1862:AA1862)</f>
        <v/>
      </c>
      <c r="K1862" s="14">
        <f>SUM(C1862:J1862)</f>
        <v/>
      </c>
      <c r="L1862" s="15">
        <f>SUMPRODUCT(C1862:J1862,Factores!$B$3:$I$3)</f>
        <v/>
      </c>
      <c r="M1862" s="16">
        <f>'Empleo Censo'!E1862</f>
        <v/>
      </c>
      <c r="N1862" s="17">
        <f>IF(M1862&gt;0,L1862,Factores!$B$7)</f>
        <v/>
      </c>
      <c r="O1862">
        <f>IF(M1862&gt;0,"OK","sin PEA -&gt; peor")</f>
        <v/>
      </c>
    </row>
    <row r="1863">
      <c r="A1863" t="inlineStr">
        <is>
          <t>021405</t>
        </is>
      </c>
      <c r="B1863" t="inlineStr">
        <is>
          <t>COCHAS</t>
        </is>
      </c>
      <c r="C1863" s="14">
        <f>'Empleo Censo'!G1863-'Empleo Censo'!F1863</f>
        <v/>
      </c>
      <c r="D1863" s="14">
        <f>'Empleo Censo'!F1863</f>
        <v/>
      </c>
      <c r="E1863" s="14">
        <f>'Empleo Censo'!H1863</f>
        <v/>
      </c>
      <c r="F1863" s="14">
        <f>'Empleo Censo'!I1863</f>
        <v/>
      </c>
      <c r="G1863" s="14">
        <f>'Empleo Censo'!J1863+'Empleo Censo'!K1863</f>
        <v/>
      </c>
      <c r="H1863" s="14">
        <f>'Empleo Censo'!L1863</f>
        <v/>
      </c>
      <c r="I1863" s="14">
        <f>'Empleo Censo'!M1863</f>
        <v/>
      </c>
      <c r="J1863" s="14">
        <f>SUM('Empleo Censo'!N1863:AA1863)</f>
        <v/>
      </c>
      <c r="K1863" s="14">
        <f>SUM(C1863:J1863)</f>
        <v/>
      </c>
      <c r="L1863" s="15">
        <f>SUMPRODUCT(C1863:J1863,Factores!$B$3:$I$3)</f>
        <v/>
      </c>
      <c r="M1863" s="16">
        <f>'Empleo Censo'!E1863</f>
        <v/>
      </c>
      <c r="N1863" s="17">
        <f>IF(M1863&gt;0,L1863,Factores!$B$7)</f>
        <v/>
      </c>
      <c r="O1863">
        <f>IF(M1863&gt;0,"OK","sin PEA -&gt; peor")</f>
        <v/>
      </c>
    </row>
    <row r="1864">
      <c r="A1864" t="inlineStr">
        <is>
          <t>021101</t>
        </is>
      </c>
      <c r="B1864" t="inlineStr">
        <is>
          <t>HUARMEY</t>
        </is>
      </c>
      <c r="C1864" s="14">
        <f>'Empleo Censo'!G1864-'Empleo Censo'!F1864</f>
        <v/>
      </c>
      <c r="D1864" s="14">
        <f>'Empleo Censo'!F1864</f>
        <v/>
      </c>
      <c r="E1864" s="14">
        <f>'Empleo Censo'!H1864</f>
        <v/>
      </c>
      <c r="F1864" s="14">
        <f>'Empleo Censo'!I1864</f>
        <v/>
      </c>
      <c r="G1864" s="14">
        <f>'Empleo Censo'!J1864+'Empleo Censo'!K1864</f>
        <v/>
      </c>
      <c r="H1864" s="14">
        <f>'Empleo Censo'!L1864</f>
        <v/>
      </c>
      <c r="I1864" s="14">
        <f>'Empleo Censo'!M1864</f>
        <v/>
      </c>
      <c r="J1864" s="14">
        <f>SUM('Empleo Censo'!N1864:AA1864)</f>
        <v/>
      </c>
      <c r="K1864" s="14">
        <f>SUM(C1864:J1864)</f>
        <v/>
      </c>
      <c r="L1864" s="15">
        <f>SUMPRODUCT(C1864:J1864,Factores!$B$3:$I$3)</f>
        <v/>
      </c>
      <c r="M1864" s="16">
        <f>'Empleo Censo'!E1864</f>
        <v/>
      </c>
      <c r="N1864" s="17">
        <f>IF(M1864&gt;0,L1864,Factores!$B$7)</f>
        <v/>
      </c>
      <c r="O1864">
        <f>IF(M1864&gt;0,"OK","sin PEA -&gt; peor")</f>
        <v/>
      </c>
    </row>
    <row r="1865">
      <c r="A1865" t="inlineStr">
        <is>
          <t>081303</t>
        </is>
      </c>
      <c r="B1865" t="inlineStr">
        <is>
          <t>HUAYLLABAMBA</t>
        </is>
      </c>
      <c r="C1865" s="14">
        <f>'Empleo Censo'!G1865-'Empleo Censo'!F1865</f>
        <v/>
      </c>
      <c r="D1865" s="14">
        <f>'Empleo Censo'!F1865</f>
        <v/>
      </c>
      <c r="E1865" s="14">
        <f>'Empleo Censo'!H1865</f>
        <v/>
      </c>
      <c r="F1865" s="14">
        <f>'Empleo Censo'!I1865</f>
        <v/>
      </c>
      <c r="G1865" s="14">
        <f>'Empleo Censo'!J1865+'Empleo Censo'!K1865</f>
        <v/>
      </c>
      <c r="H1865" s="14">
        <f>'Empleo Censo'!L1865</f>
        <v/>
      </c>
      <c r="I1865" s="14">
        <f>'Empleo Censo'!M1865</f>
        <v/>
      </c>
      <c r="J1865" s="14">
        <f>SUM('Empleo Censo'!N1865:AA1865)</f>
        <v/>
      </c>
      <c r="K1865" s="14">
        <f>SUM(C1865:J1865)</f>
        <v/>
      </c>
      <c r="L1865" s="15">
        <f>SUMPRODUCT(C1865:J1865,Factores!$B$3:$I$3)</f>
        <v/>
      </c>
      <c r="M1865" s="16">
        <f>'Empleo Censo'!E1865</f>
        <v/>
      </c>
      <c r="N1865" s="17">
        <f>IF(M1865&gt;0,L1865,Factores!$B$7)</f>
        <v/>
      </c>
      <c r="O1865">
        <f>IF(M1865&gt;0,"OK","sin PEA -&gt; peor")</f>
        <v/>
      </c>
    </row>
    <row r="1866">
      <c r="A1866" t="inlineStr">
        <is>
          <t>040121</t>
        </is>
      </c>
      <c r="B1866" t="inlineStr">
        <is>
          <t>SANTA RITA DE SIGUAS</t>
        </is>
      </c>
      <c r="C1866" s="14">
        <f>'Empleo Censo'!G1866-'Empleo Censo'!F1866</f>
        <v/>
      </c>
      <c r="D1866" s="14">
        <f>'Empleo Censo'!F1866</f>
        <v/>
      </c>
      <c r="E1866" s="14">
        <f>'Empleo Censo'!H1866</f>
        <v/>
      </c>
      <c r="F1866" s="14">
        <f>'Empleo Censo'!I1866</f>
        <v/>
      </c>
      <c r="G1866" s="14">
        <f>'Empleo Censo'!J1866+'Empleo Censo'!K1866</f>
        <v/>
      </c>
      <c r="H1866" s="14">
        <f>'Empleo Censo'!L1866</f>
        <v/>
      </c>
      <c r="I1866" s="14">
        <f>'Empleo Censo'!M1866</f>
        <v/>
      </c>
      <c r="J1866" s="14">
        <f>SUM('Empleo Censo'!N1866:AA1866)</f>
        <v/>
      </c>
      <c r="K1866" s="14">
        <f>SUM(C1866:J1866)</f>
        <v/>
      </c>
      <c r="L1866" s="15">
        <f>SUMPRODUCT(C1866:J1866,Factores!$B$3:$I$3)</f>
        <v/>
      </c>
      <c r="M1866" s="16">
        <f>'Empleo Censo'!E1866</f>
        <v/>
      </c>
      <c r="N1866" s="17">
        <f>IF(M1866&gt;0,L1866,Factores!$B$7)</f>
        <v/>
      </c>
      <c r="O1866">
        <f>IF(M1866&gt;0,"OK","sin PEA -&gt; peor")</f>
        <v/>
      </c>
    </row>
    <row r="1867">
      <c r="A1867" t="inlineStr">
        <is>
          <t>070101</t>
        </is>
      </c>
      <c r="B1867" t="inlineStr">
        <is>
          <t>CALLAO</t>
        </is>
      </c>
      <c r="C1867" s="14">
        <f>'Empleo Censo'!G1867-'Empleo Censo'!F1867</f>
        <v/>
      </c>
      <c r="D1867" s="14">
        <f>'Empleo Censo'!F1867</f>
        <v/>
      </c>
      <c r="E1867" s="14">
        <f>'Empleo Censo'!H1867</f>
        <v/>
      </c>
      <c r="F1867" s="14">
        <f>'Empleo Censo'!I1867</f>
        <v/>
      </c>
      <c r="G1867" s="14">
        <f>'Empleo Censo'!J1867+'Empleo Censo'!K1867</f>
        <v/>
      </c>
      <c r="H1867" s="14">
        <f>'Empleo Censo'!L1867</f>
        <v/>
      </c>
      <c r="I1867" s="14">
        <f>'Empleo Censo'!M1867</f>
        <v/>
      </c>
      <c r="J1867" s="14">
        <f>SUM('Empleo Censo'!N1867:AA1867)</f>
        <v/>
      </c>
      <c r="K1867" s="14">
        <f>SUM(C1867:J1867)</f>
        <v/>
      </c>
      <c r="L1867" s="15">
        <f>SUMPRODUCT(C1867:J1867,Factores!$B$3:$I$3)</f>
        <v/>
      </c>
      <c r="M1867" s="16">
        <f>'Empleo Censo'!E1867</f>
        <v/>
      </c>
      <c r="N1867" s="17">
        <f>IF(M1867&gt;0,L1867,Factores!$B$7)</f>
        <v/>
      </c>
      <c r="O1867">
        <f>IF(M1867&gt;0,"OK","sin PEA -&gt; peor")</f>
        <v/>
      </c>
    </row>
    <row r="1868">
      <c r="A1868" t="inlineStr">
        <is>
          <t>060414</t>
        </is>
      </c>
      <c r="B1868" t="inlineStr">
        <is>
          <t>PION</t>
        </is>
      </c>
      <c r="C1868" s="14">
        <f>'Empleo Censo'!G1868-'Empleo Censo'!F1868</f>
        <v/>
      </c>
      <c r="D1868" s="14">
        <f>'Empleo Censo'!F1868</f>
        <v/>
      </c>
      <c r="E1868" s="14">
        <f>'Empleo Censo'!H1868</f>
        <v/>
      </c>
      <c r="F1868" s="14">
        <f>'Empleo Censo'!I1868</f>
        <v/>
      </c>
      <c r="G1868" s="14">
        <f>'Empleo Censo'!J1868+'Empleo Censo'!K1868</f>
        <v/>
      </c>
      <c r="H1868" s="14">
        <f>'Empleo Censo'!L1868</f>
        <v/>
      </c>
      <c r="I1868" s="14">
        <f>'Empleo Censo'!M1868</f>
        <v/>
      </c>
      <c r="J1868" s="14">
        <f>SUM('Empleo Censo'!N1868:AA1868)</f>
        <v/>
      </c>
      <c r="K1868" s="14">
        <f>SUM(C1868:J1868)</f>
        <v/>
      </c>
      <c r="L1868" s="15">
        <f>SUMPRODUCT(C1868:J1868,Factores!$B$3:$I$3)</f>
        <v/>
      </c>
      <c r="M1868" s="16">
        <f>'Empleo Censo'!E1868</f>
        <v/>
      </c>
      <c r="N1868" s="17">
        <f>IF(M1868&gt;0,L1868,Factores!$B$7)</f>
        <v/>
      </c>
      <c r="O1868">
        <f>IF(M1868&gt;0,"OK","sin PEA -&gt; peor")</f>
        <v/>
      </c>
    </row>
    <row r="1869">
      <c r="A1869" t="inlineStr">
        <is>
          <t>080802</t>
        </is>
      </c>
      <c r="B1869" t="inlineStr">
        <is>
          <t>CONDOROMA</t>
        </is>
      </c>
      <c r="C1869" s="14">
        <f>'Empleo Censo'!G1869-'Empleo Censo'!F1869</f>
        <v/>
      </c>
      <c r="D1869" s="14">
        <f>'Empleo Censo'!F1869</f>
        <v/>
      </c>
      <c r="E1869" s="14">
        <f>'Empleo Censo'!H1869</f>
        <v/>
      </c>
      <c r="F1869" s="14">
        <f>'Empleo Censo'!I1869</f>
        <v/>
      </c>
      <c r="G1869" s="14">
        <f>'Empleo Censo'!J1869+'Empleo Censo'!K1869</f>
        <v/>
      </c>
      <c r="H1869" s="14">
        <f>'Empleo Censo'!L1869</f>
        <v/>
      </c>
      <c r="I1869" s="14">
        <f>'Empleo Censo'!M1869</f>
        <v/>
      </c>
      <c r="J1869" s="14">
        <f>SUM('Empleo Censo'!N1869:AA1869)</f>
        <v/>
      </c>
      <c r="K1869" s="14">
        <f>SUM(C1869:J1869)</f>
        <v/>
      </c>
      <c r="L1869" s="15">
        <f>SUMPRODUCT(C1869:J1869,Factores!$B$3:$I$3)</f>
        <v/>
      </c>
      <c r="M1869" s="16">
        <f>'Empleo Censo'!E1869</f>
        <v/>
      </c>
      <c r="N1869" s="17">
        <f>IF(M1869&gt;0,L1869,Factores!$B$7)</f>
        <v/>
      </c>
      <c r="O1869">
        <f>IF(M1869&gt;0,"OK","sin PEA -&gt; peor")</f>
        <v/>
      </c>
    </row>
    <row r="1870">
      <c r="A1870" t="inlineStr">
        <is>
          <t>080808</t>
        </is>
      </c>
      <c r="B1870" t="inlineStr">
        <is>
          <t>ALTO PICHIGUA</t>
        </is>
      </c>
      <c r="C1870" s="14">
        <f>'Empleo Censo'!G1870-'Empleo Censo'!F1870</f>
        <v/>
      </c>
      <c r="D1870" s="14">
        <f>'Empleo Censo'!F1870</f>
        <v/>
      </c>
      <c r="E1870" s="14">
        <f>'Empleo Censo'!H1870</f>
        <v/>
      </c>
      <c r="F1870" s="14">
        <f>'Empleo Censo'!I1870</f>
        <v/>
      </c>
      <c r="G1870" s="14">
        <f>'Empleo Censo'!J1870+'Empleo Censo'!K1870</f>
        <v/>
      </c>
      <c r="H1870" s="14">
        <f>'Empleo Censo'!L1870</f>
        <v/>
      </c>
      <c r="I1870" s="14">
        <f>'Empleo Censo'!M1870</f>
        <v/>
      </c>
      <c r="J1870" s="14">
        <f>SUM('Empleo Censo'!N1870:AA1870)</f>
        <v/>
      </c>
      <c r="K1870" s="14">
        <f>SUM(C1870:J1870)</f>
        <v/>
      </c>
      <c r="L1870" s="15">
        <f>SUMPRODUCT(C1870:J1870,Factores!$B$3:$I$3)</f>
        <v/>
      </c>
      <c r="M1870" s="16">
        <f>'Empleo Censo'!E1870</f>
        <v/>
      </c>
      <c r="N1870" s="17">
        <f>IF(M1870&gt;0,L1870,Factores!$B$7)</f>
        <v/>
      </c>
      <c r="O1870">
        <f>IF(M1870&gt;0,"OK","sin PEA -&gt; peor")</f>
        <v/>
      </c>
    </row>
    <row r="1871">
      <c r="A1871" t="inlineStr">
        <is>
          <t>040201</t>
        </is>
      </c>
      <c r="B1871" t="inlineStr">
        <is>
          <t>CAMANA</t>
        </is>
      </c>
      <c r="C1871" s="14">
        <f>'Empleo Censo'!G1871-'Empleo Censo'!F1871</f>
        <v/>
      </c>
      <c r="D1871" s="14">
        <f>'Empleo Censo'!F1871</f>
        <v/>
      </c>
      <c r="E1871" s="14">
        <f>'Empleo Censo'!H1871</f>
        <v/>
      </c>
      <c r="F1871" s="14">
        <f>'Empleo Censo'!I1871</f>
        <v/>
      </c>
      <c r="G1871" s="14">
        <f>'Empleo Censo'!J1871+'Empleo Censo'!K1871</f>
        <v/>
      </c>
      <c r="H1871" s="14">
        <f>'Empleo Censo'!L1871</f>
        <v/>
      </c>
      <c r="I1871" s="14">
        <f>'Empleo Censo'!M1871</f>
        <v/>
      </c>
      <c r="J1871" s="14">
        <f>SUM('Empleo Censo'!N1871:AA1871)</f>
        <v/>
      </c>
      <c r="K1871" s="14">
        <f>SUM(C1871:J1871)</f>
        <v/>
      </c>
      <c r="L1871" s="15">
        <f>SUMPRODUCT(C1871:J1871,Factores!$B$3:$I$3)</f>
        <v/>
      </c>
      <c r="M1871" s="16">
        <f>'Empleo Censo'!E1871</f>
        <v/>
      </c>
      <c r="N1871" s="17">
        <f>IF(M1871&gt;0,L1871,Factores!$B$7)</f>
        <v/>
      </c>
      <c r="O1871">
        <f>IF(M1871&gt;0,"OK","sin PEA -&gt; peor")</f>
        <v/>
      </c>
    </row>
    <row r="1872">
      <c r="A1872" t="inlineStr">
        <is>
          <t>021808</t>
        </is>
      </c>
      <c r="B1872" t="inlineStr">
        <is>
          <t>SANTA</t>
        </is>
      </c>
      <c r="C1872" s="14">
        <f>'Empleo Censo'!G1872-'Empleo Censo'!F1872</f>
        <v/>
      </c>
      <c r="D1872" s="14">
        <f>'Empleo Censo'!F1872</f>
        <v/>
      </c>
      <c r="E1872" s="14">
        <f>'Empleo Censo'!H1872</f>
        <v/>
      </c>
      <c r="F1872" s="14">
        <f>'Empleo Censo'!I1872</f>
        <v/>
      </c>
      <c r="G1872" s="14">
        <f>'Empleo Censo'!J1872+'Empleo Censo'!K1872</f>
        <v/>
      </c>
      <c r="H1872" s="14">
        <f>'Empleo Censo'!L1872</f>
        <v/>
      </c>
      <c r="I1872" s="14">
        <f>'Empleo Censo'!M1872</f>
        <v/>
      </c>
      <c r="J1872" s="14">
        <f>SUM('Empleo Censo'!N1872:AA1872)</f>
        <v/>
      </c>
      <c r="K1872" s="14">
        <f>SUM(C1872:J1872)</f>
        <v/>
      </c>
      <c r="L1872" s="15">
        <f>SUMPRODUCT(C1872:J1872,Factores!$B$3:$I$3)</f>
        <v/>
      </c>
      <c r="M1872" s="16">
        <f>'Empleo Censo'!E1872</f>
        <v/>
      </c>
      <c r="N1872" s="17">
        <f>IF(M1872&gt;0,L1872,Factores!$B$7)</f>
        <v/>
      </c>
      <c r="O1872">
        <f>IF(M1872&gt;0,"OK","sin PEA -&gt; peor")</f>
        <v/>
      </c>
    </row>
    <row r="1873">
      <c r="A1873" t="inlineStr">
        <is>
          <t>040311</t>
        </is>
      </c>
      <c r="B1873" t="inlineStr">
        <is>
          <t>LOMAS</t>
        </is>
      </c>
      <c r="C1873" s="14">
        <f>'Empleo Censo'!G1873-'Empleo Censo'!F1873</f>
        <v/>
      </c>
      <c r="D1873" s="14">
        <f>'Empleo Censo'!F1873</f>
        <v/>
      </c>
      <c r="E1873" s="14">
        <f>'Empleo Censo'!H1873</f>
        <v/>
      </c>
      <c r="F1873" s="14">
        <f>'Empleo Censo'!I1873</f>
        <v/>
      </c>
      <c r="G1873" s="14">
        <f>'Empleo Censo'!J1873+'Empleo Censo'!K1873</f>
        <v/>
      </c>
      <c r="H1873" s="14">
        <f>'Empleo Censo'!L1873</f>
        <v/>
      </c>
      <c r="I1873" s="14">
        <f>'Empleo Censo'!M1873</f>
        <v/>
      </c>
      <c r="J1873" s="14">
        <f>SUM('Empleo Censo'!N1873:AA1873)</f>
        <v/>
      </c>
      <c r="K1873" s="14">
        <f>SUM(C1873:J1873)</f>
        <v/>
      </c>
      <c r="L1873" s="15">
        <f>SUMPRODUCT(C1873:J1873,Factores!$B$3:$I$3)</f>
        <v/>
      </c>
      <c r="M1873" s="16">
        <f>'Empleo Censo'!E1873</f>
        <v/>
      </c>
      <c r="N1873" s="17">
        <f>IF(M1873&gt;0,L1873,Factores!$B$7)</f>
        <v/>
      </c>
      <c r="O1873">
        <f>IF(M1873&gt;0,"OK","sin PEA -&gt; peor")</f>
        <v/>
      </c>
    </row>
    <row r="1874">
      <c r="A1874" t="inlineStr">
        <is>
          <t>081307</t>
        </is>
      </c>
      <c r="B1874" t="inlineStr">
        <is>
          <t>YUCAY</t>
        </is>
      </c>
      <c r="C1874" s="14">
        <f>'Empleo Censo'!G1874-'Empleo Censo'!F1874</f>
        <v/>
      </c>
      <c r="D1874" s="14">
        <f>'Empleo Censo'!F1874</f>
        <v/>
      </c>
      <c r="E1874" s="14">
        <f>'Empleo Censo'!H1874</f>
        <v/>
      </c>
      <c r="F1874" s="14">
        <f>'Empleo Censo'!I1874</f>
        <v/>
      </c>
      <c r="G1874" s="14">
        <f>'Empleo Censo'!J1874+'Empleo Censo'!K1874</f>
        <v/>
      </c>
      <c r="H1874" s="14">
        <f>'Empleo Censo'!L1874</f>
        <v/>
      </c>
      <c r="I1874" s="14">
        <f>'Empleo Censo'!M1874</f>
        <v/>
      </c>
      <c r="J1874" s="14">
        <f>SUM('Empleo Censo'!N1874:AA1874)</f>
        <v/>
      </c>
      <c r="K1874" s="14">
        <f>SUM(C1874:J1874)</f>
        <v/>
      </c>
      <c r="L1874" s="15">
        <f>SUMPRODUCT(C1874:J1874,Factores!$B$3:$I$3)</f>
        <v/>
      </c>
      <c r="M1874" s="16">
        <f>'Empleo Censo'!E1874</f>
        <v/>
      </c>
      <c r="N1874" s="17">
        <f>IF(M1874&gt;0,L1874,Factores!$B$7)</f>
        <v/>
      </c>
      <c r="O1874">
        <f>IF(M1874&gt;0,"OK","sin PEA -&gt; peor")</f>
        <v/>
      </c>
    </row>
    <row r="1875">
      <c r="A1875" t="inlineStr">
        <is>
          <t>090710</t>
        </is>
      </c>
      <c r="B1875" t="inlineStr">
        <is>
          <t>ÑAHUIMPUQUIO</t>
        </is>
      </c>
      <c r="C1875" s="14">
        <f>'Empleo Censo'!G1875-'Empleo Censo'!F1875</f>
        <v/>
      </c>
      <c r="D1875" s="14">
        <f>'Empleo Censo'!F1875</f>
        <v/>
      </c>
      <c r="E1875" s="14">
        <f>'Empleo Censo'!H1875</f>
        <v/>
      </c>
      <c r="F1875" s="14">
        <f>'Empleo Censo'!I1875</f>
        <v/>
      </c>
      <c r="G1875" s="14">
        <f>'Empleo Censo'!J1875+'Empleo Censo'!K1875</f>
        <v/>
      </c>
      <c r="H1875" s="14">
        <f>'Empleo Censo'!L1875</f>
        <v/>
      </c>
      <c r="I1875" s="14">
        <f>'Empleo Censo'!M1875</f>
        <v/>
      </c>
      <c r="J1875" s="14">
        <f>SUM('Empleo Censo'!N1875:AA1875)</f>
        <v/>
      </c>
      <c r="K1875" s="14">
        <f>SUM(C1875:J1875)</f>
        <v/>
      </c>
      <c r="L1875" s="15">
        <f>SUMPRODUCT(C1875:J1875,Factores!$B$3:$I$3)</f>
        <v/>
      </c>
      <c r="M1875" s="16">
        <f>'Empleo Censo'!E1875</f>
        <v/>
      </c>
      <c r="N1875" s="17">
        <f>IF(M1875&gt;0,L1875,Factores!$B$7)</f>
        <v/>
      </c>
      <c r="O1875">
        <f>IF(M1875&gt;0,"OK","sin PEA -&gt; peor")</f>
        <v/>
      </c>
    </row>
    <row r="1876">
      <c r="A1876" t="inlineStr">
        <is>
          <t>010303</t>
        </is>
      </c>
      <c r="B1876" t="inlineStr">
        <is>
          <t>CHURUJA</t>
        </is>
      </c>
      <c r="C1876" s="14">
        <f>'Empleo Censo'!G1876-'Empleo Censo'!F1876</f>
        <v/>
      </c>
      <c r="D1876" s="14">
        <f>'Empleo Censo'!F1876</f>
        <v/>
      </c>
      <c r="E1876" s="14">
        <f>'Empleo Censo'!H1876</f>
        <v/>
      </c>
      <c r="F1876" s="14">
        <f>'Empleo Censo'!I1876</f>
        <v/>
      </c>
      <c r="G1876" s="14">
        <f>'Empleo Censo'!J1876+'Empleo Censo'!K1876</f>
        <v/>
      </c>
      <c r="H1876" s="14">
        <f>'Empleo Censo'!L1876</f>
        <v/>
      </c>
      <c r="I1876" s="14">
        <f>'Empleo Censo'!M1876</f>
        <v/>
      </c>
      <c r="J1876" s="14">
        <f>SUM('Empleo Censo'!N1876:AA1876)</f>
        <v/>
      </c>
      <c r="K1876" s="14">
        <f>SUM(C1876:J1876)</f>
        <v/>
      </c>
      <c r="L1876" s="15">
        <f>SUMPRODUCT(C1876:J1876,Factores!$B$3:$I$3)</f>
        <v/>
      </c>
      <c r="M1876" s="16">
        <f>'Empleo Censo'!E1876</f>
        <v/>
      </c>
      <c r="N1876" s="17">
        <f>IF(M1876&gt;0,L1876,Factores!$B$7)</f>
        <v/>
      </c>
      <c r="O1876">
        <f>IF(M1876&gt;0,"OK","sin PEA -&gt; peor")</f>
        <v/>
      </c>
    </row>
    <row r="1877">
      <c r="A1877" t="inlineStr">
        <is>
          <t>040701</t>
        </is>
      </c>
      <c r="B1877" t="inlineStr">
        <is>
          <t>MOLLENDO</t>
        </is>
      </c>
      <c r="C1877" s="14">
        <f>'Empleo Censo'!G1877-'Empleo Censo'!F1877</f>
        <v/>
      </c>
      <c r="D1877" s="14">
        <f>'Empleo Censo'!F1877</f>
        <v/>
      </c>
      <c r="E1877" s="14">
        <f>'Empleo Censo'!H1877</f>
        <v/>
      </c>
      <c r="F1877" s="14">
        <f>'Empleo Censo'!I1877</f>
        <v/>
      </c>
      <c r="G1877" s="14">
        <f>'Empleo Censo'!J1877+'Empleo Censo'!K1877</f>
        <v/>
      </c>
      <c r="H1877" s="14">
        <f>'Empleo Censo'!L1877</f>
        <v/>
      </c>
      <c r="I1877" s="14">
        <f>'Empleo Censo'!M1877</f>
        <v/>
      </c>
      <c r="J1877" s="14">
        <f>SUM('Empleo Censo'!N1877:AA1877)</f>
        <v/>
      </c>
      <c r="K1877" s="14">
        <f>SUM(C1877:J1877)</f>
        <v/>
      </c>
      <c r="L1877" s="15">
        <f>SUMPRODUCT(C1877:J1877,Factores!$B$3:$I$3)</f>
        <v/>
      </c>
      <c r="M1877" s="16">
        <f>'Empleo Censo'!E1877</f>
        <v/>
      </c>
      <c r="N1877" s="17">
        <f>IF(M1877&gt;0,L1877,Factores!$B$7)</f>
        <v/>
      </c>
      <c r="O1877">
        <f>IF(M1877&gt;0,"OK","sin PEA -&gt; peor")</f>
        <v/>
      </c>
    </row>
    <row r="1878">
      <c r="A1878" t="inlineStr">
        <is>
          <t>020510</t>
        </is>
      </c>
      <c r="B1878" t="inlineStr">
        <is>
          <t>HUAYLLACAYAN</t>
        </is>
      </c>
      <c r="C1878" s="14">
        <f>'Empleo Censo'!G1878-'Empleo Censo'!F1878</f>
        <v/>
      </c>
      <c r="D1878" s="14">
        <f>'Empleo Censo'!F1878</f>
        <v/>
      </c>
      <c r="E1878" s="14">
        <f>'Empleo Censo'!H1878</f>
        <v/>
      </c>
      <c r="F1878" s="14">
        <f>'Empleo Censo'!I1878</f>
        <v/>
      </c>
      <c r="G1878" s="14">
        <f>'Empleo Censo'!J1878+'Empleo Censo'!K1878</f>
        <v/>
      </c>
      <c r="H1878" s="14">
        <f>'Empleo Censo'!L1878</f>
        <v/>
      </c>
      <c r="I1878" s="14">
        <f>'Empleo Censo'!M1878</f>
        <v/>
      </c>
      <c r="J1878" s="14">
        <f>SUM('Empleo Censo'!N1878:AA1878)</f>
        <v/>
      </c>
      <c r="K1878" s="14">
        <f>SUM(C1878:J1878)</f>
        <v/>
      </c>
      <c r="L1878" s="15">
        <f>SUMPRODUCT(C1878:J1878,Factores!$B$3:$I$3)</f>
        <v/>
      </c>
      <c r="M1878" s="16">
        <f>'Empleo Censo'!E1878</f>
        <v/>
      </c>
      <c r="N1878" s="17">
        <f>IF(M1878&gt;0,L1878,Factores!$B$7)</f>
        <v/>
      </c>
      <c r="O1878">
        <f>IF(M1878&gt;0,"OK","sin PEA -&gt; peor")</f>
        <v/>
      </c>
    </row>
    <row r="1879">
      <c r="A1879" t="inlineStr">
        <is>
          <t>061309</t>
        </is>
      </c>
      <c r="B1879" t="inlineStr">
        <is>
          <t>SEXI</t>
        </is>
      </c>
      <c r="C1879" s="14">
        <f>'Empleo Censo'!G1879-'Empleo Censo'!F1879</f>
        <v/>
      </c>
      <c r="D1879" s="14">
        <f>'Empleo Censo'!F1879</f>
        <v/>
      </c>
      <c r="E1879" s="14">
        <f>'Empleo Censo'!H1879</f>
        <v/>
      </c>
      <c r="F1879" s="14">
        <f>'Empleo Censo'!I1879</f>
        <v/>
      </c>
      <c r="G1879" s="14">
        <f>'Empleo Censo'!J1879+'Empleo Censo'!K1879</f>
        <v/>
      </c>
      <c r="H1879" s="14">
        <f>'Empleo Censo'!L1879</f>
        <v/>
      </c>
      <c r="I1879" s="14">
        <f>'Empleo Censo'!M1879</f>
        <v/>
      </c>
      <c r="J1879" s="14">
        <f>SUM('Empleo Censo'!N1879:AA1879)</f>
        <v/>
      </c>
      <c r="K1879" s="14">
        <f>SUM(C1879:J1879)</f>
        <v/>
      </c>
      <c r="L1879" s="15">
        <f>SUMPRODUCT(C1879:J1879,Factores!$B$3:$I$3)</f>
        <v/>
      </c>
      <c r="M1879" s="16">
        <f>'Empleo Censo'!E1879</f>
        <v/>
      </c>
      <c r="N1879" s="17">
        <f>IF(M1879&gt;0,L1879,Factores!$B$7)</f>
        <v/>
      </c>
      <c r="O1879">
        <f>IF(M1879&gt;0,"OK","sin PEA -&gt; peor")</f>
        <v/>
      </c>
    </row>
    <row r="1880">
      <c r="A1880" t="inlineStr">
        <is>
          <t>070102</t>
        </is>
      </c>
      <c r="B1880" t="inlineStr">
        <is>
          <t>BELLAVISTA</t>
        </is>
      </c>
      <c r="C1880" s="14">
        <f>'Empleo Censo'!G1880-'Empleo Censo'!F1880</f>
        <v/>
      </c>
      <c r="D1880" s="14">
        <f>'Empleo Censo'!F1880</f>
        <v/>
      </c>
      <c r="E1880" s="14">
        <f>'Empleo Censo'!H1880</f>
        <v/>
      </c>
      <c r="F1880" s="14">
        <f>'Empleo Censo'!I1880</f>
        <v/>
      </c>
      <c r="G1880" s="14">
        <f>'Empleo Censo'!J1880+'Empleo Censo'!K1880</f>
        <v/>
      </c>
      <c r="H1880" s="14">
        <f>'Empleo Censo'!L1880</f>
        <v/>
      </c>
      <c r="I1880" s="14">
        <f>'Empleo Censo'!M1880</f>
        <v/>
      </c>
      <c r="J1880" s="14">
        <f>SUM('Empleo Censo'!N1880:AA1880)</f>
        <v/>
      </c>
      <c r="K1880" s="14">
        <f>SUM(C1880:J1880)</f>
        <v/>
      </c>
      <c r="L1880" s="15">
        <f>SUMPRODUCT(C1880:J1880,Factores!$B$3:$I$3)</f>
        <v/>
      </c>
      <c r="M1880" s="16">
        <f>'Empleo Censo'!E1880</f>
        <v/>
      </c>
      <c r="N1880" s="17">
        <f>IF(M1880&gt;0,L1880,Factores!$B$7)</f>
        <v/>
      </c>
      <c r="O1880">
        <f>IF(M1880&gt;0,"OK","sin PEA -&gt; peor")</f>
        <v/>
      </c>
    </row>
    <row r="1881">
      <c r="A1881" t="inlineStr">
        <is>
          <t>020803</t>
        </is>
      </c>
      <c r="B1881" t="inlineStr">
        <is>
          <t>COMANDANTE NOEL</t>
        </is>
      </c>
      <c r="C1881" s="14">
        <f>'Empleo Censo'!G1881-'Empleo Censo'!F1881</f>
        <v/>
      </c>
      <c r="D1881" s="14">
        <f>'Empleo Censo'!F1881</f>
        <v/>
      </c>
      <c r="E1881" s="14">
        <f>'Empleo Censo'!H1881</f>
        <v/>
      </c>
      <c r="F1881" s="14">
        <f>'Empleo Censo'!I1881</f>
        <v/>
      </c>
      <c r="G1881" s="14">
        <f>'Empleo Censo'!J1881+'Empleo Censo'!K1881</f>
        <v/>
      </c>
      <c r="H1881" s="14">
        <f>'Empleo Censo'!L1881</f>
        <v/>
      </c>
      <c r="I1881" s="14">
        <f>'Empleo Censo'!M1881</f>
        <v/>
      </c>
      <c r="J1881" s="14">
        <f>SUM('Empleo Censo'!N1881:AA1881)</f>
        <v/>
      </c>
      <c r="K1881" s="14">
        <f>SUM(C1881:J1881)</f>
        <v/>
      </c>
      <c r="L1881" s="15">
        <f>SUMPRODUCT(C1881:J1881,Factores!$B$3:$I$3)</f>
        <v/>
      </c>
      <c r="M1881" s="16">
        <f>'Empleo Censo'!E1881</f>
        <v/>
      </c>
      <c r="N1881" s="17">
        <f>IF(M1881&gt;0,L1881,Factores!$B$7)</f>
        <v/>
      </c>
      <c r="O1881">
        <f>IF(M1881&gt;0,"OK","sin PEA -&gt; peor")</f>
        <v/>
      </c>
    </row>
    <row r="1882">
      <c r="A1882" t="inlineStr">
        <is>
          <t>030705</t>
        </is>
      </c>
      <c r="B1882" t="inlineStr">
        <is>
          <t>MAMARA</t>
        </is>
      </c>
      <c r="C1882" s="14">
        <f>'Empleo Censo'!G1882-'Empleo Censo'!F1882</f>
        <v/>
      </c>
      <c r="D1882" s="14">
        <f>'Empleo Censo'!F1882</f>
        <v/>
      </c>
      <c r="E1882" s="14">
        <f>'Empleo Censo'!H1882</f>
        <v/>
      </c>
      <c r="F1882" s="14">
        <f>'Empleo Censo'!I1882</f>
        <v/>
      </c>
      <c r="G1882" s="14">
        <f>'Empleo Censo'!J1882+'Empleo Censo'!K1882</f>
        <v/>
      </c>
      <c r="H1882" s="14">
        <f>'Empleo Censo'!L1882</f>
        <v/>
      </c>
      <c r="I1882" s="14">
        <f>'Empleo Censo'!M1882</f>
        <v/>
      </c>
      <c r="J1882" s="14">
        <f>SUM('Empleo Censo'!N1882:AA1882)</f>
        <v/>
      </c>
      <c r="K1882" s="14">
        <f>SUM(C1882:J1882)</f>
        <v/>
      </c>
      <c r="L1882" s="15">
        <f>SUMPRODUCT(C1882:J1882,Factores!$B$3:$I$3)</f>
        <v/>
      </c>
      <c r="M1882" s="16">
        <f>'Empleo Censo'!E1882</f>
        <v/>
      </c>
      <c r="N1882" s="17">
        <f>IF(M1882&gt;0,L1882,Factores!$B$7)</f>
        <v/>
      </c>
      <c r="O1882">
        <f>IF(M1882&gt;0,"OK","sin PEA -&gt; peor")</f>
        <v/>
      </c>
    </row>
    <row r="1883">
      <c r="A1883" t="inlineStr">
        <is>
          <t>070105</t>
        </is>
      </c>
      <c r="B1883" t="inlineStr">
        <is>
          <t>LA PUNTA</t>
        </is>
      </c>
      <c r="C1883" s="14">
        <f>'Empleo Censo'!G1883-'Empleo Censo'!F1883</f>
        <v/>
      </c>
      <c r="D1883" s="14">
        <f>'Empleo Censo'!F1883</f>
        <v/>
      </c>
      <c r="E1883" s="14">
        <f>'Empleo Censo'!H1883</f>
        <v/>
      </c>
      <c r="F1883" s="14">
        <f>'Empleo Censo'!I1883</f>
        <v/>
      </c>
      <c r="G1883" s="14">
        <f>'Empleo Censo'!J1883+'Empleo Censo'!K1883</f>
        <v/>
      </c>
      <c r="H1883" s="14">
        <f>'Empleo Censo'!L1883</f>
        <v/>
      </c>
      <c r="I1883" s="14">
        <f>'Empleo Censo'!M1883</f>
        <v/>
      </c>
      <c r="J1883" s="14">
        <f>SUM('Empleo Censo'!N1883:AA1883)</f>
        <v/>
      </c>
      <c r="K1883" s="14">
        <f>SUM(C1883:J1883)</f>
        <v/>
      </c>
      <c r="L1883" s="15">
        <f>SUMPRODUCT(C1883:J1883,Factores!$B$3:$I$3)</f>
        <v/>
      </c>
      <c r="M1883" s="16">
        <f>'Empleo Censo'!E1883</f>
        <v/>
      </c>
      <c r="N1883" s="17">
        <f>IF(M1883&gt;0,L1883,Factores!$B$7)</f>
        <v/>
      </c>
      <c r="O1883">
        <f>IF(M1883&gt;0,"OK","sin PEA -&gt; peor")</f>
        <v/>
      </c>
    </row>
    <row r="1884">
      <c r="A1884" t="inlineStr">
        <is>
          <t>070103</t>
        </is>
      </c>
      <c r="B1884" t="inlineStr">
        <is>
          <t>CARMEN DE LA LEGUA REYNOSO</t>
        </is>
      </c>
      <c r="C1884" s="14">
        <f>'Empleo Censo'!G1884-'Empleo Censo'!F1884</f>
        <v/>
      </c>
      <c r="D1884" s="14">
        <f>'Empleo Censo'!F1884</f>
        <v/>
      </c>
      <c r="E1884" s="14">
        <f>'Empleo Censo'!H1884</f>
        <v/>
      </c>
      <c r="F1884" s="14">
        <f>'Empleo Censo'!I1884</f>
        <v/>
      </c>
      <c r="G1884" s="14">
        <f>'Empleo Censo'!J1884+'Empleo Censo'!K1884</f>
        <v/>
      </c>
      <c r="H1884" s="14">
        <f>'Empleo Censo'!L1884</f>
        <v/>
      </c>
      <c r="I1884" s="14">
        <f>'Empleo Censo'!M1884</f>
        <v/>
      </c>
      <c r="J1884" s="14">
        <f>SUM('Empleo Censo'!N1884:AA1884)</f>
        <v/>
      </c>
      <c r="K1884" s="14">
        <f>SUM(C1884:J1884)</f>
        <v/>
      </c>
      <c r="L1884" s="15">
        <f>SUMPRODUCT(C1884:J1884,Factores!$B$3:$I$3)</f>
        <v/>
      </c>
      <c r="M1884" s="16">
        <f>'Empleo Censo'!E1884</f>
        <v/>
      </c>
      <c r="N1884" s="17">
        <f>IF(M1884&gt;0,L1884,Factores!$B$7)</f>
        <v/>
      </c>
      <c r="O1884">
        <f>IF(M1884&gt;0,"OK","sin PEA -&gt; peor")</f>
        <v/>
      </c>
    </row>
    <row r="1885">
      <c r="A1885" t="inlineStr">
        <is>
          <t>070104</t>
        </is>
      </c>
      <c r="B1885" t="inlineStr">
        <is>
          <t>LA PERLA</t>
        </is>
      </c>
      <c r="C1885" s="14">
        <f>'Empleo Censo'!G1885-'Empleo Censo'!F1885</f>
        <v/>
      </c>
      <c r="D1885" s="14">
        <f>'Empleo Censo'!F1885</f>
        <v/>
      </c>
      <c r="E1885" s="14">
        <f>'Empleo Censo'!H1885</f>
        <v/>
      </c>
      <c r="F1885" s="14">
        <f>'Empleo Censo'!I1885</f>
        <v/>
      </c>
      <c r="G1885" s="14">
        <f>'Empleo Censo'!J1885+'Empleo Censo'!K1885</f>
        <v/>
      </c>
      <c r="H1885" s="14">
        <f>'Empleo Censo'!L1885</f>
        <v/>
      </c>
      <c r="I1885" s="14">
        <f>'Empleo Censo'!M1885</f>
        <v/>
      </c>
      <c r="J1885" s="14">
        <f>SUM('Empleo Censo'!N1885:AA1885)</f>
        <v/>
      </c>
      <c r="K1885" s="14">
        <f>SUM(C1885:J1885)</f>
        <v/>
      </c>
      <c r="L1885" s="15">
        <f>SUMPRODUCT(C1885:J1885,Factores!$B$3:$I$3)</f>
        <v/>
      </c>
      <c r="M1885" s="16">
        <f>'Empleo Censo'!E1885</f>
        <v/>
      </c>
      <c r="N1885" s="17">
        <f>IF(M1885&gt;0,L1885,Factores!$B$7)</f>
        <v/>
      </c>
      <c r="O1885">
        <f>IF(M1885&gt;0,"OK","sin PEA -&gt; peor")</f>
        <v/>
      </c>
    </row>
    <row r="1886">
      <c r="A1886" t="inlineStr">
        <is>
          <t>021807</t>
        </is>
      </c>
      <c r="B1886" t="inlineStr">
        <is>
          <t>SAMANCO</t>
        </is>
      </c>
      <c r="C1886" s="14">
        <f>'Empleo Censo'!G1886-'Empleo Censo'!F1886</f>
        <v/>
      </c>
      <c r="D1886" s="14">
        <f>'Empleo Censo'!F1886</f>
        <v/>
      </c>
      <c r="E1886" s="14">
        <f>'Empleo Censo'!H1886</f>
        <v/>
      </c>
      <c r="F1886" s="14">
        <f>'Empleo Censo'!I1886</f>
        <v/>
      </c>
      <c r="G1886" s="14">
        <f>'Empleo Censo'!J1886+'Empleo Censo'!K1886</f>
        <v/>
      </c>
      <c r="H1886" s="14">
        <f>'Empleo Censo'!L1886</f>
        <v/>
      </c>
      <c r="I1886" s="14">
        <f>'Empleo Censo'!M1886</f>
        <v/>
      </c>
      <c r="J1886" s="14">
        <f>SUM('Empleo Censo'!N1886:AA1886)</f>
        <v/>
      </c>
      <c r="K1886" s="14">
        <f>SUM(C1886:J1886)</f>
        <v/>
      </c>
      <c r="L1886" s="15">
        <f>SUMPRODUCT(C1886:J1886,Factores!$B$3:$I$3)</f>
        <v/>
      </c>
      <c r="M1886" s="16">
        <f>'Empleo Censo'!E1886</f>
        <v/>
      </c>
      <c r="N1886" s="17">
        <f>IF(M1886&gt;0,L1886,Factores!$B$7)</f>
        <v/>
      </c>
      <c r="O1886">
        <f>IF(M1886&gt;0,"OK","sin PEA -&gt; peor")</f>
        <v/>
      </c>
    </row>
    <row r="1887">
      <c r="A1887" t="inlineStr">
        <is>
          <t>040705</t>
        </is>
      </c>
      <c r="B1887" t="inlineStr">
        <is>
          <t>MEJIA</t>
        </is>
      </c>
      <c r="C1887" s="14">
        <f>'Empleo Censo'!G1887-'Empleo Censo'!F1887</f>
        <v/>
      </c>
      <c r="D1887" s="14">
        <f>'Empleo Censo'!F1887</f>
        <v/>
      </c>
      <c r="E1887" s="14">
        <f>'Empleo Censo'!H1887</f>
        <v/>
      </c>
      <c r="F1887" s="14">
        <f>'Empleo Censo'!I1887</f>
        <v/>
      </c>
      <c r="G1887" s="14">
        <f>'Empleo Censo'!J1887+'Empleo Censo'!K1887</f>
        <v/>
      </c>
      <c r="H1887" s="14">
        <f>'Empleo Censo'!L1887</f>
        <v/>
      </c>
      <c r="I1887" s="14">
        <f>'Empleo Censo'!M1887</f>
        <v/>
      </c>
      <c r="J1887" s="14">
        <f>SUM('Empleo Censo'!N1887:AA1887)</f>
        <v/>
      </c>
      <c r="K1887" s="14">
        <f>SUM(C1887:J1887)</f>
        <v/>
      </c>
      <c r="L1887" s="15">
        <f>SUMPRODUCT(C1887:J1887,Factores!$B$3:$I$3)</f>
        <v/>
      </c>
      <c r="M1887" s="16">
        <f>'Empleo Censo'!E1887</f>
        <v/>
      </c>
      <c r="N1887" s="17">
        <f>IF(M1887&gt;0,L1887,Factores!$B$7)</f>
        <v/>
      </c>
      <c r="O1887">
        <f>IF(M1887&gt;0,"OK","sin PEA -&gt; peor")</f>
        <v/>
      </c>
    </row>
    <row r="1888">
      <c r="A1888" t="inlineStr">
        <is>
          <t>040129</t>
        </is>
      </c>
      <c r="B1888" t="inlineStr">
        <is>
          <t>JOSE LUIS BUSTAMANTE Y RIVERO</t>
        </is>
      </c>
      <c r="C1888" s="14">
        <f>'Empleo Censo'!G1888-'Empleo Censo'!F1888</f>
        <v/>
      </c>
      <c r="D1888" s="14">
        <f>'Empleo Censo'!F1888</f>
        <v/>
      </c>
      <c r="E1888" s="14">
        <f>'Empleo Censo'!H1888</f>
        <v/>
      </c>
      <c r="F1888" s="14">
        <f>'Empleo Censo'!I1888</f>
        <v/>
      </c>
      <c r="G1888" s="14">
        <f>'Empleo Censo'!J1888+'Empleo Censo'!K1888</f>
        <v/>
      </c>
      <c r="H1888" s="14">
        <f>'Empleo Censo'!L1888</f>
        <v/>
      </c>
      <c r="I1888" s="14">
        <f>'Empleo Censo'!M1888</f>
        <v/>
      </c>
      <c r="J1888" s="14">
        <f>SUM('Empleo Censo'!N1888:AA1888)</f>
        <v/>
      </c>
      <c r="K1888" s="14">
        <f>SUM(C1888:J1888)</f>
        <v/>
      </c>
      <c r="L1888" s="15">
        <f>SUMPRODUCT(C1888:J1888,Factores!$B$3:$I$3)</f>
        <v/>
      </c>
      <c r="M1888" s="16">
        <f>'Empleo Censo'!E1888</f>
        <v/>
      </c>
      <c r="N1888" s="17">
        <f>IF(M1888&gt;0,L1888,Factores!$B$7)</f>
        <v/>
      </c>
      <c r="O1888">
        <f>IF(M1888&gt;0,"OK","sin PEA -&gt; peor")</f>
        <v/>
      </c>
    </row>
    <row r="1889">
      <c r="A1889" t="inlineStr">
        <is>
          <t>040520</t>
        </is>
      </c>
      <c r="B1889" t="inlineStr">
        <is>
          <t>MAJES</t>
        </is>
      </c>
      <c r="C1889" s="14">
        <f>'Empleo Censo'!G1889-'Empleo Censo'!F1889</f>
        <v/>
      </c>
      <c r="D1889" s="14">
        <f>'Empleo Censo'!F1889</f>
        <v/>
      </c>
      <c r="E1889" s="14">
        <f>'Empleo Censo'!H1889</f>
        <v/>
      </c>
      <c r="F1889" s="14">
        <f>'Empleo Censo'!I1889</f>
        <v/>
      </c>
      <c r="G1889" s="14">
        <f>'Empleo Censo'!J1889+'Empleo Censo'!K1889</f>
        <v/>
      </c>
      <c r="H1889" s="14">
        <f>'Empleo Censo'!L1889</f>
        <v/>
      </c>
      <c r="I1889" s="14">
        <f>'Empleo Censo'!M1889</f>
        <v/>
      </c>
      <c r="J1889" s="14">
        <f>SUM('Empleo Censo'!N1889:AA1889)</f>
        <v/>
      </c>
      <c r="K1889" s="14">
        <f>SUM(C1889:J1889)</f>
        <v/>
      </c>
      <c r="L1889" s="15">
        <f>SUMPRODUCT(C1889:J1889,Factores!$B$3:$I$3)</f>
        <v/>
      </c>
      <c r="M1889" s="16">
        <f>'Empleo Censo'!E1889</f>
        <v/>
      </c>
      <c r="N1889" s="17">
        <f>IF(M1889&gt;0,L1889,Factores!$B$7)</f>
        <v/>
      </c>
      <c r="O1889">
        <f>IF(M1889&gt;0,"OK","sin PEA -&gt; peor")</f>
        <v/>
      </c>
    </row>
    <row r="1890">
      <c r="A1890" t="inlineStr">
        <is>
          <t>080108</t>
        </is>
      </c>
      <c r="B1890" t="inlineStr">
        <is>
          <t>WANCHAQ</t>
        </is>
      </c>
      <c r="C1890" s="14">
        <f>'Empleo Censo'!G1890-'Empleo Censo'!F1890</f>
        <v/>
      </c>
      <c r="D1890" s="14">
        <f>'Empleo Censo'!F1890</f>
        <v/>
      </c>
      <c r="E1890" s="14">
        <f>'Empleo Censo'!H1890</f>
        <v/>
      </c>
      <c r="F1890" s="14">
        <f>'Empleo Censo'!I1890</f>
        <v/>
      </c>
      <c r="G1890" s="14">
        <f>'Empleo Censo'!J1890+'Empleo Censo'!K1890</f>
        <v/>
      </c>
      <c r="H1890" s="14">
        <f>'Empleo Censo'!L1890</f>
        <v/>
      </c>
      <c r="I1890" s="14">
        <f>'Empleo Censo'!M1890</f>
        <v/>
      </c>
      <c r="J1890" s="14">
        <f>SUM('Empleo Censo'!N1890:AA1890)</f>
        <v/>
      </c>
      <c r="K1890" s="14">
        <f>SUM(C1890:J1890)</f>
        <v/>
      </c>
      <c r="L1890" s="15">
        <f>SUMPRODUCT(C1890:J1890,Factores!$B$3:$I$3)</f>
        <v/>
      </c>
      <c r="M1890" s="16">
        <f>'Empleo Censo'!E1890</f>
        <v/>
      </c>
      <c r="N1890" s="17">
        <f>IF(M1890&gt;0,L1890,Factores!$B$7)</f>
        <v/>
      </c>
      <c r="O1890">
        <f>IF(M1890&gt;0,"OK","sin PEA -&gt; peor")</f>
        <v/>
      </c>
    </row>
    <row r="1891">
      <c r="A1891" t="inlineStr">
        <is>
          <t>080907</t>
        </is>
      </c>
      <c r="B1891" t="inlineStr">
        <is>
          <t>KIMBIRI</t>
        </is>
      </c>
      <c r="C1891" s="14">
        <f>'Empleo Censo'!G1891-'Empleo Censo'!F1891</f>
        <v/>
      </c>
      <c r="D1891" s="14">
        <f>'Empleo Censo'!F1891</f>
        <v/>
      </c>
      <c r="E1891" s="14">
        <f>'Empleo Censo'!H1891</f>
        <v/>
      </c>
      <c r="F1891" s="14">
        <f>'Empleo Censo'!I1891</f>
        <v/>
      </c>
      <c r="G1891" s="14">
        <f>'Empleo Censo'!J1891+'Empleo Censo'!K1891</f>
        <v/>
      </c>
      <c r="H1891" s="14">
        <f>'Empleo Censo'!L1891</f>
        <v/>
      </c>
      <c r="I1891" s="14">
        <f>'Empleo Censo'!M1891</f>
        <v/>
      </c>
      <c r="J1891" s="14">
        <f>SUM('Empleo Censo'!N1891:AA1891)</f>
        <v/>
      </c>
      <c r="K1891" s="14">
        <f>SUM(C1891:J1891)</f>
        <v/>
      </c>
      <c r="L1891" s="15">
        <f>SUMPRODUCT(C1891:J1891,Factores!$B$3:$I$3)</f>
        <v/>
      </c>
      <c r="M1891" s="16">
        <f>'Empleo Censo'!E1891</f>
        <v/>
      </c>
      <c r="N1891" s="17">
        <f>IF(M1891&gt;0,L1891,Factores!$B$7)</f>
        <v/>
      </c>
      <c r="O1891">
        <f>IF(M1891&gt;0,"OK","sin PEA -&gt; peor")</f>
        <v/>
      </c>
    </row>
    <row r="1892">
      <c r="A1892" t="inlineStr">
        <is>
          <t>020109</t>
        </is>
      </c>
      <c r="B1892" t="inlineStr">
        <is>
          <t>PAMPAS</t>
        </is>
      </c>
      <c r="C1892" s="14">
        <f>'Empleo Censo'!G1892-'Empleo Censo'!F1892</f>
        <v/>
      </c>
      <c r="D1892" s="14">
        <f>'Empleo Censo'!F1892</f>
        <v/>
      </c>
      <c r="E1892" s="14">
        <f>'Empleo Censo'!H1892</f>
        <v/>
      </c>
      <c r="F1892" s="14">
        <f>'Empleo Censo'!I1892</f>
        <v/>
      </c>
      <c r="G1892" s="14">
        <f>'Empleo Censo'!J1892+'Empleo Censo'!K1892</f>
        <v/>
      </c>
      <c r="H1892" s="14">
        <f>'Empleo Censo'!L1892</f>
        <v/>
      </c>
      <c r="I1892" s="14">
        <f>'Empleo Censo'!M1892</f>
        <v/>
      </c>
      <c r="J1892" s="14">
        <f>SUM('Empleo Censo'!N1892:AA1892)</f>
        <v/>
      </c>
      <c r="K1892" s="14">
        <f>SUM(C1892:J1892)</f>
        <v/>
      </c>
      <c r="L1892" s="15">
        <f>SUMPRODUCT(C1892:J1892,Factores!$B$3:$I$3)</f>
        <v/>
      </c>
      <c r="M1892" s="16">
        <f>'Empleo Censo'!E1892</f>
        <v/>
      </c>
      <c r="N1892" s="17">
        <f>IF(M1892&gt;0,L1892,Factores!$B$7)</f>
        <v/>
      </c>
      <c r="O1892">
        <f>IF(M1892&gt;0,"OK","sin PEA -&gt; peor")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2026-09-23T12:32:02Z</dcterms:created>
  <dcterms:modified xmlns:dcterms="http://purl.org/dc/terms/" xmlns:xsi="http://www.w3.org/2001/XMLSchema-instance" xsi:type="dcterms:W3CDTF">2026-09-23T12:32:03Z</dcterms:modified>
</cp:coreProperties>
</file>