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ia" sheetId="1" state="visible" r:id="rId1"/>
    <sheet xmlns:r="http://schemas.openxmlformats.org/officeDocument/2006/relationships" name="Rangos" sheetId="2" state="visible" r:id="rId2"/>
    <sheet xmlns:r="http://schemas.openxmlformats.org/officeDocument/2006/relationships" name="Ajuste" sheetId="3" state="visible" r:id="rId3"/>
    <sheet xmlns:r="http://schemas.openxmlformats.org/officeDocument/2006/relationships" name="rec_d" sheetId="4" state="visible" r:id="rId4"/>
    <sheet xmlns:r="http://schemas.openxmlformats.org/officeDocument/2006/relationships" name="Simulad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b val="1"/>
      <color rgb="00005F1E"/>
      <sz val="15"/>
    </font>
    <font>
      <color rgb="00333333"/>
      <sz val="11"/>
    </font>
    <font>
      <b val="1"/>
      <color rgb="00333333"/>
      <sz val="11"/>
    </font>
    <font>
      <color rgb="00808080"/>
      <sz val="10"/>
    </font>
    <font>
      <b val="1"/>
      <color rgb="00005F1E"/>
      <sz val="12"/>
    </font>
    <font>
      <b val="1"/>
      <color rgb="00FFFFFF"/>
      <sz val="10"/>
    </font>
    <font>
      <b val="1"/>
      <color rgb="00005F1E"/>
    </font>
    <font>
      <b val="1"/>
    </font>
    <font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6B3B"/>
      </patternFill>
    </fill>
    <fill>
      <patternFill patternType="solid">
        <fgColor rgb="00FFF3CD"/>
      </patternFill>
    </fill>
    <fill>
      <patternFill patternType="solid">
        <fgColor rgb="00E8F8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0" fillId="3" borderId="0" pivotButton="0" quotePrefix="0" xfId="0"/>
    <xf numFmtId="2" fontId="8" fillId="3" borderId="0" pivotButton="0" quotePrefix="0" xfId="0"/>
    <xf numFmtId="0" fontId="9" fillId="0" borderId="0" pivotButton="0" quotePrefix="0" xfId="0"/>
    <xf numFmtId="2" fontId="0" fillId="3" borderId="0" pivotButton="0" quotePrefix="0" xfId="0"/>
    <xf numFmtId="164" fontId="8" fillId="3" borderId="0" pivotButton="0" quotePrefix="0" xfId="0"/>
    <xf numFmtId="0" fontId="6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164" fontId="8" fillId="0" borderId="0" pivotButton="0" quotePrefix="0" xfId="0"/>
    <xf numFmtId="0" fontId="0" fillId="4" borderId="0" pivotButton="0" quotePrefix="0" xfId="0"/>
    <xf numFmtId="2" fontId="0" fillId="4" borderId="0" pivotButton="0" quotePrefix="0" xfId="0"/>
    <xf numFmtId="164" fontId="0" fillId="4" borderId="0" pivotButton="0" quotePrefix="0" xfId="0"/>
    <xf numFmtId="164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Recuperacion por departamento (rec_d) — Metodologia en 2 pasos</t>
        </is>
      </c>
    </row>
    <row r="4">
      <c r="B4" s="2" t="inlineStr">
        <is>
          <t>rec_d mide cuanto la actividad LOCAL cushiona el estres FEN.  ALTO=resiliente=atenua mas (entra al motor como (1 - wrec*rec_d)).  BAJO=lento=casi no atenua.</t>
        </is>
      </c>
    </row>
    <row r="6">
      <c r="B6" s="3" t="inlineStr">
        <is>
          <t>PASO 1 — Nivel base por el RANGO de meses de recuperacion (analogo Yaku-2023).</t>
        </is>
      </c>
    </row>
    <row r="7">
      <c r="B7" s="4" t="inlineStr">
        <is>
          <t xml:space="preserve">   m50 = media vida: meses del piso a recuperar 50% de la caida bajo su normal (indice IBK+ suavizado MA3).  Rangos (hoja 'Rangos', editable):</t>
        </is>
      </c>
    </row>
    <row r="8">
      <c r="B8" s="4" t="inlineStr">
        <is>
          <t xml:space="preserve">   Resiliente &lt;=3m=1,00  |  Moderada 4-6m=0,75  |  Normal 7-9m=0,50  |  Lenta &gt;9m=0,25.</t>
        </is>
      </c>
    </row>
    <row r="10">
      <c r="B10" s="3" t="inlineStr">
        <is>
          <t>PASO 2 — Ajuste por la pendiente 2026 (momentum), SIMETRICO, paso 0,125.</t>
        </is>
      </c>
    </row>
    <row r="11">
      <c r="B11" s="4" t="inlineStr">
        <is>
          <t xml:space="preserve">   senal = promedio(Abr-Set 2026) - promedio(Oct 2025-Mar 2026).  senal&gt;0 = mejora (sube) ; senal&lt;0 = caida (baja).</t>
        </is>
      </c>
    </row>
    <row r="12">
      <c r="B12" s="4" t="inlineStr">
        <is>
          <t xml:space="preserve">   Magnitud por lo pronunciada (hoja 'Ajuste', editable):  &lt;0,15 nada  |  0,15-0,5 leve 0,125  |  0,5-1,0 moderada 0,25  |  &gt;1,0 fuerte 0,375.  El signo lo da la direccion.</t>
        </is>
      </c>
    </row>
    <row r="14">
      <c r="B14" s="5" t="inlineStr">
        <is>
          <t>Formula (hoja 'rec_d'):   f_d = MAX(piso ; MIN(1 ; base_por_rango(m50) + signo(senal)*magnitud(|senal|)))</t>
        </is>
      </c>
    </row>
    <row r="16">
      <c r="B16" s="3" t="inlineStr">
        <is>
          <t>Fuente: IBK+ donde hay serie (12 deptos; Callao=Lima metro).  Las series SIN IBK+ se reemplazan por INFLACION (IPC ciudad INEI):</t>
        </is>
      </c>
    </row>
    <row r="17">
      <c r="B17" s="4" t="inlineStr">
        <is>
          <t xml:space="preserve">   base inflacion = meses de inflacion local por encima de la nacional tras la inundacion 2023 (misma escalera de meses).  senal = -(exceso 6m recientes - 6m previos)*2: inflacion subiendo = deterioro.</t>
        </is>
      </c>
    </row>
    <row r="19">
      <c r="B19" s="4" t="inlineStr">
        <is>
          <t>rec_d solo entra donde el gate FEN esta activo (costa Pacifico, pac=SI). En el interior (pac=no) no aplica al overlay.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</cols>
  <sheetData>
    <row r="1">
      <c r="A1" s="6" t="inlineStr">
        <is>
          <t>Nivel</t>
        </is>
      </c>
      <c r="B1" s="6" t="inlineStr">
        <is>
          <t>meses recup. hasta</t>
        </is>
      </c>
      <c r="C1" s="6" t="inlineStr">
        <is>
          <t>valor rec_d (base)</t>
        </is>
      </c>
    </row>
    <row r="2">
      <c r="A2" s="7" t="inlineStr">
        <is>
          <t>Resiliente</t>
        </is>
      </c>
      <c r="B2" s="8" t="n">
        <v>3</v>
      </c>
      <c r="C2" s="9" t="n">
        <v>1</v>
      </c>
    </row>
    <row r="3">
      <c r="A3" s="7" t="inlineStr">
        <is>
          <t>Moderada</t>
        </is>
      </c>
      <c r="B3" s="8" t="n">
        <v>6</v>
      </c>
      <c r="C3" s="9" t="n">
        <v>0.75</v>
      </c>
    </row>
    <row r="4">
      <c r="A4" s="7" t="inlineStr">
        <is>
          <t>Normal</t>
        </is>
      </c>
      <c r="B4" s="8" t="n">
        <v>9</v>
      </c>
      <c r="C4" s="9" t="n">
        <v>0.5</v>
      </c>
    </row>
    <row r="5">
      <c r="A5" s="7" t="inlineStr">
        <is>
          <t>Lenta</t>
        </is>
      </c>
      <c r="B5" t="inlineStr">
        <is>
          <t>(&gt; Normal)</t>
        </is>
      </c>
      <c r="C5" s="9" t="n">
        <v>0.25</v>
      </c>
    </row>
    <row r="6">
      <c r="A6" s="10" t="inlineStr">
        <is>
          <t>Editable: cortes de meses (col B) y valores (col 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</cols>
  <sheetData>
    <row r="1">
      <c r="A1" s="6" t="inlineStr">
        <is>
          <t>Momentum (|senal|)</t>
        </is>
      </c>
      <c r="B1" s="6" t="inlineStr">
        <is>
          <t>|senal| &lt;</t>
        </is>
      </c>
      <c r="C1" s="6" t="inlineStr">
        <is>
          <t>magnitud del paso</t>
        </is>
      </c>
    </row>
    <row r="2">
      <c r="A2" s="7" t="inlineStr">
        <is>
          <t>estable</t>
        </is>
      </c>
      <c r="B2" s="11" t="n">
        <v>0.15</v>
      </c>
      <c r="C2" s="12" t="n">
        <v>0</v>
      </c>
    </row>
    <row r="3">
      <c r="A3" s="7" t="inlineStr">
        <is>
          <t>leve</t>
        </is>
      </c>
      <c r="B3" s="11" t="n">
        <v>0.5</v>
      </c>
      <c r="C3" s="12" t="n">
        <v>0.125</v>
      </c>
    </row>
    <row r="4">
      <c r="A4" s="7" t="inlineStr">
        <is>
          <t>moderada</t>
        </is>
      </c>
      <c r="B4" s="11" t="n">
        <v>1</v>
      </c>
      <c r="C4" s="12" t="n">
        <v>0.25</v>
      </c>
    </row>
    <row r="5">
      <c r="A5" s="7" t="inlineStr">
        <is>
          <t>fuerte</t>
        </is>
      </c>
      <c r="B5" t="inlineStr">
        <is>
          <t>(mayor)</t>
        </is>
      </c>
      <c r="C5" s="12" t="n">
        <v>0.375</v>
      </c>
    </row>
    <row r="6">
      <c r="A6" s="10" t="inlineStr">
        <is>
          <t>SIMETRICO: el signo lo da la direccion (mejora sube, caida baja). Editable la magnitud.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17" customWidth="1" min="4" max="4"/>
    <col width="12" customWidth="1" min="5" max="5"/>
    <col width="15" customWidth="1" min="6" max="6"/>
    <col width="14" customWidth="1" min="7" max="7"/>
    <col width="18" customWidth="1" min="8" max="8"/>
    <col width="11" customWidth="1" min="9" max="9"/>
    <col width="15" customWidth="1" min="10" max="10"/>
    <col width="12" customWidth="1" min="11" max="11"/>
  </cols>
  <sheetData>
    <row r="1">
      <c r="A1" s="13" t="inlineStr">
        <is>
          <t>cod</t>
        </is>
      </c>
      <c r="B1" s="13" t="inlineStr">
        <is>
          <t>departamento</t>
        </is>
      </c>
      <c r="C1" s="13" t="inlineStr">
        <is>
          <t>pac (gate)</t>
        </is>
      </c>
      <c r="D1" s="13" t="inlineStr">
        <is>
          <t>fuente</t>
        </is>
      </c>
      <c r="E1" s="13" t="inlineStr">
        <is>
          <t>m50 (meses)</t>
        </is>
      </c>
      <c r="F1" s="13" t="inlineStr">
        <is>
          <t>prom 6m recientes</t>
        </is>
      </c>
      <c r="G1" s="13" t="inlineStr">
        <is>
          <t>prom 6m previos</t>
        </is>
      </c>
      <c r="H1" s="13" t="inlineStr">
        <is>
          <t>senal (mejora+/caida-)</t>
        </is>
      </c>
      <c r="I1" s="13" t="inlineStr">
        <is>
          <t>nivel base</t>
        </is>
      </c>
      <c r="J1" s="13" t="inlineStr">
        <is>
          <t>ajuste momentum</t>
        </is>
      </c>
      <c r="K1" s="13" t="inlineStr">
        <is>
          <t>rec_d FINAL</t>
        </is>
      </c>
    </row>
    <row r="2">
      <c r="A2" t="inlineStr">
        <is>
          <t>01</t>
        </is>
      </c>
      <c r="B2" t="inlineStr">
        <is>
          <t>Amazonas</t>
        </is>
      </c>
      <c r="C2" t="inlineStr">
        <is>
          <t>no</t>
        </is>
      </c>
      <c r="D2" t="inlineStr">
        <is>
          <t>Inflacion</t>
        </is>
      </c>
      <c r="E2" t="n">
        <v>3</v>
      </c>
      <c r="F2" s="14" t="n">
        <v>0.13</v>
      </c>
      <c r="G2" s="14" t="n">
        <v>-0.28</v>
      </c>
      <c r="H2" s="14" t="n">
        <v>-0.82</v>
      </c>
      <c r="I2" s="14">
        <f>IF(E2&lt;=Rangos!$B$2,Rangos!$C$2,IF(E2&lt;=Rangos!$B$3,Rangos!$C$3,IF(E2&lt;=Rangos!$B$4,Rangos!$C$4,Rangos!$C$5)))</f>
        <v/>
      </c>
      <c r="J2" s="15">
        <f>SIGN(H2)*IF(ABS(H2)&lt;Ajuste!$B$2,Ajuste!$C$2,IF(ABS(H2)&lt;Ajuste!$B$3,Ajuste!$C$3,IF(ABS(H2)&lt;Ajuste!$B$4,Ajuste!$C$4,Ajuste!$C$5)))</f>
        <v/>
      </c>
      <c r="K2" s="16">
        <f>MAX(Rangos!$C$5,MIN(1,I2+J2))</f>
        <v/>
      </c>
    </row>
    <row r="3">
      <c r="A3" s="17" t="inlineStr">
        <is>
          <t>02</t>
        </is>
      </c>
      <c r="B3" s="17" t="inlineStr">
        <is>
          <t>Ancash</t>
        </is>
      </c>
      <c r="C3" s="17" t="inlineStr">
        <is>
          <t>SI</t>
        </is>
      </c>
      <c r="D3" s="17" t="inlineStr">
        <is>
          <t>IBK+</t>
        </is>
      </c>
      <c r="E3" s="17" t="n">
        <v>7</v>
      </c>
      <c r="F3" s="18" t="n">
        <v>2.58</v>
      </c>
      <c r="G3" s="18" t="n">
        <v>1.99</v>
      </c>
      <c r="H3" s="18" t="n">
        <v>0.59</v>
      </c>
      <c r="I3" s="18">
        <f>IF(E3&lt;=Rangos!$B$2,Rangos!$C$2,IF(E3&lt;=Rangos!$B$3,Rangos!$C$3,IF(E3&lt;=Rangos!$B$4,Rangos!$C$4,Rangos!$C$5)))</f>
        <v/>
      </c>
      <c r="J3" s="19">
        <f>SIGN(H3)*IF(ABS(H3)&lt;Ajuste!$B$2,Ajuste!$C$2,IF(ABS(H3)&lt;Ajuste!$B$3,Ajuste!$C$3,IF(ABS(H3)&lt;Ajuste!$B$4,Ajuste!$C$4,Ajuste!$C$5)))</f>
        <v/>
      </c>
      <c r="K3" s="20">
        <f>MAX(Rangos!$C$5,MIN(1,I3+J3))</f>
        <v/>
      </c>
    </row>
    <row r="4">
      <c r="A4" t="inlineStr">
        <is>
          <t>03</t>
        </is>
      </c>
      <c r="B4" t="inlineStr">
        <is>
          <t>Apurimac</t>
        </is>
      </c>
      <c r="C4" t="inlineStr">
        <is>
          <t>no</t>
        </is>
      </c>
      <c r="D4" t="inlineStr">
        <is>
          <t>Inflacion</t>
        </is>
      </c>
      <c r="E4" t="n">
        <v>4</v>
      </c>
      <c r="F4" s="14" t="n">
        <v>0.22</v>
      </c>
      <c r="G4" s="14" t="n">
        <v>-0.14</v>
      </c>
      <c r="H4" s="14" t="n">
        <v>-0.72</v>
      </c>
      <c r="I4" s="14">
        <f>IF(E4&lt;=Rangos!$B$2,Rangos!$C$2,IF(E4&lt;=Rangos!$B$3,Rangos!$C$3,IF(E4&lt;=Rangos!$B$4,Rangos!$C$4,Rangos!$C$5)))</f>
        <v/>
      </c>
      <c r="J4" s="15">
        <f>SIGN(H4)*IF(ABS(H4)&lt;Ajuste!$B$2,Ajuste!$C$2,IF(ABS(H4)&lt;Ajuste!$B$3,Ajuste!$C$3,IF(ABS(H4)&lt;Ajuste!$B$4,Ajuste!$C$4,Ajuste!$C$5)))</f>
        <v/>
      </c>
      <c r="K4" s="16">
        <f>MAX(Rangos!$C$5,MIN(1,I4+J4))</f>
        <v/>
      </c>
    </row>
    <row r="5">
      <c r="A5" s="17" t="inlineStr">
        <is>
          <t>04</t>
        </is>
      </c>
      <c r="B5" s="17" t="inlineStr">
        <is>
          <t>Arequipa</t>
        </is>
      </c>
      <c r="C5" s="17" t="inlineStr">
        <is>
          <t>SI</t>
        </is>
      </c>
      <c r="D5" s="17" t="inlineStr">
        <is>
          <t>IBK+</t>
        </is>
      </c>
      <c r="E5" s="17" t="n">
        <v>4</v>
      </c>
      <c r="F5" s="18" t="n">
        <v>3.22</v>
      </c>
      <c r="G5" s="18" t="n">
        <v>2.81</v>
      </c>
      <c r="H5" s="18" t="n">
        <v>0.41</v>
      </c>
      <c r="I5" s="18">
        <f>IF(E5&lt;=Rangos!$B$2,Rangos!$C$2,IF(E5&lt;=Rangos!$B$3,Rangos!$C$3,IF(E5&lt;=Rangos!$B$4,Rangos!$C$4,Rangos!$C$5)))</f>
        <v/>
      </c>
      <c r="J5" s="19">
        <f>SIGN(H5)*IF(ABS(H5)&lt;Ajuste!$B$2,Ajuste!$C$2,IF(ABS(H5)&lt;Ajuste!$B$3,Ajuste!$C$3,IF(ABS(H5)&lt;Ajuste!$B$4,Ajuste!$C$4,Ajuste!$C$5)))</f>
        <v/>
      </c>
      <c r="K5" s="20">
        <f>MAX(Rangos!$C$5,MIN(1,I5+J5))</f>
        <v/>
      </c>
    </row>
    <row r="6">
      <c r="A6" t="inlineStr">
        <is>
          <t>05</t>
        </is>
      </c>
      <c r="B6" t="inlineStr">
        <is>
          <t>Ayacucho</t>
        </is>
      </c>
      <c r="C6" t="inlineStr">
        <is>
          <t>no</t>
        </is>
      </c>
      <c r="D6" t="inlineStr">
        <is>
          <t>Inflacion</t>
        </is>
      </c>
      <c r="E6" t="n">
        <v>3</v>
      </c>
      <c r="F6" s="14" t="n">
        <v>0.02</v>
      </c>
      <c r="G6" s="14" t="n">
        <v>-0.21</v>
      </c>
      <c r="H6" s="14" t="n">
        <v>-0.46</v>
      </c>
      <c r="I6" s="14">
        <f>IF(E6&lt;=Rangos!$B$2,Rangos!$C$2,IF(E6&lt;=Rangos!$B$3,Rangos!$C$3,IF(E6&lt;=Rangos!$B$4,Rangos!$C$4,Rangos!$C$5)))</f>
        <v/>
      </c>
      <c r="J6" s="15">
        <f>SIGN(H6)*IF(ABS(H6)&lt;Ajuste!$B$2,Ajuste!$C$2,IF(ABS(H6)&lt;Ajuste!$B$3,Ajuste!$C$3,IF(ABS(H6)&lt;Ajuste!$B$4,Ajuste!$C$4,Ajuste!$C$5)))</f>
        <v/>
      </c>
      <c r="K6" s="16">
        <f>MAX(Rangos!$C$5,MIN(1,I6+J6))</f>
        <v/>
      </c>
    </row>
    <row r="7">
      <c r="A7" t="inlineStr">
        <is>
          <t>06</t>
        </is>
      </c>
      <c r="B7" t="inlineStr">
        <is>
          <t>Cajamarca</t>
        </is>
      </c>
      <c r="C7" t="inlineStr">
        <is>
          <t>no</t>
        </is>
      </c>
      <c r="D7" t="inlineStr">
        <is>
          <t>IBK+</t>
        </is>
      </c>
      <c r="E7" t="n">
        <v>7</v>
      </c>
      <c r="F7" s="14" t="n">
        <v>2.03</v>
      </c>
      <c r="G7" s="14" t="n">
        <v>2.71</v>
      </c>
      <c r="H7" s="14" t="n">
        <v>-0.68</v>
      </c>
      <c r="I7" s="14">
        <f>IF(E7&lt;=Rangos!$B$2,Rangos!$C$2,IF(E7&lt;=Rangos!$B$3,Rangos!$C$3,IF(E7&lt;=Rangos!$B$4,Rangos!$C$4,Rangos!$C$5)))</f>
        <v/>
      </c>
      <c r="J7" s="15">
        <f>SIGN(H7)*IF(ABS(H7)&lt;Ajuste!$B$2,Ajuste!$C$2,IF(ABS(H7)&lt;Ajuste!$B$3,Ajuste!$C$3,IF(ABS(H7)&lt;Ajuste!$B$4,Ajuste!$C$4,Ajuste!$C$5)))</f>
        <v/>
      </c>
      <c r="K7" s="16">
        <f>MAX(Rangos!$C$5,MIN(1,I7+J7))</f>
        <v/>
      </c>
    </row>
    <row r="8">
      <c r="A8" s="17" t="inlineStr">
        <is>
          <t>07</t>
        </is>
      </c>
      <c r="B8" s="17" t="inlineStr">
        <is>
          <t>Callao</t>
        </is>
      </c>
      <c r="C8" s="17" t="inlineStr">
        <is>
          <t>SI</t>
        </is>
      </c>
      <c r="D8" s="17" t="inlineStr">
        <is>
          <t>IBK+ (Lima/metro)</t>
        </is>
      </c>
      <c r="E8" s="17" t="n">
        <v>5</v>
      </c>
      <c r="F8" s="18" t="n">
        <v>3.87</v>
      </c>
      <c r="G8" s="18" t="n">
        <v>3.52</v>
      </c>
      <c r="H8" s="18" t="n">
        <v>0.35</v>
      </c>
      <c r="I8" s="18">
        <f>IF(E8&lt;=Rangos!$B$2,Rangos!$C$2,IF(E8&lt;=Rangos!$B$3,Rangos!$C$3,IF(E8&lt;=Rangos!$B$4,Rangos!$C$4,Rangos!$C$5)))</f>
        <v/>
      </c>
      <c r="J8" s="19">
        <f>SIGN(H8)*IF(ABS(H8)&lt;Ajuste!$B$2,Ajuste!$C$2,IF(ABS(H8)&lt;Ajuste!$B$3,Ajuste!$C$3,IF(ABS(H8)&lt;Ajuste!$B$4,Ajuste!$C$4,Ajuste!$C$5)))</f>
        <v/>
      </c>
      <c r="K8" s="20">
        <f>MAX(Rangos!$C$5,MIN(1,I8+J8))</f>
        <v/>
      </c>
    </row>
    <row r="9">
      <c r="A9" t="inlineStr">
        <is>
          <t>08</t>
        </is>
      </c>
      <c r="B9" t="inlineStr">
        <is>
          <t>Cusco</t>
        </is>
      </c>
      <c r="C9" t="inlineStr">
        <is>
          <t>no</t>
        </is>
      </c>
      <c r="D9" t="inlineStr">
        <is>
          <t>IBK+</t>
        </is>
      </c>
      <c r="E9" t="n">
        <v>6</v>
      </c>
      <c r="F9" s="14" t="n">
        <v>3.02</v>
      </c>
      <c r="G9" s="14" t="n">
        <v>2.13</v>
      </c>
      <c r="H9" s="14" t="n">
        <v>0.89</v>
      </c>
      <c r="I9" s="14">
        <f>IF(E9&lt;=Rangos!$B$2,Rangos!$C$2,IF(E9&lt;=Rangos!$B$3,Rangos!$C$3,IF(E9&lt;=Rangos!$B$4,Rangos!$C$4,Rangos!$C$5)))</f>
        <v/>
      </c>
      <c r="J9" s="15">
        <f>SIGN(H9)*IF(ABS(H9)&lt;Ajuste!$B$2,Ajuste!$C$2,IF(ABS(H9)&lt;Ajuste!$B$3,Ajuste!$C$3,IF(ABS(H9)&lt;Ajuste!$B$4,Ajuste!$C$4,Ajuste!$C$5)))</f>
        <v/>
      </c>
      <c r="K9" s="16">
        <f>MAX(Rangos!$C$5,MIN(1,I9+J9))</f>
        <v/>
      </c>
    </row>
    <row r="10">
      <c r="A10" t="inlineStr">
        <is>
          <t>09</t>
        </is>
      </c>
      <c r="B10" t="inlineStr">
        <is>
          <t>Huancavelica</t>
        </is>
      </c>
      <c r="C10" t="inlineStr">
        <is>
          <t>no</t>
        </is>
      </c>
      <c r="D10" t="inlineStr">
        <is>
          <t>Inflacion</t>
        </is>
      </c>
      <c r="E10" t="n">
        <v>5</v>
      </c>
      <c r="F10" s="14" t="n">
        <v>0.25</v>
      </c>
      <c r="G10" s="14" t="n">
        <v>-0.3</v>
      </c>
      <c r="H10" s="14" t="n">
        <v>-1.1</v>
      </c>
      <c r="I10" s="14">
        <f>IF(E10&lt;=Rangos!$B$2,Rangos!$C$2,IF(E10&lt;=Rangos!$B$3,Rangos!$C$3,IF(E10&lt;=Rangos!$B$4,Rangos!$C$4,Rangos!$C$5)))</f>
        <v/>
      </c>
      <c r="J10" s="15">
        <f>SIGN(H10)*IF(ABS(H10)&lt;Ajuste!$B$2,Ajuste!$C$2,IF(ABS(H10)&lt;Ajuste!$B$3,Ajuste!$C$3,IF(ABS(H10)&lt;Ajuste!$B$4,Ajuste!$C$4,Ajuste!$C$5)))</f>
        <v/>
      </c>
      <c r="K10" s="16">
        <f>MAX(Rangos!$C$5,MIN(1,I10+J10))</f>
        <v/>
      </c>
    </row>
    <row r="11">
      <c r="A11" t="inlineStr">
        <is>
          <t>10</t>
        </is>
      </c>
      <c r="B11" t="inlineStr">
        <is>
          <t>Huanuco</t>
        </is>
      </c>
      <c r="C11" t="inlineStr">
        <is>
          <t>no</t>
        </is>
      </c>
      <c r="D11" t="inlineStr">
        <is>
          <t>Inflacion</t>
        </is>
      </c>
      <c r="E11" t="n">
        <v>2</v>
      </c>
      <c r="F11" s="14" t="n">
        <v>-0.25</v>
      </c>
      <c r="G11" s="14" t="n">
        <v>-0.06</v>
      </c>
      <c r="H11" s="14" t="n">
        <v>0.38</v>
      </c>
      <c r="I11" s="14">
        <f>IF(E11&lt;=Rangos!$B$2,Rangos!$C$2,IF(E11&lt;=Rangos!$B$3,Rangos!$C$3,IF(E11&lt;=Rangos!$B$4,Rangos!$C$4,Rangos!$C$5)))</f>
        <v/>
      </c>
      <c r="J11" s="15">
        <f>SIGN(H11)*IF(ABS(H11)&lt;Ajuste!$B$2,Ajuste!$C$2,IF(ABS(H11)&lt;Ajuste!$B$3,Ajuste!$C$3,IF(ABS(H11)&lt;Ajuste!$B$4,Ajuste!$C$4,Ajuste!$C$5)))</f>
        <v/>
      </c>
      <c r="K11" s="16">
        <f>MAX(Rangos!$C$5,MIN(1,I11+J11))</f>
        <v/>
      </c>
    </row>
    <row r="12">
      <c r="A12" s="17" t="inlineStr">
        <is>
          <t>11</t>
        </is>
      </c>
      <c r="B12" s="17" t="inlineStr">
        <is>
          <t>Ica</t>
        </is>
      </c>
      <c r="C12" s="17" t="inlineStr">
        <is>
          <t>SI</t>
        </is>
      </c>
      <c r="D12" s="17" t="inlineStr">
        <is>
          <t>IBK+</t>
        </is>
      </c>
      <c r="E12" s="17" t="n">
        <v>18</v>
      </c>
      <c r="F12" s="18" t="n">
        <v>4.05</v>
      </c>
      <c r="G12" s="18" t="n">
        <v>3.59</v>
      </c>
      <c r="H12" s="18" t="n">
        <v>0.46</v>
      </c>
      <c r="I12" s="18">
        <f>IF(E12&lt;=Rangos!$B$2,Rangos!$C$2,IF(E12&lt;=Rangos!$B$3,Rangos!$C$3,IF(E12&lt;=Rangos!$B$4,Rangos!$C$4,Rangos!$C$5)))</f>
        <v/>
      </c>
      <c r="J12" s="19">
        <f>SIGN(H12)*IF(ABS(H12)&lt;Ajuste!$B$2,Ajuste!$C$2,IF(ABS(H12)&lt;Ajuste!$B$3,Ajuste!$C$3,IF(ABS(H12)&lt;Ajuste!$B$4,Ajuste!$C$4,Ajuste!$C$5)))</f>
        <v/>
      </c>
      <c r="K12" s="20">
        <f>MAX(Rangos!$C$5,MIN(1,I12+J12))</f>
        <v/>
      </c>
    </row>
    <row r="13">
      <c r="A13" t="inlineStr">
        <is>
          <t>12</t>
        </is>
      </c>
      <c r="B13" t="inlineStr">
        <is>
          <t>Junin</t>
        </is>
      </c>
      <c r="C13" t="inlineStr">
        <is>
          <t>no</t>
        </is>
      </c>
      <c r="D13" t="inlineStr">
        <is>
          <t>IBK+</t>
        </is>
      </c>
      <c r="E13" t="n">
        <v>5</v>
      </c>
      <c r="F13" s="14" t="n">
        <v>1.87</v>
      </c>
      <c r="G13" s="14" t="n">
        <v>1.76</v>
      </c>
      <c r="H13" s="14" t="n">
        <v>0.11</v>
      </c>
      <c r="I13" s="14">
        <f>IF(E13&lt;=Rangos!$B$2,Rangos!$C$2,IF(E13&lt;=Rangos!$B$3,Rangos!$C$3,IF(E13&lt;=Rangos!$B$4,Rangos!$C$4,Rangos!$C$5)))</f>
        <v/>
      </c>
      <c r="J13" s="15">
        <f>SIGN(H13)*IF(ABS(H13)&lt;Ajuste!$B$2,Ajuste!$C$2,IF(ABS(H13)&lt;Ajuste!$B$3,Ajuste!$C$3,IF(ABS(H13)&lt;Ajuste!$B$4,Ajuste!$C$4,Ajuste!$C$5)))</f>
        <v/>
      </c>
      <c r="K13" s="16">
        <f>MAX(Rangos!$C$5,MIN(1,I13+J13))</f>
        <v/>
      </c>
    </row>
    <row r="14">
      <c r="A14" s="17" t="inlineStr">
        <is>
          <t>13</t>
        </is>
      </c>
      <c r="B14" s="17" t="inlineStr">
        <is>
          <t>La Libertad</t>
        </is>
      </c>
      <c r="C14" s="17" t="inlineStr">
        <is>
          <t>SI</t>
        </is>
      </c>
      <c r="D14" s="17" t="inlineStr">
        <is>
          <t>IBK+</t>
        </is>
      </c>
      <c r="E14" s="17" t="n">
        <v>5</v>
      </c>
      <c r="F14" s="18" t="n">
        <v>2.87</v>
      </c>
      <c r="G14" s="18" t="n">
        <v>2.7</v>
      </c>
      <c r="H14" s="18" t="n">
        <v>0.17</v>
      </c>
      <c r="I14" s="18">
        <f>IF(E14&lt;=Rangos!$B$2,Rangos!$C$2,IF(E14&lt;=Rangos!$B$3,Rangos!$C$3,IF(E14&lt;=Rangos!$B$4,Rangos!$C$4,Rangos!$C$5)))</f>
        <v/>
      </c>
      <c r="J14" s="19">
        <f>SIGN(H14)*IF(ABS(H14)&lt;Ajuste!$B$2,Ajuste!$C$2,IF(ABS(H14)&lt;Ajuste!$B$3,Ajuste!$C$3,IF(ABS(H14)&lt;Ajuste!$B$4,Ajuste!$C$4,Ajuste!$C$5)))</f>
        <v/>
      </c>
      <c r="K14" s="20">
        <f>MAX(Rangos!$C$5,MIN(1,I14+J14))</f>
        <v/>
      </c>
    </row>
    <row r="15">
      <c r="A15" s="17" t="inlineStr">
        <is>
          <t>14</t>
        </is>
      </c>
      <c r="B15" s="17" t="inlineStr">
        <is>
          <t>Lambayeque</t>
        </is>
      </c>
      <c r="C15" s="17" t="inlineStr">
        <is>
          <t>SI</t>
        </is>
      </c>
      <c r="D15" s="17" t="inlineStr">
        <is>
          <t>IBK+</t>
        </is>
      </c>
      <c r="E15" s="17" t="n">
        <v>3</v>
      </c>
      <c r="F15" s="18" t="n">
        <v>1.1</v>
      </c>
      <c r="G15" s="18" t="n">
        <v>2.49</v>
      </c>
      <c r="H15" s="18" t="n">
        <v>-1.39</v>
      </c>
      <c r="I15" s="18">
        <f>IF(E15&lt;=Rangos!$B$2,Rangos!$C$2,IF(E15&lt;=Rangos!$B$3,Rangos!$C$3,IF(E15&lt;=Rangos!$B$4,Rangos!$C$4,Rangos!$C$5)))</f>
        <v/>
      </c>
      <c r="J15" s="19">
        <f>SIGN(H15)*IF(ABS(H15)&lt;Ajuste!$B$2,Ajuste!$C$2,IF(ABS(H15)&lt;Ajuste!$B$3,Ajuste!$C$3,IF(ABS(H15)&lt;Ajuste!$B$4,Ajuste!$C$4,Ajuste!$C$5)))</f>
        <v/>
      </c>
      <c r="K15" s="20">
        <f>MAX(Rangos!$C$5,MIN(1,I15+J15))</f>
        <v/>
      </c>
    </row>
    <row r="16">
      <c r="A16" s="17" t="inlineStr">
        <is>
          <t>15</t>
        </is>
      </c>
      <c r="B16" s="17" t="inlineStr">
        <is>
          <t>Lima</t>
        </is>
      </c>
      <c r="C16" s="17" t="inlineStr">
        <is>
          <t>SI</t>
        </is>
      </c>
      <c r="D16" s="17" t="inlineStr">
        <is>
          <t>IBK+</t>
        </is>
      </c>
      <c r="E16" s="17" t="n">
        <v>5</v>
      </c>
      <c r="F16" s="18" t="n">
        <v>3.87</v>
      </c>
      <c r="G16" s="18" t="n">
        <v>3.52</v>
      </c>
      <c r="H16" s="18" t="n">
        <v>0.35</v>
      </c>
      <c r="I16" s="18">
        <f>IF(E16&lt;=Rangos!$B$2,Rangos!$C$2,IF(E16&lt;=Rangos!$B$3,Rangos!$C$3,IF(E16&lt;=Rangos!$B$4,Rangos!$C$4,Rangos!$C$5)))</f>
        <v/>
      </c>
      <c r="J16" s="19">
        <f>SIGN(H16)*IF(ABS(H16)&lt;Ajuste!$B$2,Ajuste!$C$2,IF(ABS(H16)&lt;Ajuste!$B$3,Ajuste!$C$3,IF(ABS(H16)&lt;Ajuste!$B$4,Ajuste!$C$4,Ajuste!$C$5)))</f>
        <v/>
      </c>
      <c r="K16" s="20">
        <f>MAX(Rangos!$C$5,MIN(1,I16+J16))</f>
        <v/>
      </c>
    </row>
    <row r="17">
      <c r="A17" t="inlineStr">
        <is>
          <t>16</t>
        </is>
      </c>
      <c r="B17" t="inlineStr">
        <is>
          <t>Loreto</t>
        </is>
      </c>
      <c r="C17" t="inlineStr">
        <is>
          <t>no</t>
        </is>
      </c>
      <c r="D17" t="inlineStr">
        <is>
          <t>IBK+</t>
        </is>
      </c>
      <c r="E17" t="n">
        <v>9</v>
      </c>
      <c r="F17" s="14" t="n">
        <v>2.45</v>
      </c>
      <c r="G17" s="14" t="n">
        <v>2.56</v>
      </c>
      <c r="H17" s="14" t="n">
        <v>-0.11</v>
      </c>
      <c r="I17" s="14">
        <f>IF(E17&lt;=Rangos!$B$2,Rangos!$C$2,IF(E17&lt;=Rangos!$B$3,Rangos!$C$3,IF(E17&lt;=Rangos!$B$4,Rangos!$C$4,Rangos!$C$5)))</f>
        <v/>
      </c>
      <c r="J17" s="15">
        <f>SIGN(H17)*IF(ABS(H17)&lt;Ajuste!$B$2,Ajuste!$C$2,IF(ABS(H17)&lt;Ajuste!$B$3,Ajuste!$C$3,IF(ABS(H17)&lt;Ajuste!$B$4,Ajuste!$C$4,Ajuste!$C$5)))</f>
        <v/>
      </c>
      <c r="K17" s="16">
        <f>MAX(Rangos!$C$5,MIN(1,I17+J17))</f>
        <v/>
      </c>
    </row>
    <row r="18">
      <c r="A18" t="inlineStr">
        <is>
          <t>17</t>
        </is>
      </c>
      <c r="B18" t="inlineStr">
        <is>
          <t>Madre de Dios</t>
        </is>
      </c>
      <c r="C18" t="inlineStr">
        <is>
          <t>no</t>
        </is>
      </c>
      <c r="D18" t="inlineStr">
        <is>
          <t>Inflacion</t>
        </is>
      </c>
      <c r="E18" t="n">
        <v>4</v>
      </c>
      <c r="F18" s="14" t="n">
        <v>0.67</v>
      </c>
      <c r="G18" s="14" t="n">
        <v>0.15</v>
      </c>
      <c r="H18" s="14" t="n">
        <v>-1.04</v>
      </c>
      <c r="I18" s="14">
        <f>IF(E18&lt;=Rangos!$B$2,Rangos!$C$2,IF(E18&lt;=Rangos!$B$3,Rangos!$C$3,IF(E18&lt;=Rangos!$B$4,Rangos!$C$4,Rangos!$C$5)))</f>
        <v/>
      </c>
      <c r="J18" s="15">
        <f>SIGN(H18)*IF(ABS(H18)&lt;Ajuste!$B$2,Ajuste!$C$2,IF(ABS(H18)&lt;Ajuste!$B$3,Ajuste!$C$3,IF(ABS(H18)&lt;Ajuste!$B$4,Ajuste!$C$4,Ajuste!$C$5)))</f>
        <v/>
      </c>
      <c r="K18" s="16">
        <f>MAX(Rangos!$C$5,MIN(1,I18+J18))</f>
        <v/>
      </c>
    </row>
    <row r="19">
      <c r="A19" s="17" t="inlineStr">
        <is>
          <t>18</t>
        </is>
      </c>
      <c r="B19" s="17" t="inlineStr">
        <is>
          <t>Moquegua</t>
        </is>
      </c>
      <c r="C19" s="17" t="inlineStr">
        <is>
          <t>SI</t>
        </is>
      </c>
      <c r="D19" s="17" t="inlineStr">
        <is>
          <t>Inflacion</t>
        </is>
      </c>
      <c r="E19" s="17" t="n">
        <v>2</v>
      </c>
      <c r="F19" s="18" t="n">
        <v>0.16</v>
      </c>
      <c r="G19" s="18" t="n">
        <v>0.02</v>
      </c>
      <c r="H19" s="18" t="n">
        <v>-0.28</v>
      </c>
      <c r="I19" s="18">
        <f>IF(E19&lt;=Rangos!$B$2,Rangos!$C$2,IF(E19&lt;=Rangos!$B$3,Rangos!$C$3,IF(E19&lt;=Rangos!$B$4,Rangos!$C$4,Rangos!$C$5)))</f>
        <v/>
      </c>
      <c r="J19" s="19">
        <f>SIGN(H19)*IF(ABS(H19)&lt;Ajuste!$B$2,Ajuste!$C$2,IF(ABS(H19)&lt;Ajuste!$B$3,Ajuste!$C$3,IF(ABS(H19)&lt;Ajuste!$B$4,Ajuste!$C$4,Ajuste!$C$5)))</f>
        <v/>
      </c>
      <c r="K19" s="20">
        <f>MAX(Rangos!$C$5,MIN(1,I19+J19))</f>
        <v/>
      </c>
    </row>
    <row r="20">
      <c r="A20" t="inlineStr">
        <is>
          <t>19</t>
        </is>
      </c>
      <c r="B20" t="inlineStr">
        <is>
          <t>Pasco</t>
        </is>
      </c>
      <c r="C20" t="inlineStr">
        <is>
          <t>no</t>
        </is>
      </c>
      <c r="D20" t="inlineStr">
        <is>
          <t>Inflacion</t>
        </is>
      </c>
      <c r="E20" t="n">
        <v>1</v>
      </c>
      <c r="F20" s="14" t="n">
        <v>0.19</v>
      </c>
      <c r="G20" s="14" t="n">
        <v>-0.14</v>
      </c>
      <c r="H20" s="14" t="n">
        <v>-0.66</v>
      </c>
      <c r="I20" s="14">
        <f>IF(E20&lt;=Rangos!$B$2,Rangos!$C$2,IF(E20&lt;=Rangos!$B$3,Rangos!$C$3,IF(E20&lt;=Rangos!$B$4,Rangos!$C$4,Rangos!$C$5)))</f>
        <v/>
      </c>
      <c r="J20" s="15">
        <f>SIGN(H20)*IF(ABS(H20)&lt;Ajuste!$B$2,Ajuste!$C$2,IF(ABS(H20)&lt;Ajuste!$B$3,Ajuste!$C$3,IF(ABS(H20)&lt;Ajuste!$B$4,Ajuste!$C$4,Ajuste!$C$5)))</f>
        <v/>
      </c>
      <c r="K20" s="16">
        <f>MAX(Rangos!$C$5,MIN(1,I20+J20))</f>
        <v/>
      </c>
    </row>
    <row r="21">
      <c r="A21" s="17" t="inlineStr">
        <is>
          <t>20</t>
        </is>
      </c>
      <c r="B21" s="17" t="inlineStr">
        <is>
          <t>Piura</t>
        </is>
      </c>
      <c r="C21" s="17" t="inlineStr">
        <is>
          <t>SI</t>
        </is>
      </c>
      <c r="D21" s="17" t="inlineStr">
        <is>
          <t>IBK+</t>
        </is>
      </c>
      <c r="E21" s="17" t="n">
        <v>7</v>
      </c>
      <c r="F21" s="18" t="n">
        <v>3.33</v>
      </c>
      <c r="G21" s="18" t="n">
        <v>3.11</v>
      </c>
      <c r="H21" s="18" t="n">
        <v>0.22</v>
      </c>
      <c r="I21" s="18">
        <f>IF(E21&lt;=Rangos!$B$2,Rangos!$C$2,IF(E21&lt;=Rangos!$B$3,Rangos!$C$3,IF(E21&lt;=Rangos!$B$4,Rangos!$C$4,Rangos!$C$5)))</f>
        <v/>
      </c>
      <c r="J21" s="19">
        <f>SIGN(H21)*IF(ABS(H21)&lt;Ajuste!$B$2,Ajuste!$C$2,IF(ABS(H21)&lt;Ajuste!$B$3,Ajuste!$C$3,IF(ABS(H21)&lt;Ajuste!$B$4,Ajuste!$C$4,Ajuste!$C$5)))</f>
        <v/>
      </c>
      <c r="K21" s="20">
        <f>MAX(Rangos!$C$5,MIN(1,I21+J21))</f>
        <v/>
      </c>
    </row>
    <row r="22">
      <c r="A22" t="inlineStr">
        <is>
          <t>21</t>
        </is>
      </c>
      <c r="B22" t="inlineStr">
        <is>
          <t>Puno</t>
        </is>
      </c>
      <c r="C22" t="inlineStr">
        <is>
          <t>no</t>
        </is>
      </c>
      <c r="D22" t="inlineStr">
        <is>
          <t>IBK+</t>
        </is>
      </c>
      <c r="E22" t="n">
        <v>10</v>
      </c>
      <c r="F22" s="14" t="n">
        <v>2.63</v>
      </c>
      <c r="G22" s="14" t="n">
        <v>2.22</v>
      </c>
      <c r="H22" s="14" t="n">
        <v>0.41</v>
      </c>
      <c r="I22" s="14">
        <f>IF(E22&lt;=Rangos!$B$2,Rangos!$C$2,IF(E22&lt;=Rangos!$B$3,Rangos!$C$3,IF(E22&lt;=Rangos!$B$4,Rangos!$C$4,Rangos!$C$5)))</f>
        <v/>
      </c>
      <c r="J22" s="15">
        <f>SIGN(H22)*IF(ABS(H22)&lt;Ajuste!$B$2,Ajuste!$C$2,IF(ABS(H22)&lt;Ajuste!$B$3,Ajuste!$C$3,IF(ABS(H22)&lt;Ajuste!$B$4,Ajuste!$C$4,Ajuste!$C$5)))</f>
        <v/>
      </c>
      <c r="K22" s="16">
        <f>MAX(Rangos!$C$5,MIN(1,I22+J22))</f>
        <v/>
      </c>
    </row>
    <row r="23">
      <c r="A23" t="inlineStr">
        <is>
          <t>22</t>
        </is>
      </c>
      <c r="B23" t="inlineStr">
        <is>
          <t>San Martin</t>
        </is>
      </c>
      <c r="C23" t="inlineStr">
        <is>
          <t>no</t>
        </is>
      </c>
      <c r="D23" t="inlineStr">
        <is>
          <t>Inflacion</t>
        </is>
      </c>
      <c r="E23" t="n">
        <v>4</v>
      </c>
      <c r="F23" s="14" t="n">
        <v>0.06</v>
      </c>
      <c r="G23" s="14" t="n">
        <v>-0.22</v>
      </c>
      <c r="H23" s="14" t="n">
        <v>-0.5600000000000001</v>
      </c>
      <c r="I23" s="14">
        <f>IF(E23&lt;=Rangos!$B$2,Rangos!$C$2,IF(E23&lt;=Rangos!$B$3,Rangos!$C$3,IF(E23&lt;=Rangos!$B$4,Rangos!$C$4,Rangos!$C$5)))</f>
        <v/>
      </c>
      <c r="J23" s="15">
        <f>SIGN(H23)*IF(ABS(H23)&lt;Ajuste!$B$2,Ajuste!$C$2,IF(ABS(H23)&lt;Ajuste!$B$3,Ajuste!$C$3,IF(ABS(H23)&lt;Ajuste!$B$4,Ajuste!$C$4,Ajuste!$C$5)))</f>
        <v/>
      </c>
      <c r="K23" s="16">
        <f>MAX(Rangos!$C$5,MIN(1,I23+J23))</f>
        <v/>
      </c>
    </row>
    <row r="24">
      <c r="A24" s="17" t="inlineStr">
        <is>
          <t>23</t>
        </is>
      </c>
      <c r="B24" s="17" t="inlineStr">
        <is>
          <t>Tacna</t>
        </is>
      </c>
      <c r="C24" s="17" t="inlineStr">
        <is>
          <t>SI</t>
        </is>
      </c>
      <c r="D24" s="17" t="inlineStr">
        <is>
          <t>Inflacion</t>
        </is>
      </c>
      <c r="E24" s="17" t="n">
        <v>2</v>
      </c>
      <c r="F24" s="18" t="n">
        <v>-0.06</v>
      </c>
      <c r="G24" s="18" t="n">
        <v>-0.1</v>
      </c>
      <c r="H24" s="18" t="n">
        <v>-0.08</v>
      </c>
      <c r="I24" s="18">
        <f>IF(E24&lt;=Rangos!$B$2,Rangos!$C$2,IF(E24&lt;=Rangos!$B$3,Rangos!$C$3,IF(E24&lt;=Rangos!$B$4,Rangos!$C$4,Rangos!$C$5)))</f>
        <v/>
      </c>
      <c r="J24" s="19">
        <f>SIGN(H24)*IF(ABS(H24)&lt;Ajuste!$B$2,Ajuste!$C$2,IF(ABS(H24)&lt;Ajuste!$B$3,Ajuste!$C$3,IF(ABS(H24)&lt;Ajuste!$B$4,Ajuste!$C$4,Ajuste!$C$5)))</f>
        <v/>
      </c>
      <c r="K24" s="20">
        <f>MAX(Rangos!$C$5,MIN(1,I24+J24))</f>
        <v/>
      </c>
    </row>
    <row r="25">
      <c r="A25" s="17" t="inlineStr">
        <is>
          <t>24</t>
        </is>
      </c>
      <c r="B25" s="17" t="inlineStr">
        <is>
          <t>Tumbes</t>
        </is>
      </c>
      <c r="C25" s="17" t="inlineStr">
        <is>
          <t>SI</t>
        </is>
      </c>
      <c r="D25" s="17" t="inlineStr">
        <is>
          <t>Inflacion</t>
        </is>
      </c>
      <c r="E25" s="17" t="n">
        <v>6</v>
      </c>
      <c r="F25" s="18" t="n">
        <v>-0.02</v>
      </c>
      <c r="G25" s="18" t="n">
        <v>-0.5</v>
      </c>
      <c r="H25" s="18" t="n">
        <v>-0.96</v>
      </c>
      <c r="I25" s="18">
        <f>IF(E25&lt;=Rangos!$B$2,Rangos!$C$2,IF(E25&lt;=Rangos!$B$3,Rangos!$C$3,IF(E25&lt;=Rangos!$B$4,Rangos!$C$4,Rangos!$C$5)))</f>
        <v/>
      </c>
      <c r="J25" s="19">
        <f>SIGN(H25)*IF(ABS(H25)&lt;Ajuste!$B$2,Ajuste!$C$2,IF(ABS(H25)&lt;Ajuste!$B$3,Ajuste!$C$3,IF(ABS(H25)&lt;Ajuste!$B$4,Ajuste!$C$4,Ajuste!$C$5)))</f>
        <v/>
      </c>
      <c r="K25" s="20">
        <f>MAX(Rangos!$C$5,MIN(1,I25+J25))</f>
        <v/>
      </c>
    </row>
    <row r="26">
      <c r="A26" t="inlineStr">
        <is>
          <t>25</t>
        </is>
      </c>
      <c r="B26" t="inlineStr">
        <is>
          <t>Ucayali</t>
        </is>
      </c>
      <c r="C26" t="inlineStr">
        <is>
          <t>no</t>
        </is>
      </c>
      <c r="D26" t="inlineStr">
        <is>
          <t>Inflacion</t>
        </is>
      </c>
      <c r="E26" t="n">
        <v>2</v>
      </c>
      <c r="F26" s="14" t="n">
        <v>-0.01</v>
      </c>
      <c r="G26" s="14" t="n">
        <v>-0.05</v>
      </c>
      <c r="H26" s="14" t="n">
        <v>-0.08</v>
      </c>
      <c r="I26" s="14">
        <f>IF(E26&lt;=Rangos!$B$2,Rangos!$C$2,IF(E26&lt;=Rangos!$B$3,Rangos!$C$3,IF(E26&lt;=Rangos!$B$4,Rangos!$C$4,Rangos!$C$5)))</f>
        <v/>
      </c>
      <c r="J26" s="15">
        <f>SIGN(H26)*IF(ABS(H26)&lt;Ajuste!$B$2,Ajuste!$C$2,IF(ABS(H26)&lt;Ajuste!$B$3,Ajuste!$C$3,IF(ABS(H26)&lt;Ajuste!$B$4,Ajuste!$C$4,Ajuste!$C$5)))</f>
        <v/>
      </c>
      <c r="K26" s="16">
        <f>MAX(Rangos!$C$5,MIN(1,I26+J26))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6" customWidth="1" min="3" max="3"/>
    <col width="17" customWidth="1" min="4" max="4"/>
    <col width="10" customWidth="1" min="5" max="5"/>
  </cols>
  <sheetData>
    <row r="1">
      <c r="A1" s="6" t="inlineStr">
        <is>
          <t>dep_inei</t>
        </is>
      </c>
      <c r="B1" s="6" t="inlineStr">
        <is>
          <t>departamento</t>
        </is>
      </c>
      <c r="C1" s="6" t="inlineStr">
        <is>
          <t>pac</t>
        </is>
      </c>
      <c r="D1" s="6" t="inlineStr">
        <is>
          <t>fuente</t>
        </is>
      </c>
      <c r="E1" s="6" t="inlineStr">
        <is>
          <t>rec_d</t>
        </is>
      </c>
    </row>
    <row r="2">
      <c r="A2" t="n">
        <v>1</v>
      </c>
      <c r="B2" t="inlineStr">
        <is>
          <t>Amazonas</t>
        </is>
      </c>
      <c r="C2" t="inlineStr">
        <is>
          <t>no</t>
        </is>
      </c>
      <c r="D2" t="inlineStr">
        <is>
          <t>Inflacion</t>
        </is>
      </c>
      <c r="E2" s="16" t="n">
        <v>0.75</v>
      </c>
    </row>
    <row r="3">
      <c r="A3" s="17" t="n">
        <v>2</v>
      </c>
      <c r="B3" s="17" t="inlineStr">
        <is>
          <t>Ancash</t>
        </is>
      </c>
      <c r="C3" s="17" t="inlineStr">
        <is>
          <t>SI</t>
        </is>
      </c>
      <c r="D3" s="17" t="inlineStr">
        <is>
          <t>IBK+</t>
        </is>
      </c>
      <c r="E3" s="20" t="n">
        <v>0.75</v>
      </c>
    </row>
    <row r="4">
      <c r="A4" t="n">
        <v>3</v>
      </c>
      <c r="B4" t="inlineStr">
        <is>
          <t>Apurimac</t>
        </is>
      </c>
      <c r="C4" t="inlineStr">
        <is>
          <t>no</t>
        </is>
      </c>
      <c r="D4" t="inlineStr">
        <is>
          <t>Inflacion</t>
        </is>
      </c>
      <c r="E4" s="16" t="n">
        <v>0.5</v>
      </c>
    </row>
    <row r="5">
      <c r="A5" s="17" t="n">
        <v>4</v>
      </c>
      <c r="B5" s="17" t="inlineStr">
        <is>
          <t>Arequipa</t>
        </is>
      </c>
      <c r="C5" s="17" t="inlineStr">
        <is>
          <t>SI</t>
        </is>
      </c>
      <c r="D5" s="17" t="inlineStr">
        <is>
          <t>IBK+</t>
        </is>
      </c>
      <c r="E5" s="20" t="n">
        <v>0.875</v>
      </c>
    </row>
    <row r="6">
      <c r="A6" t="n">
        <v>5</v>
      </c>
      <c r="B6" t="inlineStr">
        <is>
          <t>Ayacucho</t>
        </is>
      </c>
      <c r="C6" t="inlineStr">
        <is>
          <t>no</t>
        </is>
      </c>
      <c r="D6" t="inlineStr">
        <is>
          <t>Inflacion</t>
        </is>
      </c>
      <c r="E6" s="16" t="n">
        <v>0.875</v>
      </c>
    </row>
    <row r="7">
      <c r="A7" t="n">
        <v>6</v>
      </c>
      <c r="B7" t="inlineStr">
        <is>
          <t>Cajamarca</t>
        </is>
      </c>
      <c r="C7" t="inlineStr">
        <is>
          <t>no</t>
        </is>
      </c>
      <c r="D7" t="inlineStr">
        <is>
          <t>IBK+</t>
        </is>
      </c>
      <c r="E7" s="16" t="n">
        <v>0.25</v>
      </c>
    </row>
    <row r="8">
      <c r="A8" s="17" t="n">
        <v>7</v>
      </c>
      <c r="B8" s="17" t="inlineStr">
        <is>
          <t>Callao</t>
        </is>
      </c>
      <c r="C8" s="17" t="inlineStr">
        <is>
          <t>SI</t>
        </is>
      </c>
      <c r="D8" s="17" t="inlineStr">
        <is>
          <t>IBK+ (Lima/metro)</t>
        </is>
      </c>
      <c r="E8" s="20" t="n">
        <v>0.875</v>
      </c>
    </row>
    <row r="9">
      <c r="A9" t="n">
        <v>8</v>
      </c>
      <c r="B9" t="inlineStr">
        <is>
          <t>Cusco</t>
        </is>
      </c>
      <c r="C9" t="inlineStr">
        <is>
          <t>no</t>
        </is>
      </c>
      <c r="D9" t="inlineStr">
        <is>
          <t>IBK+</t>
        </is>
      </c>
      <c r="E9" s="16" t="n">
        <v>1</v>
      </c>
    </row>
    <row r="10">
      <c r="A10" t="n">
        <v>9</v>
      </c>
      <c r="B10" t="inlineStr">
        <is>
          <t>Huancavelica</t>
        </is>
      </c>
      <c r="C10" t="inlineStr">
        <is>
          <t>no</t>
        </is>
      </c>
      <c r="D10" t="inlineStr">
        <is>
          <t>Inflacion</t>
        </is>
      </c>
      <c r="E10" s="16" t="n">
        <v>0.375</v>
      </c>
    </row>
    <row r="11">
      <c r="A11" t="n">
        <v>10</v>
      </c>
      <c r="B11" t="inlineStr">
        <is>
          <t>Huanuco</t>
        </is>
      </c>
      <c r="C11" t="inlineStr">
        <is>
          <t>no</t>
        </is>
      </c>
      <c r="D11" t="inlineStr">
        <is>
          <t>Inflacion</t>
        </is>
      </c>
      <c r="E11" s="16" t="n">
        <v>1</v>
      </c>
    </row>
    <row r="12">
      <c r="A12" s="17" t="n">
        <v>11</v>
      </c>
      <c r="B12" s="17" t="inlineStr">
        <is>
          <t>Ica</t>
        </is>
      </c>
      <c r="C12" s="17" t="inlineStr">
        <is>
          <t>SI</t>
        </is>
      </c>
      <c r="D12" s="17" t="inlineStr">
        <is>
          <t>IBK+</t>
        </is>
      </c>
      <c r="E12" s="20" t="n">
        <v>0.375</v>
      </c>
    </row>
    <row r="13">
      <c r="A13" t="n">
        <v>12</v>
      </c>
      <c r="B13" t="inlineStr">
        <is>
          <t>Junin</t>
        </is>
      </c>
      <c r="C13" t="inlineStr">
        <is>
          <t>no</t>
        </is>
      </c>
      <c r="D13" t="inlineStr">
        <is>
          <t>IBK+</t>
        </is>
      </c>
      <c r="E13" s="16" t="n">
        <v>0.75</v>
      </c>
    </row>
    <row r="14">
      <c r="A14" s="17" t="n">
        <v>13</v>
      </c>
      <c r="B14" s="17" t="inlineStr">
        <is>
          <t>La Libertad</t>
        </is>
      </c>
      <c r="C14" s="17" t="inlineStr">
        <is>
          <t>SI</t>
        </is>
      </c>
      <c r="D14" s="17" t="inlineStr">
        <is>
          <t>IBK+</t>
        </is>
      </c>
      <c r="E14" s="20" t="n">
        <v>0.875</v>
      </c>
    </row>
    <row r="15">
      <c r="A15" s="17" t="n">
        <v>14</v>
      </c>
      <c r="B15" s="17" t="inlineStr">
        <is>
          <t>Lambayeque</t>
        </is>
      </c>
      <c r="C15" s="17" t="inlineStr">
        <is>
          <t>SI</t>
        </is>
      </c>
      <c r="D15" s="17" t="inlineStr">
        <is>
          <t>IBK+</t>
        </is>
      </c>
      <c r="E15" s="20" t="n">
        <v>0.625</v>
      </c>
    </row>
    <row r="16">
      <c r="A16" s="17" t="n">
        <v>15</v>
      </c>
      <c r="B16" s="17" t="inlineStr">
        <is>
          <t>Lima</t>
        </is>
      </c>
      <c r="C16" s="17" t="inlineStr">
        <is>
          <t>SI</t>
        </is>
      </c>
      <c r="D16" s="17" t="inlineStr">
        <is>
          <t>IBK+</t>
        </is>
      </c>
      <c r="E16" s="20" t="n">
        <v>0.875</v>
      </c>
    </row>
    <row r="17">
      <c r="A17" t="n">
        <v>16</v>
      </c>
      <c r="B17" t="inlineStr">
        <is>
          <t>Loreto</t>
        </is>
      </c>
      <c r="C17" t="inlineStr">
        <is>
          <t>no</t>
        </is>
      </c>
      <c r="D17" t="inlineStr">
        <is>
          <t>IBK+</t>
        </is>
      </c>
      <c r="E17" s="16" t="n">
        <v>0.5</v>
      </c>
    </row>
    <row r="18">
      <c r="A18" t="n">
        <v>17</v>
      </c>
      <c r="B18" t="inlineStr">
        <is>
          <t>Madre de Dios</t>
        </is>
      </c>
      <c r="C18" t="inlineStr">
        <is>
          <t>no</t>
        </is>
      </c>
      <c r="D18" t="inlineStr">
        <is>
          <t>Inflacion</t>
        </is>
      </c>
      <c r="E18" s="16" t="n">
        <v>0.375</v>
      </c>
    </row>
    <row r="19">
      <c r="A19" s="17" t="n">
        <v>18</v>
      </c>
      <c r="B19" s="17" t="inlineStr">
        <is>
          <t>Moquegua</t>
        </is>
      </c>
      <c r="C19" s="17" t="inlineStr">
        <is>
          <t>SI</t>
        </is>
      </c>
      <c r="D19" s="17" t="inlineStr">
        <is>
          <t>Inflacion</t>
        </is>
      </c>
      <c r="E19" s="20" t="n">
        <v>0.875</v>
      </c>
    </row>
    <row r="20">
      <c r="A20" t="n">
        <v>19</v>
      </c>
      <c r="B20" t="inlineStr">
        <is>
          <t>Pasco</t>
        </is>
      </c>
      <c r="C20" t="inlineStr">
        <is>
          <t>no</t>
        </is>
      </c>
      <c r="D20" t="inlineStr">
        <is>
          <t>Inflacion</t>
        </is>
      </c>
      <c r="E20" s="16" t="n">
        <v>0.75</v>
      </c>
    </row>
    <row r="21">
      <c r="A21" s="17" t="n">
        <v>20</v>
      </c>
      <c r="B21" s="17" t="inlineStr">
        <is>
          <t>Piura</t>
        </is>
      </c>
      <c r="C21" s="17" t="inlineStr">
        <is>
          <t>SI</t>
        </is>
      </c>
      <c r="D21" s="17" t="inlineStr">
        <is>
          <t>IBK+</t>
        </is>
      </c>
      <c r="E21" s="20" t="n">
        <v>0.625</v>
      </c>
    </row>
    <row r="22">
      <c r="A22" t="n">
        <v>21</v>
      </c>
      <c r="B22" t="inlineStr">
        <is>
          <t>Puno</t>
        </is>
      </c>
      <c r="C22" t="inlineStr">
        <is>
          <t>no</t>
        </is>
      </c>
      <c r="D22" t="inlineStr">
        <is>
          <t>IBK+</t>
        </is>
      </c>
      <c r="E22" s="16" t="n">
        <v>0.375</v>
      </c>
    </row>
    <row r="23">
      <c r="A23" t="n">
        <v>22</v>
      </c>
      <c r="B23" t="inlineStr">
        <is>
          <t>San Martin</t>
        </is>
      </c>
      <c r="C23" t="inlineStr">
        <is>
          <t>no</t>
        </is>
      </c>
      <c r="D23" t="inlineStr">
        <is>
          <t>Inflacion</t>
        </is>
      </c>
      <c r="E23" s="16" t="n">
        <v>0.5</v>
      </c>
    </row>
    <row r="24">
      <c r="A24" s="17" t="n">
        <v>23</v>
      </c>
      <c r="B24" s="17" t="inlineStr">
        <is>
          <t>Tacna</t>
        </is>
      </c>
      <c r="C24" s="17" t="inlineStr">
        <is>
          <t>SI</t>
        </is>
      </c>
      <c r="D24" s="17" t="inlineStr">
        <is>
          <t>Inflacion</t>
        </is>
      </c>
      <c r="E24" s="20" t="n">
        <v>1</v>
      </c>
    </row>
    <row r="25">
      <c r="A25" s="17" t="n">
        <v>24</v>
      </c>
      <c r="B25" s="17" t="inlineStr">
        <is>
          <t>Tumbes</t>
        </is>
      </c>
      <c r="C25" s="17" t="inlineStr">
        <is>
          <t>SI</t>
        </is>
      </c>
      <c r="D25" s="17" t="inlineStr">
        <is>
          <t>Inflacion</t>
        </is>
      </c>
      <c r="E25" s="20" t="n">
        <v>0.5</v>
      </c>
    </row>
    <row r="26">
      <c r="A26" t="n">
        <v>25</v>
      </c>
      <c r="B26" t="inlineStr">
        <is>
          <t>Ucayali</t>
        </is>
      </c>
      <c r="C26" t="inlineStr">
        <is>
          <t>no</t>
        </is>
      </c>
      <c r="D26" t="inlineStr">
        <is>
          <t>Inflacion</t>
        </is>
      </c>
      <c r="E26" s="16" t="n">
        <v>1</v>
      </c>
    </row>
    <row r="27">
      <c r="A27" s="10" t="inlineStr">
        <is>
          <t>Reemplaza el RECD={2:0.5,...} del motor. dep_inei = codigo INEI (int). En pac=no el gate FEN lo anula (moot).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2026-09-23T13:23:31Z</dcterms:created>
  <dcterms:modified xmlns:dcterms="http://purl.org/dc/terms/" xmlns:xsi="http://www.w3.org/2001/XMLSchema-instance" xsi:type="dcterms:W3CDTF">2026-09-23T13:23:31Z</dcterms:modified>
</cp:coreProperties>
</file>