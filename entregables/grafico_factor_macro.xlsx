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Entidad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00000"/>
    <numFmt numFmtId="166" formatCode="0.0"/>
    <numFmt numFmtId="167" formatCode="0.0000%"/>
    <numFmt numFmtId="168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05603A"/>
      <sz val="12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0560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3" fillId="2" borderId="0" pivotButton="0" quotePrefix="0" xfId="0"/>
    <xf numFmtId="0" fontId="4" fillId="0" borderId="0" pivotButton="0" quotePrefix="0" xfId="0"/>
    <xf numFmtId="17" fontId="4" fillId="0" borderId="0" pivotButton="0" quotePrefix="0" xfId="0"/>
    <xf numFmtId="164" fontId="4" fillId="0" borderId="0" pivotButton="0" quotePrefix="0" xfId="0"/>
    <xf numFmtId="2" fontId="5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164" fontId="0" fillId="0" borderId="0" pivotButton="0" quotePrefix="0" xfId="0"/>
    <xf numFmtId="10" fontId="5" fillId="0" borderId="0" pivotButton="0" quotePrefix="0" xfId="0"/>
    <xf numFmtId="164" fontId="6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6" customWidth="1" min="4" max="4"/>
    <col width="12" customWidth="1" min="5" max="5"/>
    <col width="13" customWidth="1" min="6" max="6"/>
    <col width="13" customWidth="1" min="7" max="7"/>
    <col width="12" customWidth="1" min="8" max="8"/>
    <col width="16" customWidth="1" min="9" max="9"/>
    <col width="3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Serie para el grafico</t>
        </is>
      </c>
    </row>
    <row r="2">
      <c r="A2" s="2" t="inlineStr">
        <is>
          <t>Graficar B (fecha) contra C, D, E, F y G. Las columnas D a G estan en unidades de ciclo para que compartan eje con el ciclo; la columna H es la inflacion en % por si se quiere un eje secundario legible.</t>
        </is>
      </c>
    </row>
    <row r="4">
      <c r="A4" s="3" t="inlineStr">
        <is>
          <t>codmes</t>
        </is>
      </c>
      <c r="B4" s="3" t="inlineStr">
        <is>
          <t>fecha</t>
        </is>
      </c>
      <c r="C4" s="3" t="inlineStr">
        <is>
          <t>Ciclo 5 bancos</t>
        </is>
      </c>
      <c r="D4" s="3" t="inlineStr">
        <is>
          <t>Inflacion obs (mes 0)</t>
        </is>
      </c>
      <c r="E4" s="3" t="inlineStr">
        <is>
          <t>Proy base</t>
        </is>
      </c>
      <c r="F4" s="3" t="inlineStr">
        <is>
          <t>Proy optimista</t>
        </is>
      </c>
      <c r="G4" s="3" t="inlineStr">
        <is>
          <t>Proy pesimista</t>
        </is>
      </c>
      <c r="H4" s="3" t="inlineStr">
        <is>
          <t>Inflacion %</t>
        </is>
      </c>
      <c r="I4" s="3" t="inlineStr">
        <is>
          <t>origen</t>
        </is>
      </c>
      <c r="K4" s="4" t="inlineStr">
        <is>
          <t>infl base %</t>
        </is>
      </c>
      <c r="L4" s="4" t="inlineStr">
        <is>
          <t>infl opt %</t>
        </is>
      </c>
      <c r="M4" s="4" t="inlineStr">
        <is>
          <t>infl pes %</t>
        </is>
      </c>
    </row>
    <row r="5">
      <c r="A5" s="5" t="inlineStr">
        <is>
          <t>201902</t>
        </is>
      </c>
      <c r="B5" s="6" t="n">
        <v>43497</v>
      </c>
      <c r="C5" s="7">
        <f>Entidades!R5</f>
        <v/>
      </c>
      <c r="D5" s="7">
        <f>IF(H5="","",Parametros!$B$5*(H5-Parametros!$B$6))</f>
        <v/>
      </c>
      <c r="I5" s="2" t="inlineStr">
        <is>
          <t>observado</t>
        </is>
      </c>
    </row>
    <row r="6">
      <c r="A6" s="5" t="inlineStr">
        <is>
          <t>201903</t>
        </is>
      </c>
      <c r="B6" s="6" t="n">
        <v>43525</v>
      </c>
      <c r="C6" s="7">
        <f>Entidades!R6</f>
        <v/>
      </c>
      <c r="D6" s="7">
        <f>IF(H6="","",Parametros!$B$5*(H6-Parametros!$B$6))</f>
        <v/>
      </c>
      <c r="I6" s="2" t="inlineStr">
        <is>
          <t>observado</t>
        </is>
      </c>
    </row>
    <row r="7">
      <c r="A7" s="5" t="inlineStr">
        <is>
          <t>201904</t>
        </is>
      </c>
      <c r="B7" s="6" t="n">
        <v>43556</v>
      </c>
      <c r="C7" s="7">
        <f>Entidades!R7</f>
        <v/>
      </c>
      <c r="D7" s="7">
        <f>IF(H7="","",Parametros!$B$5*(H7-Parametros!$B$6))</f>
        <v/>
      </c>
      <c r="I7" s="2" t="inlineStr">
        <is>
          <t>observado</t>
        </is>
      </c>
    </row>
    <row r="8">
      <c r="A8" s="5" t="inlineStr">
        <is>
          <t>201905</t>
        </is>
      </c>
      <c r="B8" s="6" t="n">
        <v>43586</v>
      </c>
      <c r="C8" s="7">
        <f>Entidades!R8</f>
        <v/>
      </c>
      <c r="D8" s="7">
        <f>IF(H8="","",Parametros!$B$5*(H8-Parametros!$B$6))</f>
        <v/>
      </c>
      <c r="I8" s="2" t="inlineStr">
        <is>
          <t>observado</t>
        </is>
      </c>
    </row>
    <row r="9">
      <c r="A9" s="5" t="inlineStr">
        <is>
          <t>201906</t>
        </is>
      </c>
      <c r="B9" s="6" t="n">
        <v>43617</v>
      </c>
      <c r="C9" s="7">
        <f>Entidades!R9</f>
        <v/>
      </c>
      <c r="D9" s="7">
        <f>IF(H9="","",Parametros!$B$5*(H9-Parametros!$B$6))</f>
        <v/>
      </c>
      <c r="I9" s="2" t="inlineStr">
        <is>
          <t>observado</t>
        </is>
      </c>
    </row>
    <row r="10">
      <c r="A10" s="5" t="inlineStr">
        <is>
          <t>201907</t>
        </is>
      </c>
      <c r="B10" s="6" t="n">
        <v>43647</v>
      </c>
      <c r="C10" s="7">
        <f>Entidades!R10</f>
        <v/>
      </c>
      <c r="D10" s="7">
        <f>IF(H10="","",Parametros!$B$5*(H10-Parametros!$B$6))</f>
        <v/>
      </c>
      <c r="I10" s="2" t="inlineStr">
        <is>
          <t>observado</t>
        </is>
      </c>
    </row>
    <row r="11">
      <c r="A11" s="5" t="inlineStr">
        <is>
          <t>201908</t>
        </is>
      </c>
      <c r="B11" s="6" t="n">
        <v>43678</v>
      </c>
      <c r="C11" s="7">
        <f>Entidades!R11</f>
        <v/>
      </c>
      <c r="D11" s="7">
        <f>IF(H11="","",Parametros!$B$5*(H11-Parametros!$B$6))</f>
        <v/>
      </c>
      <c r="I11" s="2" t="inlineStr">
        <is>
          <t>observado</t>
        </is>
      </c>
    </row>
    <row r="12">
      <c r="A12" s="5" t="inlineStr">
        <is>
          <t>201909</t>
        </is>
      </c>
      <c r="B12" s="6" t="n">
        <v>43709</v>
      </c>
      <c r="C12" s="7">
        <f>Entidades!R12</f>
        <v/>
      </c>
      <c r="D12" s="7">
        <f>IF(H12="","",Parametros!$B$5*(H12-Parametros!$B$6))</f>
        <v/>
      </c>
      <c r="I12" s="2" t="inlineStr">
        <is>
          <t>observado</t>
        </is>
      </c>
    </row>
    <row r="13">
      <c r="A13" s="5" t="inlineStr">
        <is>
          <t>201910</t>
        </is>
      </c>
      <c r="B13" s="6" t="n">
        <v>43739</v>
      </c>
      <c r="C13" s="7">
        <f>Entidades!R13</f>
        <v/>
      </c>
      <c r="D13" s="7">
        <f>IF(H13="","",Parametros!$B$5*(H13-Parametros!$B$6))</f>
        <v/>
      </c>
      <c r="I13" s="2" t="inlineStr">
        <is>
          <t>observado</t>
        </is>
      </c>
    </row>
    <row r="14">
      <c r="A14" s="5" t="inlineStr">
        <is>
          <t>201911</t>
        </is>
      </c>
      <c r="B14" s="6" t="n">
        <v>43770</v>
      </c>
      <c r="C14" s="7">
        <f>Entidades!R14</f>
        <v/>
      </c>
      <c r="D14" s="7">
        <f>IF(H14="","",Parametros!$B$5*(H14-Parametros!$B$6))</f>
        <v/>
      </c>
      <c r="I14" s="2" t="inlineStr">
        <is>
          <t>observado</t>
        </is>
      </c>
    </row>
    <row r="15">
      <c r="A15" s="5" t="inlineStr">
        <is>
          <t>201912</t>
        </is>
      </c>
      <c r="B15" s="6" t="n">
        <v>43800</v>
      </c>
      <c r="C15" s="7">
        <f>Entidades!R15</f>
        <v/>
      </c>
      <c r="D15" s="7">
        <f>IF(H15="","",Parametros!$B$5*(H15-Parametros!$B$6))</f>
        <v/>
      </c>
      <c r="I15" s="2" t="inlineStr">
        <is>
          <t>observado</t>
        </is>
      </c>
    </row>
    <row r="16">
      <c r="A16" s="5" t="inlineStr">
        <is>
          <t>202001</t>
        </is>
      </c>
      <c r="B16" s="6" t="n">
        <v>43831</v>
      </c>
      <c r="C16" s="7">
        <f>Entidades!R16</f>
        <v/>
      </c>
      <c r="D16" s="7">
        <f>IF(H16="","",Parametros!$B$5*(H16-Parametros!$B$6))</f>
        <v/>
      </c>
      <c r="I16" s="2" t="inlineStr">
        <is>
          <t>observado</t>
        </is>
      </c>
    </row>
    <row r="17">
      <c r="A17" s="5" t="inlineStr">
        <is>
          <t>202002</t>
        </is>
      </c>
      <c r="B17" s="6" t="n">
        <v>43862</v>
      </c>
      <c r="C17" s="7">
        <f>Entidades!R17</f>
        <v/>
      </c>
      <c r="D17" s="7">
        <f>IF(H17="","",Parametros!$B$5*(H17-Parametros!$B$6))</f>
        <v/>
      </c>
      <c r="H17" s="8" t="n">
        <v>1.904037759304922</v>
      </c>
      <c r="I17" s="2" t="inlineStr">
        <is>
          <t>observado</t>
        </is>
      </c>
    </row>
    <row r="18">
      <c r="A18" s="5" t="inlineStr">
        <is>
          <t>202003</t>
        </is>
      </c>
      <c r="B18" s="6" t="n">
        <v>43891</v>
      </c>
      <c r="C18" s="7">
        <f>Entidades!R18</f>
        <v/>
      </c>
      <c r="D18" s="7">
        <f>IF(H18="","",Parametros!$B$5*(H18-Parametros!$B$6))</f>
        <v/>
      </c>
      <c r="H18" s="8" t="n">
        <v>1.821532966049388</v>
      </c>
      <c r="I18" s="2" t="inlineStr">
        <is>
          <t>observado</t>
        </is>
      </c>
    </row>
    <row r="19">
      <c r="A19" s="5" t="inlineStr">
        <is>
          <t>202004</t>
        </is>
      </c>
      <c r="B19" s="6" t="n">
        <v>43922</v>
      </c>
      <c r="D19" s="7">
        <f>IF(H19="","",Parametros!$B$5*(H19-Parametros!$B$6))</f>
        <v/>
      </c>
      <c r="H19" s="8" t="n">
        <v>1.724489750678293</v>
      </c>
      <c r="I19" s="2" t="inlineStr">
        <is>
          <t>observado</t>
        </is>
      </c>
    </row>
    <row r="20">
      <c r="A20" s="5" t="inlineStr">
        <is>
          <t>202005</t>
        </is>
      </c>
      <c r="B20" s="6" t="n">
        <v>43952</v>
      </c>
      <c r="D20" s="7">
        <f>IF(H20="","",Parametros!$B$5*(H20-Parametros!$B$6))</f>
        <v/>
      </c>
      <c r="H20" s="8" t="n">
        <v>1.781919752976546</v>
      </c>
      <c r="I20" s="2" t="inlineStr">
        <is>
          <t>observado</t>
        </is>
      </c>
    </row>
    <row r="21">
      <c r="A21" s="5" t="inlineStr">
        <is>
          <t>202006</t>
        </is>
      </c>
      <c r="B21" s="6" t="n">
        <v>43983</v>
      </c>
      <c r="D21" s="7">
        <f>IF(H21="","",Parametros!$B$5*(H21-Parametros!$B$6))</f>
        <v/>
      </c>
      <c r="H21" s="8" t="n">
        <v>1.5987323828063</v>
      </c>
      <c r="I21" s="2" t="inlineStr">
        <is>
          <t>observado</t>
        </is>
      </c>
    </row>
    <row r="22">
      <c r="A22" s="5" t="inlineStr">
        <is>
          <t>202007</t>
        </is>
      </c>
      <c r="B22" s="6" t="n">
        <v>44013</v>
      </c>
      <c r="C22" s="7">
        <f>Entidades!R19</f>
        <v/>
      </c>
      <c r="D22" s="7">
        <f>IF(H22="","",Parametros!$B$5*(H22-Parametros!$B$6))</f>
        <v/>
      </c>
      <c r="H22" s="8" t="n">
        <v>1.861695722301038</v>
      </c>
      <c r="I22" s="2" t="inlineStr">
        <is>
          <t>observado</t>
        </is>
      </c>
    </row>
    <row r="23">
      <c r="A23" s="5" t="inlineStr">
        <is>
          <t>202008</t>
        </is>
      </c>
      <c r="B23" s="6" t="n">
        <v>44044</v>
      </c>
      <c r="D23" s="7">
        <f>IF(H23="","",Parametros!$B$5*(H23-Parametros!$B$6))</f>
        <v/>
      </c>
      <c r="H23" s="8" t="n">
        <v>1.687398242388283</v>
      </c>
      <c r="I23" s="2" t="inlineStr">
        <is>
          <t>observado</t>
        </is>
      </c>
    </row>
    <row r="24">
      <c r="A24" s="5" t="inlineStr">
        <is>
          <t>202009</t>
        </is>
      </c>
      <c r="B24" s="6" t="n">
        <v>44075</v>
      </c>
      <c r="D24" s="7">
        <f>IF(H24="","",Parametros!$B$5*(H24-Parametros!$B$6))</f>
        <v/>
      </c>
      <c r="H24" s="8" t="n">
        <v>1.819553906949412</v>
      </c>
      <c r="I24" s="2" t="inlineStr">
        <is>
          <t>observado</t>
        </is>
      </c>
    </row>
    <row r="25">
      <c r="A25" s="5" t="inlineStr">
        <is>
          <t>202010</t>
        </is>
      </c>
      <c r="B25" s="6" t="n">
        <v>44105</v>
      </c>
      <c r="C25" s="7">
        <f>Entidades!R20</f>
        <v/>
      </c>
      <c r="D25" s="7">
        <f>IF(H25="","",Parametros!$B$5*(H25-Parametros!$B$6))</f>
        <v/>
      </c>
      <c r="H25" s="8" t="n">
        <v>1.724000358528555</v>
      </c>
      <c r="I25" s="2" t="inlineStr">
        <is>
          <t>observado</t>
        </is>
      </c>
    </row>
    <row r="26">
      <c r="A26" s="5" t="inlineStr">
        <is>
          <t>202011</t>
        </is>
      </c>
      <c r="B26" s="6" t="n">
        <v>44136</v>
      </c>
      <c r="C26" s="7">
        <f>Entidades!R21</f>
        <v/>
      </c>
      <c r="D26" s="7">
        <f>IF(H26="","",Parametros!$B$5*(H26-Parametros!$B$6))</f>
        <v/>
      </c>
      <c r="H26" s="8" t="n">
        <v>2.142209684017815</v>
      </c>
      <c r="I26" s="2" t="inlineStr">
        <is>
          <t>observado</t>
        </is>
      </c>
    </row>
    <row r="27">
      <c r="A27" s="5" t="inlineStr">
        <is>
          <t>202012</t>
        </is>
      </c>
      <c r="B27" s="6" t="n">
        <v>44166</v>
      </c>
      <c r="C27" s="7">
        <f>Entidades!R22</f>
        <v/>
      </c>
      <c r="D27" s="7">
        <f>IF(H27="","",Parametros!$B$5*(H27-Parametros!$B$6))</f>
        <v/>
      </c>
      <c r="H27" s="8" t="n">
        <v>1.973232230736333</v>
      </c>
      <c r="I27" s="2" t="inlineStr">
        <is>
          <t>observado</t>
        </is>
      </c>
    </row>
    <row r="28">
      <c r="A28" s="5" t="inlineStr">
        <is>
          <t>202101</t>
        </is>
      </c>
      <c r="B28" s="6" t="n">
        <v>44197</v>
      </c>
      <c r="C28" s="7">
        <f>Entidades!R23</f>
        <v/>
      </c>
      <c r="D28" s="7">
        <f>IF(H28="","",Parametros!$B$5*(H28-Parametros!$B$6))</f>
        <v/>
      </c>
      <c r="H28" s="8" t="n">
        <v>2.20136474421404</v>
      </c>
      <c r="I28" s="2" t="inlineStr">
        <is>
          <t>observado</t>
        </is>
      </c>
    </row>
    <row r="29">
      <c r="A29" s="5" t="inlineStr">
        <is>
          <t>202102</t>
        </is>
      </c>
      <c r="B29" s="6" t="n">
        <v>44228</v>
      </c>
      <c r="C29" s="7">
        <f>Entidades!R24</f>
        <v/>
      </c>
      <c r="D29" s="7">
        <f>IF(H29="","",Parametros!$B$5*(H29-Parametros!$B$6))</f>
        <v/>
      </c>
      <c r="H29" s="8" t="n">
        <v>2.04457090961947</v>
      </c>
      <c r="I29" s="2" t="inlineStr">
        <is>
          <t>observado</t>
        </is>
      </c>
    </row>
    <row r="30">
      <c r="A30" s="5" t="inlineStr">
        <is>
          <t>202103</t>
        </is>
      </c>
      <c r="B30" s="6" t="n">
        <v>44256</v>
      </c>
      <c r="C30" s="7">
        <f>Entidades!R25</f>
        <v/>
      </c>
      <c r="D30" s="7">
        <f>IF(H30="","",Parametros!$B$5*(H30-Parametros!$B$6))</f>
        <v/>
      </c>
      <c r="H30" s="8" t="n">
        <v>2.159313100707894</v>
      </c>
      <c r="I30" s="2" t="inlineStr">
        <is>
          <t>observado</t>
        </is>
      </c>
    </row>
    <row r="31">
      <c r="A31" s="5" t="inlineStr">
        <is>
          <t>202104</t>
        </is>
      </c>
      <c r="B31" s="6" t="n">
        <v>44287</v>
      </c>
      <c r="C31" s="7">
        <f>Entidades!R26</f>
        <v/>
      </c>
      <c r="D31" s="7">
        <f>IF(H31="","",Parametros!$B$5*(H31-Parametros!$B$6))</f>
        <v/>
      </c>
      <c r="H31" s="8" t="n">
        <v>2.100748460180024</v>
      </c>
      <c r="I31" s="2" t="inlineStr">
        <is>
          <t>observado</t>
        </is>
      </c>
    </row>
    <row r="32">
      <c r="A32" s="5" t="inlineStr">
        <is>
          <t>202105</t>
        </is>
      </c>
      <c r="B32" s="6" t="n">
        <v>44317</v>
      </c>
      <c r="C32" s="7">
        <f>Entidades!R27</f>
        <v/>
      </c>
      <c r="D32" s="7">
        <f>IF(H32="","",Parametros!$B$5*(H32-Parametros!$B$6))</f>
        <v/>
      </c>
      <c r="H32" s="8" t="n">
        <v>2.112463632170192</v>
      </c>
      <c r="I32" s="2" t="inlineStr">
        <is>
          <t>observado</t>
        </is>
      </c>
    </row>
    <row r="33">
      <c r="A33" s="5" t="inlineStr">
        <is>
          <t>202106</t>
        </is>
      </c>
      <c r="B33" s="6" t="n">
        <v>44348</v>
      </c>
      <c r="C33" s="7">
        <f>Entidades!R28</f>
        <v/>
      </c>
      <c r="D33" s="7">
        <f>IF(H33="","",Parametros!$B$5*(H33-Parametros!$B$6))</f>
        <v/>
      </c>
      <c r="H33" s="8" t="n">
        <v>2.926990594092604</v>
      </c>
      <c r="I33" s="2" t="inlineStr">
        <is>
          <t>observado</t>
        </is>
      </c>
    </row>
    <row r="34">
      <c r="A34" s="5" t="inlineStr">
        <is>
          <t>202107</t>
        </is>
      </c>
      <c r="B34" s="6" t="n">
        <v>44378</v>
      </c>
      <c r="C34" s="7">
        <f>Entidades!R29</f>
        <v/>
      </c>
      <c r="D34" s="7">
        <f>IF(H34="","",Parametros!$B$5*(H34-Parametros!$B$6))</f>
        <v/>
      </c>
      <c r="H34" s="8" t="n">
        <v>3.517992467930142</v>
      </c>
      <c r="I34" s="2" t="inlineStr">
        <is>
          <t>observado</t>
        </is>
      </c>
    </row>
    <row r="35">
      <c r="A35" s="5" t="inlineStr">
        <is>
          <t>202108</t>
        </is>
      </c>
      <c r="B35" s="6" t="n">
        <v>44409</v>
      </c>
      <c r="C35" s="7">
        <f>Entidades!R30</f>
        <v/>
      </c>
      <c r="D35" s="7">
        <f>IF(H35="","",Parametros!$B$5*(H35-Parametros!$B$6))</f>
        <v/>
      </c>
      <c r="H35" s="8" t="n">
        <v>4.73425569371575</v>
      </c>
      <c r="I35" s="2" t="inlineStr">
        <is>
          <t>observado</t>
        </is>
      </c>
    </row>
    <row r="36">
      <c r="A36" s="5" t="inlineStr">
        <is>
          <t>202109</t>
        </is>
      </c>
      <c r="B36" s="6" t="n">
        <v>44440</v>
      </c>
      <c r="C36" s="7">
        <f>Entidades!R31</f>
        <v/>
      </c>
      <c r="D36" s="7">
        <f>IF(H36="","",Parametros!$B$5*(H36-Parametros!$B$6))</f>
        <v/>
      </c>
      <c r="H36" s="8" t="n">
        <v>5.185685861933242</v>
      </c>
      <c r="I36" s="2" t="inlineStr">
        <is>
          <t>observado</t>
        </is>
      </c>
    </row>
    <row r="37">
      <c r="A37" s="5" t="inlineStr">
        <is>
          <t>202110</t>
        </is>
      </c>
      <c r="B37" s="6" t="n">
        <v>44470</v>
      </c>
      <c r="C37" s="7">
        <f>Entidades!R32</f>
        <v/>
      </c>
      <c r="D37" s="7">
        <f>IF(H37="","",Parametros!$B$5*(H37-Parametros!$B$6))</f>
        <v/>
      </c>
      <c r="H37" s="8" t="n">
        <v>5.778900482190785</v>
      </c>
      <c r="I37" s="2" t="inlineStr">
        <is>
          <t>observado</t>
        </is>
      </c>
    </row>
    <row r="38">
      <c r="A38" s="5" t="inlineStr">
        <is>
          <t>202111</t>
        </is>
      </c>
      <c r="B38" s="6" t="n">
        <v>44501</v>
      </c>
      <c r="C38" s="7">
        <f>Entidades!R33</f>
        <v/>
      </c>
      <c r="D38" s="7">
        <f>IF(H38="","",Parametros!$B$5*(H38-Parametros!$B$6))</f>
        <v/>
      </c>
      <c r="H38" s="8" t="n">
        <v>5.702271104691059</v>
      </c>
      <c r="I38" s="2" t="inlineStr">
        <is>
          <t>observado</t>
        </is>
      </c>
    </row>
    <row r="39">
      <c r="A39" s="5" t="inlineStr">
        <is>
          <t>202112</t>
        </is>
      </c>
      <c r="B39" s="6" t="n">
        <v>44531</v>
      </c>
      <c r="C39" s="7">
        <f>Entidades!R34</f>
        <v/>
      </c>
      <c r="D39" s="7">
        <f>IF(H39="","",Parametros!$B$5*(H39-Parametros!$B$6))</f>
        <v/>
      </c>
      <c r="H39" s="8" t="n">
        <v>6.430387165642371</v>
      </c>
      <c r="I39" s="2" t="inlineStr">
        <is>
          <t>observado</t>
        </is>
      </c>
    </row>
    <row r="40">
      <c r="A40" s="5" t="inlineStr">
        <is>
          <t>202201</t>
        </is>
      </c>
      <c r="B40" s="6" t="n">
        <v>44562</v>
      </c>
      <c r="C40" s="7">
        <f>Entidades!R35</f>
        <v/>
      </c>
      <c r="D40" s="7">
        <f>IF(H40="","",Parametros!$B$5*(H40-Parametros!$B$6))</f>
        <v/>
      </c>
      <c r="H40" s="8" t="n">
        <v>6.329296638682225</v>
      </c>
      <c r="I40" s="2" t="inlineStr">
        <is>
          <t>observado</t>
        </is>
      </c>
    </row>
    <row r="41">
      <c r="A41" s="5" t="inlineStr">
        <is>
          <t>202202</t>
        </is>
      </c>
      <c r="B41" s="6" t="n">
        <v>44593</v>
      </c>
      <c r="C41" s="7">
        <f>Entidades!R36</f>
        <v/>
      </c>
      <c r="D41" s="7">
        <f>IF(H41="","",Parametros!$B$5*(H41-Parametros!$B$6))</f>
        <v/>
      </c>
      <c r="H41" s="8" t="n">
        <v>6.673516742703911</v>
      </c>
      <c r="I41" s="2" t="inlineStr">
        <is>
          <t>observado</t>
        </is>
      </c>
    </row>
    <row r="42">
      <c r="A42" s="5" t="inlineStr">
        <is>
          <t>202203</t>
        </is>
      </c>
      <c r="B42" s="6" t="n">
        <v>44621</v>
      </c>
      <c r="C42" s="7">
        <f>Entidades!R37</f>
        <v/>
      </c>
      <c r="D42" s="7">
        <f>IF(H42="","",Parametros!$B$5*(H42-Parametros!$B$6))</f>
        <v/>
      </c>
      <c r="H42" s="8" t="n">
        <v>7.454115634290392</v>
      </c>
      <c r="I42" s="2" t="inlineStr">
        <is>
          <t>observado</t>
        </is>
      </c>
    </row>
    <row r="43">
      <c r="A43" s="5" t="inlineStr">
        <is>
          <t>202204</t>
        </is>
      </c>
      <c r="B43" s="6" t="n">
        <v>44652</v>
      </c>
      <c r="C43" s="7">
        <f>Entidades!R38</f>
        <v/>
      </c>
      <c r="D43" s="7">
        <f>IF(H43="","",Parametros!$B$5*(H43-Parametros!$B$6))</f>
        <v/>
      </c>
      <c r="H43" s="8" t="n">
        <v>8.617410880694809</v>
      </c>
      <c r="I43" s="2" t="inlineStr">
        <is>
          <t>observado</t>
        </is>
      </c>
    </row>
    <row r="44">
      <c r="A44" s="5" t="inlineStr">
        <is>
          <t>202205</t>
        </is>
      </c>
      <c r="B44" s="6" t="n">
        <v>44682</v>
      </c>
      <c r="C44" s="7">
        <f>Entidades!R39</f>
        <v/>
      </c>
      <c r="D44" s="7">
        <f>IF(H44="","",Parametros!$B$5*(H44-Parametros!$B$6))</f>
        <v/>
      </c>
      <c r="H44" s="8" t="n">
        <v>8.777594485831063</v>
      </c>
      <c r="I44" s="2" t="inlineStr">
        <is>
          <t>observado</t>
        </is>
      </c>
    </row>
    <row r="45">
      <c r="A45" s="5" t="inlineStr">
        <is>
          <t>202206</t>
        </is>
      </c>
      <c r="B45" s="6" t="n">
        <v>44713</v>
      </c>
      <c r="C45" s="7">
        <f>Entidades!R40</f>
        <v/>
      </c>
      <c r="D45" s="7">
        <f>IF(H45="","",Parametros!$B$5*(H45-Parametros!$B$6))</f>
        <v/>
      </c>
      <c r="H45" s="8" t="n">
        <v>9.324507796552762</v>
      </c>
      <c r="I45" s="2" t="inlineStr">
        <is>
          <t>observado</t>
        </is>
      </c>
    </row>
    <row r="46">
      <c r="A46" s="5" t="inlineStr">
        <is>
          <t>202207</t>
        </is>
      </c>
      <c r="B46" s="6" t="n">
        <v>44743</v>
      </c>
      <c r="C46" s="7">
        <f>Entidades!R41</f>
        <v/>
      </c>
      <c r="D46" s="7">
        <f>IF(H46="","",Parametros!$B$5*(H46-Parametros!$B$6))</f>
        <v/>
      </c>
      <c r="H46" s="8" t="n">
        <v>9.278329186988945</v>
      </c>
      <c r="I46" s="2" t="inlineStr">
        <is>
          <t>observado</t>
        </is>
      </c>
    </row>
    <row r="47">
      <c r="A47" s="5" t="inlineStr">
        <is>
          <t>202208</t>
        </is>
      </c>
      <c r="B47" s="6" t="n">
        <v>44774</v>
      </c>
      <c r="C47" s="7">
        <f>Entidades!R42</f>
        <v/>
      </c>
      <c r="D47" s="7">
        <f>IF(H47="","",Parametros!$B$5*(H47-Parametros!$B$6))</f>
        <v/>
      </c>
      <c r="H47" s="8" t="n">
        <v>8.800147390723589</v>
      </c>
      <c r="I47" s="2" t="inlineStr">
        <is>
          <t>observado</t>
        </is>
      </c>
    </row>
    <row r="48">
      <c r="A48" s="5" t="inlineStr">
        <is>
          <t>202209</t>
        </is>
      </c>
      <c r="B48" s="6" t="n">
        <v>44805</v>
      </c>
      <c r="C48" s="7">
        <f>Entidades!R43</f>
        <v/>
      </c>
      <c r="D48" s="7">
        <f>IF(H48="","",Parametros!$B$5*(H48-Parametros!$B$6))</f>
        <v/>
      </c>
      <c r="H48" s="8" t="n">
        <v>8.786782067775079</v>
      </c>
      <c r="I48" s="2" t="inlineStr">
        <is>
          <t>observado</t>
        </is>
      </c>
    </row>
    <row r="49">
      <c r="A49" s="5" t="inlineStr">
        <is>
          <t>202210</t>
        </is>
      </c>
      <c r="B49" s="6" t="n">
        <v>44835</v>
      </c>
      <c r="C49" s="7">
        <f>Entidades!R44</f>
        <v/>
      </c>
      <c r="D49" s="7">
        <f>IF(H49="","",Parametros!$B$5*(H49-Parametros!$B$6))</f>
        <v/>
      </c>
      <c r="H49" s="8" t="n">
        <v>8.644261427511823</v>
      </c>
      <c r="I49" s="2" t="inlineStr">
        <is>
          <t>observado</t>
        </is>
      </c>
    </row>
    <row r="50">
      <c r="A50" s="5" t="inlineStr">
        <is>
          <t>202211</t>
        </is>
      </c>
      <c r="B50" s="6" t="n">
        <v>44866</v>
      </c>
      <c r="C50" s="7">
        <f>Entidades!R45</f>
        <v/>
      </c>
      <c r="D50" s="7">
        <f>IF(H50="","",Parametros!$B$5*(H50-Parametros!$B$6))</f>
        <v/>
      </c>
      <c r="H50" s="8" t="n">
        <v>8.642707834890583</v>
      </c>
      <c r="I50" s="2" t="inlineStr">
        <is>
          <t>observado</t>
        </is>
      </c>
    </row>
    <row r="51">
      <c r="A51" s="5" t="inlineStr">
        <is>
          <t>202212</t>
        </is>
      </c>
      <c r="B51" s="6" t="n">
        <v>44896</v>
      </c>
      <c r="C51" s="7">
        <f>Entidades!R46</f>
        <v/>
      </c>
      <c r="D51" s="7">
        <f>IF(H51="","",Parametros!$B$5*(H51-Parametros!$B$6))</f>
        <v/>
      </c>
      <c r="H51" s="8" t="n">
        <v>8.563399999999998</v>
      </c>
      <c r="I51" s="2" t="inlineStr">
        <is>
          <t>observado</t>
        </is>
      </c>
    </row>
    <row r="52">
      <c r="A52" s="5" t="inlineStr">
        <is>
          <t>202301</t>
        </is>
      </c>
      <c r="B52" s="6" t="n">
        <v>44927</v>
      </c>
      <c r="C52" s="7">
        <f>Entidades!R47</f>
        <v/>
      </c>
      <c r="D52" s="7">
        <f>IF(H52="","",Parametros!$B$5*(H52-Parametros!$B$6))</f>
        <v/>
      </c>
      <c r="H52" s="8" t="n">
        <v>8.866128182195677</v>
      </c>
      <c r="I52" s="2" t="inlineStr">
        <is>
          <t>observado</t>
        </is>
      </c>
    </row>
    <row r="53">
      <c r="A53" s="5" t="inlineStr">
        <is>
          <t>202302</t>
        </is>
      </c>
      <c r="B53" s="6" t="n">
        <v>44958</v>
      </c>
      <c r="C53" s="7">
        <f>Entidades!R48</f>
        <v/>
      </c>
      <c r="D53" s="7">
        <f>IF(H53="","",Parametros!$B$5*(H53-Parametros!$B$6))</f>
        <v/>
      </c>
      <c r="H53" s="8" t="n">
        <v>8.990678161743059</v>
      </c>
      <c r="I53" s="2" t="inlineStr">
        <is>
          <t>observado</t>
        </is>
      </c>
    </row>
    <row r="54">
      <c r="A54" s="5" t="inlineStr">
        <is>
          <t>202303</t>
        </is>
      </c>
      <c r="B54" s="6" t="n">
        <v>44986</v>
      </c>
      <c r="C54" s="7">
        <f>Entidades!R49</f>
        <v/>
      </c>
      <c r="D54" s="7">
        <f>IF(H54="","",Parametros!$B$5*(H54-Parametros!$B$6))</f>
        <v/>
      </c>
      <c r="H54" s="8" t="n">
        <v>8.666154897445178</v>
      </c>
      <c r="I54" s="2" t="inlineStr">
        <is>
          <t>observado</t>
        </is>
      </c>
    </row>
    <row r="55">
      <c r="A55" s="5" t="inlineStr">
        <is>
          <t>202304</t>
        </is>
      </c>
      <c r="B55" s="6" t="n">
        <v>45017</v>
      </c>
      <c r="C55" s="7">
        <f>Entidades!R50</f>
        <v/>
      </c>
      <c r="D55" s="7">
        <f>IF(H55="","",Parametros!$B$5*(H55-Parametros!$B$6))</f>
        <v/>
      </c>
      <c r="H55" s="8" t="n">
        <v>8.042112610516504</v>
      </c>
      <c r="I55" s="2" t="inlineStr">
        <is>
          <t>observado</t>
        </is>
      </c>
    </row>
    <row r="56">
      <c r="A56" s="5" t="inlineStr">
        <is>
          <t>202305</t>
        </is>
      </c>
      <c r="B56" s="6" t="n">
        <v>45047</v>
      </c>
      <c r="C56" s="7">
        <f>Entidades!R51</f>
        <v/>
      </c>
      <c r="D56" s="7">
        <f>IF(H56="","",Parametros!$B$5*(H56-Parametros!$B$6))</f>
        <v/>
      </c>
      <c r="H56" s="8" t="n">
        <v>7.986233529643028</v>
      </c>
      <c r="I56" s="2" t="inlineStr">
        <is>
          <t>observado</t>
        </is>
      </c>
    </row>
    <row r="57">
      <c r="A57" s="5" t="inlineStr">
        <is>
          <t>202306</t>
        </is>
      </c>
      <c r="B57" s="6" t="n">
        <v>45078</v>
      </c>
      <c r="C57" s="7">
        <f>Entidades!R52</f>
        <v/>
      </c>
      <c r="D57" s="7">
        <f>IF(H57="","",Parametros!$B$5*(H57-Parametros!$B$6))</f>
        <v/>
      </c>
      <c r="H57" s="8" t="n">
        <v>6.709095654518293</v>
      </c>
      <c r="I57" s="2" t="inlineStr">
        <is>
          <t>observado</t>
        </is>
      </c>
    </row>
    <row r="58">
      <c r="A58" s="5" t="inlineStr">
        <is>
          <t>202307</t>
        </is>
      </c>
      <c r="B58" s="6" t="n">
        <v>45108</v>
      </c>
      <c r="C58" s="7">
        <f>Entidades!R53</f>
        <v/>
      </c>
      <c r="D58" s="7">
        <f>IF(H58="","",Parametros!$B$5*(H58-Parametros!$B$6))</f>
        <v/>
      </c>
      <c r="H58" s="8" t="n">
        <v>6.019632529037033</v>
      </c>
      <c r="I58" s="2" t="inlineStr">
        <is>
          <t>observado</t>
        </is>
      </c>
    </row>
    <row r="59">
      <c r="A59" s="5" t="inlineStr">
        <is>
          <t>202308</t>
        </is>
      </c>
      <c r="B59" s="6" t="n">
        <v>45139</v>
      </c>
      <c r="C59" s="7">
        <f>Entidades!R54</f>
        <v/>
      </c>
      <c r="D59" s="7">
        <f>IF(H59="","",Parametros!$B$5*(H59-Parametros!$B$6))</f>
        <v/>
      </c>
      <c r="H59" s="8" t="n">
        <v>5.786511780178594</v>
      </c>
      <c r="I59" s="2" t="inlineStr">
        <is>
          <t>observado</t>
        </is>
      </c>
    </row>
    <row r="60">
      <c r="A60" s="5" t="inlineStr">
        <is>
          <t>202309</t>
        </is>
      </c>
      <c r="B60" s="6" t="n">
        <v>45170</v>
      </c>
      <c r="C60" s="7">
        <f>Entidades!R55</f>
        <v/>
      </c>
      <c r="D60" s="7">
        <f>IF(H60="","",Parametros!$B$5*(H60-Parametros!$B$6))</f>
        <v/>
      </c>
      <c r="H60" s="8" t="n">
        <v>5.270292774292296</v>
      </c>
      <c r="I60" s="2" t="inlineStr">
        <is>
          <t>observado</t>
        </is>
      </c>
    </row>
    <row r="61">
      <c r="A61" s="5" t="inlineStr">
        <is>
          <t>202310</t>
        </is>
      </c>
      <c r="B61" s="6" t="n">
        <v>45200</v>
      </c>
      <c r="C61" s="7">
        <f>Entidades!R56</f>
        <v/>
      </c>
      <c r="D61" s="7">
        <f>IF(H61="","",Parametros!$B$5*(H61-Parametros!$B$6))</f>
        <v/>
      </c>
      <c r="H61" s="8" t="n">
        <v>4.517369267135951</v>
      </c>
      <c r="I61" s="2" t="inlineStr">
        <is>
          <t>observado</t>
        </is>
      </c>
    </row>
    <row r="62">
      <c r="A62" s="5" t="inlineStr">
        <is>
          <t>202311</t>
        </is>
      </c>
      <c r="B62" s="6" t="n">
        <v>45231</v>
      </c>
      <c r="C62" s="7">
        <f>Entidades!R57</f>
        <v/>
      </c>
      <c r="D62" s="7">
        <f>IF(H62="","",Parametros!$B$5*(H62-Parametros!$B$6))</f>
        <v/>
      </c>
      <c r="H62" s="8" t="n">
        <v>3.786664243478488</v>
      </c>
      <c r="I62" s="2" t="inlineStr">
        <is>
          <t>observado</t>
        </is>
      </c>
    </row>
    <row r="63">
      <c r="A63" s="5" t="inlineStr">
        <is>
          <t>202312</t>
        </is>
      </c>
      <c r="B63" s="6" t="n">
        <v>45261</v>
      </c>
      <c r="C63" s="7">
        <f>Entidades!R58</f>
        <v/>
      </c>
      <c r="D63" s="7">
        <f>IF(H63="","",Parametros!$B$5*(H63-Parametros!$B$6))</f>
        <v/>
      </c>
      <c r="H63" s="8" t="n">
        <v>3.411002234638927</v>
      </c>
      <c r="I63" s="2" t="inlineStr">
        <is>
          <t>observado</t>
        </is>
      </c>
    </row>
    <row r="64">
      <c r="A64" s="5" t="inlineStr">
        <is>
          <t>202401</t>
        </is>
      </c>
      <c r="B64" s="6" t="n">
        <v>45292</v>
      </c>
      <c r="C64" s="7">
        <f>Entidades!R59</f>
        <v/>
      </c>
      <c r="D64" s="7">
        <f>IF(H64="","",Parametros!$B$5*(H64-Parametros!$B$6))</f>
        <v/>
      </c>
      <c r="H64" s="8" t="n">
        <v>2.947058030691863</v>
      </c>
      <c r="I64" s="2" t="inlineStr">
        <is>
          <t>observado</t>
        </is>
      </c>
    </row>
    <row r="65">
      <c r="A65" s="5" t="inlineStr">
        <is>
          <t>202402</t>
        </is>
      </c>
      <c r="B65" s="6" t="n">
        <v>45323</v>
      </c>
      <c r="C65" s="7">
        <f>Entidades!R60</f>
        <v/>
      </c>
      <c r="D65" s="7">
        <f>IF(H65="","",Parametros!$B$5*(H65-Parametros!$B$6))</f>
        <v/>
      </c>
      <c r="H65" s="8" t="n">
        <v>2.929597627690584</v>
      </c>
      <c r="I65" s="2" t="inlineStr">
        <is>
          <t>observado</t>
        </is>
      </c>
    </row>
    <row r="66">
      <c r="A66" s="5" t="inlineStr">
        <is>
          <t>202403</t>
        </is>
      </c>
      <c r="B66" s="6" t="n">
        <v>45352</v>
      </c>
      <c r="C66" s="7">
        <f>Entidades!R61</f>
        <v/>
      </c>
      <c r="D66" s="7">
        <f>IF(H66="","",Parametros!$B$5*(H66-Parametros!$B$6))</f>
        <v/>
      </c>
      <c r="H66" s="8" t="n">
        <v>2.67488282501116</v>
      </c>
      <c r="I66" s="2" t="inlineStr">
        <is>
          <t>observado</t>
        </is>
      </c>
    </row>
    <row r="67">
      <c r="A67" s="5" t="inlineStr">
        <is>
          <t>202404</t>
        </is>
      </c>
      <c r="B67" s="6" t="n">
        <v>45383</v>
      </c>
      <c r="C67" s="7">
        <f>Entidades!R62</f>
        <v/>
      </c>
      <c r="D67" s="7">
        <f>IF(H67="","",Parametros!$B$5*(H67-Parametros!$B$6))</f>
        <v/>
      </c>
      <c r="H67" s="8" t="n">
        <v>2.106281337597227</v>
      </c>
      <c r="I67" s="2" t="inlineStr">
        <is>
          <t>observado</t>
        </is>
      </c>
    </row>
    <row r="68">
      <c r="A68" s="5" t="inlineStr">
        <is>
          <t>202405</t>
        </is>
      </c>
      <c r="B68" s="6" t="n">
        <v>45413</v>
      </c>
      <c r="C68" s="7">
        <f>Entidades!R63</f>
        <v/>
      </c>
      <c r="D68" s="7">
        <f>IF(H68="","",Parametros!$B$5*(H68-Parametros!$B$6))</f>
        <v/>
      </c>
      <c r="H68" s="8" t="n">
        <v>1.658485010036248</v>
      </c>
      <c r="I68" s="2" t="inlineStr">
        <is>
          <t>observado</t>
        </is>
      </c>
    </row>
    <row r="69">
      <c r="A69" s="5" t="inlineStr">
        <is>
          <t>202406</t>
        </is>
      </c>
      <c r="B69" s="6" t="n">
        <v>45444</v>
      </c>
      <c r="C69" s="7">
        <f>Entidades!R64</f>
        <v/>
      </c>
      <c r="D69" s="7">
        <f>IF(H69="","",Parametros!$B$5*(H69-Parametros!$B$6))</f>
        <v/>
      </c>
      <c r="H69" s="8" t="n">
        <v>1.889694926977259</v>
      </c>
      <c r="I69" s="2" t="inlineStr">
        <is>
          <t>observado</t>
        </is>
      </c>
    </row>
    <row r="70">
      <c r="A70" s="5" t="inlineStr">
        <is>
          <t>202407</t>
        </is>
      </c>
      <c r="B70" s="6" t="n">
        <v>45474</v>
      </c>
      <c r="C70" s="7">
        <f>Entidades!R65</f>
        <v/>
      </c>
      <c r="D70" s="7">
        <f>IF(H70="","",Parametros!$B$5*(H70-Parametros!$B$6))</f>
        <v/>
      </c>
      <c r="H70" s="8" t="n">
        <v>1.772228978162538</v>
      </c>
      <c r="I70" s="2" t="inlineStr">
        <is>
          <t>observado</t>
        </is>
      </c>
    </row>
    <row r="71">
      <c r="A71" s="5" t="inlineStr">
        <is>
          <t>202408</t>
        </is>
      </c>
      <c r="B71" s="6" t="n">
        <v>45505</v>
      </c>
      <c r="C71" s="7">
        <f>Entidades!R66</f>
        <v/>
      </c>
      <c r="D71" s="7">
        <f>IF(H71="","",Parametros!$B$5*(H71-Parametros!$B$6))</f>
        <v/>
      </c>
      <c r="H71" s="8" t="n">
        <v>1.68219827636038</v>
      </c>
      <c r="I71" s="2" t="inlineStr">
        <is>
          <t>observado</t>
        </is>
      </c>
    </row>
    <row r="72">
      <c r="A72" s="5" t="inlineStr">
        <is>
          <t>202409</t>
        </is>
      </c>
      <c r="B72" s="6" t="n">
        <v>45536</v>
      </c>
      <c r="C72" s="7">
        <f>Entidades!R67</f>
        <v/>
      </c>
      <c r="D72" s="7">
        <f>IF(H72="","",Parametros!$B$5*(H72-Parametros!$B$6))</f>
        <v/>
      </c>
      <c r="H72" s="8" t="n">
        <v>1.490120519618099</v>
      </c>
      <c r="I72" s="2" t="inlineStr">
        <is>
          <t>observado</t>
        </is>
      </c>
    </row>
    <row r="73">
      <c r="A73" s="5" t="inlineStr">
        <is>
          <t>202410</t>
        </is>
      </c>
      <c r="B73" s="6" t="n">
        <v>45566</v>
      </c>
      <c r="C73" s="7">
        <f>Entidades!R68</f>
        <v/>
      </c>
      <c r="D73" s="7">
        <f>IF(H73="","",Parametros!$B$5*(H73-Parametros!$B$6))</f>
        <v/>
      </c>
      <c r="H73" s="8" t="n">
        <v>1.728243240834804</v>
      </c>
      <c r="I73" s="2" t="inlineStr">
        <is>
          <t>observado</t>
        </is>
      </c>
    </row>
    <row r="74">
      <c r="A74" s="5" t="inlineStr">
        <is>
          <t>202411</t>
        </is>
      </c>
      <c r="B74" s="6" t="n">
        <v>45597</v>
      </c>
      <c r="C74" s="7">
        <f>Entidades!R69</f>
        <v/>
      </c>
      <c r="D74" s="7">
        <f>IF(H74="","",Parametros!$B$5*(H74-Parametros!$B$6))</f>
        <v/>
      </c>
      <c r="H74" s="8" t="n">
        <v>2.056451000485126</v>
      </c>
      <c r="I74" s="2" t="inlineStr">
        <is>
          <t>observado</t>
        </is>
      </c>
    </row>
    <row r="75">
      <c r="A75" s="5" t="inlineStr">
        <is>
          <t>202412</t>
        </is>
      </c>
      <c r="B75" s="6" t="n">
        <v>45627</v>
      </c>
      <c r="C75" s="7">
        <f>Entidades!R70</f>
        <v/>
      </c>
      <c r="D75" s="7">
        <f>IF(H75="","",Parametros!$B$5*(H75-Parametros!$B$6))</f>
        <v/>
      </c>
      <c r="H75" s="8" t="n">
        <v>1.897093077632239</v>
      </c>
      <c r="I75" s="2" t="inlineStr">
        <is>
          <t>observado</t>
        </is>
      </c>
    </row>
    <row r="76">
      <c r="A76" s="5" t="inlineStr">
        <is>
          <t>202501</t>
        </is>
      </c>
      <c r="B76" s="6" t="n">
        <v>45658</v>
      </c>
      <c r="C76" s="7">
        <f>Entidades!R71</f>
        <v/>
      </c>
      <c r="D76" s="7">
        <f>IF(H76="","",Parametros!$B$5*(H76-Parametros!$B$6))</f>
        <v/>
      </c>
      <c r="H76" s="8" t="n">
        <v>1.800071073015497</v>
      </c>
      <c r="I76" s="2" t="inlineStr">
        <is>
          <t>observado</t>
        </is>
      </c>
    </row>
    <row r="77">
      <c r="A77" s="5" t="inlineStr">
        <is>
          <t>202502</t>
        </is>
      </c>
      <c r="B77" s="6" t="n">
        <v>45689</v>
      </c>
      <c r="C77" s="7">
        <f>Entidades!R72</f>
        <v/>
      </c>
      <c r="D77" s="7">
        <f>IF(H77="","",Parametros!$B$5*(H77-Parametros!$B$6))</f>
        <v/>
      </c>
      <c r="H77" s="8" t="n">
        <v>1.507106667423574</v>
      </c>
      <c r="I77" s="2" t="inlineStr">
        <is>
          <t>observado</t>
        </is>
      </c>
    </row>
    <row r="78">
      <c r="A78" s="5" t="inlineStr">
        <is>
          <t>202503</t>
        </is>
      </c>
      <c r="B78" s="6" t="n">
        <v>45717</v>
      </c>
      <c r="C78" s="7">
        <f>Entidades!R73</f>
        <v/>
      </c>
      <c r="D78" s="7">
        <f>IF(H78="","",Parametros!$B$5*(H78-Parametros!$B$6))</f>
        <v/>
      </c>
      <c r="H78" s="8" t="n">
        <v>1.323511708359959</v>
      </c>
      <c r="I78" s="2" t="inlineStr">
        <is>
          <t>observado</t>
        </is>
      </c>
    </row>
    <row r="79">
      <c r="A79" s="5" t="inlineStr">
        <is>
          <t>202504</t>
        </is>
      </c>
      <c r="B79" s="6" t="n">
        <v>45748</v>
      </c>
      <c r="C79" s="7">
        <f>Entidades!R74</f>
        <v/>
      </c>
      <c r="D79" s="7">
        <f>IF(H79="","",Parametros!$B$5*(H79-Parametros!$B$6))</f>
        <v/>
      </c>
      <c r="H79" s="8" t="n">
        <v>1.639175710707863</v>
      </c>
      <c r="I79" s="2" t="inlineStr">
        <is>
          <t>observado</t>
        </is>
      </c>
    </row>
    <row r="80">
      <c r="A80" s="5" t="inlineStr">
        <is>
          <t>202505</t>
        </is>
      </c>
      <c r="B80" s="6" t="n">
        <v>45778</v>
      </c>
      <c r="C80" s="7">
        <f>Entidades!R75</f>
        <v/>
      </c>
      <c r="D80" s="7">
        <f>IF(H80="","",Parametros!$B$5*(H80-Parametros!$B$6))</f>
        <v/>
      </c>
      <c r="H80" s="8" t="n">
        <v>1.716074682641011</v>
      </c>
      <c r="I80" s="2" t="inlineStr">
        <is>
          <t>observado</t>
        </is>
      </c>
    </row>
    <row r="81">
      <c r="A81" s="5" t="inlineStr">
        <is>
          <t>202506</t>
        </is>
      </c>
      <c r="B81" s="6" t="n">
        <v>45809</v>
      </c>
      <c r="C81" s="7">
        <f>Entidades!R76</f>
        <v/>
      </c>
      <c r="D81" s="7">
        <f>IF(H81="","",Parametros!$B$5*(H81-Parametros!$B$6))</f>
        <v/>
      </c>
      <c r="H81" s="8" t="n">
        <v>1.69754697951463</v>
      </c>
      <c r="I81" s="2" t="inlineStr">
        <is>
          <t>observado</t>
        </is>
      </c>
    </row>
    <row r="82">
      <c r="A82" s="5" t="inlineStr">
        <is>
          <t>202507</t>
        </is>
      </c>
      <c r="B82" s="6" t="n">
        <v>45839</v>
      </c>
      <c r="D82" s="7">
        <f>IF(H82="","",Parametros!$B$5*(H82-Parametros!$B$6))</f>
        <v/>
      </c>
      <c r="H82" s="8" t="n">
        <v>1.700397683556876</v>
      </c>
      <c r="I82" s="2" t="inlineStr">
        <is>
          <t>observado</t>
        </is>
      </c>
    </row>
    <row r="83">
      <c r="A83" s="5" t="inlineStr">
        <is>
          <t>202508</t>
        </is>
      </c>
      <c r="B83" s="6" t="n">
        <v>45870</v>
      </c>
      <c r="D83" s="7">
        <f>IF(H83="","",Parametros!$B$5*(H83-Parametros!$B$6))</f>
        <v/>
      </c>
      <c r="H83" s="8" t="n">
        <v>1.090721770303759</v>
      </c>
      <c r="I83" s="2" t="inlineStr">
        <is>
          <t>observado</t>
        </is>
      </c>
    </row>
    <row r="84">
      <c r="A84" s="5" t="inlineStr">
        <is>
          <t>202509</t>
        </is>
      </c>
      <c r="B84" s="6" t="n">
        <v>45901</v>
      </c>
      <c r="D84" s="7">
        <f>IF(H84="","",Parametros!$B$5*(H84-Parametros!$B$6))</f>
        <v/>
      </c>
      <c r="H84" s="8" t="n">
        <v>1.227622598684031</v>
      </c>
      <c r="I84" s="2" t="inlineStr">
        <is>
          <t>observado</t>
        </is>
      </c>
    </row>
    <row r="85">
      <c r="A85" s="5" t="inlineStr">
        <is>
          <t>202510</t>
        </is>
      </c>
      <c r="B85" s="6" t="n">
        <v>45931</v>
      </c>
      <c r="D85" s="7">
        <f>IF(H85="","",Parametros!$B$5*(H85-Parametros!$B$6))</f>
        <v/>
      </c>
      <c r="H85" s="8" t="n">
        <v>1.162560639958521</v>
      </c>
      <c r="I85" s="2" t="inlineStr">
        <is>
          <t>observado</t>
        </is>
      </c>
    </row>
    <row r="86">
      <c r="A86" s="5" t="inlineStr">
        <is>
          <t>202511</t>
        </is>
      </c>
      <c r="B86" s="6" t="n">
        <v>45962</v>
      </c>
      <c r="D86" s="7">
        <f>IF(H86="","",Parametros!$B$5*(H86-Parametros!$B$6))</f>
        <v/>
      </c>
      <c r="H86" s="8" t="n">
        <v>1.208049372989306</v>
      </c>
      <c r="I86" s="2" t="inlineStr">
        <is>
          <t>observado</t>
        </is>
      </c>
    </row>
    <row r="87">
      <c r="A87" s="5" t="inlineStr">
        <is>
          <t>202512</t>
        </is>
      </c>
      <c r="B87" s="6" t="n">
        <v>45992</v>
      </c>
      <c r="D87" s="7">
        <f>IF(H87="","",Parametros!$B$5*(H87-Parametros!$B$6))</f>
        <v/>
      </c>
      <c r="H87" s="8" t="n">
        <v>1.309836944027043</v>
      </c>
      <c r="I87" s="2" t="inlineStr">
        <is>
          <t>observado</t>
        </is>
      </c>
    </row>
    <row r="88">
      <c r="A88" s="5" t="inlineStr">
        <is>
          <t>202601</t>
        </is>
      </c>
      <c r="B88" s="6" t="n">
        <v>46023</v>
      </c>
      <c r="D88" s="7">
        <f>IF(H88="","",Parametros!$B$5*(H88-Parametros!$B$6))</f>
        <v/>
      </c>
      <c r="H88" s="8" t="n">
        <v>1.492295713035885</v>
      </c>
      <c r="I88" s="2" t="inlineStr">
        <is>
          <t>observado</t>
        </is>
      </c>
    </row>
    <row r="89">
      <c r="A89" s="5" t="inlineStr">
        <is>
          <t>202602</t>
        </is>
      </c>
      <c r="B89" s="6" t="n">
        <v>46054</v>
      </c>
      <c r="D89" s="7">
        <f>IF(H89="","",Parametros!$B$5*(H89-Parametros!$B$6))</f>
        <v/>
      </c>
      <c r="H89" s="8" t="n">
        <v>2.53647494332808</v>
      </c>
      <c r="I89" s="2" t="inlineStr">
        <is>
          <t>despeje 2026Q1</t>
        </is>
      </c>
    </row>
    <row r="90">
      <c r="A90" s="5" t="inlineStr">
        <is>
          <t>202603</t>
        </is>
      </c>
      <c r="B90" s="6" t="n">
        <v>46082</v>
      </c>
      <c r="D90" s="7">
        <f>IF(H90="","",Parametros!$B$5*(H90-Parametros!$B$6))</f>
        <v/>
      </c>
      <c r="H90" s="8" t="n">
        <v>3.711229343636036</v>
      </c>
      <c r="I90" s="2" t="inlineStr">
        <is>
          <t>observado</t>
        </is>
      </c>
    </row>
    <row r="91">
      <c r="A91" s="5" t="inlineStr">
        <is>
          <t>202604</t>
        </is>
      </c>
      <c r="B91" s="6" t="n">
        <v>46113</v>
      </c>
      <c r="D91" s="7">
        <f>IF(H91="","",Parametros!$B$5*(H91-Parametros!$B$6))</f>
        <v/>
      </c>
      <c r="H91" s="8" t="n">
        <v>3.934979418175466</v>
      </c>
      <c r="I91" s="2" t="inlineStr">
        <is>
          <t>observado</t>
        </is>
      </c>
    </row>
    <row r="92">
      <c r="A92" s="5" t="inlineStr">
        <is>
          <t>202605</t>
        </is>
      </c>
      <c r="B92" s="6" t="n">
        <v>46143</v>
      </c>
      <c r="D92" s="7">
        <f>IF(H92="","",Parametros!$B$5*(H92-Parametros!$B$6))</f>
        <v/>
      </c>
      <c r="E92" s="7">
        <f>IF(K92="","",Parametros!$B$5*(K92-Parametros!$B$6))</f>
        <v/>
      </c>
      <c r="F92" s="7">
        <f>IF(L92="","",Parametros!$B$5*(L92-Parametros!$B$6))</f>
        <v/>
      </c>
      <c r="G92" s="7">
        <f>IF(M92="","",Parametros!$B$5*(M92-Parametros!$B$6))</f>
        <v/>
      </c>
      <c r="H92" s="8" t="n">
        <v>3.822182160430176</v>
      </c>
      <c r="I92" s="2" t="inlineStr">
        <is>
          <t>observado</t>
        </is>
      </c>
      <c r="K92" s="8" t="n">
        <v>3.822182160430176</v>
      </c>
      <c r="L92" s="8" t="n">
        <v>3.822182160430176</v>
      </c>
      <c r="M92" s="8" t="n">
        <v>3.822182160430176</v>
      </c>
    </row>
    <row r="93">
      <c r="A93" s="5" t="inlineStr">
        <is>
          <t>202606</t>
        </is>
      </c>
      <c r="B93" s="6" t="n">
        <v>46174</v>
      </c>
      <c r="E93" s="7">
        <f>IF(K93="","",Parametros!$B$5*(K93-Parametros!$B$6))</f>
        <v/>
      </c>
      <c r="F93" s="7">
        <f>IF(L93="","",Parametros!$B$5*(L93-Parametros!$B$6))</f>
        <v/>
      </c>
      <c r="G93" s="7">
        <f>IF(M93="","",Parametros!$B$5*(M93-Parametros!$B$6))</f>
        <v/>
      </c>
      <c r="H93" s="8" t="n">
        <v>4.000755570197149</v>
      </c>
      <c r="I93" s="2" t="inlineStr">
        <is>
          <t>proy BASE</t>
        </is>
      </c>
      <c r="K93" s="8" t="n">
        <v>4.000755570197149</v>
      </c>
      <c r="L93" s="8" t="n">
        <v>3.957935826358008</v>
      </c>
      <c r="M93" s="8" t="n">
        <v>4.011759633135678</v>
      </c>
    </row>
    <row r="94">
      <c r="A94" s="5" t="inlineStr">
        <is>
          <t>202607</t>
        </is>
      </c>
      <c r="B94" s="6" t="n">
        <v>46204</v>
      </c>
      <c r="E94" s="7">
        <f>IF(K94="","",Parametros!$B$5*(K94-Parametros!$B$6))</f>
        <v/>
      </c>
      <c r="F94" s="7">
        <f>IF(L94="","",Parametros!$B$5*(L94-Parametros!$B$6))</f>
        <v/>
      </c>
      <c r="G94" s="7">
        <f>IF(M94="","",Parametros!$B$5*(M94-Parametros!$B$6))</f>
        <v/>
      </c>
      <c r="H94" s="8" t="n">
        <v>4.132968423161296</v>
      </c>
      <c r="I94" s="2" t="inlineStr">
        <is>
          <t>proy BASE</t>
        </is>
      </c>
      <c r="K94" s="8" t="n">
        <v>4.132968423161296</v>
      </c>
      <c r="L94" s="8" t="n">
        <v>4.051840564731529</v>
      </c>
      <c r="M94" s="8" t="n">
        <v>4.154150166766533</v>
      </c>
    </row>
    <row r="95">
      <c r="A95" s="5" t="inlineStr">
        <is>
          <t>202608</t>
        </is>
      </c>
      <c r="B95" s="6" t="n">
        <v>46235</v>
      </c>
      <c r="E95" s="7">
        <f>IF(K95="","",Parametros!$B$5*(K95-Parametros!$B$6))</f>
        <v/>
      </c>
      <c r="F95" s="7">
        <f>IF(L95="","",Parametros!$B$5*(L95-Parametros!$B$6))</f>
        <v/>
      </c>
      <c r="G95" s="7">
        <f>IF(M95="","",Parametros!$B$5*(M95-Parametros!$B$6))</f>
        <v/>
      </c>
      <c r="H95" s="8" t="n">
        <v>4.25</v>
      </c>
      <c r="I95" s="2" t="inlineStr">
        <is>
          <t>proy BASE</t>
        </is>
      </c>
      <c r="K95" s="8" t="n">
        <v>4.25</v>
      </c>
      <c r="L95" s="8" t="n">
        <v>4.14</v>
      </c>
      <c r="M95" s="8" t="n">
        <v>4.3</v>
      </c>
    </row>
    <row r="96">
      <c r="A96" s="5" t="inlineStr">
        <is>
          <t>202609</t>
        </is>
      </c>
      <c r="B96" s="6" t="n">
        <v>46266</v>
      </c>
      <c r="E96" s="7">
        <f>IF(K96="","",Parametros!$B$5*(K96-Parametros!$B$6))</f>
        <v/>
      </c>
      <c r="F96" s="7">
        <f>IF(L96="","",Parametros!$B$5*(L96-Parametros!$B$6))</f>
        <v/>
      </c>
      <c r="G96" s="7">
        <f>IF(M96="","",Parametros!$B$5*(M96-Parametros!$B$6))</f>
        <v/>
      </c>
      <c r="H96" s="8" t="n">
        <v>4.383629940297086</v>
      </c>
      <c r="I96" s="2" t="inlineStr">
        <is>
          <t>proy BASE</t>
        </is>
      </c>
      <c r="K96" s="8" t="n">
        <v>4.383629940297086</v>
      </c>
      <c r="L96" s="8" t="n">
        <v>4.253253922310681</v>
      </c>
      <c r="M96" s="8" t="n">
        <v>4.497363033667444</v>
      </c>
    </row>
    <row r="97">
      <c r="A97" s="5" t="inlineStr">
        <is>
          <t>202610</t>
        </is>
      </c>
      <c r="B97" s="6" t="n">
        <v>46296</v>
      </c>
      <c r="E97" s="7">
        <f>IF(K97="","",Parametros!$B$5*(K97-Parametros!$B$6))</f>
        <v/>
      </c>
      <c r="F97" s="7">
        <f>IF(L97="","",Parametros!$B$5*(L97-Parametros!$B$6))</f>
        <v/>
      </c>
      <c r="G97" s="7">
        <f>IF(M97="","",Parametros!$B$5*(M97-Parametros!$B$6))</f>
        <v/>
      </c>
      <c r="H97" s="8" t="n">
        <v>4.506259414592987</v>
      </c>
      <c r="I97" s="2" t="inlineStr">
        <is>
          <t>proy BASE</t>
        </is>
      </c>
      <c r="K97" s="8" t="n">
        <v>4.506259414592987</v>
      </c>
      <c r="L97" s="8" t="n">
        <v>4.361626961155341</v>
      </c>
      <c r="M97" s="8" t="n">
        <v>4.698418358938985</v>
      </c>
    </row>
    <row r="98">
      <c r="A98" s="5" t="inlineStr">
        <is>
          <t>202611</t>
        </is>
      </c>
      <c r="B98" s="6" t="n">
        <v>46327</v>
      </c>
      <c r="E98" s="7">
        <f>IF(K98="","",Parametros!$B$5*(K98-Parametros!$B$6))</f>
        <v/>
      </c>
      <c r="F98" s="7">
        <f>IF(L98="","",Parametros!$B$5*(L98-Parametros!$B$6))</f>
        <v/>
      </c>
      <c r="G98" s="7">
        <f>IF(M98="","",Parametros!$B$5*(M98-Parametros!$B$6))</f>
        <v/>
      </c>
      <c r="H98" s="8" t="n">
        <v>4.56</v>
      </c>
      <c r="I98" s="2" t="inlineStr">
        <is>
          <t>proy BASE</t>
        </is>
      </c>
      <c r="K98" s="8" t="n">
        <v>4.56</v>
      </c>
      <c r="L98" s="8" t="n">
        <v>4.41</v>
      </c>
      <c r="M98" s="8" t="n">
        <v>4.81</v>
      </c>
    </row>
    <row r="99">
      <c r="A99" s="5" t="inlineStr">
        <is>
          <t>202612</t>
        </is>
      </c>
      <c r="B99" s="6" t="n">
        <v>46357</v>
      </c>
      <c r="E99" s="7">
        <f>IF(K99="","",Parametros!$B$5*(K99-Parametros!$B$6))</f>
        <v/>
      </c>
      <c r="F99" s="7">
        <f>IF(L99="","",Parametros!$B$5*(L99-Parametros!$B$6))</f>
        <v/>
      </c>
      <c r="G99" s="7">
        <f>IF(M99="","",Parametros!$B$5*(M99-Parametros!$B$6))</f>
        <v/>
      </c>
      <c r="H99" s="8" t="n">
        <v>4.543880837359097</v>
      </c>
      <c r="I99" s="2" t="inlineStr">
        <is>
          <t>proy BASE</t>
        </is>
      </c>
      <c r="K99" s="8" t="n">
        <v>4.543880837359097</v>
      </c>
      <c r="L99" s="8" t="n">
        <v>4.403469785575049</v>
      </c>
      <c r="M99" s="8" t="n">
        <v>4.841461988304093</v>
      </c>
    </row>
    <row r="100">
      <c r="A100" s="5" t="inlineStr">
        <is>
          <t>202701</t>
        </is>
      </c>
      <c r="B100" s="6" t="n">
        <v>46388</v>
      </c>
      <c r="E100" s="7">
        <f>IF(K100="","",Parametros!$B$5*(K100-Parametros!$B$6))</f>
        <v/>
      </c>
      <c r="F100" s="7">
        <f>IF(L100="","",Parametros!$B$5*(L100-Parametros!$B$6))</f>
        <v/>
      </c>
      <c r="G100" s="7">
        <f>IF(M100="","",Parametros!$B$5*(M100-Parametros!$B$6))</f>
        <v/>
      </c>
      <c r="H100" s="8" t="n">
        <v>4.503317230273752</v>
      </c>
      <c r="I100" s="2" t="inlineStr">
        <is>
          <t>proy BASE</t>
        </is>
      </c>
      <c r="K100" s="8" t="n">
        <v>4.503317230273752</v>
      </c>
      <c r="L100" s="8" t="n">
        <v>4.385828460038987</v>
      </c>
      <c r="M100" s="8" t="n">
        <v>4.862397660818713</v>
      </c>
    </row>
    <row r="101">
      <c r="A101" s="5" t="inlineStr">
        <is>
          <t>202702</t>
        </is>
      </c>
      <c r="B101" s="6" t="n">
        <v>46419</v>
      </c>
      <c r="E101" s="7">
        <f>IF(K101="","",Parametros!$B$5*(K101-Parametros!$B$6))</f>
        <v/>
      </c>
      <c r="F101" s="7">
        <f>IF(L101="","",Parametros!$B$5*(L101-Parametros!$B$6))</f>
        <v/>
      </c>
      <c r="G101" s="7">
        <f>IF(M101="","",Parametros!$B$5*(M101-Parametros!$B$6))</f>
        <v/>
      </c>
      <c r="H101" s="8" t="n">
        <v>4.45</v>
      </c>
      <c r="I101" s="2" t="inlineStr">
        <is>
          <t>proy BASE</t>
        </is>
      </c>
      <c r="K101" s="8" t="n">
        <v>4.45</v>
      </c>
      <c r="L101" s="8" t="n">
        <v>4.36</v>
      </c>
      <c r="M101" s="8" t="n">
        <v>4.87</v>
      </c>
    </row>
    <row r="102">
      <c r="A102" s="5" t="inlineStr">
        <is>
          <t>202703</t>
        </is>
      </c>
      <c r="B102" s="6" t="n">
        <v>46447</v>
      </c>
      <c r="E102" s="7">
        <f>IF(K102="","",Parametros!$B$5*(K102-Parametros!$B$6))</f>
        <v/>
      </c>
      <c r="F102" s="7">
        <f>IF(L102="","",Parametros!$B$5*(L102-Parametros!$B$6))</f>
        <v/>
      </c>
      <c r="G102" s="7">
        <f>IF(M102="","",Parametros!$B$5*(M102-Parametros!$B$6))</f>
        <v/>
      </c>
      <c r="H102" s="8" t="n">
        <v>4.363627214170693</v>
      </c>
      <c r="I102" s="2" t="inlineStr">
        <is>
          <t>proy BASE</t>
        </is>
      </c>
      <c r="K102" s="8" t="n">
        <v>4.363627214170693</v>
      </c>
      <c r="L102" s="8" t="n">
        <v>4.2889567251462</v>
      </c>
      <c r="M102" s="8" t="n">
        <v>4.807411764705882</v>
      </c>
    </row>
    <row r="103">
      <c r="A103" s="5" t="inlineStr">
        <is>
          <t>202704</t>
        </is>
      </c>
      <c r="B103" s="6" t="n">
        <v>46478</v>
      </c>
      <c r="E103" s="7">
        <f>IF(K103="","",Parametros!$B$5*(K103-Parametros!$B$6))</f>
        <v/>
      </c>
      <c r="F103" s="7">
        <f>IF(L103="","",Parametros!$B$5*(L103-Parametros!$B$6))</f>
        <v/>
      </c>
      <c r="G103" s="7">
        <f>IF(M103="","",Parametros!$B$5*(M103-Parametros!$B$6))</f>
        <v/>
      </c>
      <c r="H103" s="8" t="n">
        <v>4.236674718196457</v>
      </c>
      <c r="I103" s="2" t="inlineStr">
        <is>
          <t>proy BASE</t>
        </is>
      </c>
      <c r="K103" s="8" t="n">
        <v>4.236674718196457</v>
      </c>
      <c r="L103" s="8" t="n">
        <v>4.1638783625731</v>
      </c>
      <c r="M103" s="8" t="n">
        <v>4.664823529411764</v>
      </c>
    </row>
    <row r="104">
      <c r="A104" s="5" t="inlineStr">
        <is>
          <t>202705</t>
        </is>
      </c>
      <c r="B104" s="6" t="n">
        <v>46508</v>
      </c>
      <c r="E104" s="7">
        <f>IF(K104="","",Parametros!$B$5*(K104-Parametros!$B$6))</f>
        <v/>
      </c>
      <c r="F104" s="7">
        <f>IF(L104="","",Parametros!$B$5*(L104-Parametros!$B$6))</f>
        <v/>
      </c>
      <c r="G104" s="7">
        <f>IF(M104="","",Parametros!$B$5*(M104-Parametros!$B$6))</f>
        <v/>
      </c>
      <c r="H104" s="8" t="n">
        <v>4.1</v>
      </c>
      <c r="I104" s="2" t="inlineStr">
        <is>
          <t>proy BASE</t>
        </is>
      </c>
      <c r="K104" s="8" t="n">
        <v>4.1</v>
      </c>
      <c r="L104" s="8" t="n">
        <v>4.03</v>
      </c>
      <c r="M104" s="8" t="n">
        <v>4.51</v>
      </c>
    </row>
    <row r="105">
      <c r="A105" s="5" t="inlineStr">
        <is>
          <t>202706</t>
        </is>
      </c>
      <c r="B105" s="6" t="n">
        <v>46539</v>
      </c>
      <c r="E105" s="7">
        <f>IF(K105="","",Parametros!$B$5*(K105-Parametros!$B$6))</f>
        <v/>
      </c>
      <c r="F105" s="7">
        <f>IF(L105="","",Parametros!$B$5*(L105-Parametros!$B$6))</f>
        <v/>
      </c>
      <c r="G105" s="7">
        <f>IF(M105="","",Parametros!$B$5*(M105-Parametros!$B$6))</f>
        <v/>
      </c>
      <c r="H105" s="8" t="n">
        <v>3.956372549019608</v>
      </c>
      <c r="I105" s="2" t="inlineStr">
        <is>
          <t>proy BASE</t>
        </is>
      </c>
      <c r="K105" s="8" t="n">
        <v>3.956372549019608</v>
      </c>
      <c r="L105" s="8" t="n">
        <v>3.895497609001406</v>
      </c>
      <c r="M105" s="8" t="n">
        <v>4.356224539934177</v>
      </c>
    </row>
    <row r="106">
      <c r="A106" s="5" t="inlineStr">
        <is>
          <t>202707</t>
        </is>
      </c>
      <c r="B106" s="6" t="n">
        <v>46569</v>
      </c>
      <c r="E106" s="7">
        <f>IF(K106="","",Parametros!$B$5*(K106-Parametros!$B$6))</f>
        <v/>
      </c>
      <c r="F106" s="7">
        <f>IF(L106="","",Parametros!$B$5*(L106-Parametros!$B$6))</f>
        <v/>
      </c>
      <c r="G106" s="7">
        <f>IF(M106="","",Parametros!$B$5*(M106-Parametros!$B$6))</f>
        <v/>
      </c>
      <c r="H106" s="8" t="n">
        <v>3.800245098039216</v>
      </c>
      <c r="I106" s="2" t="inlineStr">
        <is>
          <t>proy BASE</t>
        </is>
      </c>
      <c r="K106" s="8" t="n">
        <v>3.800245098039216</v>
      </c>
      <c r="L106" s="8" t="n">
        <v>3.749795218002813</v>
      </c>
      <c r="M106" s="8" t="n">
        <v>4.185795485097112</v>
      </c>
    </row>
    <row r="107">
      <c r="A107" s="5" t="inlineStr">
        <is>
          <t>202708</t>
        </is>
      </c>
      <c r="B107" s="6" t="n">
        <v>46600</v>
      </c>
      <c r="E107" s="7">
        <f>IF(K107="","",Parametros!$B$5*(K107-Parametros!$B$6))</f>
        <v/>
      </c>
      <c r="F107" s="7">
        <f>IF(L107="","",Parametros!$B$5*(L107-Parametros!$B$6))</f>
        <v/>
      </c>
      <c r="G107" s="7">
        <f>IF(M107="","",Parametros!$B$5*(M107-Parametros!$B$6))</f>
        <v/>
      </c>
      <c r="H107" s="8" t="n">
        <v>3.65</v>
      </c>
      <c r="I107" s="2" t="inlineStr">
        <is>
          <t>proy BASE</t>
        </is>
      </c>
      <c r="K107" s="8" t="n">
        <v>3.65</v>
      </c>
      <c r="L107" s="8" t="n">
        <v>3.61</v>
      </c>
      <c r="M107" s="8" t="n">
        <v>4.02</v>
      </c>
    </row>
    <row r="108">
      <c r="A108" s="5" t="inlineStr">
        <is>
          <t>202709</t>
        </is>
      </c>
      <c r="B108" s="6" t="n">
        <v>46631</v>
      </c>
      <c r="E108" s="7">
        <f>IF(K108="","",Parametros!$B$5*(K108-Parametros!$B$6))</f>
        <v/>
      </c>
      <c r="F108" s="7">
        <f>IF(L108="","",Parametros!$B$5*(L108-Parametros!$B$6))</f>
        <v/>
      </c>
      <c r="G108" s="7">
        <f>IF(M108="","",Parametros!$B$5*(M108-Parametros!$B$6))</f>
        <v/>
      </c>
      <c r="H108" s="8" t="n">
        <v>3.516473008956669</v>
      </c>
      <c r="I108" s="2" t="inlineStr">
        <is>
          <t>proy BASE</t>
        </is>
      </c>
      <c r="K108" s="8" t="n">
        <v>3.516473008956669</v>
      </c>
      <c r="L108" s="8" t="n">
        <v>3.487021663995464</v>
      </c>
      <c r="M108" s="8" t="n">
        <v>3.86988420900275</v>
      </c>
    </row>
    <row r="109">
      <c r="A109" s="5" t="inlineStr">
        <is>
          <t>202710</t>
        </is>
      </c>
      <c r="B109" s="6" t="n">
        <v>46661</v>
      </c>
      <c r="E109" s="7">
        <f>IF(K109="","",Parametros!$B$5*(K109-Parametros!$B$6))</f>
        <v/>
      </c>
      <c r="F109" s="7">
        <f>IF(L109="","",Parametros!$B$5*(L109-Parametros!$B$6))</f>
        <v/>
      </c>
      <c r="G109" s="7">
        <f>IF(M109="","",Parametros!$B$5*(M109-Parametros!$B$6))</f>
        <v/>
      </c>
      <c r="H109" s="8" t="n">
        <v>3.388174776083273</v>
      </c>
      <c r="I109" s="2" t="inlineStr">
        <is>
          <t>proy BASE</t>
        </is>
      </c>
      <c r="K109" s="8" t="n">
        <v>3.388174776083273</v>
      </c>
      <c r="L109" s="8" t="n">
        <v>3.36924726610626</v>
      </c>
      <c r="M109" s="8" t="n">
        <v>3.724023737154436</v>
      </c>
    </row>
    <row r="110">
      <c r="A110" s="5" t="inlineStr">
        <is>
          <t>202711</t>
        </is>
      </c>
      <c r="B110" s="6" t="n">
        <v>46692</v>
      </c>
      <c r="E110" s="7">
        <f>IF(K110="","",Parametros!$B$5*(K110-Parametros!$B$6))</f>
        <v/>
      </c>
      <c r="F110" s="7">
        <f>IF(L110="","",Parametros!$B$5*(L110-Parametros!$B$6))</f>
        <v/>
      </c>
      <c r="G110" s="7">
        <f>IF(M110="","",Parametros!$B$5*(M110-Parametros!$B$6))</f>
        <v/>
      </c>
      <c r="H110" s="8" t="n">
        <v>3.25</v>
      </c>
      <c r="I110" s="2" t="inlineStr">
        <is>
          <t>proy BASE</t>
        </is>
      </c>
      <c r="K110" s="8" t="n">
        <v>3.25</v>
      </c>
      <c r="L110" s="8" t="n">
        <v>3.24</v>
      </c>
      <c r="M110" s="8" t="n">
        <v>3.57</v>
      </c>
    </row>
    <row r="111">
      <c r="A111" s="5" t="inlineStr">
        <is>
          <t>202712</t>
        </is>
      </c>
      <c r="B111" s="6" t="n">
        <v>46722</v>
      </c>
      <c r="E111" s="7">
        <f>IF(K111="","",Parametros!$B$5*(K111-Parametros!$B$6))</f>
        <v/>
      </c>
      <c r="F111" s="7">
        <f>IF(L111="","",Parametros!$B$5*(L111-Parametros!$B$6))</f>
        <v/>
      </c>
      <c r="G111" s="7">
        <f>IF(M111="","",Parametros!$B$5*(M111-Parametros!$B$6))</f>
        <v/>
      </c>
      <c r="H111" s="8" t="n">
        <v>3.079218106995885</v>
      </c>
      <c r="I111" s="2" t="inlineStr">
        <is>
          <t>proy BASE</t>
        </is>
      </c>
      <c r="K111" s="8" t="n">
        <v>3.079218106995885</v>
      </c>
      <c r="L111" s="8" t="n">
        <v>3.075024093861303</v>
      </c>
      <c r="M111" s="8" t="n">
        <v>3.386983749055177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52" customWidth="1" min="3" max="3"/>
    <col width="22" customWidth="1" min="4" max="4"/>
  </cols>
  <sheetData>
    <row r="1">
      <c r="A1" s="1" t="inlineStr">
        <is>
          <t>Parametros del factor macro</t>
        </is>
      </c>
    </row>
    <row r="2">
      <c r="A2" s="2" t="inlineStr">
        <is>
          <t>En azul los valores fijos del pipeline. Todo lo demas del libro los referencia.</t>
        </is>
      </c>
    </row>
    <row r="4">
      <c r="A4" s="4" t="inlineStr">
        <is>
          <t>Parametro</t>
        </is>
      </c>
      <c r="B4" s="4" t="inlineStr">
        <is>
          <t>Valor</t>
        </is>
      </c>
      <c r="C4" s="4" t="inlineStr">
        <is>
          <t>Que es</t>
        </is>
      </c>
      <c r="D4" s="4" t="inlineStr">
        <is>
          <t>Fuente</t>
        </is>
      </c>
    </row>
    <row r="5">
      <c r="A5" s="5" t="inlineStr">
        <is>
          <t>beta</t>
        </is>
      </c>
      <c r="B5" s="9" t="n">
        <v>0.0601</v>
      </c>
      <c r="C5" s="5" t="inlineStr">
        <is>
          <t>lleva la inflacion a unidades de ciclo</t>
        </is>
      </c>
      <c r="D5" s="2" t="inlineStr">
        <is>
          <t>macro_model.json</t>
        </is>
      </c>
    </row>
    <row r="6">
      <c r="A6" s="5" t="inlineStr">
        <is>
          <t>mu</t>
        </is>
      </c>
      <c r="B6" s="9" t="n">
        <v>4.524063132880557</v>
      </c>
      <c r="C6" s="5" t="inlineStr">
        <is>
          <t>inflacion media del panel; con infl = mu el ciclo es 0</t>
        </is>
      </c>
      <c r="D6" s="2" t="inlineStr">
        <is>
          <t>macro_model.json</t>
        </is>
      </c>
    </row>
    <row r="7">
      <c r="A7" s="5" t="inlineStr">
        <is>
          <t>carga</t>
        </is>
      </c>
      <c r="B7" s="9" t="n">
        <v>0.7284235280698305</v>
      </c>
      <c r="C7" s="5" t="inlineStr">
        <is>
          <t>lleva el ciclo al probit de la mora</t>
        </is>
      </c>
      <c r="D7" s="2" t="inlineStr">
        <is>
          <t>macro_model.json</t>
        </is>
      </c>
    </row>
    <row r="8">
      <c r="A8" s="5" t="inlineStr">
        <is>
          <t>centro</t>
        </is>
      </c>
      <c r="B8" s="10" t="n">
        <v>-0.04997424744116646</v>
      </c>
      <c r="C8" s="5" t="inlineStr">
        <is>
          <t>centrado del ft exportado</t>
        </is>
      </c>
      <c r="D8" s="2" t="inlineStr">
        <is>
          <t>macro_model.json</t>
        </is>
      </c>
    </row>
    <row r="9">
      <c r="A9" s="5" t="inlineStr">
        <is>
          <t>rho</t>
        </is>
      </c>
      <c r="B9" s="9" t="n">
        <v>0.0332</v>
      </c>
      <c r="C9" s="5" t="inlineStr">
        <is>
          <t>correlacion de activos (piso; el panel midio 0.0244)</t>
        </is>
      </c>
      <c r="D9" s="2" t="inlineStr">
        <is>
          <t>vasicek_rho.json</t>
        </is>
      </c>
    </row>
    <row r="10">
      <c r="A10" s="5" t="inlineStr">
        <is>
          <t>lambda</t>
        </is>
      </c>
      <c r="B10" s="11" t="n">
        <v>1</v>
      </c>
      <c r="C10" s="5" t="inlineStr">
        <is>
          <t>sensibilidad al ciclo (tope: el MLE pide 2.60)</t>
        </is>
      </c>
      <c r="D10" s="2" t="inlineStr">
        <is>
          <t>config.LAMBDA_PIT</t>
        </is>
      </c>
    </row>
    <row r="11">
      <c r="A11" s="5" t="inlineStr">
        <is>
          <t>LRA</t>
        </is>
      </c>
      <c r="B11" s="12" t="n">
        <v>0.06983379606276915</v>
      </c>
      <c r="C11" s="5" t="inlineStr">
        <is>
          <t>mora de largo plazo de la cartera</t>
        </is>
      </c>
      <c r="D11" s="2" t="inlineStr">
        <is>
          <t>lra.json</t>
        </is>
      </c>
    </row>
    <row r="12">
      <c r="A12" s="5" t="inlineStr">
        <is>
          <t>raiz(rho)</t>
        </is>
      </c>
      <c r="B12" s="13">
        <f>SQRT(B9)</f>
        <v/>
      </c>
      <c r="C12" s="5" t="inlineStr">
        <is>
          <t>transmision al probit</t>
        </is>
      </c>
    </row>
    <row r="13">
      <c r="A13" s="5" t="inlineStr">
        <is>
          <t>raiz(1-rho)</t>
        </is>
      </c>
      <c r="B13" s="13">
        <f>SQRT(1-B9)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De la mora de los 5 bancos al ciclo comun</t>
        </is>
      </c>
    </row>
    <row r="2">
      <c r="A2" s="2" t="inlineStr">
        <is>
          <t>A cada banco se le resta su propio nivel (en escala probit). El promedio de esos desvios es el ciclo. Las columnas en azul son dato; el resto son formulas.</t>
        </is>
      </c>
    </row>
    <row r="4">
      <c r="A4" s="3" t="inlineStr">
        <is>
          <t>codmes</t>
        </is>
      </c>
      <c r="B4" s="3" t="inlineStr">
        <is>
          <t>fecha</t>
        </is>
      </c>
      <c r="C4" s="3" t="inlineStr">
        <is>
          <t>RD BCP</t>
        </is>
      </c>
      <c r="D4" s="3" t="inlineStr">
        <is>
          <t>RD Interbank</t>
        </is>
      </c>
      <c r="E4" s="3" t="inlineStr">
        <is>
          <t>RD Scotiabank</t>
        </is>
      </c>
      <c r="F4" s="3" t="inlineStr">
        <is>
          <t>RD BBVA</t>
        </is>
      </c>
      <c r="G4" s="3" t="inlineStr">
        <is>
          <t>RD Falabella</t>
        </is>
      </c>
      <c r="H4" s="3" t="inlineStr">
        <is>
          <t>probit BCP</t>
        </is>
      </c>
      <c r="I4" s="3" t="inlineStr">
        <is>
          <t>probit Interbank</t>
        </is>
      </c>
      <c r="J4" s="3" t="inlineStr">
        <is>
          <t>probit Scotiabank</t>
        </is>
      </c>
      <c r="K4" s="3" t="inlineStr">
        <is>
          <t>probit BBVA</t>
        </is>
      </c>
      <c r="L4" s="3" t="inlineStr">
        <is>
          <t>probit Falabella</t>
        </is>
      </c>
      <c r="M4" s="3" t="inlineStr">
        <is>
          <t>desvio BCP</t>
        </is>
      </c>
      <c r="N4" s="3" t="inlineStr">
        <is>
          <t>desvio Interbank</t>
        </is>
      </c>
      <c r="O4" s="3" t="inlineStr">
        <is>
          <t>desvio Scotiabank</t>
        </is>
      </c>
      <c r="P4" s="3" t="inlineStr">
        <is>
          <t>desvio BBVA</t>
        </is>
      </c>
      <c r="Q4" s="3" t="inlineStr">
        <is>
          <t>desvio Falabella</t>
        </is>
      </c>
      <c r="R4" s="3" t="inlineStr">
        <is>
          <t>CICLO</t>
        </is>
      </c>
    </row>
    <row r="5">
      <c r="A5" s="5" t="inlineStr">
        <is>
          <t>201902</t>
        </is>
      </c>
      <c r="B5" s="6" t="n">
        <v>43497</v>
      </c>
      <c r="C5" s="14" t="n">
        <v>0.0967817437097718</v>
      </c>
      <c r="D5" s="14" t="n">
        <v>0.1597558408756051</v>
      </c>
      <c r="E5" s="14" t="n">
        <v>0.1693037974683544</v>
      </c>
      <c r="F5" s="14" t="n">
        <v>0.0581818181818181</v>
      </c>
      <c r="G5" s="14" t="n">
        <v>0.2549594229035167</v>
      </c>
      <c r="H5" s="7">
        <f>NORMSINV(C5)</f>
        <v/>
      </c>
      <c r="I5" s="7">
        <f>NORMSINV(D5)</f>
        <v/>
      </c>
      <c r="J5" s="7">
        <f>NORMSINV(E5)</f>
        <v/>
      </c>
      <c r="K5" s="7">
        <f>NORMSINV(F5)</f>
        <v/>
      </c>
      <c r="L5" s="7">
        <f>NORMSINV(G5)</f>
        <v/>
      </c>
      <c r="M5" s="7">
        <f>H5-AVERAGE(H$5:H$76)</f>
        <v/>
      </c>
      <c r="N5" s="7">
        <f>I5-AVERAGE(I$5:I$76)</f>
        <v/>
      </c>
      <c r="O5" s="7">
        <f>J5-AVERAGE(J$5:J$76)</f>
        <v/>
      </c>
      <c r="P5" s="7">
        <f>K5-AVERAGE(K$5:K$76)</f>
        <v/>
      </c>
      <c r="Q5" s="7">
        <f>L5-AVERAGE(L$5:L$76)</f>
        <v/>
      </c>
      <c r="R5" s="15">
        <f>AVERAGE(M5:Q5)</f>
        <v/>
      </c>
    </row>
    <row r="6">
      <c r="A6" s="5" t="inlineStr">
        <is>
          <t>201903</t>
        </is>
      </c>
      <c r="B6" s="6" t="n">
        <v>43525</v>
      </c>
      <c r="C6" s="14" t="n">
        <v>0.0923450789793438</v>
      </c>
      <c r="D6" s="14" t="n">
        <v>0.1627525942108137</v>
      </c>
      <c r="E6" s="14" t="n">
        <v>0.1441717791411043</v>
      </c>
      <c r="F6" s="14" t="n">
        <v>0.0679867986798679</v>
      </c>
      <c r="G6" s="14" t="n">
        <v>0.2731958762886597</v>
      </c>
      <c r="H6" s="7">
        <f>NORMSINV(C6)</f>
        <v/>
      </c>
      <c r="I6" s="7">
        <f>NORMSINV(D6)</f>
        <v/>
      </c>
      <c r="J6" s="7">
        <f>NORMSINV(E6)</f>
        <v/>
      </c>
      <c r="K6" s="7">
        <f>NORMSINV(F6)</f>
        <v/>
      </c>
      <c r="L6" s="7">
        <f>NORMSINV(G6)</f>
        <v/>
      </c>
      <c r="M6" s="7">
        <f>H6-AVERAGE(H$5:H$76)</f>
        <v/>
      </c>
      <c r="N6" s="7">
        <f>I6-AVERAGE(I$5:I$76)</f>
        <v/>
      </c>
      <c r="O6" s="7">
        <f>J6-AVERAGE(J$5:J$76)</f>
        <v/>
      </c>
      <c r="P6" s="7">
        <f>K6-AVERAGE(K$5:K$76)</f>
        <v/>
      </c>
      <c r="Q6" s="7">
        <f>L6-AVERAGE(L$5:L$76)</f>
        <v/>
      </c>
      <c r="R6" s="15">
        <f>AVERAGE(M6:Q6)</f>
        <v/>
      </c>
    </row>
    <row r="7">
      <c r="A7" s="5" t="inlineStr">
        <is>
          <t>201904</t>
        </is>
      </c>
      <c r="B7" s="6" t="n">
        <v>43556</v>
      </c>
      <c r="C7" s="14" t="n">
        <v>0.0867262495862297</v>
      </c>
      <c r="D7" s="14" t="n">
        <v>0.1626240352811466</v>
      </c>
      <c r="E7" s="14" t="n">
        <v>0.1238532110091743</v>
      </c>
      <c r="F7" s="14" t="n">
        <v>0.0470430107526881</v>
      </c>
      <c r="G7" s="14" t="n">
        <v>0.2984095982142857</v>
      </c>
      <c r="H7" s="7">
        <f>NORMSINV(C7)</f>
        <v/>
      </c>
      <c r="I7" s="7">
        <f>NORMSINV(D7)</f>
        <v/>
      </c>
      <c r="J7" s="7">
        <f>NORMSINV(E7)</f>
        <v/>
      </c>
      <c r="K7" s="7">
        <f>NORMSINV(F7)</f>
        <v/>
      </c>
      <c r="L7" s="7">
        <f>NORMSINV(G7)</f>
        <v/>
      </c>
      <c r="M7" s="7">
        <f>H7-AVERAGE(H$5:H$76)</f>
        <v/>
      </c>
      <c r="N7" s="7">
        <f>I7-AVERAGE(I$5:I$76)</f>
        <v/>
      </c>
      <c r="O7" s="7">
        <f>J7-AVERAGE(J$5:J$76)</f>
        <v/>
      </c>
      <c r="P7" s="7">
        <f>K7-AVERAGE(K$5:K$76)</f>
        <v/>
      </c>
      <c r="Q7" s="7">
        <f>L7-AVERAGE(L$5:L$76)</f>
        <v/>
      </c>
      <c r="R7" s="15">
        <f>AVERAGE(M7:Q7)</f>
        <v/>
      </c>
    </row>
    <row r="8">
      <c r="A8" s="5" t="inlineStr">
        <is>
          <t>201905</t>
        </is>
      </c>
      <c r="B8" s="6" t="n">
        <v>43586</v>
      </c>
      <c r="C8" s="14" t="n">
        <v>0.07552716950527159</v>
      </c>
      <c r="D8" s="14" t="n">
        <v>0.1572556162720097</v>
      </c>
      <c r="E8" s="14" t="n">
        <v>0.1434370771312584</v>
      </c>
      <c r="F8" s="14" t="n">
        <v>0.0482720789906747</v>
      </c>
      <c r="G8" s="14" t="n">
        <v>0.2928509905254091</v>
      </c>
      <c r="H8" s="7">
        <f>NORMSINV(C8)</f>
        <v/>
      </c>
      <c r="I8" s="7">
        <f>NORMSINV(D8)</f>
        <v/>
      </c>
      <c r="J8" s="7">
        <f>NORMSINV(E8)</f>
        <v/>
      </c>
      <c r="K8" s="7">
        <f>NORMSINV(F8)</f>
        <v/>
      </c>
      <c r="L8" s="7">
        <f>NORMSINV(G8)</f>
        <v/>
      </c>
      <c r="M8" s="7">
        <f>H8-AVERAGE(H$5:H$76)</f>
        <v/>
      </c>
      <c r="N8" s="7">
        <f>I8-AVERAGE(I$5:I$76)</f>
        <v/>
      </c>
      <c r="O8" s="7">
        <f>J8-AVERAGE(J$5:J$76)</f>
        <v/>
      </c>
      <c r="P8" s="7">
        <f>K8-AVERAGE(K$5:K$76)</f>
        <v/>
      </c>
      <c r="Q8" s="7">
        <f>L8-AVERAGE(L$5:L$76)</f>
        <v/>
      </c>
      <c r="R8" s="15">
        <f>AVERAGE(M8:Q8)</f>
        <v/>
      </c>
    </row>
    <row r="9">
      <c r="A9" s="5" t="inlineStr">
        <is>
          <t>201906</t>
        </is>
      </c>
      <c r="B9" s="6" t="n">
        <v>43617</v>
      </c>
      <c r="C9" s="14" t="n">
        <v>0.0733923578751165</v>
      </c>
      <c r="D9" s="14" t="n">
        <v>0.1366797044763146</v>
      </c>
      <c r="E9" s="14" t="n">
        <v>0.1122994652406417</v>
      </c>
      <c r="F9" s="14" t="n">
        <v>0.0438194898626553</v>
      </c>
      <c r="G9" s="14" t="n">
        <v>0.3081167416872368</v>
      </c>
      <c r="H9" s="7">
        <f>NORMSINV(C9)</f>
        <v/>
      </c>
      <c r="I9" s="7">
        <f>NORMSINV(D9)</f>
        <v/>
      </c>
      <c r="J9" s="7">
        <f>NORMSINV(E9)</f>
        <v/>
      </c>
      <c r="K9" s="7">
        <f>NORMSINV(F9)</f>
        <v/>
      </c>
      <c r="L9" s="7">
        <f>NORMSINV(G9)</f>
        <v/>
      </c>
      <c r="M9" s="7">
        <f>H9-AVERAGE(H$5:H$76)</f>
        <v/>
      </c>
      <c r="N9" s="7">
        <f>I9-AVERAGE(I$5:I$76)</f>
        <v/>
      </c>
      <c r="O9" s="7">
        <f>J9-AVERAGE(J$5:J$76)</f>
        <v/>
      </c>
      <c r="P9" s="7">
        <f>K9-AVERAGE(K$5:K$76)</f>
        <v/>
      </c>
      <c r="Q9" s="7">
        <f>L9-AVERAGE(L$5:L$76)</f>
        <v/>
      </c>
      <c r="R9" s="15">
        <f>AVERAGE(M9:Q9)</f>
        <v/>
      </c>
    </row>
    <row r="10">
      <c r="A10" s="5" t="inlineStr">
        <is>
          <t>201907</t>
        </is>
      </c>
      <c r="B10" s="6" t="n">
        <v>43647</v>
      </c>
      <c r="C10" s="14" t="n">
        <v>0.08175582990397801</v>
      </c>
      <c r="D10" s="14" t="n">
        <v>0.1339437819420783</v>
      </c>
      <c r="E10" s="14" t="n">
        <v>0.0810276679841897</v>
      </c>
      <c r="F10" s="14" t="n">
        <v>0.0316764132553606</v>
      </c>
      <c r="G10" s="14" t="n">
        <v>0.348700887198986</v>
      </c>
      <c r="H10" s="7">
        <f>NORMSINV(C10)</f>
        <v/>
      </c>
      <c r="I10" s="7">
        <f>NORMSINV(D10)</f>
        <v/>
      </c>
      <c r="J10" s="7">
        <f>NORMSINV(E10)</f>
        <v/>
      </c>
      <c r="K10" s="7">
        <f>NORMSINV(F10)</f>
        <v/>
      </c>
      <c r="L10" s="7">
        <f>NORMSINV(G10)</f>
        <v/>
      </c>
      <c r="M10" s="7">
        <f>H10-AVERAGE(H$5:H$76)</f>
        <v/>
      </c>
      <c r="N10" s="7">
        <f>I10-AVERAGE(I$5:I$76)</f>
        <v/>
      </c>
      <c r="O10" s="7">
        <f>J10-AVERAGE(J$5:J$76)</f>
        <v/>
      </c>
      <c r="P10" s="7">
        <f>K10-AVERAGE(K$5:K$76)</f>
        <v/>
      </c>
      <c r="Q10" s="7">
        <f>L10-AVERAGE(L$5:L$76)</f>
        <v/>
      </c>
      <c r="R10" s="15">
        <f>AVERAGE(M10:Q10)</f>
        <v/>
      </c>
    </row>
    <row r="11">
      <c r="A11" s="5" t="inlineStr">
        <is>
          <t>201908</t>
        </is>
      </c>
      <c r="B11" s="6" t="n">
        <v>43678</v>
      </c>
      <c r="C11" s="14" t="n">
        <v>0.067405808477237</v>
      </c>
      <c r="D11" s="14" t="n">
        <v>0.1071680376028202</v>
      </c>
      <c r="E11" s="14" t="n">
        <v>0.076162215628091</v>
      </c>
      <c r="F11" s="14" t="n">
        <v>0.0318627450980392</v>
      </c>
      <c r="G11" s="14" t="n">
        <v>0.3486799742433998</v>
      </c>
      <c r="H11" s="7">
        <f>NORMSINV(C11)</f>
        <v/>
      </c>
      <c r="I11" s="7">
        <f>NORMSINV(D11)</f>
        <v/>
      </c>
      <c r="J11" s="7">
        <f>NORMSINV(E11)</f>
        <v/>
      </c>
      <c r="K11" s="7">
        <f>NORMSINV(F11)</f>
        <v/>
      </c>
      <c r="L11" s="7">
        <f>NORMSINV(G11)</f>
        <v/>
      </c>
      <c r="M11" s="7">
        <f>H11-AVERAGE(H$5:H$76)</f>
        <v/>
      </c>
      <c r="N11" s="7">
        <f>I11-AVERAGE(I$5:I$76)</f>
        <v/>
      </c>
      <c r="O11" s="7">
        <f>J11-AVERAGE(J$5:J$76)</f>
        <v/>
      </c>
      <c r="P11" s="7">
        <f>K11-AVERAGE(K$5:K$76)</f>
        <v/>
      </c>
      <c r="Q11" s="7">
        <f>L11-AVERAGE(L$5:L$76)</f>
        <v/>
      </c>
      <c r="R11" s="15">
        <f>AVERAGE(M11:Q11)</f>
        <v/>
      </c>
    </row>
    <row r="12">
      <c r="A12" s="5" t="inlineStr">
        <is>
          <t>201909</t>
        </is>
      </c>
      <c r="B12" s="6" t="n">
        <v>43709</v>
      </c>
      <c r="C12" s="14" t="n">
        <v>0.09070776045030909</v>
      </c>
      <c r="D12" s="14" t="n">
        <v>0.1143574526363843</v>
      </c>
      <c r="E12" s="14" t="n">
        <v>0.09118773946360149</v>
      </c>
      <c r="F12" s="14" t="n">
        <v>0.0298585646935568</v>
      </c>
      <c r="G12" s="14" t="n">
        <v>0.3491101855357819</v>
      </c>
      <c r="H12" s="7">
        <f>NORMSINV(C12)</f>
        <v/>
      </c>
      <c r="I12" s="7">
        <f>NORMSINV(D12)</f>
        <v/>
      </c>
      <c r="J12" s="7">
        <f>NORMSINV(E12)</f>
        <v/>
      </c>
      <c r="K12" s="7">
        <f>NORMSINV(F12)</f>
        <v/>
      </c>
      <c r="L12" s="7">
        <f>NORMSINV(G12)</f>
        <v/>
      </c>
      <c r="M12" s="7">
        <f>H12-AVERAGE(H$5:H$76)</f>
        <v/>
      </c>
      <c r="N12" s="7">
        <f>I12-AVERAGE(I$5:I$76)</f>
        <v/>
      </c>
      <c r="O12" s="7">
        <f>J12-AVERAGE(J$5:J$76)</f>
        <v/>
      </c>
      <c r="P12" s="7">
        <f>K12-AVERAGE(K$5:K$76)</f>
        <v/>
      </c>
      <c r="Q12" s="7">
        <f>L12-AVERAGE(L$5:L$76)</f>
        <v/>
      </c>
      <c r="R12" s="15">
        <f>AVERAGE(M12:Q12)</f>
        <v/>
      </c>
    </row>
    <row r="13">
      <c r="A13" s="5" t="inlineStr">
        <is>
          <t>201910</t>
        </is>
      </c>
      <c r="B13" s="6" t="n">
        <v>43739</v>
      </c>
      <c r="C13" s="14" t="n">
        <v>0.0954298721765014</v>
      </c>
      <c r="D13" s="14" t="n">
        <v>0.1381463902073444</v>
      </c>
      <c r="E13" s="14" t="n">
        <v>0.0991425509110396</v>
      </c>
      <c r="F13" s="14" t="n">
        <v>0.0249617931737137</v>
      </c>
      <c r="G13" s="14" t="n">
        <v>0.3459392436453812</v>
      </c>
      <c r="H13" s="7">
        <f>NORMSINV(C13)</f>
        <v/>
      </c>
      <c r="I13" s="7">
        <f>NORMSINV(D13)</f>
        <v/>
      </c>
      <c r="J13" s="7">
        <f>NORMSINV(E13)</f>
        <v/>
      </c>
      <c r="K13" s="7">
        <f>NORMSINV(F13)</f>
        <v/>
      </c>
      <c r="L13" s="7">
        <f>NORMSINV(G13)</f>
        <v/>
      </c>
      <c r="M13" s="7">
        <f>H13-AVERAGE(H$5:H$76)</f>
        <v/>
      </c>
      <c r="N13" s="7">
        <f>I13-AVERAGE(I$5:I$76)</f>
        <v/>
      </c>
      <c r="O13" s="7">
        <f>J13-AVERAGE(J$5:J$76)</f>
        <v/>
      </c>
      <c r="P13" s="7">
        <f>K13-AVERAGE(K$5:K$76)</f>
        <v/>
      </c>
      <c r="Q13" s="7">
        <f>L13-AVERAGE(L$5:L$76)</f>
        <v/>
      </c>
      <c r="R13" s="15">
        <f>AVERAGE(M13:Q13)</f>
        <v/>
      </c>
    </row>
    <row r="14">
      <c r="A14" s="5" t="inlineStr">
        <is>
          <t>201911</t>
        </is>
      </c>
      <c r="B14" s="6" t="n">
        <v>43770</v>
      </c>
      <c r="C14" s="14" t="n">
        <v>0.0990364025695931</v>
      </c>
      <c r="D14" s="14" t="n">
        <v>0.1412614980289093</v>
      </c>
      <c r="E14" s="14" t="n">
        <v>0.1306451612903225</v>
      </c>
      <c r="F14" s="14" t="n">
        <v>0.047018904507998</v>
      </c>
      <c r="G14" s="14" t="n">
        <v>0.2818952142260413</v>
      </c>
      <c r="H14" s="7">
        <f>NORMSINV(C14)</f>
        <v/>
      </c>
      <c r="I14" s="7">
        <f>NORMSINV(D14)</f>
        <v/>
      </c>
      <c r="J14" s="7">
        <f>NORMSINV(E14)</f>
        <v/>
      </c>
      <c r="K14" s="7">
        <f>NORMSINV(F14)</f>
        <v/>
      </c>
      <c r="L14" s="7">
        <f>NORMSINV(G14)</f>
        <v/>
      </c>
      <c r="M14" s="7">
        <f>H14-AVERAGE(H$5:H$76)</f>
        <v/>
      </c>
      <c r="N14" s="7">
        <f>I14-AVERAGE(I$5:I$76)</f>
        <v/>
      </c>
      <c r="O14" s="7">
        <f>J14-AVERAGE(J$5:J$76)</f>
        <v/>
      </c>
      <c r="P14" s="7">
        <f>K14-AVERAGE(K$5:K$76)</f>
        <v/>
      </c>
      <c r="Q14" s="7">
        <f>L14-AVERAGE(L$5:L$76)</f>
        <v/>
      </c>
      <c r="R14" s="15">
        <f>AVERAGE(M14:Q14)</f>
        <v/>
      </c>
    </row>
    <row r="15">
      <c r="A15" s="5" t="inlineStr">
        <is>
          <t>201912</t>
        </is>
      </c>
      <c r="B15" s="6" t="n">
        <v>43800</v>
      </c>
      <c r="C15" s="14" t="n">
        <v>0.1292943838716313</v>
      </c>
      <c r="D15" s="14" t="n">
        <v>0.1400597411218055</v>
      </c>
      <c r="E15" s="14" t="n">
        <v>0.1530877010897768</v>
      </c>
      <c r="F15" s="14" t="n">
        <v>0.0546999468932554</v>
      </c>
      <c r="G15" s="14" t="n">
        <v>0.2937622715601873</v>
      </c>
      <c r="H15" s="7">
        <f>NORMSINV(C15)</f>
        <v/>
      </c>
      <c r="I15" s="7">
        <f>NORMSINV(D15)</f>
        <v/>
      </c>
      <c r="J15" s="7">
        <f>NORMSINV(E15)</f>
        <v/>
      </c>
      <c r="K15" s="7">
        <f>NORMSINV(F15)</f>
        <v/>
      </c>
      <c r="L15" s="7">
        <f>NORMSINV(G15)</f>
        <v/>
      </c>
      <c r="M15" s="7">
        <f>H15-AVERAGE(H$5:H$76)</f>
        <v/>
      </c>
      <c r="N15" s="7">
        <f>I15-AVERAGE(I$5:I$76)</f>
        <v/>
      </c>
      <c r="O15" s="7">
        <f>J15-AVERAGE(J$5:J$76)</f>
        <v/>
      </c>
      <c r="P15" s="7">
        <f>K15-AVERAGE(K$5:K$76)</f>
        <v/>
      </c>
      <c r="Q15" s="7">
        <f>L15-AVERAGE(L$5:L$76)</f>
        <v/>
      </c>
      <c r="R15" s="15">
        <f>AVERAGE(M15:Q15)</f>
        <v/>
      </c>
    </row>
    <row r="16">
      <c r="A16" s="5" t="inlineStr">
        <is>
          <t>202001</t>
        </is>
      </c>
      <c r="B16" s="6" t="n">
        <v>43831</v>
      </c>
      <c r="C16" s="14" t="n">
        <v>0.1217431617987946</v>
      </c>
      <c r="D16" s="14" t="n">
        <v>0.1216307277628032</v>
      </c>
      <c r="E16" s="14" t="n">
        <v>0.1522574447646493</v>
      </c>
      <c r="F16" s="14" t="n">
        <v>0.0490666666666666</v>
      </c>
      <c r="G16" s="14" t="n">
        <v>0.2649750415973377</v>
      </c>
      <c r="H16" s="7">
        <f>NORMSINV(C16)</f>
        <v/>
      </c>
      <c r="I16" s="7">
        <f>NORMSINV(D16)</f>
        <v/>
      </c>
      <c r="J16" s="7">
        <f>NORMSINV(E16)</f>
        <v/>
      </c>
      <c r="K16" s="7">
        <f>NORMSINV(F16)</f>
        <v/>
      </c>
      <c r="L16" s="7">
        <f>NORMSINV(G16)</f>
        <v/>
      </c>
      <c r="M16" s="7">
        <f>H16-AVERAGE(H$5:H$76)</f>
        <v/>
      </c>
      <c r="N16" s="7">
        <f>I16-AVERAGE(I$5:I$76)</f>
        <v/>
      </c>
      <c r="O16" s="7">
        <f>J16-AVERAGE(J$5:J$76)</f>
        <v/>
      </c>
      <c r="P16" s="7">
        <f>K16-AVERAGE(K$5:K$76)</f>
        <v/>
      </c>
      <c r="Q16" s="7">
        <f>L16-AVERAGE(L$5:L$76)</f>
        <v/>
      </c>
      <c r="R16" s="15">
        <f>AVERAGE(M16:Q16)</f>
        <v/>
      </c>
    </row>
    <row r="17">
      <c r="A17" s="5" t="inlineStr">
        <is>
          <t>202002</t>
        </is>
      </c>
      <c r="B17" s="6" t="n">
        <v>43862</v>
      </c>
      <c r="C17" s="14" t="n">
        <v>0.1135495141390981</v>
      </c>
      <c r="D17" s="14" t="n">
        <v>0.1283003300330033</v>
      </c>
      <c r="E17" s="14" t="n">
        <v>0.1422764227642276</v>
      </c>
      <c r="F17" s="14" t="n">
        <v>0.0423398328690807</v>
      </c>
      <c r="G17" s="14" t="n">
        <v>0.2582883577486507</v>
      </c>
      <c r="H17" s="7">
        <f>NORMSINV(C17)</f>
        <v/>
      </c>
      <c r="I17" s="7">
        <f>NORMSINV(D17)</f>
        <v/>
      </c>
      <c r="J17" s="7">
        <f>NORMSINV(E17)</f>
        <v/>
      </c>
      <c r="K17" s="7">
        <f>NORMSINV(F17)</f>
        <v/>
      </c>
      <c r="L17" s="7">
        <f>NORMSINV(G17)</f>
        <v/>
      </c>
      <c r="M17" s="7">
        <f>H17-AVERAGE(H$5:H$76)</f>
        <v/>
      </c>
      <c r="N17" s="7">
        <f>I17-AVERAGE(I$5:I$76)</f>
        <v/>
      </c>
      <c r="O17" s="7">
        <f>J17-AVERAGE(J$5:J$76)</f>
        <v/>
      </c>
      <c r="P17" s="7">
        <f>K17-AVERAGE(K$5:K$76)</f>
        <v/>
      </c>
      <c r="Q17" s="7">
        <f>L17-AVERAGE(L$5:L$76)</f>
        <v/>
      </c>
      <c r="R17" s="15">
        <f>AVERAGE(M17:Q17)</f>
        <v/>
      </c>
    </row>
    <row r="18">
      <c r="A18" s="5" t="inlineStr">
        <is>
          <t>202003</t>
        </is>
      </c>
      <c r="B18" s="6" t="n">
        <v>43891</v>
      </c>
      <c r="C18" s="14" t="n">
        <v>0.1083133493205435</v>
      </c>
      <c r="D18" s="14" t="n">
        <v>0.1170520231213872</v>
      </c>
      <c r="E18" s="14" t="n">
        <v>0.1674127126230976</v>
      </c>
      <c r="F18" s="14" t="n">
        <v>0.0427698574338085</v>
      </c>
      <c r="G18" s="14" t="n">
        <v>0.2391666666666666</v>
      </c>
      <c r="H18" s="7">
        <f>NORMSINV(C18)</f>
        <v/>
      </c>
      <c r="I18" s="7">
        <f>NORMSINV(D18)</f>
        <v/>
      </c>
      <c r="J18" s="7">
        <f>NORMSINV(E18)</f>
        <v/>
      </c>
      <c r="K18" s="7">
        <f>NORMSINV(F18)</f>
        <v/>
      </c>
      <c r="L18" s="7">
        <f>NORMSINV(G18)</f>
        <v/>
      </c>
      <c r="M18" s="7">
        <f>H18-AVERAGE(H$5:H$76)</f>
        <v/>
      </c>
      <c r="N18" s="7">
        <f>I18-AVERAGE(I$5:I$76)</f>
        <v/>
      </c>
      <c r="O18" s="7">
        <f>J18-AVERAGE(J$5:J$76)</f>
        <v/>
      </c>
      <c r="P18" s="7">
        <f>K18-AVERAGE(K$5:K$76)</f>
        <v/>
      </c>
      <c r="Q18" s="7">
        <f>L18-AVERAGE(L$5:L$76)</f>
        <v/>
      </c>
      <c r="R18" s="15">
        <f>AVERAGE(M18:Q18)</f>
        <v/>
      </c>
    </row>
    <row r="19">
      <c r="A19" s="5" t="inlineStr">
        <is>
          <t>202007</t>
        </is>
      </c>
      <c r="B19" s="6" t="n">
        <v>44013</v>
      </c>
      <c r="C19" s="14" t="n">
        <v>0.0373971578160059</v>
      </c>
      <c r="D19" s="14" t="n">
        <v>0.06474820143884891</v>
      </c>
      <c r="E19" s="14" t="n">
        <v>0.109375</v>
      </c>
      <c r="F19" s="14" t="n">
        <v>0.0312035661218424</v>
      </c>
      <c r="G19" s="14" t="n">
        <v>0.1459459459459459</v>
      </c>
      <c r="H19" s="7">
        <f>NORMSINV(C19)</f>
        <v/>
      </c>
      <c r="I19" s="7">
        <f>NORMSINV(D19)</f>
        <v/>
      </c>
      <c r="J19" s="7">
        <f>NORMSINV(E19)</f>
        <v/>
      </c>
      <c r="K19" s="7">
        <f>NORMSINV(F19)</f>
        <v/>
      </c>
      <c r="L19" s="7">
        <f>NORMSINV(G19)</f>
        <v/>
      </c>
      <c r="M19" s="7">
        <f>H19-AVERAGE(H$5:H$76)</f>
        <v/>
      </c>
      <c r="N19" s="7">
        <f>I19-AVERAGE(I$5:I$76)</f>
        <v/>
      </c>
      <c r="O19" s="7">
        <f>J19-AVERAGE(J$5:J$76)</f>
        <v/>
      </c>
      <c r="P19" s="7">
        <f>K19-AVERAGE(K$5:K$76)</f>
        <v/>
      </c>
      <c r="Q19" s="7">
        <f>L19-AVERAGE(L$5:L$76)</f>
        <v/>
      </c>
      <c r="R19" s="15">
        <f>AVERAGE(M19:Q19)</f>
        <v/>
      </c>
    </row>
    <row r="20">
      <c r="A20" s="5" t="inlineStr">
        <is>
          <t>202010</t>
        </is>
      </c>
      <c r="B20" s="6" t="n">
        <v>44105</v>
      </c>
      <c r="C20" s="14" t="n">
        <v>0.0220172567688188</v>
      </c>
      <c r="D20" s="14" t="n">
        <v>0.0521582733812949</v>
      </c>
      <c r="E20" s="14" t="n">
        <v>0.0519480519480519</v>
      </c>
      <c r="F20" s="14" t="n">
        <v>0.0305280528052805</v>
      </c>
      <c r="G20" s="14" t="n">
        <v>0.1208151382823871</v>
      </c>
      <c r="H20" s="7">
        <f>NORMSINV(C20)</f>
        <v/>
      </c>
      <c r="I20" s="7">
        <f>NORMSINV(D20)</f>
        <v/>
      </c>
      <c r="J20" s="7">
        <f>NORMSINV(E20)</f>
        <v/>
      </c>
      <c r="K20" s="7">
        <f>NORMSINV(F20)</f>
        <v/>
      </c>
      <c r="L20" s="7">
        <f>NORMSINV(G20)</f>
        <v/>
      </c>
      <c r="M20" s="7">
        <f>H20-AVERAGE(H$5:H$76)</f>
        <v/>
      </c>
      <c r="N20" s="7">
        <f>I20-AVERAGE(I$5:I$76)</f>
        <v/>
      </c>
      <c r="O20" s="7">
        <f>J20-AVERAGE(J$5:J$76)</f>
        <v/>
      </c>
      <c r="P20" s="7">
        <f>K20-AVERAGE(K$5:K$76)</f>
        <v/>
      </c>
      <c r="Q20" s="7">
        <f>L20-AVERAGE(L$5:L$76)</f>
        <v/>
      </c>
      <c r="R20" s="15">
        <f>AVERAGE(M20:Q20)</f>
        <v/>
      </c>
    </row>
    <row r="21">
      <c r="A21" s="5" t="inlineStr">
        <is>
          <t>202011</t>
        </is>
      </c>
      <c r="B21" s="6" t="n">
        <v>44136</v>
      </c>
      <c r="C21" s="14" t="n">
        <v>0.0236541598694942</v>
      </c>
      <c r="D21" s="14" t="n">
        <v>0.0543478260869565</v>
      </c>
      <c r="E21" s="14" t="n">
        <v>0.0583941605839416</v>
      </c>
      <c r="F21" s="14" t="n">
        <v>0.0268860353130016</v>
      </c>
      <c r="G21" s="14" t="n">
        <v>0.1321321321321321</v>
      </c>
      <c r="H21" s="7">
        <f>NORMSINV(C21)</f>
        <v/>
      </c>
      <c r="I21" s="7">
        <f>NORMSINV(D21)</f>
        <v/>
      </c>
      <c r="J21" s="7">
        <f>NORMSINV(E21)</f>
        <v/>
      </c>
      <c r="K21" s="7">
        <f>NORMSINV(F21)</f>
        <v/>
      </c>
      <c r="L21" s="7">
        <f>NORMSINV(G21)</f>
        <v/>
      </c>
      <c r="M21" s="7">
        <f>H21-AVERAGE(H$5:H$76)</f>
        <v/>
      </c>
      <c r="N21" s="7">
        <f>I21-AVERAGE(I$5:I$76)</f>
        <v/>
      </c>
      <c r="O21" s="7">
        <f>J21-AVERAGE(J$5:J$76)</f>
        <v/>
      </c>
      <c r="P21" s="7">
        <f>K21-AVERAGE(K$5:K$76)</f>
        <v/>
      </c>
      <c r="Q21" s="7">
        <f>L21-AVERAGE(L$5:L$76)</f>
        <v/>
      </c>
      <c r="R21" s="15">
        <f>AVERAGE(M21:Q21)</f>
        <v/>
      </c>
    </row>
    <row r="22">
      <c r="A22" s="5" t="inlineStr">
        <is>
          <t>202012</t>
        </is>
      </c>
      <c r="B22" s="6" t="n">
        <v>44166</v>
      </c>
      <c r="C22" s="14" t="n">
        <v>0.0323962018246136</v>
      </c>
      <c r="D22" s="14" t="n">
        <v>0.0691358024691358</v>
      </c>
      <c r="E22" s="14" t="n">
        <v>0.047945205479452</v>
      </c>
      <c r="F22" s="14" t="n">
        <v>0.0383693045563549</v>
      </c>
      <c r="G22" s="14" t="n">
        <v>0.1727692854603626</v>
      </c>
      <c r="H22" s="7">
        <f>NORMSINV(C22)</f>
        <v/>
      </c>
      <c r="I22" s="7">
        <f>NORMSINV(D22)</f>
        <v/>
      </c>
      <c r="J22" s="7">
        <f>NORMSINV(E22)</f>
        <v/>
      </c>
      <c r="K22" s="7">
        <f>NORMSINV(F22)</f>
        <v/>
      </c>
      <c r="L22" s="7">
        <f>NORMSINV(G22)</f>
        <v/>
      </c>
      <c r="M22" s="7">
        <f>H22-AVERAGE(H$5:H$76)</f>
        <v/>
      </c>
      <c r="N22" s="7">
        <f>I22-AVERAGE(I$5:I$76)</f>
        <v/>
      </c>
      <c r="O22" s="7">
        <f>J22-AVERAGE(J$5:J$76)</f>
        <v/>
      </c>
      <c r="P22" s="7">
        <f>K22-AVERAGE(K$5:K$76)</f>
        <v/>
      </c>
      <c r="Q22" s="7">
        <f>L22-AVERAGE(L$5:L$76)</f>
        <v/>
      </c>
      <c r="R22" s="15">
        <f>AVERAGE(M22:Q22)</f>
        <v/>
      </c>
    </row>
    <row r="23">
      <c r="A23" s="5" t="inlineStr">
        <is>
          <t>202101</t>
        </is>
      </c>
      <c r="B23" s="6" t="n">
        <v>44197</v>
      </c>
      <c r="C23" s="14" t="n">
        <v>0.0298941249740502</v>
      </c>
      <c r="D23" s="14" t="n">
        <v>0.06641816333446279</v>
      </c>
      <c r="E23" s="14" t="n">
        <v>0.0677966101694915</v>
      </c>
      <c r="F23" s="14" t="n">
        <v>0.0429629629629629</v>
      </c>
      <c r="G23" s="14" t="n">
        <v>0.1479338842975206</v>
      </c>
      <c r="H23" s="7">
        <f>NORMSINV(C23)</f>
        <v/>
      </c>
      <c r="I23" s="7">
        <f>NORMSINV(D23)</f>
        <v/>
      </c>
      <c r="J23" s="7">
        <f>NORMSINV(E23)</f>
        <v/>
      </c>
      <c r="K23" s="7">
        <f>NORMSINV(F23)</f>
        <v/>
      </c>
      <c r="L23" s="7">
        <f>NORMSINV(G23)</f>
        <v/>
      </c>
      <c r="M23" s="7">
        <f>H23-AVERAGE(H$5:H$76)</f>
        <v/>
      </c>
      <c r="N23" s="7">
        <f>I23-AVERAGE(I$5:I$76)</f>
        <v/>
      </c>
      <c r="O23" s="7">
        <f>J23-AVERAGE(J$5:J$76)</f>
        <v/>
      </c>
      <c r="P23" s="7">
        <f>K23-AVERAGE(K$5:K$76)</f>
        <v/>
      </c>
      <c r="Q23" s="7">
        <f>L23-AVERAGE(L$5:L$76)</f>
        <v/>
      </c>
      <c r="R23" s="15">
        <f>AVERAGE(M23:Q23)</f>
        <v/>
      </c>
    </row>
    <row r="24">
      <c r="A24" s="5" t="inlineStr">
        <is>
          <t>202102</t>
        </is>
      </c>
      <c r="B24" s="6" t="n">
        <v>44228</v>
      </c>
      <c r="C24" s="14" t="n">
        <v>0.0316405211379952</v>
      </c>
      <c r="D24" s="14" t="n">
        <v>0.0634291377601585</v>
      </c>
      <c r="E24" s="14" t="n">
        <v>0.06857142857142851</v>
      </c>
      <c r="F24" s="14" t="n">
        <v>0.0447686116700201</v>
      </c>
      <c r="G24" s="14" t="n">
        <v>0.1418159732766474</v>
      </c>
      <c r="H24" s="7">
        <f>NORMSINV(C24)</f>
        <v/>
      </c>
      <c r="I24" s="7">
        <f>NORMSINV(D24)</f>
        <v/>
      </c>
      <c r="J24" s="7">
        <f>NORMSINV(E24)</f>
        <v/>
      </c>
      <c r="K24" s="7">
        <f>NORMSINV(F24)</f>
        <v/>
      </c>
      <c r="L24" s="7">
        <f>NORMSINV(G24)</f>
        <v/>
      </c>
      <c r="M24" s="7">
        <f>H24-AVERAGE(H$5:H$76)</f>
        <v/>
      </c>
      <c r="N24" s="7">
        <f>I24-AVERAGE(I$5:I$76)</f>
        <v/>
      </c>
      <c r="O24" s="7">
        <f>J24-AVERAGE(J$5:J$76)</f>
        <v/>
      </c>
      <c r="P24" s="7">
        <f>K24-AVERAGE(K$5:K$76)</f>
        <v/>
      </c>
      <c r="Q24" s="7">
        <f>L24-AVERAGE(L$5:L$76)</f>
        <v/>
      </c>
      <c r="R24" s="15">
        <f>AVERAGE(M24:Q24)</f>
        <v/>
      </c>
    </row>
    <row r="25">
      <c r="A25" s="5" t="inlineStr">
        <is>
          <t>202103</t>
        </is>
      </c>
      <c r="B25" s="6" t="n">
        <v>44256</v>
      </c>
      <c r="C25" s="14" t="n">
        <v>0.0282321899736147</v>
      </c>
      <c r="D25" s="14" t="n">
        <v>0.08556577369052371</v>
      </c>
      <c r="E25" s="14" t="n">
        <v>0.0564784053156146</v>
      </c>
      <c r="F25" s="14" t="n">
        <v>0.0429468120251073</v>
      </c>
      <c r="G25" s="14" t="n">
        <v>0.094344163658243</v>
      </c>
      <c r="H25" s="7">
        <f>NORMSINV(C25)</f>
        <v/>
      </c>
      <c r="I25" s="7">
        <f>NORMSINV(D25)</f>
        <v/>
      </c>
      <c r="J25" s="7">
        <f>NORMSINV(E25)</f>
        <v/>
      </c>
      <c r="K25" s="7">
        <f>NORMSINV(F25)</f>
        <v/>
      </c>
      <c r="L25" s="7">
        <f>NORMSINV(G25)</f>
        <v/>
      </c>
      <c r="M25" s="7">
        <f>H25-AVERAGE(H$5:H$76)</f>
        <v/>
      </c>
      <c r="N25" s="7">
        <f>I25-AVERAGE(I$5:I$76)</f>
        <v/>
      </c>
      <c r="O25" s="7">
        <f>J25-AVERAGE(J$5:J$76)</f>
        <v/>
      </c>
      <c r="P25" s="7">
        <f>K25-AVERAGE(K$5:K$76)</f>
        <v/>
      </c>
      <c r="Q25" s="7">
        <f>L25-AVERAGE(L$5:L$76)</f>
        <v/>
      </c>
      <c r="R25" s="15">
        <f>AVERAGE(M25:Q25)</f>
        <v/>
      </c>
    </row>
    <row r="26">
      <c r="A26" s="5" t="inlineStr">
        <is>
          <t>202104</t>
        </is>
      </c>
      <c r="B26" s="6" t="n">
        <v>44287</v>
      </c>
      <c r="C26" s="14" t="n">
        <v>0.0319281616363182</v>
      </c>
      <c r="D26" s="14" t="n">
        <v>0.080168776371308</v>
      </c>
      <c r="E26" s="14" t="n">
        <v>0.0777777777777777</v>
      </c>
      <c r="F26" s="14" t="n">
        <v>0.0400425230333097</v>
      </c>
      <c r="G26" s="14" t="n">
        <v>0.1673151750972762</v>
      </c>
      <c r="H26" s="7">
        <f>NORMSINV(C26)</f>
        <v/>
      </c>
      <c r="I26" s="7">
        <f>NORMSINV(D26)</f>
        <v/>
      </c>
      <c r="J26" s="7">
        <f>NORMSINV(E26)</f>
        <v/>
      </c>
      <c r="K26" s="7">
        <f>NORMSINV(F26)</f>
        <v/>
      </c>
      <c r="L26" s="7">
        <f>NORMSINV(G26)</f>
        <v/>
      </c>
      <c r="M26" s="7">
        <f>H26-AVERAGE(H$5:H$76)</f>
        <v/>
      </c>
      <c r="N26" s="7">
        <f>I26-AVERAGE(I$5:I$76)</f>
        <v/>
      </c>
      <c r="O26" s="7">
        <f>J26-AVERAGE(J$5:J$76)</f>
        <v/>
      </c>
      <c r="P26" s="7">
        <f>K26-AVERAGE(K$5:K$76)</f>
        <v/>
      </c>
      <c r="Q26" s="7">
        <f>L26-AVERAGE(L$5:L$76)</f>
        <v/>
      </c>
      <c r="R26" s="15">
        <f>AVERAGE(M26:Q26)</f>
        <v/>
      </c>
    </row>
    <row r="27">
      <c r="A27" s="5" t="inlineStr">
        <is>
          <t>202105</t>
        </is>
      </c>
      <c r="B27" s="6" t="n">
        <v>44317</v>
      </c>
      <c r="C27" s="14" t="n">
        <v>0.0462962962962962</v>
      </c>
      <c r="D27" s="14" t="n">
        <v>0.1186246418338108</v>
      </c>
      <c r="E27" s="14" t="n">
        <v>0.07028753993610221</v>
      </c>
      <c r="F27" s="14" t="n">
        <v>0.0425</v>
      </c>
      <c r="G27" s="14" t="n">
        <v>0.1300015330369462</v>
      </c>
      <c r="H27" s="7">
        <f>NORMSINV(C27)</f>
        <v/>
      </c>
      <c r="I27" s="7">
        <f>NORMSINV(D27)</f>
        <v/>
      </c>
      <c r="J27" s="7">
        <f>NORMSINV(E27)</f>
        <v/>
      </c>
      <c r="K27" s="7">
        <f>NORMSINV(F27)</f>
        <v/>
      </c>
      <c r="L27" s="7">
        <f>NORMSINV(G27)</f>
        <v/>
      </c>
      <c r="M27" s="7">
        <f>H27-AVERAGE(H$5:H$76)</f>
        <v/>
      </c>
      <c r="N27" s="7">
        <f>I27-AVERAGE(I$5:I$76)</f>
        <v/>
      </c>
      <c r="O27" s="7">
        <f>J27-AVERAGE(J$5:J$76)</f>
        <v/>
      </c>
      <c r="P27" s="7">
        <f>K27-AVERAGE(K$5:K$76)</f>
        <v/>
      </c>
      <c r="Q27" s="7">
        <f>L27-AVERAGE(L$5:L$76)</f>
        <v/>
      </c>
      <c r="R27" s="15">
        <f>AVERAGE(M27:Q27)</f>
        <v/>
      </c>
    </row>
    <row r="28">
      <c r="A28" s="5" t="inlineStr">
        <is>
          <t>202106</t>
        </is>
      </c>
      <c r="B28" s="6" t="n">
        <v>44348</v>
      </c>
      <c r="C28" s="14" t="n">
        <v>0.0432046266371831</v>
      </c>
      <c r="D28" s="14" t="n">
        <v>0.135587961526528</v>
      </c>
      <c r="E28" s="14" t="n">
        <v>0.074585635359116</v>
      </c>
      <c r="F28" s="14" t="n">
        <v>0.0503915560095335</v>
      </c>
      <c r="G28" s="14" t="n">
        <v>0.1324061196105702</v>
      </c>
      <c r="H28" s="7">
        <f>NORMSINV(C28)</f>
        <v/>
      </c>
      <c r="I28" s="7">
        <f>NORMSINV(D28)</f>
        <v/>
      </c>
      <c r="J28" s="7">
        <f>NORMSINV(E28)</f>
        <v/>
      </c>
      <c r="K28" s="7">
        <f>NORMSINV(F28)</f>
        <v/>
      </c>
      <c r="L28" s="7">
        <f>NORMSINV(G28)</f>
        <v/>
      </c>
      <c r="M28" s="7">
        <f>H28-AVERAGE(H$5:H$76)</f>
        <v/>
      </c>
      <c r="N28" s="7">
        <f>I28-AVERAGE(I$5:I$76)</f>
        <v/>
      </c>
      <c r="O28" s="7">
        <f>J28-AVERAGE(J$5:J$76)</f>
        <v/>
      </c>
      <c r="P28" s="7">
        <f>K28-AVERAGE(K$5:K$76)</f>
        <v/>
      </c>
      <c r="Q28" s="7">
        <f>L28-AVERAGE(L$5:L$76)</f>
        <v/>
      </c>
      <c r="R28" s="15">
        <f>AVERAGE(M28:Q28)</f>
        <v/>
      </c>
    </row>
    <row r="29">
      <c r="A29" s="5" t="inlineStr">
        <is>
          <t>202107</t>
        </is>
      </c>
      <c r="B29" s="6" t="n">
        <v>44378</v>
      </c>
      <c r="C29" s="14" t="n">
        <v>0.0401805869074492</v>
      </c>
      <c r="D29" s="14" t="n">
        <v>0.1308801213960546</v>
      </c>
      <c r="E29" s="14" t="n">
        <v>0.064066852367688</v>
      </c>
      <c r="F29" s="14" t="n">
        <v>0.0838216560509554</v>
      </c>
      <c r="G29" s="14" t="n">
        <v>0.1405940594059406</v>
      </c>
      <c r="H29" s="7">
        <f>NORMSINV(C29)</f>
        <v/>
      </c>
      <c r="I29" s="7">
        <f>NORMSINV(D29)</f>
        <v/>
      </c>
      <c r="J29" s="7">
        <f>NORMSINV(E29)</f>
        <v/>
      </c>
      <c r="K29" s="7">
        <f>NORMSINV(F29)</f>
        <v/>
      </c>
      <c r="L29" s="7">
        <f>NORMSINV(G29)</f>
        <v/>
      </c>
      <c r="M29" s="7">
        <f>H29-AVERAGE(H$5:H$76)</f>
        <v/>
      </c>
      <c r="N29" s="7">
        <f>I29-AVERAGE(I$5:I$76)</f>
        <v/>
      </c>
      <c r="O29" s="7">
        <f>J29-AVERAGE(J$5:J$76)</f>
        <v/>
      </c>
      <c r="P29" s="7">
        <f>K29-AVERAGE(K$5:K$76)</f>
        <v/>
      </c>
      <c r="Q29" s="7">
        <f>L29-AVERAGE(L$5:L$76)</f>
        <v/>
      </c>
      <c r="R29" s="15">
        <f>AVERAGE(M29:Q29)</f>
        <v/>
      </c>
    </row>
    <row r="30">
      <c r="A30" s="5" t="inlineStr">
        <is>
          <t>202108</t>
        </is>
      </c>
      <c r="B30" s="6" t="n">
        <v>44409</v>
      </c>
      <c r="C30" s="14" t="n">
        <v>0.0358428549068711</v>
      </c>
      <c r="D30" s="14" t="n">
        <v>0.1082633672116659</v>
      </c>
      <c r="E30" s="14" t="n">
        <v>0.0636363636363636</v>
      </c>
      <c r="F30" s="14" t="n">
        <v>0.08101545253863129</v>
      </c>
      <c r="G30" s="14" t="n">
        <v>0.1552202032645518</v>
      </c>
      <c r="H30" s="7">
        <f>NORMSINV(C30)</f>
        <v/>
      </c>
      <c r="I30" s="7">
        <f>NORMSINV(D30)</f>
        <v/>
      </c>
      <c r="J30" s="7">
        <f>NORMSINV(E30)</f>
        <v/>
      </c>
      <c r="K30" s="7">
        <f>NORMSINV(F30)</f>
        <v/>
      </c>
      <c r="L30" s="7">
        <f>NORMSINV(G30)</f>
        <v/>
      </c>
      <c r="M30" s="7">
        <f>H30-AVERAGE(H$5:H$76)</f>
        <v/>
      </c>
      <c r="N30" s="7">
        <f>I30-AVERAGE(I$5:I$76)</f>
        <v/>
      </c>
      <c r="O30" s="7">
        <f>J30-AVERAGE(J$5:J$76)</f>
        <v/>
      </c>
      <c r="P30" s="7">
        <f>K30-AVERAGE(K$5:K$76)</f>
        <v/>
      </c>
      <c r="Q30" s="7">
        <f>L30-AVERAGE(L$5:L$76)</f>
        <v/>
      </c>
      <c r="R30" s="15">
        <f>AVERAGE(M30:Q30)</f>
        <v/>
      </c>
    </row>
    <row r="31">
      <c r="A31" s="5" t="inlineStr">
        <is>
          <t>202109</t>
        </is>
      </c>
      <c r="B31" s="6" t="n">
        <v>44440</v>
      </c>
      <c r="C31" s="14" t="n">
        <v>0.0441705187467899</v>
      </c>
      <c r="D31" s="14" t="n">
        <v>0.123098029433774</v>
      </c>
      <c r="E31" s="14" t="n">
        <v>0.0669856459330143</v>
      </c>
      <c r="F31" s="14" t="n">
        <v>0.1218733368813198</v>
      </c>
      <c r="G31" s="14" t="n">
        <v>0.1827861579414374</v>
      </c>
      <c r="H31" s="7">
        <f>NORMSINV(C31)</f>
        <v/>
      </c>
      <c r="I31" s="7">
        <f>NORMSINV(D31)</f>
        <v/>
      </c>
      <c r="J31" s="7">
        <f>NORMSINV(E31)</f>
        <v/>
      </c>
      <c r="K31" s="7">
        <f>NORMSINV(F31)</f>
        <v/>
      </c>
      <c r="L31" s="7">
        <f>NORMSINV(G31)</f>
        <v/>
      </c>
      <c r="M31" s="7">
        <f>H31-AVERAGE(H$5:H$76)</f>
        <v/>
      </c>
      <c r="N31" s="7">
        <f>I31-AVERAGE(I$5:I$76)</f>
        <v/>
      </c>
      <c r="O31" s="7">
        <f>J31-AVERAGE(J$5:J$76)</f>
        <v/>
      </c>
      <c r="P31" s="7">
        <f>K31-AVERAGE(K$5:K$76)</f>
        <v/>
      </c>
      <c r="Q31" s="7">
        <f>L31-AVERAGE(L$5:L$76)</f>
        <v/>
      </c>
      <c r="R31" s="15">
        <f>AVERAGE(M31:Q31)</f>
        <v/>
      </c>
    </row>
    <row r="32">
      <c r="A32" s="5" t="inlineStr">
        <is>
          <t>202110</t>
        </is>
      </c>
      <c r="B32" s="6" t="n">
        <v>44470</v>
      </c>
      <c r="C32" s="14" t="n">
        <v>0.043688254665203</v>
      </c>
      <c r="D32" s="14" t="n">
        <v>0.1453730387447966</v>
      </c>
      <c r="E32" s="14" t="n">
        <v>0.06478873239436619</v>
      </c>
      <c r="F32" s="14" t="n">
        <v>0.1298028493308389</v>
      </c>
      <c r="G32" s="14" t="n">
        <v>0.171740569159497</v>
      </c>
      <c r="H32" s="7">
        <f>NORMSINV(C32)</f>
        <v/>
      </c>
      <c r="I32" s="7">
        <f>NORMSINV(D32)</f>
        <v/>
      </c>
      <c r="J32" s="7">
        <f>NORMSINV(E32)</f>
        <v/>
      </c>
      <c r="K32" s="7">
        <f>NORMSINV(F32)</f>
        <v/>
      </c>
      <c r="L32" s="7">
        <f>NORMSINV(G32)</f>
        <v/>
      </c>
      <c r="M32" s="7">
        <f>H32-AVERAGE(H$5:H$76)</f>
        <v/>
      </c>
      <c r="N32" s="7">
        <f>I32-AVERAGE(I$5:I$76)</f>
        <v/>
      </c>
      <c r="O32" s="7">
        <f>J32-AVERAGE(J$5:J$76)</f>
        <v/>
      </c>
      <c r="P32" s="7">
        <f>K32-AVERAGE(K$5:K$76)</f>
        <v/>
      </c>
      <c r="Q32" s="7">
        <f>L32-AVERAGE(L$5:L$76)</f>
        <v/>
      </c>
      <c r="R32" s="15">
        <f>AVERAGE(M32:Q32)</f>
        <v/>
      </c>
    </row>
    <row r="33">
      <c r="A33" s="5" t="inlineStr">
        <is>
          <t>202111</t>
        </is>
      </c>
      <c r="B33" s="6" t="n">
        <v>44501</v>
      </c>
      <c r="C33" s="14" t="n">
        <v>0.0386629077728554</v>
      </c>
      <c r="D33" s="14" t="n">
        <v>0.1371733966745843</v>
      </c>
      <c r="E33" s="14" t="n">
        <v>0.0677083333333333</v>
      </c>
      <c r="F33" s="14" t="n">
        <v>0.1321381142098273</v>
      </c>
      <c r="G33" s="14" t="n">
        <v>0.1775386684599865</v>
      </c>
      <c r="H33" s="7">
        <f>NORMSINV(C33)</f>
        <v/>
      </c>
      <c r="I33" s="7">
        <f>NORMSINV(D33)</f>
        <v/>
      </c>
      <c r="J33" s="7">
        <f>NORMSINV(E33)</f>
        <v/>
      </c>
      <c r="K33" s="7">
        <f>NORMSINV(F33)</f>
        <v/>
      </c>
      <c r="L33" s="7">
        <f>NORMSINV(G33)</f>
        <v/>
      </c>
      <c r="M33" s="7">
        <f>H33-AVERAGE(H$5:H$76)</f>
        <v/>
      </c>
      <c r="N33" s="7">
        <f>I33-AVERAGE(I$5:I$76)</f>
        <v/>
      </c>
      <c r="O33" s="7">
        <f>J33-AVERAGE(J$5:J$76)</f>
        <v/>
      </c>
      <c r="P33" s="7">
        <f>K33-AVERAGE(K$5:K$76)</f>
        <v/>
      </c>
      <c r="Q33" s="7">
        <f>L33-AVERAGE(L$5:L$76)</f>
        <v/>
      </c>
      <c r="R33" s="15">
        <f>AVERAGE(M33:Q33)</f>
        <v/>
      </c>
    </row>
    <row r="34">
      <c r="A34" s="5" t="inlineStr">
        <is>
          <t>202112</t>
        </is>
      </c>
      <c r="B34" s="6" t="n">
        <v>44531</v>
      </c>
      <c r="C34" s="14" t="n">
        <v>0.0474452554744525</v>
      </c>
      <c r="D34" s="14" t="n">
        <v>0.1706740792216817</v>
      </c>
      <c r="E34" s="14" t="n">
        <v>0.1744769874476987</v>
      </c>
      <c r="F34" s="14" t="n">
        <v>0.1429840142095914</v>
      </c>
      <c r="G34" s="14" t="n">
        <v>0.1794788273615635</v>
      </c>
      <c r="H34" s="7">
        <f>NORMSINV(C34)</f>
        <v/>
      </c>
      <c r="I34" s="7">
        <f>NORMSINV(D34)</f>
        <v/>
      </c>
      <c r="J34" s="7">
        <f>NORMSINV(E34)</f>
        <v/>
      </c>
      <c r="K34" s="7">
        <f>NORMSINV(F34)</f>
        <v/>
      </c>
      <c r="L34" s="7">
        <f>NORMSINV(G34)</f>
        <v/>
      </c>
      <c r="M34" s="7">
        <f>H34-AVERAGE(H$5:H$76)</f>
        <v/>
      </c>
      <c r="N34" s="7">
        <f>I34-AVERAGE(I$5:I$76)</f>
        <v/>
      </c>
      <c r="O34" s="7">
        <f>J34-AVERAGE(J$5:J$76)</f>
        <v/>
      </c>
      <c r="P34" s="7">
        <f>K34-AVERAGE(K$5:K$76)</f>
        <v/>
      </c>
      <c r="Q34" s="7">
        <f>L34-AVERAGE(L$5:L$76)</f>
        <v/>
      </c>
      <c r="R34" s="15">
        <f>AVERAGE(M34:Q34)</f>
        <v/>
      </c>
    </row>
    <row r="35">
      <c r="A35" s="5" t="inlineStr">
        <is>
          <t>202201</t>
        </is>
      </c>
      <c r="B35" s="6" t="n">
        <v>44562</v>
      </c>
      <c r="C35" s="14" t="n">
        <v>0.0441394658753709</v>
      </c>
      <c r="D35" s="14" t="n">
        <v>0.1906107709216517</v>
      </c>
      <c r="E35" s="14" t="n">
        <v>0.1575255102040816</v>
      </c>
      <c r="F35" s="14" t="n">
        <v>0.1387339316032015</v>
      </c>
      <c r="G35" s="14" t="n">
        <v>0.1718582169709989</v>
      </c>
      <c r="H35" s="7">
        <f>NORMSINV(C35)</f>
        <v/>
      </c>
      <c r="I35" s="7">
        <f>NORMSINV(D35)</f>
        <v/>
      </c>
      <c r="J35" s="7">
        <f>NORMSINV(E35)</f>
        <v/>
      </c>
      <c r="K35" s="7">
        <f>NORMSINV(F35)</f>
        <v/>
      </c>
      <c r="L35" s="7">
        <f>NORMSINV(G35)</f>
        <v/>
      </c>
      <c r="M35" s="7">
        <f>H35-AVERAGE(H$5:H$76)</f>
        <v/>
      </c>
      <c r="N35" s="7">
        <f>I35-AVERAGE(I$5:I$76)</f>
        <v/>
      </c>
      <c r="O35" s="7">
        <f>J35-AVERAGE(J$5:J$76)</f>
        <v/>
      </c>
      <c r="P35" s="7">
        <f>K35-AVERAGE(K$5:K$76)</f>
        <v/>
      </c>
      <c r="Q35" s="7">
        <f>L35-AVERAGE(L$5:L$76)</f>
        <v/>
      </c>
      <c r="R35" s="15">
        <f>AVERAGE(M35:Q35)</f>
        <v/>
      </c>
    </row>
    <row r="36">
      <c r="A36" s="5" t="inlineStr">
        <is>
          <t>202202</t>
        </is>
      </c>
      <c r="B36" s="6" t="n">
        <v>44593</v>
      </c>
      <c r="C36" s="14" t="n">
        <v>0.0481825866441251</v>
      </c>
      <c r="D36" s="14" t="n">
        <v>0.1622987324426173</v>
      </c>
      <c r="E36" s="14" t="n">
        <v>0.1781899943788645</v>
      </c>
      <c r="F36" s="14" t="n">
        <v>0.1380165289256198</v>
      </c>
      <c r="G36" s="14" t="n">
        <v>0.1766323024054983</v>
      </c>
      <c r="H36" s="7">
        <f>NORMSINV(C36)</f>
        <v/>
      </c>
      <c r="I36" s="7">
        <f>NORMSINV(D36)</f>
        <v/>
      </c>
      <c r="J36" s="7">
        <f>NORMSINV(E36)</f>
        <v/>
      </c>
      <c r="K36" s="7">
        <f>NORMSINV(F36)</f>
        <v/>
      </c>
      <c r="L36" s="7">
        <f>NORMSINV(G36)</f>
        <v/>
      </c>
      <c r="M36" s="7">
        <f>H36-AVERAGE(H$5:H$76)</f>
        <v/>
      </c>
      <c r="N36" s="7">
        <f>I36-AVERAGE(I$5:I$76)</f>
        <v/>
      </c>
      <c r="O36" s="7">
        <f>J36-AVERAGE(J$5:J$76)</f>
        <v/>
      </c>
      <c r="P36" s="7">
        <f>K36-AVERAGE(K$5:K$76)</f>
        <v/>
      </c>
      <c r="Q36" s="7">
        <f>L36-AVERAGE(L$5:L$76)</f>
        <v/>
      </c>
      <c r="R36" s="15">
        <f>AVERAGE(M36:Q36)</f>
        <v/>
      </c>
    </row>
    <row r="37">
      <c r="A37" s="5" t="inlineStr">
        <is>
          <t>202203</t>
        </is>
      </c>
      <c r="B37" s="6" t="n">
        <v>44621</v>
      </c>
      <c r="C37" s="14" t="n">
        <v>0.0419823232323232</v>
      </c>
      <c r="D37" s="14" t="n">
        <v>0.148457711442786</v>
      </c>
      <c r="E37" s="14" t="n">
        <v>0.1770601336302895</v>
      </c>
      <c r="F37" s="14" t="n">
        <v>0.1383403151805306</v>
      </c>
      <c r="G37" s="14" t="n">
        <v>0.2278337674102593</v>
      </c>
      <c r="H37" s="7">
        <f>NORMSINV(C37)</f>
        <v/>
      </c>
      <c r="I37" s="7">
        <f>NORMSINV(D37)</f>
        <v/>
      </c>
      <c r="J37" s="7">
        <f>NORMSINV(E37)</f>
        <v/>
      </c>
      <c r="K37" s="7">
        <f>NORMSINV(F37)</f>
        <v/>
      </c>
      <c r="L37" s="7">
        <f>NORMSINV(G37)</f>
        <v/>
      </c>
      <c r="M37" s="7">
        <f>H37-AVERAGE(H$5:H$76)</f>
        <v/>
      </c>
      <c r="N37" s="7">
        <f>I37-AVERAGE(I$5:I$76)</f>
        <v/>
      </c>
      <c r="O37" s="7">
        <f>J37-AVERAGE(J$5:J$76)</f>
        <v/>
      </c>
      <c r="P37" s="7">
        <f>K37-AVERAGE(K$5:K$76)</f>
        <v/>
      </c>
      <c r="Q37" s="7">
        <f>L37-AVERAGE(L$5:L$76)</f>
        <v/>
      </c>
      <c r="R37" s="15">
        <f>AVERAGE(M37:Q37)</f>
        <v/>
      </c>
    </row>
    <row r="38">
      <c r="A38" s="5" t="inlineStr">
        <is>
          <t>202204</t>
        </is>
      </c>
      <c r="B38" s="6" t="n">
        <v>44652</v>
      </c>
      <c r="C38" s="14" t="n">
        <v>0.06432171816787199</v>
      </c>
      <c r="D38" s="14" t="n">
        <v>0.1265203411156158</v>
      </c>
      <c r="E38" s="14" t="n">
        <v>0.1290944123314065</v>
      </c>
      <c r="F38" s="14" t="n">
        <v>0.1393982979743497</v>
      </c>
      <c r="G38" s="14" t="n">
        <v>0.21271637816245</v>
      </c>
      <c r="H38" s="7">
        <f>NORMSINV(C38)</f>
        <v/>
      </c>
      <c r="I38" s="7">
        <f>NORMSINV(D38)</f>
        <v/>
      </c>
      <c r="J38" s="7">
        <f>NORMSINV(E38)</f>
        <v/>
      </c>
      <c r="K38" s="7">
        <f>NORMSINV(F38)</f>
        <v/>
      </c>
      <c r="L38" s="7">
        <f>NORMSINV(G38)</f>
        <v/>
      </c>
      <c r="M38" s="7">
        <f>H38-AVERAGE(H$5:H$76)</f>
        <v/>
      </c>
      <c r="N38" s="7">
        <f>I38-AVERAGE(I$5:I$76)</f>
        <v/>
      </c>
      <c r="O38" s="7">
        <f>J38-AVERAGE(J$5:J$76)</f>
        <v/>
      </c>
      <c r="P38" s="7">
        <f>K38-AVERAGE(K$5:K$76)</f>
        <v/>
      </c>
      <c r="Q38" s="7">
        <f>L38-AVERAGE(L$5:L$76)</f>
        <v/>
      </c>
      <c r="R38" s="15">
        <f>AVERAGE(M38:Q38)</f>
        <v/>
      </c>
    </row>
    <row r="39">
      <c r="A39" s="5" t="inlineStr">
        <is>
          <t>202205</t>
        </is>
      </c>
      <c r="B39" s="6" t="n">
        <v>44682</v>
      </c>
      <c r="C39" s="14" t="n">
        <v>0.06908728721477719</v>
      </c>
      <c r="D39" s="14" t="n">
        <v>0.1400774027090948</v>
      </c>
      <c r="E39" s="14" t="n">
        <v>0.09682804674457419</v>
      </c>
      <c r="F39" s="14" t="n">
        <v>0.140334679746105</v>
      </c>
      <c r="G39" s="14" t="n">
        <v>0.1942740286298568</v>
      </c>
      <c r="H39" s="7">
        <f>NORMSINV(C39)</f>
        <v/>
      </c>
      <c r="I39" s="7">
        <f>NORMSINV(D39)</f>
        <v/>
      </c>
      <c r="J39" s="7">
        <f>NORMSINV(E39)</f>
        <v/>
      </c>
      <c r="K39" s="7">
        <f>NORMSINV(F39)</f>
        <v/>
      </c>
      <c r="L39" s="7">
        <f>NORMSINV(G39)</f>
        <v/>
      </c>
      <c r="M39" s="7">
        <f>H39-AVERAGE(H$5:H$76)</f>
        <v/>
      </c>
      <c r="N39" s="7">
        <f>I39-AVERAGE(I$5:I$76)</f>
        <v/>
      </c>
      <c r="O39" s="7">
        <f>J39-AVERAGE(J$5:J$76)</f>
        <v/>
      </c>
      <c r="P39" s="7">
        <f>K39-AVERAGE(K$5:K$76)</f>
        <v/>
      </c>
      <c r="Q39" s="7">
        <f>L39-AVERAGE(L$5:L$76)</f>
        <v/>
      </c>
      <c r="R39" s="15">
        <f>AVERAGE(M39:Q39)</f>
        <v/>
      </c>
    </row>
    <row r="40">
      <c r="A40" s="5" t="inlineStr">
        <is>
          <t>202206</t>
        </is>
      </c>
      <c r="B40" s="6" t="n">
        <v>44713</v>
      </c>
      <c r="C40" s="14" t="n">
        <v>0.08613462644859041</v>
      </c>
      <c r="D40" s="14" t="n">
        <v>0.1357477211135747</v>
      </c>
      <c r="E40" s="14" t="n">
        <v>0.1141396933560477</v>
      </c>
      <c r="F40" s="14" t="n">
        <v>0.1821153643361805</v>
      </c>
      <c r="G40" s="14" t="n">
        <v>0.2219964439928879</v>
      </c>
      <c r="H40" s="7">
        <f>NORMSINV(C40)</f>
        <v/>
      </c>
      <c r="I40" s="7">
        <f>NORMSINV(D40)</f>
        <v/>
      </c>
      <c r="J40" s="7">
        <f>NORMSINV(E40)</f>
        <v/>
      </c>
      <c r="K40" s="7">
        <f>NORMSINV(F40)</f>
        <v/>
      </c>
      <c r="L40" s="7">
        <f>NORMSINV(G40)</f>
        <v/>
      </c>
      <c r="M40" s="7">
        <f>H40-AVERAGE(H$5:H$76)</f>
        <v/>
      </c>
      <c r="N40" s="7">
        <f>I40-AVERAGE(I$5:I$76)</f>
        <v/>
      </c>
      <c r="O40" s="7">
        <f>J40-AVERAGE(J$5:J$76)</f>
        <v/>
      </c>
      <c r="P40" s="7">
        <f>K40-AVERAGE(K$5:K$76)</f>
        <v/>
      </c>
      <c r="Q40" s="7">
        <f>L40-AVERAGE(L$5:L$76)</f>
        <v/>
      </c>
      <c r="R40" s="15">
        <f>AVERAGE(M40:Q40)</f>
        <v/>
      </c>
    </row>
    <row r="41">
      <c r="A41" s="5" t="inlineStr">
        <is>
          <t>202207</t>
        </is>
      </c>
      <c r="B41" s="6" t="n">
        <v>44743</v>
      </c>
      <c r="C41" s="14" t="n">
        <v>0.07585268884703909</v>
      </c>
      <c r="D41" s="14" t="n">
        <v>0.1282843894899536</v>
      </c>
      <c r="E41" s="14" t="n">
        <v>0.1159793814432989</v>
      </c>
      <c r="F41" s="14" t="n">
        <v>0.188096100446698</v>
      </c>
      <c r="G41" s="14" t="n">
        <v>0.2218640093786635</v>
      </c>
      <c r="H41" s="7">
        <f>NORMSINV(C41)</f>
        <v/>
      </c>
      <c r="I41" s="7">
        <f>NORMSINV(D41)</f>
        <v/>
      </c>
      <c r="J41" s="7">
        <f>NORMSINV(E41)</f>
        <v/>
      </c>
      <c r="K41" s="7">
        <f>NORMSINV(F41)</f>
        <v/>
      </c>
      <c r="L41" s="7">
        <f>NORMSINV(G41)</f>
        <v/>
      </c>
      <c r="M41" s="7">
        <f>H41-AVERAGE(H$5:H$76)</f>
        <v/>
      </c>
      <c r="N41" s="7">
        <f>I41-AVERAGE(I$5:I$76)</f>
        <v/>
      </c>
      <c r="O41" s="7">
        <f>J41-AVERAGE(J$5:J$76)</f>
        <v/>
      </c>
      <c r="P41" s="7">
        <f>K41-AVERAGE(K$5:K$76)</f>
        <v/>
      </c>
      <c r="Q41" s="7">
        <f>L41-AVERAGE(L$5:L$76)</f>
        <v/>
      </c>
      <c r="R41" s="15">
        <f>AVERAGE(M41:Q41)</f>
        <v/>
      </c>
    </row>
    <row r="42">
      <c r="A42" s="5" t="inlineStr">
        <is>
          <t>202208</t>
        </is>
      </c>
      <c r="B42" s="6" t="n">
        <v>44774</v>
      </c>
      <c r="C42" s="14" t="n">
        <v>0.0769230769230769</v>
      </c>
      <c r="D42" s="14" t="n">
        <v>0.1363354422528222</v>
      </c>
      <c r="E42" s="14" t="n">
        <v>0.1297709923664122</v>
      </c>
      <c r="F42" s="14" t="n">
        <v>0.1770879363676535</v>
      </c>
      <c r="G42" s="14" t="n">
        <v>0.2027972027972027</v>
      </c>
      <c r="H42" s="7">
        <f>NORMSINV(C42)</f>
        <v/>
      </c>
      <c r="I42" s="7">
        <f>NORMSINV(D42)</f>
        <v/>
      </c>
      <c r="J42" s="7">
        <f>NORMSINV(E42)</f>
        <v/>
      </c>
      <c r="K42" s="7">
        <f>NORMSINV(F42)</f>
        <v/>
      </c>
      <c r="L42" s="7">
        <f>NORMSINV(G42)</f>
        <v/>
      </c>
      <c r="M42" s="7">
        <f>H42-AVERAGE(H$5:H$76)</f>
        <v/>
      </c>
      <c r="N42" s="7">
        <f>I42-AVERAGE(I$5:I$76)</f>
        <v/>
      </c>
      <c r="O42" s="7">
        <f>J42-AVERAGE(J$5:J$76)</f>
        <v/>
      </c>
      <c r="P42" s="7">
        <f>K42-AVERAGE(K$5:K$76)</f>
        <v/>
      </c>
      <c r="Q42" s="7">
        <f>L42-AVERAGE(L$5:L$76)</f>
        <v/>
      </c>
      <c r="R42" s="15">
        <f>AVERAGE(M42:Q42)</f>
        <v/>
      </c>
    </row>
    <row r="43">
      <c r="A43" s="5" t="inlineStr">
        <is>
          <t>202209</t>
        </is>
      </c>
      <c r="B43" s="6" t="n">
        <v>44805</v>
      </c>
      <c r="C43" s="14" t="n">
        <v>0.0915180983252296</v>
      </c>
      <c r="D43" s="14" t="n">
        <v>0.1388994789681026</v>
      </c>
      <c r="E43" s="14" t="n">
        <v>0.1310679611650485</v>
      </c>
      <c r="F43" s="14" t="n">
        <v>0.1504567436861902</v>
      </c>
      <c r="G43" s="14" t="n">
        <v>0.1906474820143885</v>
      </c>
      <c r="H43" s="7">
        <f>NORMSINV(C43)</f>
        <v/>
      </c>
      <c r="I43" s="7">
        <f>NORMSINV(D43)</f>
        <v/>
      </c>
      <c r="J43" s="7">
        <f>NORMSINV(E43)</f>
        <v/>
      </c>
      <c r="K43" s="7">
        <f>NORMSINV(F43)</f>
        <v/>
      </c>
      <c r="L43" s="7">
        <f>NORMSINV(G43)</f>
        <v/>
      </c>
      <c r="M43" s="7">
        <f>H43-AVERAGE(H$5:H$76)</f>
        <v/>
      </c>
      <c r="N43" s="7">
        <f>I43-AVERAGE(I$5:I$76)</f>
        <v/>
      </c>
      <c r="O43" s="7">
        <f>J43-AVERAGE(J$5:J$76)</f>
        <v/>
      </c>
      <c r="P43" s="7">
        <f>K43-AVERAGE(K$5:K$76)</f>
        <v/>
      </c>
      <c r="Q43" s="7">
        <f>L43-AVERAGE(L$5:L$76)</f>
        <v/>
      </c>
      <c r="R43" s="15">
        <f>AVERAGE(M43:Q43)</f>
        <v/>
      </c>
    </row>
    <row r="44">
      <c r="A44" s="5" t="inlineStr">
        <is>
          <t>202210</t>
        </is>
      </c>
      <c r="B44" s="6" t="n">
        <v>44835</v>
      </c>
      <c r="C44" s="14" t="n">
        <v>0.08761329305135949</v>
      </c>
      <c r="D44" s="14" t="n">
        <v>0.1797465540240106</v>
      </c>
      <c r="E44" s="14" t="n">
        <v>0.1047381546134663</v>
      </c>
      <c r="F44" s="14" t="n">
        <v>0.1250459052515607</v>
      </c>
      <c r="G44" s="14" t="n">
        <v>0.1778185151237397</v>
      </c>
      <c r="H44" s="7">
        <f>NORMSINV(C44)</f>
        <v/>
      </c>
      <c r="I44" s="7">
        <f>NORMSINV(D44)</f>
        <v/>
      </c>
      <c r="J44" s="7">
        <f>NORMSINV(E44)</f>
        <v/>
      </c>
      <c r="K44" s="7">
        <f>NORMSINV(F44)</f>
        <v/>
      </c>
      <c r="L44" s="7">
        <f>NORMSINV(G44)</f>
        <v/>
      </c>
      <c r="M44" s="7">
        <f>H44-AVERAGE(H$5:H$76)</f>
        <v/>
      </c>
      <c r="N44" s="7">
        <f>I44-AVERAGE(I$5:I$76)</f>
        <v/>
      </c>
      <c r="O44" s="7">
        <f>J44-AVERAGE(J$5:J$76)</f>
        <v/>
      </c>
      <c r="P44" s="7">
        <f>K44-AVERAGE(K$5:K$76)</f>
        <v/>
      </c>
      <c r="Q44" s="7">
        <f>L44-AVERAGE(L$5:L$76)</f>
        <v/>
      </c>
      <c r="R44" s="15">
        <f>AVERAGE(M44:Q44)</f>
        <v/>
      </c>
    </row>
    <row r="45">
      <c r="A45" s="5" t="inlineStr">
        <is>
          <t>202211</t>
        </is>
      </c>
      <c r="B45" s="6" t="n">
        <v>44866</v>
      </c>
      <c r="C45" s="14" t="n">
        <v>0.0920599554385254</v>
      </c>
      <c r="D45" s="14" t="n">
        <v>0.1952320333294757</v>
      </c>
      <c r="E45" s="14" t="n">
        <v>0.218213058419244</v>
      </c>
      <c r="F45" s="14" t="n">
        <v>0.1090850927703135</v>
      </c>
      <c r="G45" s="14" t="n">
        <v>0.1639883126369613</v>
      </c>
      <c r="H45" s="7">
        <f>NORMSINV(C45)</f>
        <v/>
      </c>
      <c r="I45" s="7">
        <f>NORMSINV(D45)</f>
        <v/>
      </c>
      <c r="J45" s="7">
        <f>NORMSINV(E45)</f>
        <v/>
      </c>
      <c r="K45" s="7">
        <f>NORMSINV(F45)</f>
        <v/>
      </c>
      <c r="L45" s="7">
        <f>NORMSINV(G45)</f>
        <v/>
      </c>
      <c r="M45" s="7">
        <f>H45-AVERAGE(H$5:H$76)</f>
        <v/>
      </c>
      <c r="N45" s="7">
        <f>I45-AVERAGE(I$5:I$76)</f>
        <v/>
      </c>
      <c r="O45" s="7">
        <f>J45-AVERAGE(J$5:J$76)</f>
        <v/>
      </c>
      <c r="P45" s="7">
        <f>K45-AVERAGE(K$5:K$76)</f>
        <v/>
      </c>
      <c r="Q45" s="7">
        <f>L45-AVERAGE(L$5:L$76)</f>
        <v/>
      </c>
      <c r="R45" s="15">
        <f>AVERAGE(M45:Q45)</f>
        <v/>
      </c>
    </row>
    <row r="46">
      <c r="A46" s="5" t="inlineStr">
        <is>
          <t>202212</t>
        </is>
      </c>
      <c r="B46" s="6" t="n">
        <v>44896</v>
      </c>
      <c r="C46" s="14" t="n">
        <v>0.0902768834513844</v>
      </c>
      <c r="D46" s="14" t="n">
        <v>0.1992993382639159</v>
      </c>
      <c r="E46" s="14" t="n">
        <v>0.234539089848308</v>
      </c>
      <c r="F46" s="14" t="n">
        <v>0.104783137413863</v>
      </c>
      <c r="G46" s="14" t="n">
        <v>0.166006600660066</v>
      </c>
      <c r="H46" s="7">
        <f>NORMSINV(C46)</f>
        <v/>
      </c>
      <c r="I46" s="7">
        <f>NORMSINV(D46)</f>
        <v/>
      </c>
      <c r="J46" s="7">
        <f>NORMSINV(E46)</f>
        <v/>
      </c>
      <c r="K46" s="7">
        <f>NORMSINV(F46)</f>
        <v/>
      </c>
      <c r="L46" s="7">
        <f>NORMSINV(G46)</f>
        <v/>
      </c>
      <c r="M46" s="7">
        <f>H46-AVERAGE(H$5:H$76)</f>
        <v/>
      </c>
      <c r="N46" s="7">
        <f>I46-AVERAGE(I$5:I$76)</f>
        <v/>
      </c>
      <c r="O46" s="7">
        <f>J46-AVERAGE(J$5:J$76)</f>
        <v/>
      </c>
      <c r="P46" s="7">
        <f>K46-AVERAGE(K$5:K$76)</f>
        <v/>
      </c>
      <c r="Q46" s="7">
        <f>L46-AVERAGE(L$5:L$76)</f>
        <v/>
      </c>
      <c r="R46" s="15">
        <f>AVERAGE(M46:Q46)</f>
        <v/>
      </c>
    </row>
    <row r="47">
      <c r="A47" s="5" t="inlineStr">
        <is>
          <t>202301</t>
        </is>
      </c>
      <c r="B47" s="6" t="n">
        <v>44927</v>
      </c>
      <c r="C47" s="14" t="n">
        <v>0.0783841626538255</v>
      </c>
      <c r="D47" s="14" t="n">
        <v>0.1704848161960575</v>
      </c>
      <c r="E47" s="14" t="n">
        <v>0.1941489361702127</v>
      </c>
      <c r="F47" s="14" t="n">
        <v>0.1227007141311404</v>
      </c>
      <c r="G47" s="14" t="n">
        <v>0.1427021161150298</v>
      </c>
      <c r="H47" s="7">
        <f>NORMSINV(C47)</f>
        <v/>
      </c>
      <c r="I47" s="7">
        <f>NORMSINV(D47)</f>
        <v/>
      </c>
      <c r="J47" s="7">
        <f>NORMSINV(E47)</f>
        <v/>
      </c>
      <c r="K47" s="7">
        <f>NORMSINV(F47)</f>
        <v/>
      </c>
      <c r="L47" s="7">
        <f>NORMSINV(G47)</f>
        <v/>
      </c>
      <c r="M47" s="7">
        <f>H47-AVERAGE(H$5:H$76)</f>
        <v/>
      </c>
      <c r="N47" s="7">
        <f>I47-AVERAGE(I$5:I$76)</f>
        <v/>
      </c>
      <c r="O47" s="7">
        <f>J47-AVERAGE(J$5:J$76)</f>
        <v/>
      </c>
      <c r="P47" s="7">
        <f>K47-AVERAGE(K$5:K$76)</f>
        <v/>
      </c>
      <c r="Q47" s="7">
        <f>L47-AVERAGE(L$5:L$76)</f>
        <v/>
      </c>
      <c r="R47" s="15">
        <f>AVERAGE(M47:Q47)</f>
        <v/>
      </c>
    </row>
    <row r="48">
      <c r="A48" s="5" t="inlineStr">
        <is>
          <t>202302</t>
        </is>
      </c>
      <c r="B48" s="6" t="n">
        <v>44958</v>
      </c>
      <c r="C48" s="14" t="n">
        <v>0.0737362219688331</v>
      </c>
      <c r="D48" s="14" t="n">
        <v>0.1904022765489587</v>
      </c>
      <c r="E48" s="14" t="n">
        <v>0.204337899543379</v>
      </c>
      <c r="F48" s="14" t="n">
        <v>0.1275082086829624</v>
      </c>
      <c r="G48" s="14" t="n">
        <v>0.1225946617008069</v>
      </c>
      <c r="H48" s="7">
        <f>NORMSINV(C48)</f>
        <v/>
      </c>
      <c r="I48" s="7">
        <f>NORMSINV(D48)</f>
        <v/>
      </c>
      <c r="J48" s="7">
        <f>NORMSINV(E48)</f>
        <v/>
      </c>
      <c r="K48" s="7">
        <f>NORMSINV(F48)</f>
        <v/>
      </c>
      <c r="L48" s="7">
        <f>NORMSINV(G48)</f>
        <v/>
      </c>
      <c r="M48" s="7">
        <f>H48-AVERAGE(H$5:H$76)</f>
        <v/>
      </c>
      <c r="N48" s="7">
        <f>I48-AVERAGE(I$5:I$76)</f>
        <v/>
      </c>
      <c r="O48" s="7">
        <f>J48-AVERAGE(J$5:J$76)</f>
        <v/>
      </c>
      <c r="P48" s="7">
        <f>K48-AVERAGE(K$5:K$76)</f>
        <v/>
      </c>
      <c r="Q48" s="7">
        <f>L48-AVERAGE(L$5:L$76)</f>
        <v/>
      </c>
      <c r="R48" s="15">
        <f>AVERAGE(M48:Q48)</f>
        <v/>
      </c>
    </row>
    <row r="49">
      <c r="A49" s="5" t="inlineStr">
        <is>
          <t>202303</t>
        </is>
      </c>
      <c r="B49" s="6" t="n">
        <v>44986</v>
      </c>
      <c r="C49" s="14" t="n">
        <v>0.0666666666666666</v>
      </c>
      <c r="D49" s="14" t="n">
        <v>0.1643693493404476</v>
      </c>
      <c r="E49" s="14" t="n">
        <v>0.1726954492415402</v>
      </c>
      <c r="F49" s="14" t="n">
        <v>0.1278509476389335</v>
      </c>
      <c r="G49" s="14" t="n">
        <v>0.109362909466082</v>
      </c>
      <c r="H49" s="7">
        <f>NORMSINV(C49)</f>
        <v/>
      </c>
      <c r="I49" s="7">
        <f>NORMSINV(D49)</f>
        <v/>
      </c>
      <c r="J49" s="7">
        <f>NORMSINV(E49)</f>
        <v/>
      </c>
      <c r="K49" s="7">
        <f>NORMSINV(F49)</f>
        <v/>
      </c>
      <c r="L49" s="7">
        <f>NORMSINV(G49)</f>
        <v/>
      </c>
      <c r="M49" s="7">
        <f>H49-AVERAGE(H$5:H$76)</f>
        <v/>
      </c>
      <c r="N49" s="7">
        <f>I49-AVERAGE(I$5:I$76)</f>
        <v/>
      </c>
      <c r="O49" s="7">
        <f>J49-AVERAGE(J$5:J$76)</f>
        <v/>
      </c>
      <c r="P49" s="7">
        <f>K49-AVERAGE(K$5:K$76)</f>
        <v/>
      </c>
      <c r="Q49" s="7">
        <f>L49-AVERAGE(L$5:L$76)</f>
        <v/>
      </c>
      <c r="R49" s="15">
        <f>AVERAGE(M49:Q49)</f>
        <v/>
      </c>
    </row>
    <row r="50">
      <c r="A50" s="5" t="inlineStr">
        <is>
          <t>202304</t>
        </is>
      </c>
      <c r="B50" s="6" t="n">
        <v>45017</v>
      </c>
      <c r="C50" s="14" t="n">
        <v>0.0654849827671098</v>
      </c>
      <c r="D50" s="14" t="n">
        <v>0.1469202288791652</v>
      </c>
      <c r="E50" s="14" t="n">
        <v>0.2025806451612903</v>
      </c>
      <c r="F50" s="14" t="n">
        <v>0.1433832264195771</v>
      </c>
      <c r="G50" s="14" t="n">
        <v>0.0901589242053789</v>
      </c>
      <c r="H50" s="7">
        <f>NORMSINV(C50)</f>
        <v/>
      </c>
      <c r="I50" s="7">
        <f>NORMSINV(D50)</f>
        <v/>
      </c>
      <c r="J50" s="7">
        <f>NORMSINV(E50)</f>
        <v/>
      </c>
      <c r="K50" s="7">
        <f>NORMSINV(F50)</f>
        <v/>
      </c>
      <c r="L50" s="7">
        <f>NORMSINV(G50)</f>
        <v/>
      </c>
      <c r="M50" s="7">
        <f>H50-AVERAGE(H$5:H$76)</f>
        <v/>
      </c>
      <c r="N50" s="7">
        <f>I50-AVERAGE(I$5:I$76)</f>
        <v/>
      </c>
      <c r="O50" s="7">
        <f>J50-AVERAGE(J$5:J$76)</f>
        <v/>
      </c>
      <c r="P50" s="7">
        <f>K50-AVERAGE(K$5:K$76)</f>
        <v/>
      </c>
      <c r="Q50" s="7">
        <f>L50-AVERAGE(L$5:L$76)</f>
        <v/>
      </c>
      <c r="R50" s="15">
        <f>AVERAGE(M50:Q50)</f>
        <v/>
      </c>
    </row>
    <row r="51">
      <c r="A51" s="5" t="inlineStr">
        <is>
          <t>202305</t>
        </is>
      </c>
      <c r="B51" s="6" t="n">
        <v>45047</v>
      </c>
      <c r="C51" s="14" t="n">
        <v>0.045182467657849</v>
      </c>
      <c r="D51" s="14" t="n">
        <v>0.1577457192935148</v>
      </c>
      <c r="E51" s="14" t="n">
        <v>0.1760355029585799</v>
      </c>
      <c r="F51" s="14" t="n">
        <v>0.1404188181296615</v>
      </c>
      <c r="G51" s="14" t="n">
        <v>0.1042981665163811</v>
      </c>
      <c r="H51" s="7">
        <f>NORMSINV(C51)</f>
        <v/>
      </c>
      <c r="I51" s="7">
        <f>NORMSINV(D51)</f>
        <v/>
      </c>
      <c r="J51" s="7">
        <f>NORMSINV(E51)</f>
        <v/>
      </c>
      <c r="K51" s="7">
        <f>NORMSINV(F51)</f>
        <v/>
      </c>
      <c r="L51" s="7">
        <f>NORMSINV(G51)</f>
        <v/>
      </c>
      <c r="M51" s="7">
        <f>H51-AVERAGE(H$5:H$76)</f>
        <v/>
      </c>
      <c r="N51" s="7">
        <f>I51-AVERAGE(I$5:I$76)</f>
        <v/>
      </c>
      <c r="O51" s="7">
        <f>J51-AVERAGE(J$5:J$76)</f>
        <v/>
      </c>
      <c r="P51" s="7">
        <f>K51-AVERAGE(K$5:K$76)</f>
        <v/>
      </c>
      <c r="Q51" s="7">
        <f>L51-AVERAGE(L$5:L$76)</f>
        <v/>
      </c>
      <c r="R51" s="15">
        <f>AVERAGE(M51:Q51)</f>
        <v/>
      </c>
    </row>
    <row r="52">
      <c r="A52" s="5" t="inlineStr">
        <is>
          <t>202306</t>
        </is>
      </c>
      <c r="B52" s="6" t="n">
        <v>45078</v>
      </c>
      <c r="C52" s="14" t="n">
        <v>0.0404676258992805</v>
      </c>
      <c r="D52" s="14" t="n">
        <v>0.1377005347593582</v>
      </c>
      <c r="E52" s="14" t="n">
        <v>0.08375634517766491</v>
      </c>
      <c r="F52" s="14" t="n">
        <v>0.1197404640188753</v>
      </c>
      <c r="G52" s="14" t="n">
        <v>0.1115736885928393</v>
      </c>
      <c r="H52" s="7">
        <f>NORMSINV(C52)</f>
        <v/>
      </c>
      <c r="I52" s="7">
        <f>NORMSINV(D52)</f>
        <v/>
      </c>
      <c r="J52" s="7">
        <f>NORMSINV(E52)</f>
        <v/>
      </c>
      <c r="K52" s="7">
        <f>NORMSINV(F52)</f>
        <v/>
      </c>
      <c r="L52" s="7">
        <f>NORMSINV(G52)</f>
        <v/>
      </c>
      <c r="M52" s="7">
        <f>H52-AVERAGE(H$5:H$76)</f>
        <v/>
      </c>
      <c r="N52" s="7">
        <f>I52-AVERAGE(I$5:I$76)</f>
        <v/>
      </c>
      <c r="O52" s="7">
        <f>J52-AVERAGE(J$5:J$76)</f>
        <v/>
      </c>
      <c r="P52" s="7">
        <f>K52-AVERAGE(K$5:K$76)</f>
        <v/>
      </c>
      <c r="Q52" s="7">
        <f>L52-AVERAGE(L$5:L$76)</f>
        <v/>
      </c>
      <c r="R52" s="15">
        <f>AVERAGE(M52:Q52)</f>
        <v/>
      </c>
    </row>
    <row r="53">
      <c r="A53" s="5" t="inlineStr">
        <is>
          <t>202307</t>
        </is>
      </c>
      <c r="B53" s="6" t="n">
        <v>45108</v>
      </c>
      <c r="C53" s="14" t="n">
        <v>0.0377657168701944</v>
      </c>
      <c r="D53" s="14" t="n">
        <v>0.0791431121689973</v>
      </c>
      <c r="E53" s="14" t="n">
        <v>0.0816326530612244</v>
      </c>
      <c r="F53" s="14" t="n">
        <v>0.1179947978245448</v>
      </c>
      <c r="G53" s="14" t="n">
        <v>0.1318807339449541</v>
      </c>
      <c r="H53" s="7">
        <f>NORMSINV(C53)</f>
        <v/>
      </c>
      <c r="I53" s="7">
        <f>NORMSINV(D53)</f>
        <v/>
      </c>
      <c r="J53" s="7">
        <f>NORMSINV(E53)</f>
        <v/>
      </c>
      <c r="K53" s="7">
        <f>NORMSINV(F53)</f>
        <v/>
      </c>
      <c r="L53" s="7">
        <f>NORMSINV(G53)</f>
        <v/>
      </c>
      <c r="M53" s="7">
        <f>H53-AVERAGE(H$5:H$76)</f>
        <v/>
      </c>
      <c r="N53" s="7">
        <f>I53-AVERAGE(I$5:I$76)</f>
        <v/>
      </c>
      <c r="O53" s="7">
        <f>J53-AVERAGE(J$5:J$76)</f>
        <v/>
      </c>
      <c r="P53" s="7">
        <f>K53-AVERAGE(K$5:K$76)</f>
        <v/>
      </c>
      <c r="Q53" s="7">
        <f>L53-AVERAGE(L$5:L$76)</f>
        <v/>
      </c>
      <c r="R53" s="15">
        <f>AVERAGE(M53:Q53)</f>
        <v/>
      </c>
    </row>
    <row r="54">
      <c r="A54" s="5" t="inlineStr">
        <is>
          <t>202308</t>
        </is>
      </c>
      <c r="B54" s="6" t="n">
        <v>45139</v>
      </c>
      <c r="C54" s="14" t="n">
        <v>0.0416741836550604</v>
      </c>
      <c r="D54" s="14" t="n">
        <v>0.0827682955342529</v>
      </c>
      <c r="E54" s="14" t="n">
        <v>0.1</v>
      </c>
      <c r="F54" s="14" t="n">
        <v>0.1080314273243125</v>
      </c>
      <c r="G54" s="14" t="n">
        <v>0.1487279843444227</v>
      </c>
      <c r="H54" s="7">
        <f>NORMSINV(C54)</f>
        <v/>
      </c>
      <c r="I54" s="7">
        <f>NORMSINV(D54)</f>
        <v/>
      </c>
      <c r="J54" s="7">
        <f>NORMSINV(E54)</f>
        <v/>
      </c>
      <c r="K54" s="7">
        <f>NORMSINV(F54)</f>
        <v/>
      </c>
      <c r="L54" s="7">
        <f>NORMSINV(G54)</f>
        <v/>
      </c>
      <c r="M54" s="7">
        <f>H54-AVERAGE(H$5:H$76)</f>
        <v/>
      </c>
      <c r="N54" s="7">
        <f>I54-AVERAGE(I$5:I$76)</f>
        <v/>
      </c>
      <c r="O54" s="7">
        <f>J54-AVERAGE(J$5:J$76)</f>
        <v/>
      </c>
      <c r="P54" s="7">
        <f>K54-AVERAGE(K$5:K$76)</f>
        <v/>
      </c>
      <c r="Q54" s="7">
        <f>L54-AVERAGE(L$5:L$76)</f>
        <v/>
      </c>
      <c r="R54" s="15">
        <f>AVERAGE(M54:Q54)</f>
        <v/>
      </c>
    </row>
    <row r="55">
      <c r="A55" s="5" t="inlineStr">
        <is>
          <t>202309</t>
        </is>
      </c>
      <c r="B55" s="6" t="n">
        <v>45170</v>
      </c>
      <c r="C55" s="14" t="n">
        <v>0.0371731143289388</v>
      </c>
      <c r="D55" s="14" t="n">
        <v>0.08376781369482091</v>
      </c>
      <c r="E55" s="14" t="n">
        <v>0.0825688073394495</v>
      </c>
      <c r="F55" s="14" t="n">
        <v>0.0992143658810325</v>
      </c>
      <c r="G55" s="14" t="n">
        <v>0.1287128712871287</v>
      </c>
      <c r="H55" s="7">
        <f>NORMSINV(C55)</f>
        <v/>
      </c>
      <c r="I55" s="7">
        <f>NORMSINV(D55)</f>
        <v/>
      </c>
      <c r="J55" s="7">
        <f>NORMSINV(E55)</f>
        <v/>
      </c>
      <c r="K55" s="7">
        <f>NORMSINV(F55)</f>
        <v/>
      </c>
      <c r="L55" s="7">
        <f>NORMSINV(G55)</f>
        <v/>
      </c>
      <c r="M55" s="7">
        <f>H55-AVERAGE(H$5:H$76)</f>
        <v/>
      </c>
      <c r="N55" s="7">
        <f>I55-AVERAGE(I$5:I$76)</f>
        <v/>
      </c>
      <c r="O55" s="7">
        <f>J55-AVERAGE(J$5:J$76)</f>
        <v/>
      </c>
      <c r="P55" s="7">
        <f>K55-AVERAGE(K$5:K$76)</f>
        <v/>
      </c>
      <c r="Q55" s="7">
        <f>L55-AVERAGE(L$5:L$76)</f>
        <v/>
      </c>
      <c r="R55" s="15">
        <f>AVERAGE(M55:Q55)</f>
        <v/>
      </c>
    </row>
    <row r="56">
      <c r="A56" s="5" t="inlineStr">
        <is>
          <t>202310</t>
        </is>
      </c>
      <c r="B56" s="6" t="n">
        <v>45200</v>
      </c>
      <c r="C56" s="14" t="n">
        <v>0.0361757105943152</v>
      </c>
      <c r="D56" s="14" t="n">
        <v>0.0711398544866612</v>
      </c>
      <c r="E56" s="14" t="n">
        <v>0.08139534883720929</v>
      </c>
      <c r="F56" s="14" t="n">
        <v>0.0950647249190938</v>
      </c>
      <c r="G56" s="14" t="n">
        <v>0.1257445400397088</v>
      </c>
      <c r="H56" s="7">
        <f>NORMSINV(C56)</f>
        <v/>
      </c>
      <c r="I56" s="7">
        <f>NORMSINV(D56)</f>
        <v/>
      </c>
      <c r="J56" s="7">
        <f>NORMSINV(E56)</f>
        <v/>
      </c>
      <c r="K56" s="7">
        <f>NORMSINV(F56)</f>
        <v/>
      </c>
      <c r="L56" s="7">
        <f>NORMSINV(G56)</f>
        <v/>
      </c>
      <c r="M56" s="7">
        <f>H56-AVERAGE(H$5:H$76)</f>
        <v/>
      </c>
      <c r="N56" s="7">
        <f>I56-AVERAGE(I$5:I$76)</f>
        <v/>
      </c>
      <c r="O56" s="7">
        <f>J56-AVERAGE(J$5:J$76)</f>
        <v/>
      </c>
      <c r="P56" s="7">
        <f>K56-AVERAGE(K$5:K$76)</f>
        <v/>
      </c>
      <c r="Q56" s="7">
        <f>L56-AVERAGE(L$5:L$76)</f>
        <v/>
      </c>
      <c r="R56" s="15">
        <f>AVERAGE(M56:Q56)</f>
        <v/>
      </c>
    </row>
    <row r="57">
      <c r="A57" s="5" t="inlineStr">
        <is>
          <t>202311</t>
        </is>
      </c>
      <c r="B57" s="6" t="n">
        <v>45231</v>
      </c>
      <c r="C57" s="14" t="n">
        <v>0.0367412140575079</v>
      </c>
      <c r="D57" s="14" t="n">
        <v>0.1318911374738311</v>
      </c>
      <c r="E57" s="14" t="n">
        <v>0.0586206896551724</v>
      </c>
      <c r="F57" s="14" t="n">
        <v>0.0939942410530645</v>
      </c>
      <c r="G57" s="14" t="n">
        <v>0.1166253101736972</v>
      </c>
      <c r="H57" s="7">
        <f>NORMSINV(C57)</f>
        <v/>
      </c>
      <c r="I57" s="7">
        <f>NORMSINV(D57)</f>
        <v/>
      </c>
      <c r="J57" s="7">
        <f>NORMSINV(E57)</f>
        <v/>
      </c>
      <c r="K57" s="7">
        <f>NORMSINV(F57)</f>
        <v/>
      </c>
      <c r="L57" s="7">
        <f>NORMSINV(G57)</f>
        <v/>
      </c>
      <c r="M57" s="7">
        <f>H57-AVERAGE(H$5:H$76)</f>
        <v/>
      </c>
      <c r="N57" s="7">
        <f>I57-AVERAGE(I$5:I$76)</f>
        <v/>
      </c>
      <c r="O57" s="7">
        <f>J57-AVERAGE(J$5:J$76)</f>
        <v/>
      </c>
      <c r="P57" s="7">
        <f>K57-AVERAGE(K$5:K$76)</f>
        <v/>
      </c>
      <c r="Q57" s="7">
        <f>L57-AVERAGE(L$5:L$76)</f>
        <v/>
      </c>
      <c r="R57" s="15">
        <f>AVERAGE(M57:Q57)</f>
        <v/>
      </c>
    </row>
    <row r="58">
      <c r="A58" s="5" t="inlineStr">
        <is>
          <t>202312</t>
        </is>
      </c>
      <c r="B58" s="6" t="n">
        <v>45261</v>
      </c>
      <c r="C58" s="14" t="n">
        <v>0.0419992398327632</v>
      </c>
      <c r="D58" s="14" t="n">
        <v>0.1581753554502369</v>
      </c>
      <c r="E58" s="14" t="n">
        <v>0.0767045454545454</v>
      </c>
      <c r="F58" s="14" t="n">
        <v>0.1006766454787779</v>
      </c>
      <c r="G58" s="14" t="n">
        <v>0.1380778588807786</v>
      </c>
      <c r="H58" s="7">
        <f>NORMSINV(C58)</f>
        <v/>
      </c>
      <c r="I58" s="7">
        <f>NORMSINV(D58)</f>
        <v/>
      </c>
      <c r="J58" s="7">
        <f>NORMSINV(E58)</f>
        <v/>
      </c>
      <c r="K58" s="7">
        <f>NORMSINV(F58)</f>
        <v/>
      </c>
      <c r="L58" s="7">
        <f>NORMSINV(G58)</f>
        <v/>
      </c>
      <c r="M58" s="7">
        <f>H58-AVERAGE(H$5:H$76)</f>
        <v/>
      </c>
      <c r="N58" s="7">
        <f>I58-AVERAGE(I$5:I$76)</f>
        <v/>
      </c>
      <c r="O58" s="7">
        <f>J58-AVERAGE(J$5:J$76)</f>
        <v/>
      </c>
      <c r="P58" s="7">
        <f>K58-AVERAGE(K$5:K$76)</f>
        <v/>
      </c>
      <c r="Q58" s="7">
        <f>L58-AVERAGE(L$5:L$76)</f>
        <v/>
      </c>
      <c r="R58" s="15">
        <f>AVERAGE(M58:Q58)</f>
        <v/>
      </c>
    </row>
    <row r="59">
      <c r="A59" s="5" t="inlineStr">
        <is>
          <t>202401</t>
        </is>
      </c>
      <c r="B59" s="6" t="n">
        <v>45292</v>
      </c>
      <c r="C59" s="14" t="n">
        <v>0.0300092336103416</v>
      </c>
      <c r="D59" s="14" t="n">
        <v>0.118686240358298</v>
      </c>
      <c r="E59" s="14" t="n">
        <v>0.0464135021097046</v>
      </c>
      <c r="F59" s="14" t="n">
        <v>0.0986955838440987</v>
      </c>
      <c r="G59" s="14" t="n">
        <v>0.1453775582215949</v>
      </c>
      <c r="H59" s="7">
        <f>NORMSINV(C59)</f>
        <v/>
      </c>
      <c r="I59" s="7">
        <f>NORMSINV(D59)</f>
        <v/>
      </c>
      <c r="J59" s="7">
        <f>NORMSINV(E59)</f>
        <v/>
      </c>
      <c r="K59" s="7">
        <f>NORMSINV(F59)</f>
        <v/>
      </c>
      <c r="L59" s="7">
        <f>NORMSINV(G59)</f>
        <v/>
      </c>
      <c r="M59" s="7">
        <f>H59-AVERAGE(H$5:H$76)</f>
        <v/>
      </c>
      <c r="N59" s="7">
        <f>I59-AVERAGE(I$5:I$76)</f>
        <v/>
      </c>
      <c r="O59" s="7">
        <f>J59-AVERAGE(J$5:J$76)</f>
        <v/>
      </c>
      <c r="P59" s="7">
        <f>K59-AVERAGE(K$5:K$76)</f>
        <v/>
      </c>
      <c r="Q59" s="7">
        <f>L59-AVERAGE(L$5:L$76)</f>
        <v/>
      </c>
      <c r="R59" s="15">
        <f>AVERAGE(M59:Q59)</f>
        <v/>
      </c>
    </row>
    <row r="60">
      <c r="A60" s="5" t="inlineStr">
        <is>
          <t>202402</t>
        </is>
      </c>
      <c r="B60" s="6" t="n">
        <v>45323</v>
      </c>
      <c r="C60" s="14" t="n">
        <v>0.0283630470016207</v>
      </c>
      <c r="D60" s="14" t="n">
        <v>0.1340653728294177</v>
      </c>
      <c r="E60" s="14" t="n">
        <v>0.03125</v>
      </c>
      <c r="F60" s="14" t="n">
        <v>0.101040118870728</v>
      </c>
      <c r="G60" s="14" t="n">
        <v>0.1454649172846548</v>
      </c>
      <c r="H60" s="7">
        <f>NORMSINV(C60)</f>
        <v/>
      </c>
      <c r="I60" s="7">
        <f>NORMSINV(D60)</f>
        <v/>
      </c>
      <c r="J60" s="7">
        <f>NORMSINV(E60)</f>
        <v/>
      </c>
      <c r="K60" s="7">
        <f>NORMSINV(F60)</f>
        <v/>
      </c>
      <c r="L60" s="7">
        <f>NORMSINV(G60)</f>
        <v/>
      </c>
      <c r="M60" s="7">
        <f>H60-AVERAGE(H$5:H$76)</f>
        <v/>
      </c>
      <c r="N60" s="7">
        <f>I60-AVERAGE(I$5:I$76)</f>
        <v/>
      </c>
      <c r="O60" s="7">
        <f>J60-AVERAGE(J$5:J$76)</f>
        <v/>
      </c>
      <c r="P60" s="7">
        <f>K60-AVERAGE(K$5:K$76)</f>
        <v/>
      </c>
      <c r="Q60" s="7">
        <f>L60-AVERAGE(L$5:L$76)</f>
        <v/>
      </c>
      <c r="R60" s="15">
        <f>AVERAGE(M60:Q60)</f>
        <v/>
      </c>
    </row>
    <row r="61">
      <c r="A61" s="5" t="inlineStr">
        <is>
          <t>202403</t>
        </is>
      </c>
      <c r="B61" s="6" t="n">
        <v>45352</v>
      </c>
      <c r="C61" s="14" t="n">
        <v>0.029756844074137</v>
      </c>
      <c r="D61" s="14" t="n">
        <v>0.119570905285191</v>
      </c>
      <c r="E61" s="14" t="n">
        <v>0.0577777777777777</v>
      </c>
      <c r="F61" s="14" t="n">
        <v>0.0815905743740795</v>
      </c>
      <c r="G61" s="14" t="n">
        <v>0.1559228650137741</v>
      </c>
      <c r="H61" s="7">
        <f>NORMSINV(C61)</f>
        <v/>
      </c>
      <c r="I61" s="7">
        <f>NORMSINV(D61)</f>
        <v/>
      </c>
      <c r="J61" s="7">
        <f>NORMSINV(E61)</f>
        <v/>
      </c>
      <c r="K61" s="7">
        <f>NORMSINV(F61)</f>
        <v/>
      </c>
      <c r="L61" s="7">
        <f>NORMSINV(G61)</f>
        <v/>
      </c>
      <c r="M61" s="7">
        <f>H61-AVERAGE(H$5:H$76)</f>
        <v/>
      </c>
      <c r="N61" s="7">
        <f>I61-AVERAGE(I$5:I$76)</f>
        <v/>
      </c>
      <c r="O61" s="7">
        <f>J61-AVERAGE(J$5:J$76)</f>
        <v/>
      </c>
      <c r="P61" s="7">
        <f>K61-AVERAGE(K$5:K$76)</f>
        <v/>
      </c>
      <c r="Q61" s="7">
        <f>L61-AVERAGE(L$5:L$76)</f>
        <v/>
      </c>
      <c r="R61" s="15">
        <f>AVERAGE(M61:Q61)</f>
        <v/>
      </c>
    </row>
    <row r="62">
      <c r="A62" s="5" t="inlineStr">
        <is>
          <t>202404</t>
        </is>
      </c>
      <c r="B62" s="6" t="n">
        <v>45383</v>
      </c>
      <c r="C62" s="14" t="n">
        <v>0.0367037650959033</v>
      </c>
      <c r="D62" s="14" t="n">
        <v>0.1147686832740213</v>
      </c>
      <c r="E62" s="14" t="n">
        <v>0.0439189189189189</v>
      </c>
      <c r="F62" s="14" t="n">
        <v>0.0955217295389366</v>
      </c>
      <c r="G62" s="14" t="n">
        <v>0.1354975299929428</v>
      </c>
      <c r="H62" s="7">
        <f>NORMSINV(C62)</f>
        <v/>
      </c>
      <c r="I62" s="7">
        <f>NORMSINV(D62)</f>
        <v/>
      </c>
      <c r="J62" s="7">
        <f>NORMSINV(E62)</f>
        <v/>
      </c>
      <c r="K62" s="7">
        <f>NORMSINV(F62)</f>
        <v/>
      </c>
      <c r="L62" s="7">
        <f>NORMSINV(G62)</f>
        <v/>
      </c>
      <c r="M62" s="7">
        <f>H62-AVERAGE(H$5:H$76)</f>
        <v/>
      </c>
      <c r="N62" s="7">
        <f>I62-AVERAGE(I$5:I$76)</f>
        <v/>
      </c>
      <c r="O62" s="7">
        <f>J62-AVERAGE(J$5:J$76)</f>
        <v/>
      </c>
      <c r="P62" s="7">
        <f>K62-AVERAGE(K$5:K$76)</f>
        <v/>
      </c>
      <c r="Q62" s="7">
        <f>L62-AVERAGE(L$5:L$76)</f>
        <v/>
      </c>
      <c r="R62" s="15">
        <f>AVERAGE(M62:Q62)</f>
        <v/>
      </c>
    </row>
    <row r="63">
      <c r="A63" s="5" t="inlineStr">
        <is>
          <t>202405</t>
        </is>
      </c>
      <c r="B63" s="6" t="n">
        <v>45413</v>
      </c>
      <c r="C63" s="14" t="n">
        <v>0.0331759946055293</v>
      </c>
      <c r="D63" s="14" t="n">
        <v>0.1042300248824993</v>
      </c>
      <c r="E63" s="14" t="n">
        <v>0.0553359683794466</v>
      </c>
      <c r="F63" s="14" t="n">
        <v>0.0830057803468208</v>
      </c>
      <c r="G63" s="14" t="n">
        <v>0.1410758817242607</v>
      </c>
      <c r="H63" s="7">
        <f>NORMSINV(C63)</f>
        <v/>
      </c>
      <c r="I63" s="7">
        <f>NORMSINV(D63)</f>
        <v/>
      </c>
      <c r="J63" s="7">
        <f>NORMSINV(E63)</f>
        <v/>
      </c>
      <c r="K63" s="7">
        <f>NORMSINV(F63)</f>
        <v/>
      </c>
      <c r="L63" s="7">
        <f>NORMSINV(G63)</f>
        <v/>
      </c>
      <c r="M63" s="7">
        <f>H63-AVERAGE(H$5:H$76)</f>
        <v/>
      </c>
      <c r="N63" s="7">
        <f>I63-AVERAGE(I$5:I$76)</f>
        <v/>
      </c>
      <c r="O63" s="7">
        <f>J63-AVERAGE(J$5:J$76)</f>
        <v/>
      </c>
      <c r="P63" s="7">
        <f>K63-AVERAGE(K$5:K$76)</f>
        <v/>
      </c>
      <c r="Q63" s="7">
        <f>L63-AVERAGE(L$5:L$76)</f>
        <v/>
      </c>
      <c r="R63" s="15">
        <f>AVERAGE(M63:Q63)</f>
        <v/>
      </c>
    </row>
    <row r="64">
      <c r="A64" s="5" t="inlineStr">
        <is>
          <t>202406</t>
        </is>
      </c>
      <c r="B64" s="6" t="n">
        <v>45444</v>
      </c>
      <c r="C64" s="14" t="n">
        <v>0.0349097615597418</v>
      </c>
      <c r="D64" s="14" t="n">
        <v>0.1011391094235416</v>
      </c>
      <c r="E64" s="14" t="n">
        <v>0.07281553398058251</v>
      </c>
      <c r="F64" s="14" t="n">
        <v>0.08290409614912921</v>
      </c>
      <c r="G64" s="14" t="n">
        <v>0.1470490163387796</v>
      </c>
      <c r="H64" s="7">
        <f>NORMSINV(C64)</f>
        <v/>
      </c>
      <c r="I64" s="7">
        <f>NORMSINV(D64)</f>
        <v/>
      </c>
      <c r="J64" s="7">
        <f>NORMSINV(E64)</f>
        <v/>
      </c>
      <c r="K64" s="7">
        <f>NORMSINV(F64)</f>
        <v/>
      </c>
      <c r="L64" s="7">
        <f>NORMSINV(G64)</f>
        <v/>
      </c>
      <c r="M64" s="7">
        <f>H64-AVERAGE(H$5:H$76)</f>
        <v/>
      </c>
      <c r="N64" s="7">
        <f>I64-AVERAGE(I$5:I$76)</f>
        <v/>
      </c>
      <c r="O64" s="7">
        <f>J64-AVERAGE(J$5:J$76)</f>
        <v/>
      </c>
      <c r="P64" s="7">
        <f>K64-AVERAGE(K$5:K$76)</f>
        <v/>
      </c>
      <c r="Q64" s="7">
        <f>L64-AVERAGE(L$5:L$76)</f>
        <v/>
      </c>
      <c r="R64" s="15">
        <f>AVERAGE(M64:Q64)</f>
        <v/>
      </c>
    </row>
    <row r="65">
      <c r="A65" s="5" t="inlineStr">
        <is>
          <t>202407</t>
        </is>
      </c>
      <c r="B65" s="6" t="n">
        <v>45474</v>
      </c>
      <c r="C65" s="14" t="n">
        <v>0.0371438874864767</v>
      </c>
      <c r="D65" s="14" t="n">
        <v>0.1165199378560331</v>
      </c>
      <c r="E65" s="14" t="n">
        <v>0.0344827586206896</v>
      </c>
      <c r="F65" s="14" t="n">
        <v>0.0686813186813186</v>
      </c>
      <c r="G65" s="14" t="n">
        <v>0.1603867129400099</v>
      </c>
      <c r="H65" s="7">
        <f>NORMSINV(C65)</f>
        <v/>
      </c>
      <c r="I65" s="7">
        <f>NORMSINV(D65)</f>
        <v/>
      </c>
      <c r="J65" s="7">
        <f>NORMSINV(E65)</f>
        <v/>
      </c>
      <c r="K65" s="7">
        <f>NORMSINV(F65)</f>
        <v/>
      </c>
      <c r="L65" s="7">
        <f>NORMSINV(G65)</f>
        <v/>
      </c>
      <c r="M65" s="7">
        <f>H65-AVERAGE(H$5:H$76)</f>
        <v/>
      </c>
      <c r="N65" s="7">
        <f>I65-AVERAGE(I$5:I$76)</f>
        <v/>
      </c>
      <c r="O65" s="7">
        <f>J65-AVERAGE(J$5:J$76)</f>
        <v/>
      </c>
      <c r="P65" s="7">
        <f>K65-AVERAGE(K$5:K$76)</f>
        <v/>
      </c>
      <c r="Q65" s="7">
        <f>L65-AVERAGE(L$5:L$76)</f>
        <v/>
      </c>
      <c r="R65" s="15">
        <f>AVERAGE(M65:Q65)</f>
        <v/>
      </c>
    </row>
    <row r="66">
      <c r="A66" s="5" t="inlineStr">
        <is>
          <t>202408</t>
        </is>
      </c>
      <c r="B66" s="6" t="n">
        <v>45505</v>
      </c>
      <c r="C66" s="14" t="n">
        <v>0.035967302452316</v>
      </c>
      <c r="D66" s="14" t="n">
        <v>0.09431345353675449</v>
      </c>
      <c r="E66" s="14" t="n">
        <v>0.038647342995169</v>
      </c>
      <c r="F66" s="14" t="n">
        <v>0.0634573304157549</v>
      </c>
      <c r="G66" s="14" t="n">
        <v>0.1683313748531139</v>
      </c>
      <c r="H66" s="7">
        <f>NORMSINV(C66)</f>
        <v/>
      </c>
      <c r="I66" s="7">
        <f>NORMSINV(D66)</f>
        <v/>
      </c>
      <c r="J66" s="7">
        <f>NORMSINV(E66)</f>
        <v/>
      </c>
      <c r="K66" s="7">
        <f>NORMSINV(F66)</f>
        <v/>
      </c>
      <c r="L66" s="7">
        <f>NORMSINV(G66)</f>
        <v/>
      </c>
      <c r="M66" s="7">
        <f>H66-AVERAGE(H$5:H$76)</f>
        <v/>
      </c>
      <c r="N66" s="7">
        <f>I66-AVERAGE(I$5:I$76)</f>
        <v/>
      </c>
      <c r="O66" s="7">
        <f>J66-AVERAGE(J$5:J$76)</f>
        <v/>
      </c>
      <c r="P66" s="7">
        <f>K66-AVERAGE(K$5:K$76)</f>
        <v/>
      </c>
      <c r="Q66" s="7">
        <f>L66-AVERAGE(L$5:L$76)</f>
        <v/>
      </c>
      <c r="R66" s="15">
        <f>AVERAGE(M66:Q66)</f>
        <v/>
      </c>
    </row>
    <row r="67">
      <c r="A67" s="5" t="inlineStr">
        <is>
          <t>202409</t>
        </is>
      </c>
      <c r="B67" s="6" t="n">
        <v>45536</v>
      </c>
      <c r="C67" s="14" t="n">
        <v>0.0359289260517376</v>
      </c>
      <c r="D67" s="14" t="n">
        <v>0.0813431071175218</v>
      </c>
      <c r="E67" s="14" t="n">
        <v>0.042016806722689</v>
      </c>
      <c r="F67" s="14" t="n">
        <v>0.1009060955518945</v>
      </c>
      <c r="G67" s="14" t="n">
        <v>0.1564844587352626</v>
      </c>
      <c r="H67" s="7">
        <f>NORMSINV(C67)</f>
        <v/>
      </c>
      <c r="I67" s="7">
        <f>NORMSINV(D67)</f>
        <v/>
      </c>
      <c r="J67" s="7">
        <f>NORMSINV(E67)</f>
        <v/>
      </c>
      <c r="K67" s="7">
        <f>NORMSINV(F67)</f>
        <v/>
      </c>
      <c r="L67" s="7">
        <f>NORMSINV(G67)</f>
        <v/>
      </c>
      <c r="M67" s="7">
        <f>H67-AVERAGE(H$5:H$76)</f>
        <v/>
      </c>
      <c r="N67" s="7">
        <f>I67-AVERAGE(I$5:I$76)</f>
        <v/>
      </c>
      <c r="O67" s="7">
        <f>J67-AVERAGE(J$5:J$76)</f>
        <v/>
      </c>
      <c r="P67" s="7">
        <f>K67-AVERAGE(K$5:K$76)</f>
        <v/>
      </c>
      <c r="Q67" s="7">
        <f>L67-AVERAGE(L$5:L$76)</f>
        <v/>
      </c>
      <c r="R67" s="15">
        <f>AVERAGE(M67:Q67)</f>
        <v/>
      </c>
    </row>
    <row r="68">
      <c r="A68" s="5" t="inlineStr">
        <is>
          <t>202410</t>
        </is>
      </c>
      <c r="B68" s="6" t="n">
        <v>45566</v>
      </c>
      <c r="C68" s="14" t="n">
        <v>0.0340754819440673</v>
      </c>
      <c r="D68" s="14" t="n">
        <v>0.09808052434456919</v>
      </c>
      <c r="E68" s="14" t="n">
        <v>0.1064981949458483</v>
      </c>
      <c r="F68" s="14" t="n">
        <v>0.1083666303426564</v>
      </c>
      <c r="G68" s="14" t="n">
        <v>0.1535690897184021</v>
      </c>
      <c r="H68" s="7">
        <f>NORMSINV(C68)</f>
        <v/>
      </c>
      <c r="I68" s="7">
        <f>NORMSINV(D68)</f>
        <v/>
      </c>
      <c r="J68" s="7">
        <f>NORMSINV(E68)</f>
        <v/>
      </c>
      <c r="K68" s="7">
        <f>NORMSINV(F68)</f>
        <v/>
      </c>
      <c r="L68" s="7">
        <f>NORMSINV(G68)</f>
        <v/>
      </c>
      <c r="M68" s="7">
        <f>H68-AVERAGE(H$5:H$76)</f>
        <v/>
      </c>
      <c r="N68" s="7">
        <f>I68-AVERAGE(I$5:I$76)</f>
        <v/>
      </c>
      <c r="O68" s="7">
        <f>J68-AVERAGE(J$5:J$76)</f>
        <v/>
      </c>
      <c r="P68" s="7">
        <f>K68-AVERAGE(K$5:K$76)</f>
        <v/>
      </c>
      <c r="Q68" s="7">
        <f>L68-AVERAGE(L$5:L$76)</f>
        <v/>
      </c>
      <c r="R68" s="15">
        <f>AVERAGE(M68:Q68)</f>
        <v/>
      </c>
    </row>
    <row r="69">
      <c r="A69" s="5" t="inlineStr">
        <is>
          <t>202411</t>
        </is>
      </c>
      <c r="B69" s="6" t="n">
        <v>45597</v>
      </c>
      <c r="C69" s="14" t="n">
        <v>0.0400568181818181</v>
      </c>
      <c r="D69" s="14" t="n">
        <v>0.0686100248844649</v>
      </c>
      <c r="E69" s="14" t="n">
        <v>0.101639344262295</v>
      </c>
      <c r="F69" s="14" t="n">
        <v>0.113705421397729</v>
      </c>
      <c r="G69" s="14" t="n">
        <v>0.1429199648197009</v>
      </c>
      <c r="H69" s="7">
        <f>NORMSINV(C69)</f>
        <v/>
      </c>
      <c r="I69" s="7">
        <f>NORMSINV(D69)</f>
        <v/>
      </c>
      <c r="J69" s="7">
        <f>NORMSINV(E69)</f>
        <v/>
      </c>
      <c r="K69" s="7">
        <f>NORMSINV(F69)</f>
        <v/>
      </c>
      <c r="L69" s="7">
        <f>NORMSINV(G69)</f>
        <v/>
      </c>
      <c r="M69" s="7">
        <f>H69-AVERAGE(H$5:H$76)</f>
        <v/>
      </c>
      <c r="N69" s="7">
        <f>I69-AVERAGE(I$5:I$76)</f>
        <v/>
      </c>
      <c r="O69" s="7">
        <f>J69-AVERAGE(J$5:J$76)</f>
        <v/>
      </c>
      <c r="P69" s="7">
        <f>K69-AVERAGE(K$5:K$76)</f>
        <v/>
      </c>
      <c r="Q69" s="7">
        <f>L69-AVERAGE(L$5:L$76)</f>
        <v/>
      </c>
      <c r="R69" s="15">
        <f>AVERAGE(M69:Q69)</f>
        <v/>
      </c>
    </row>
    <row r="70">
      <c r="A70" s="5" t="inlineStr">
        <is>
          <t>202412</t>
        </is>
      </c>
      <c r="B70" s="6" t="n">
        <v>45627</v>
      </c>
      <c r="C70" s="14" t="n">
        <v>0.0386962106615285</v>
      </c>
      <c r="D70" s="14" t="n">
        <v>0.0561843168957154</v>
      </c>
      <c r="E70" s="14" t="n">
        <v>0.1055662188099808</v>
      </c>
      <c r="F70" s="14" t="n">
        <v>0.1148779202529422</v>
      </c>
      <c r="G70" s="14" t="n">
        <v>0.1602953240360951</v>
      </c>
      <c r="H70" s="7">
        <f>NORMSINV(C70)</f>
        <v/>
      </c>
      <c r="I70" s="7">
        <f>NORMSINV(D70)</f>
        <v/>
      </c>
      <c r="J70" s="7">
        <f>NORMSINV(E70)</f>
        <v/>
      </c>
      <c r="K70" s="7">
        <f>NORMSINV(F70)</f>
        <v/>
      </c>
      <c r="L70" s="7">
        <f>NORMSINV(G70)</f>
        <v/>
      </c>
      <c r="M70" s="7">
        <f>H70-AVERAGE(H$5:H$76)</f>
        <v/>
      </c>
      <c r="N70" s="7">
        <f>I70-AVERAGE(I$5:I$76)</f>
        <v/>
      </c>
      <c r="O70" s="7">
        <f>J70-AVERAGE(J$5:J$76)</f>
        <v/>
      </c>
      <c r="P70" s="7">
        <f>K70-AVERAGE(K$5:K$76)</f>
        <v/>
      </c>
      <c r="Q70" s="7">
        <f>L70-AVERAGE(L$5:L$76)</f>
        <v/>
      </c>
      <c r="R70" s="15">
        <f>AVERAGE(M70:Q70)</f>
        <v/>
      </c>
    </row>
    <row r="71">
      <c r="A71" s="5" t="inlineStr">
        <is>
          <t>202501</t>
        </is>
      </c>
      <c r="B71" s="6" t="n">
        <v>45658</v>
      </c>
      <c r="C71" s="14" t="n">
        <v>0.0349972572682391</v>
      </c>
      <c r="D71" s="14" t="n">
        <v>0.0482233502538071</v>
      </c>
      <c r="E71" s="14" t="n">
        <v>0.1030789825970548</v>
      </c>
      <c r="F71" s="14" t="n">
        <v>0.09295527623501899</v>
      </c>
      <c r="G71" s="14" t="n">
        <v>0.1492369838420107</v>
      </c>
      <c r="H71" s="7">
        <f>NORMSINV(C71)</f>
        <v/>
      </c>
      <c r="I71" s="7">
        <f>NORMSINV(D71)</f>
        <v/>
      </c>
      <c r="J71" s="7">
        <f>NORMSINV(E71)</f>
        <v/>
      </c>
      <c r="K71" s="7">
        <f>NORMSINV(F71)</f>
        <v/>
      </c>
      <c r="L71" s="7">
        <f>NORMSINV(G71)</f>
        <v/>
      </c>
      <c r="M71" s="7">
        <f>H71-AVERAGE(H$5:H$76)</f>
        <v/>
      </c>
      <c r="N71" s="7">
        <f>I71-AVERAGE(I$5:I$76)</f>
        <v/>
      </c>
      <c r="O71" s="7">
        <f>J71-AVERAGE(J$5:J$76)</f>
        <v/>
      </c>
      <c r="P71" s="7">
        <f>K71-AVERAGE(K$5:K$76)</f>
        <v/>
      </c>
      <c r="Q71" s="7">
        <f>L71-AVERAGE(L$5:L$76)</f>
        <v/>
      </c>
      <c r="R71" s="15">
        <f>AVERAGE(M71:Q71)</f>
        <v/>
      </c>
    </row>
    <row r="72">
      <c r="A72" s="5" t="inlineStr">
        <is>
          <t>202502</t>
        </is>
      </c>
      <c r="B72" s="6" t="n">
        <v>45689</v>
      </c>
      <c r="C72" s="14" t="n">
        <v>0.0333198978906355</v>
      </c>
      <c r="D72" s="14" t="n">
        <v>0.0595854922279792</v>
      </c>
      <c r="E72" s="14" t="n">
        <v>0.0802568218298555</v>
      </c>
      <c r="F72" s="14" t="n">
        <v>0.08614035087719291</v>
      </c>
      <c r="G72" s="14" t="n">
        <v>0.1524280575539568</v>
      </c>
      <c r="H72" s="7">
        <f>NORMSINV(C72)</f>
        <v/>
      </c>
      <c r="I72" s="7">
        <f>NORMSINV(D72)</f>
        <v/>
      </c>
      <c r="J72" s="7">
        <f>NORMSINV(E72)</f>
        <v/>
      </c>
      <c r="K72" s="7">
        <f>NORMSINV(F72)</f>
        <v/>
      </c>
      <c r="L72" s="7">
        <f>NORMSINV(G72)</f>
        <v/>
      </c>
      <c r="M72" s="7">
        <f>H72-AVERAGE(H$5:H$76)</f>
        <v/>
      </c>
      <c r="N72" s="7">
        <f>I72-AVERAGE(I$5:I$76)</f>
        <v/>
      </c>
      <c r="O72" s="7">
        <f>J72-AVERAGE(J$5:J$76)</f>
        <v/>
      </c>
      <c r="P72" s="7">
        <f>K72-AVERAGE(K$5:K$76)</f>
        <v/>
      </c>
      <c r="Q72" s="7">
        <f>L72-AVERAGE(L$5:L$76)</f>
        <v/>
      </c>
      <c r="R72" s="15">
        <f>AVERAGE(M72:Q72)</f>
        <v/>
      </c>
    </row>
    <row r="73">
      <c r="A73" s="5" t="inlineStr">
        <is>
          <t>202503</t>
        </is>
      </c>
      <c r="B73" s="6" t="n">
        <v>45717</v>
      </c>
      <c r="C73" s="14" t="n">
        <v>0.0333029197080292</v>
      </c>
      <c r="D73" s="14" t="n">
        <v>0.0584206285253827</v>
      </c>
      <c r="E73" s="14" t="n">
        <v>0.0948148148148148</v>
      </c>
      <c r="F73" s="14" t="n">
        <v>0.1178952302824329</v>
      </c>
      <c r="G73" s="14" t="n">
        <v>0.1527151538913938</v>
      </c>
      <c r="H73" s="7">
        <f>NORMSINV(C73)</f>
        <v/>
      </c>
      <c r="I73" s="7">
        <f>NORMSINV(D73)</f>
        <v/>
      </c>
      <c r="J73" s="7">
        <f>NORMSINV(E73)</f>
        <v/>
      </c>
      <c r="K73" s="7">
        <f>NORMSINV(F73)</f>
        <v/>
      </c>
      <c r="L73" s="7">
        <f>NORMSINV(G73)</f>
        <v/>
      </c>
      <c r="M73" s="7">
        <f>H73-AVERAGE(H$5:H$76)</f>
        <v/>
      </c>
      <c r="N73" s="7">
        <f>I73-AVERAGE(I$5:I$76)</f>
        <v/>
      </c>
      <c r="O73" s="7">
        <f>J73-AVERAGE(J$5:J$76)</f>
        <v/>
      </c>
      <c r="P73" s="7">
        <f>K73-AVERAGE(K$5:K$76)</f>
        <v/>
      </c>
      <c r="Q73" s="7">
        <f>L73-AVERAGE(L$5:L$76)</f>
        <v/>
      </c>
      <c r="R73" s="15">
        <f>AVERAGE(M73:Q73)</f>
        <v/>
      </c>
    </row>
    <row r="74">
      <c r="A74" s="5" t="inlineStr">
        <is>
          <t>202504</t>
        </is>
      </c>
      <c r="B74" s="6" t="n">
        <v>45748</v>
      </c>
      <c r="C74" s="14" t="n">
        <v>0.0361474720787798</v>
      </c>
      <c r="D74" s="14" t="n">
        <v>0.0511669658886894</v>
      </c>
      <c r="E74" s="14" t="n">
        <v>0.0902255639097744</v>
      </c>
      <c r="F74" s="14" t="n">
        <v>0.1247035212552453</v>
      </c>
      <c r="G74" s="14" t="n">
        <v>0.1306052438127909</v>
      </c>
      <c r="H74" s="7">
        <f>NORMSINV(C74)</f>
        <v/>
      </c>
      <c r="I74" s="7">
        <f>NORMSINV(D74)</f>
        <v/>
      </c>
      <c r="J74" s="7">
        <f>NORMSINV(E74)</f>
        <v/>
      </c>
      <c r="K74" s="7">
        <f>NORMSINV(F74)</f>
        <v/>
      </c>
      <c r="L74" s="7">
        <f>NORMSINV(G74)</f>
        <v/>
      </c>
      <c r="M74" s="7">
        <f>H74-AVERAGE(H$5:H$76)</f>
        <v/>
      </c>
      <c r="N74" s="7">
        <f>I74-AVERAGE(I$5:I$76)</f>
        <v/>
      </c>
      <c r="O74" s="7">
        <f>J74-AVERAGE(J$5:J$76)</f>
        <v/>
      </c>
      <c r="P74" s="7">
        <f>K74-AVERAGE(K$5:K$76)</f>
        <v/>
      </c>
      <c r="Q74" s="7">
        <f>L74-AVERAGE(L$5:L$76)</f>
        <v/>
      </c>
      <c r="R74" s="15">
        <f>AVERAGE(M74:Q74)</f>
        <v/>
      </c>
    </row>
    <row r="75">
      <c r="A75" s="5" t="inlineStr">
        <is>
          <t>202505</t>
        </is>
      </c>
      <c r="B75" s="6" t="n">
        <v>45778</v>
      </c>
      <c r="C75" s="14" t="n">
        <v>0.0326530612244898</v>
      </c>
      <c r="D75" s="14" t="n">
        <v>0.0558534405719392</v>
      </c>
      <c r="E75" s="14" t="n">
        <v>0.1012658227848101</v>
      </c>
      <c r="F75" s="14" t="n">
        <v>0.1362294888442922</v>
      </c>
      <c r="G75" s="14" t="n">
        <v>0.1366076754822032</v>
      </c>
      <c r="H75" s="7">
        <f>NORMSINV(C75)</f>
        <v/>
      </c>
      <c r="I75" s="7">
        <f>NORMSINV(D75)</f>
        <v/>
      </c>
      <c r="J75" s="7">
        <f>NORMSINV(E75)</f>
        <v/>
      </c>
      <c r="K75" s="7">
        <f>NORMSINV(F75)</f>
        <v/>
      </c>
      <c r="L75" s="7">
        <f>NORMSINV(G75)</f>
        <v/>
      </c>
      <c r="M75" s="7">
        <f>H75-AVERAGE(H$5:H$76)</f>
        <v/>
      </c>
      <c r="N75" s="7">
        <f>I75-AVERAGE(I$5:I$76)</f>
        <v/>
      </c>
      <c r="O75" s="7">
        <f>J75-AVERAGE(J$5:J$76)</f>
        <v/>
      </c>
      <c r="P75" s="7">
        <f>K75-AVERAGE(K$5:K$76)</f>
        <v/>
      </c>
      <c r="Q75" s="7">
        <f>L75-AVERAGE(L$5:L$76)</f>
        <v/>
      </c>
      <c r="R75" s="15">
        <f>AVERAGE(M75:Q75)</f>
        <v/>
      </c>
    </row>
    <row r="76">
      <c r="A76" s="5" t="inlineStr">
        <is>
          <t>202506</t>
        </is>
      </c>
      <c r="B76" s="6" t="n">
        <v>45809</v>
      </c>
      <c r="C76" s="14" t="n">
        <v>0.0276970422294409</v>
      </c>
      <c r="D76" s="14" t="n">
        <v>0.0544488711819389</v>
      </c>
      <c r="E76" s="14" t="n">
        <v>0.0741525423728813</v>
      </c>
      <c r="F76" s="14" t="n">
        <v>0.1316782522343594</v>
      </c>
      <c r="G76" s="14" t="n">
        <v>0.1394212701991732</v>
      </c>
      <c r="H76" s="7">
        <f>NORMSINV(C76)</f>
        <v/>
      </c>
      <c r="I76" s="7">
        <f>NORMSINV(D76)</f>
        <v/>
      </c>
      <c r="J76" s="7">
        <f>NORMSINV(E76)</f>
        <v/>
      </c>
      <c r="K76" s="7">
        <f>NORMSINV(F76)</f>
        <v/>
      </c>
      <c r="L76" s="7">
        <f>NORMSINV(G76)</f>
        <v/>
      </c>
      <c r="M76" s="7">
        <f>H76-AVERAGE(H$5:H$76)</f>
        <v/>
      </c>
      <c r="N76" s="7">
        <f>I76-AVERAGE(I$5:I$76)</f>
        <v/>
      </c>
      <c r="O76" s="7">
        <f>J76-AVERAGE(J$5:J$76)</f>
        <v/>
      </c>
      <c r="P76" s="7">
        <f>K76-AVERAGE(K$5:K$76)</f>
        <v/>
      </c>
      <c r="Q76" s="7">
        <f>L76-AVERAGE(L$5:L$76)</f>
        <v/>
      </c>
      <c r="R76" s="15">
        <f>AVERAGE(M76:Q76)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Como rehacer el grafico</t>
        </is>
      </c>
    </row>
    <row r="2">
      <c r="A2" s="5" t="inlineStr"/>
    </row>
    <row r="3">
      <c r="A3" s="16" t="inlineStr">
        <is>
          <t>HOJA "Serie" - es la que se grafica.</t>
        </is>
      </c>
    </row>
    <row r="4">
      <c r="A4" s="2" t="inlineStr">
        <is>
          <t xml:space="preserve">   Insertar grafico de LINEAS con la columna B (fecha) como eje X.</t>
        </is>
      </c>
    </row>
    <row r="5">
      <c r="A5" s="2" t="inlineStr">
        <is>
          <t xml:space="preserve">   Series: C (ciclo), D (inflacion observada), E (proy base), F (optimista), G (pesimista).</t>
        </is>
      </c>
    </row>
    <row r="6">
      <c r="A6" s="2" t="inlineStr">
        <is>
          <t xml:space="preserve">   Sugerido: C en verde grueso, D punteada oscura, E punteada fina, F y G finas para la banda.</t>
        </is>
      </c>
    </row>
    <row r="7">
      <c r="A7" s="5" t="inlineStr"/>
    </row>
    <row r="8">
      <c r="A8" s="16" t="inlineStr">
        <is>
          <t>POR QUE COMPARTEN EJE.</t>
        </is>
      </c>
    </row>
    <row r="9">
      <c r="A9" s="2" t="inlineStr">
        <is>
          <t xml:space="preserve">   El ciclo esta en unidades de probit y la inflacion en %. Las columnas D a G no son la</t>
        </is>
      </c>
    </row>
    <row r="10">
      <c r="A10" s="2" t="inlineStr">
        <is>
          <t xml:space="preserve">   inflacion cruda: son beta x (inflacion - mu), que es justo la conversion a unidades de</t>
        </is>
      </c>
    </row>
    <row r="11">
      <c r="A11" s="2" t="inlineStr">
        <is>
          <t xml:space="preserve">   ciclo. Por eso se pueden dibujar en el mismo eje sin trucar escalas.</t>
        </is>
      </c>
    </row>
    <row r="12">
      <c r="A12" s="2" t="inlineStr">
        <is>
          <t xml:space="preserve">   La columna H tiene la inflacion en % por si se quiere un eje secundario legible.</t>
        </is>
      </c>
    </row>
    <row r="13">
      <c r="A13" s="5" t="inlineStr"/>
    </row>
    <row r="14">
      <c r="A14" s="16" t="inlineStr">
        <is>
          <t>MES 0.</t>
        </is>
      </c>
    </row>
    <row r="15">
      <c r="A15" s="2" t="inlineStr">
        <is>
          <t xml:space="preserve">   La inflacion de cada fila es la del MISMO mes que la mora. Sin rezago y sin media movil.</t>
        </is>
      </c>
    </row>
    <row r="16">
      <c r="A16" s="5" t="inlineStr"/>
    </row>
    <row r="17">
      <c r="A17" s="16" t="inlineStr">
        <is>
          <t>DE DONDE SALE EL CICLO.</t>
        </is>
      </c>
    </row>
    <row r="18">
      <c r="A18" s="2" t="inlineStr">
        <is>
          <t xml:space="preserve">   Hoja "Entidades". A la mora de cada banco se le aplica probit, se le resta el promedio</t>
        </is>
      </c>
    </row>
    <row r="19">
      <c r="A19" s="2" t="inlineStr">
        <is>
          <t xml:space="preserve">   de ese banco, y el ciclo es el promedio de los 5 desvios. Todo con formulas: se puede</t>
        </is>
      </c>
    </row>
    <row r="20">
      <c r="A20" s="2" t="inlineStr">
        <is>
          <t xml:space="preserve">   cambiar un dato de mora y el ciclo se recalcula.</t>
        </is>
      </c>
    </row>
    <row r="21">
      <c r="A21" s="5" t="inlineStr"/>
    </row>
    <row r="22">
      <c r="A22" s="16" t="inlineStr">
        <is>
          <t>DONDE TERMINA CADA COSA.</t>
        </is>
      </c>
    </row>
    <row r="23">
      <c r="A23" s="2" t="inlineStr">
        <is>
          <t xml:space="preserve">   Ciclo: hasta 202506. El target necesita 12 meses de maduracion, asi que no hay mora</t>
        </is>
      </c>
    </row>
    <row r="24">
      <c r="A24" s="2" t="inlineStr">
        <is>
          <t xml:space="preserve">   observada despues de esa fecha.</t>
        </is>
      </c>
    </row>
    <row r="25">
      <c r="A25" s="2" t="inlineStr">
        <is>
          <t xml:space="preserve">   Inflacion observada: hasta 202605.</t>
        </is>
      </c>
    </row>
    <row r="26">
      <c r="A26" s="2" t="inlineStr">
        <is>
          <t xml:space="preserve">   Proyeccion BCRP: desde 202606. La columna I dice el origen de cada fila.</t>
        </is>
      </c>
    </row>
    <row r="27">
      <c r="A27" s="5" t="inlineStr"/>
    </row>
    <row r="28">
      <c r="A28" s="16" t="inlineStr">
        <is>
          <t>LO QUE ESTE LIBRO NO TRAE.</t>
        </is>
      </c>
    </row>
    <row r="29">
      <c r="A29" s="2" t="inlineStr">
        <is>
          <t xml:space="preserve">   La PD calibrada. Este libro llega hasta el ciclo; la conversion a PD_PIT necesita la PD</t>
        </is>
      </c>
    </row>
    <row r="30">
      <c r="A30" s="2" t="inlineStr">
        <is>
          <t xml:space="preserve">   TTC de cada cliente, que no es una serie mensual.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2026-08-14T03:51:25Z</dcterms:created>
  <dcterms:modified xmlns:dcterms="http://purl.org/dc/terms/" xmlns:xsi="http://www.w3.org/2001/XMLSchema-instance" xsi:type="dcterms:W3CDTF">2026-08-14T03:51:25Z</dcterms:modified>
</cp:coreProperties>
</file>